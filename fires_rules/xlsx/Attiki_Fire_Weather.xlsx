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"/>
    </mc:Choice>
  </mc:AlternateContent>
  <xr:revisionPtr revIDLastSave="0" documentId="13_ncr:1_{708B70D7-0869-450D-995E-FB5696371862}" xr6:coauthVersionLast="36" xr6:coauthVersionMax="36" xr10:uidLastSave="{00000000-0000-0000-0000-000000000000}"/>
  <bookViews>
    <workbookView xWindow="0" yWindow="0" windowWidth="28770" windowHeight="9045" xr2:uid="{00000000-000D-0000-FFFF-FFFF00000000}"/>
  </bookViews>
  <sheets>
    <sheet name="Sheet1" sheetId="1" r:id="rId1"/>
    <sheet name="Φύλλο1" sheetId="2" r:id="rId2"/>
  </sheets>
  <definedNames>
    <definedName name="_xlnm._FilterDatabase" localSheetId="0" hidden="1">Sheet1!$C$1:$C$2669</definedName>
  </definedNames>
  <calcPr calcId="191029"/>
</workbook>
</file>

<file path=xl/calcChain.xml><?xml version="1.0" encoding="utf-8"?>
<calcChain xmlns="http://schemas.openxmlformats.org/spreadsheetml/2006/main">
  <c r="AL1823" i="1" l="1"/>
  <c r="AL1783" i="1"/>
  <c r="AL1729" i="1"/>
  <c r="AL1661" i="1"/>
  <c r="AL1618" i="1"/>
  <c r="AL1563" i="1"/>
  <c r="AL1499" i="1"/>
  <c r="AL1441" i="1"/>
  <c r="AL1357" i="1"/>
  <c r="AL1296" i="1"/>
  <c r="AL1280" i="1"/>
  <c r="AL1207" i="1"/>
  <c r="AL1108" i="1"/>
  <c r="AL1033" i="1"/>
  <c r="AL928" i="1"/>
  <c r="AL831" i="1"/>
  <c r="AL730" i="1"/>
  <c r="AL597" i="1"/>
  <c r="AL525" i="1"/>
  <c r="AL440" i="1"/>
  <c r="AL334" i="1"/>
  <c r="AL281" i="1"/>
  <c r="AL208" i="1"/>
  <c r="AL92" i="1"/>
  <c r="AL2" i="1"/>
  <c r="O1823" i="1"/>
  <c r="O1783" i="1"/>
  <c r="O1729" i="1"/>
  <c r="O1661" i="1"/>
  <c r="O1618" i="1"/>
  <c r="O1563" i="1"/>
  <c r="O1499" i="1"/>
  <c r="O1441" i="1"/>
  <c r="O1357" i="1" l="1"/>
  <c r="O1296" i="1"/>
  <c r="O1280" i="1"/>
  <c r="O1207" i="1"/>
  <c r="O1108" i="1"/>
  <c r="O1033" i="1"/>
  <c r="O928" i="1"/>
  <c r="O831" i="1"/>
  <c r="O730" i="1"/>
  <c r="O597" i="1"/>
  <c r="O525" i="1" l="1"/>
  <c r="O440" i="1"/>
  <c r="O334" i="1"/>
  <c r="O281" i="1"/>
  <c r="O208" i="1"/>
  <c r="O92" i="1"/>
  <c r="O2" i="1"/>
  <c r="Y1823" i="1" l="1"/>
  <c r="Y1783" i="1"/>
  <c r="Y1729" i="1"/>
  <c r="Y1661" i="1"/>
  <c r="Y1618" i="1" l="1"/>
  <c r="Y1563" i="1"/>
  <c r="Y1499" i="1"/>
  <c r="Y1441" i="1"/>
  <c r="Y1357" i="1"/>
  <c r="Y1296" i="1"/>
  <c r="Y1280" i="1"/>
  <c r="Y1207" i="1"/>
  <c r="Y1108" i="1"/>
  <c r="Y1033" i="1" l="1"/>
  <c r="Y928" i="1"/>
  <c r="Y831" i="1"/>
  <c r="Y730" i="1"/>
  <c r="Y597" i="1"/>
  <c r="Y525" i="1"/>
  <c r="Y440" i="1"/>
  <c r="Y334" i="1"/>
  <c r="Y281" i="1"/>
  <c r="Y208" i="1"/>
  <c r="Y92" i="1"/>
  <c r="Y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2" i="1"/>
  <c r="AI3" i="1" l="1"/>
  <c r="AJ3" i="1" s="1"/>
  <c r="AI4" i="1"/>
  <c r="AJ4" i="1" s="1"/>
  <c r="AI5" i="1"/>
  <c r="AJ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J50" i="1" s="1"/>
  <c r="AI51" i="1"/>
  <c r="AJ51" i="1" s="1"/>
  <c r="AI52" i="1"/>
  <c r="AJ52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69" i="1"/>
  <c r="AJ69" i="1" s="1"/>
  <c r="AI70" i="1"/>
  <c r="AJ70" i="1" s="1"/>
  <c r="AI71" i="1"/>
  <c r="AJ71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2" i="1"/>
  <c r="AJ92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2" i="1"/>
  <c r="AJ112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J174" i="1" s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0" i="1"/>
  <c r="AJ190" i="1" s="1"/>
  <c r="AI191" i="1"/>
  <c r="AJ191" i="1" s="1"/>
  <c r="AI192" i="1"/>
  <c r="AJ192" i="1" s="1"/>
  <c r="AI193" i="1"/>
  <c r="AJ193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J238" i="1" s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J279" i="1" s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I287" i="1"/>
  <c r="AJ287" i="1" s="1"/>
  <c r="AI288" i="1"/>
  <c r="AJ288" i="1" s="1"/>
  <c r="AI289" i="1"/>
  <c r="AJ289" i="1" s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J298" i="1" s="1"/>
  <c r="AI299" i="1"/>
  <c r="AJ299" i="1" s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J305" i="1" s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J315" i="1" s="1"/>
  <c r="AI316" i="1"/>
  <c r="AJ316" i="1" s="1"/>
  <c r="AI317" i="1"/>
  <c r="AJ317" i="1" s="1"/>
  <c r="AI318" i="1"/>
  <c r="AJ318" i="1" s="1"/>
  <c r="AI319" i="1"/>
  <c r="AJ319" i="1" s="1"/>
  <c r="AI320" i="1"/>
  <c r="AJ320" i="1" s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J328" i="1" s="1"/>
  <c r="AI329" i="1"/>
  <c r="AJ329" i="1" s="1"/>
  <c r="AI330" i="1"/>
  <c r="AJ330" i="1" s="1"/>
  <c r="AI331" i="1"/>
  <c r="AJ331" i="1" s="1"/>
  <c r="AI332" i="1"/>
  <c r="AJ332" i="1" s="1"/>
  <c r="AI333" i="1"/>
  <c r="AJ333" i="1" s="1"/>
  <c r="AI334" i="1"/>
  <c r="AJ334" i="1" s="1"/>
  <c r="AI335" i="1"/>
  <c r="AJ335" i="1" s="1"/>
  <c r="AI336" i="1"/>
  <c r="AJ336" i="1" s="1"/>
  <c r="AI337" i="1"/>
  <c r="AJ337" i="1" s="1"/>
  <c r="AI338" i="1"/>
  <c r="AJ338" i="1" s="1"/>
  <c r="AI339" i="1"/>
  <c r="AJ339" i="1" s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J348" i="1" s="1"/>
  <c r="AI349" i="1"/>
  <c r="AJ349" i="1" s="1"/>
  <c r="AI350" i="1"/>
  <c r="AJ350" i="1" s="1"/>
  <c r="AI351" i="1"/>
  <c r="AJ351" i="1" s="1"/>
  <c r="AI352" i="1"/>
  <c r="AJ352" i="1" s="1"/>
  <c r="AI353" i="1"/>
  <c r="AJ353" i="1" s="1"/>
  <c r="AI354" i="1"/>
  <c r="AJ354" i="1" s="1"/>
  <c r="AI355" i="1"/>
  <c r="AJ355" i="1" s="1"/>
  <c r="AI356" i="1"/>
  <c r="AJ356" i="1" s="1"/>
  <c r="AI357" i="1"/>
  <c r="AJ357" i="1" s="1"/>
  <c r="AI358" i="1"/>
  <c r="AJ358" i="1" s="1"/>
  <c r="AI359" i="1"/>
  <c r="AJ359" i="1" s="1"/>
  <c r="AI360" i="1"/>
  <c r="AJ360" i="1" s="1"/>
  <c r="AI361" i="1"/>
  <c r="AJ361" i="1" s="1"/>
  <c r="AI362" i="1"/>
  <c r="AJ362" i="1" s="1"/>
  <c r="AI363" i="1"/>
  <c r="AJ363" i="1" s="1"/>
  <c r="AI364" i="1"/>
  <c r="AJ364" i="1" s="1"/>
  <c r="AI365" i="1"/>
  <c r="AJ365" i="1" s="1"/>
  <c r="AI366" i="1"/>
  <c r="AJ366" i="1" s="1"/>
  <c r="AI367" i="1"/>
  <c r="AJ367" i="1" s="1"/>
  <c r="AI368" i="1"/>
  <c r="AJ368" i="1" s="1"/>
  <c r="AI369" i="1"/>
  <c r="AJ369" i="1" s="1"/>
  <c r="AI370" i="1"/>
  <c r="AJ370" i="1" s="1"/>
  <c r="AI371" i="1"/>
  <c r="AJ371" i="1" s="1"/>
  <c r="AI372" i="1"/>
  <c r="AJ372" i="1" s="1"/>
  <c r="AI373" i="1"/>
  <c r="AJ373" i="1" s="1"/>
  <c r="AI374" i="1"/>
  <c r="AJ374" i="1" s="1"/>
  <c r="AI375" i="1"/>
  <c r="AJ375" i="1" s="1"/>
  <c r="AI376" i="1"/>
  <c r="AJ376" i="1" s="1"/>
  <c r="AI377" i="1"/>
  <c r="AJ377" i="1" s="1"/>
  <c r="AI378" i="1"/>
  <c r="AJ378" i="1" s="1"/>
  <c r="AI379" i="1"/>
  <c r="AJ379" i="1" s="1"/>
  <c r="AI380" i="1"/>
  <c r="AJ380" i="1" s="1"/>
  <c r="AI381" i="1"/>
  <c r="AJ381" i="1" s="1"/>
  <c r="AI382" i="1"/>
  <c r="AJ382" i="1" s="1"/>
  <c r="AI383" i="1"/>
  <c r="AJ383" i="1" s="1"/>
  <c r="AI384" i="1"/>
  <c r="AJ384" i="1" s="1"/>
  <c r="AI385" i="1"/>
  <c r="AJ385" i="1" s="1"/>
  <c r="AI386" i="1"/>
  <c r="AJ386" i="1" s="1"/>
  <c r="AI387" i="1"/>
  <c r="AJ387" i="1" s="1"/>
  <c r="AI388" i="1"/>
  <c r="AJ388" i="1" s="1"/>
  <c r="AI389" i="1"/>
  <c r="AJ389" i="1" s="1"/>
  <c r="AI390" i="1"/>
  <c r="AJ390" i="1" s="1"/>
  <c r="AI391" i="1"/>
  <c r="AJ391" i="1" s="1"/>
  <c r="AI392" i="1"/>
  <c r="AJ392" i="1" s="1"/>
  <c r="AI393" i="1"/>
  <c r="AJ393" i="1" s="1"/>
  <c r="AI394" i="1"/>
  <c r="AJ394" i="1" s="1"/>
  <c r="AI395" i="1"/>
  <c r="AJ395" i="1" s="1"/>
  <c r="AI396" i="1"/>
  <c r="AJ396" i="1" s="1"/>
  <c r="AI397" i="1"/>
  <c r="AJ397" i="1" s="1"/>
  <c r="AI398" i="1"/>
  <c r="AJ398" i="1" s="1"/>
  <c r="AI399" i="1"/>
  <c r="AJ399" i="1" s="1"/>
  <c r="AI400" i="1"/>
  <c r="AJ400" i="1" s="1"/>
  <c r="AI401" i="1"/>
  <c r="AJ401" i="1" s="1"/>
  <c r="AI402" i="1"/>
  <c r="AJ402" i="1" s="1"/>
  <c r="AI403" i="1"/>
  <c r="AJ403" i="1" s="1"/>
  <c r="AI404" i="1"/>
  <c r="AJ404" i="1" s="1"/>
  <c r="AI405" i="1"/>
  <c r="AJ405" i="1" s="1"/>
  <c r="AI406" i="1"/>
  <c r="AJ406" i="1" s="1"/>
  <c r="AI407" i="1"/>
  <c r="AJ407" i="1" s="1"/>
  <c r="AI408" i="1"/>
  <c r="AJ408" i="1" s="1"/>
  <c r="AI409" i="1"/>
  <c r="AJ409" i="1" s="1"/>
  <c r="AI410" i="1"/>
  <c r="AJ410" i="1" s="1"/>
  <c r="AI411" i="1"/>
  <c r="AJ411" i="1" s="1"/>
  <c r="AI412" i="1"/>
  <c r="AJ412" i="1" s="1"/>
  <c r="AI413" i="1"/>
  <c r="AJ413" i="1" s="1"/>
  <c r="AI414" i="1"/>
  <c r="AJ414" i="1" s="1"/>
  <c r="AI415" i="1"/>
  <c r="AJ415" i="1" s="1"/>
  <c r="AI416" i="1"/>
  <c r="AJ416" i="1" s="1"/>
  <c r="AI417" i="1"/>
  <c r="AJ417" i="1" s="1"/>
  <c r="AI418" i="1"/>
  <c r="AJ418" i="1" s="1"/>
  <c r="AI419" i="1"/>
  <c r="AJ419" i="1" s="1"/>
  <c r="AI420" i="1"/>
  <c r="AJ420" i="1" s="1"/>
  <c r="AI421" i="1"/>
  <c r="AJ421" i="1" s="1"/>
  <c r="AI422" i="1"/>
  <c r="AJ422" i="1" s="1"/>
  <c r="AI423" i="1"/>
  <c r="AJ423" i="1" s="1"/>
  <c r="AI424" i="1"/>
  <c r="AJ424" i="1" s="1"/>
  <c r="AI425" i="1"/>
  <c r="AJ425" i="1" s="1"/>
  <c r="AI426" i="1"/>
  <c r="AJ426" i="1" s="1"/>
  <c r="AI427" i="1"/>
  <c r="AJ427" i="1" s="1"/>
  <c r="AI428" i="1"/>
  <c r="AJ428" i="1" s="1"/>
  <c r="AI429" i="1"/>
  <c r="AJ429" i="1" s="1"/>
  <c r="AI430" i="1"/>
  <c r="AJ430" i="1" s="1"/>
  <c r="AI431" i="1"/>
  <c r="AJ431" i="1" s="1"/>
  <c r="AI432" i="1"/>
  <c r="AJ432" i="1" s="1"/>
  <c r="AI433" i="1"/>
  <c r="AJ433" i="1" s="1"/>
  <c r="AI434" i="1"/>
  <c r="AJ434" i="1" s="1"/>
  <c r="AI435" i="1"/>
  <c r="AJ435" i="1" s="1"/>
  <c r="AI436" i="1"/>
  <c r="AJ436" i="1" s="1"/>
  <c r="AI437" i="1"/>
  <c r="AJ437" i="1" s="1"/>
  <c r="AI438" i="1"/>
  <c r="AJ438" i="1" s="1"/>
  <c r="AI439" i="1"/>
  <c r="AJ439" i="1" s="1"/>
  <c r="AI440" i="1"/>
  <c r="AJ440" i="1" s="1"/>
  <c r="AI441" i="1"/>
  <c r="AJ441" i="1" s="1"/>
  <c r="AI442" i="1"/>
  <c r="AJ442" i="1" s="1"/>
  <c r="AI443" i="1"/>
  <c r="AJ443" i="1" s="1"/>
  <c r="AI444" i="1"/>
  <c r="AJ444" i="1" s="1"/>
  <c r="AI445" i="1"/>
  <c r="AJ445" i="1" s="1"/>
  <c r="AI446" i="1"/>
  <c r="AJ446" i="1" s="1"/>
  <c r="AI447" i="1"/>
  <c r="AJ447" i="1" s="1"/>
  <c r="AI448" i="1"/>
  <c r="AJ448" i="1" s="1"/>
  <c r="AI449" i="1"/>
  <c r="AJ449" i="1" s="1"/>
  <c r="AI450" i="1"/>
  <c r="AJ450" i="1" s="1"/>
  <c r="AI451" i="1"/>
  <c r="AJ451" i="1" s="1"/>
  <c r="AI452" i="1"/>
  <c r="AJ452" i="1" s="1"/>
  <c r="AI453" i="1"/>
  <c r="AJ453" i="1" s="1"/>
  <c r="AI454" i="1"/>
  <c r="AJ454" i="1" s="1"/>
  <c r="AI455" i="1"/>
  <c r="AJ455" i="1" s="1"/>
  <c r="AI456" i="1"/>
  <c r="AJ456" i="1" s="1"/>
  <c r="AI457" i="1"/>
  <c r="AJ457" i="1" s="1"/>
  <c r="AI458" i="1"/>
  <c r="AJ458" i="1" s="1"/>
  <c r="AI459" i="1"/>
  <c r="AJ459" i="1" s="1"/>
  <c r="AI460" i="1"/>
  <c r="AJ460" i="1" s="1"/>
  <c r="AI461" i="1"/>
  <c r="AJ461" i="1" s="1"/>
  <c r="AI462" i="1"/>
  <c r="AJ462" i="1" s="1"/>
  <c r="AI463" i="1"/>
  <c r="AJ463" i="1" s="1"/>
  <c r="AI464" i="1"/>
  <c r="AJ464" i="1" s="1"/>
  <c r="AI465" i="1"/>
  <c r="AJ465" i="1" s="1"/>
  <c r="AI466" i="1"/>
  <c r="AJ466" i="1" s="1"/>
  <c r="AI467" i="1"/>
  <c r="AJ467" i="1" s="1"/>
  <c r="AI468" i="1"/>
  <c r="AJ468" i="1" s="1"/>
  <c r="AI469" i="1"/>
  <c r="AJ469" i="1" s="1"/>
  <c r="AI470" i="1"/>
  <c r="AJ470" i="1" s="1"/>
  <c r="AI471" i="1"/>
  <c r="AJ471" i="1" s="1"/>
  <c r="AI472" i="1"/>
  <c r="AJ472" i="1" s="1"/>
  <c r="AI473" i="1"/>
  <c r="AJ473" i="1" s="1"/>
  <c r="AI474" i="1"/>
  <c r="AJ474" i="1" s="1"/>
  <c r="AI475" i="1"/>
  <c r="AJ475" i="1" s="1"/>
  <c r="AI476" i="1"/>
  <c r="AJ476" i="1" s="1"/>
  <c r="AI477" i="1"/>
  <c r="AJ477" i="1" s="1"/>
  <c r="AI478" i="1"/>
  <c r="AJ478" i="1" s="1"/>
  <c r="AI479" i="1"/>
  <c r="AJ479" i="1" s="1"/>
  <c r="AI480" i="1"/>
  <c r="AJ480" i="1" s="1"/>
  <c r="AI481" i="1"/>
  <c r="AJ481" i="1" s="1"/>
  <c r="AI482" i="1"/>
  <c r="AJ482" i="1" s="1"/>
  <c r="AI483" i="1"/>
  <c r="AJ483" i="1" s="1"/>
  <c r="AI484" i="1"/>
  <c r="AJ484" i="1" s="1"/>
  <c r="AI485" i="1"/>
  <c r="AJ485" i="1" s="1"/>
  <c r="AI486" i="1"/>
  <c r="AJ486" i="1" s="1"/>
  <c r="AI487" i="1"/>
  <c r="AJ487" i="1" s="1"/>
  <c r="AI488" i="1"/>
  <c r="AJ488" i="1" s="1"/>
  <c r="AI489" i="1"/>
  <c r="AJ489" i="1" s="1"/>
  <c r="AI490" i="1"/>
  <c r="AJ490" i="1" s="1"/>
  <c r="AI491" i="1"/>
  <c r="AJ491" i="1" s="1"/>
  <c r="AI492" i="1"/>
  <c r="AJ492" i="1" s="1"/>
  <c r="AI493" i="1"/>
  <c r="AJ493" i="1" s="1"/>
  <c r="AI494" i="1"/>
  <c r="AJ494" i="1" s="1"/>
  <c r="AI495" i="1"/>
  <c r="AJ495" i="1" s="1"/>
  <c r="AI496" i="1"/>
  <c r="AJ496" i="1" s="1"/>
  <c r="AI497" i="1"/>
  <c r="AJ497" i="1" s="1"/>
  <c r="AI498" i="1"/>
  <c r="AJ498" i="1" s="1"/>
  <c r="AI499" i="1"/>
  <c r="AJ499" i="1" s="1"/>
  <c r="AI500" i="1"/>
  <c r="AJ500" i="1" s="1"/>
  <c r="AI501" i="1"/>
  <c r="AJ501" i="1" s="1"/>
  <c r="AI502" i="1"/>
  <c r="AJ502" i="1" s="1"/>
  <c r="AI503" i="1"/>
  <c r="AJ503" i="1" s="1"/>
  <c r="AI504" i="1"/>
  <c r="AJ504" i="1" s="1"/>
  <c r="AI505" i="1"/>
  <c r="AJ505" i="1" s="1"/>
  <c r="AI506" i="1"/>
  <c r="AJ506" i="1" s="1"/>
  <c r="AI507" i="1"/>
  <c r="AJ507" i="1" s="1"/>
  <c r="AI508" i="1"/>
  <c r="AJ508" i="1" s="1"/>
  <c r="AI509" i="1"/>
  <c r="AJ509" i="1" s="1"/>
  <c r="AI510" i="1"/>
  <c r="AJ510" i="1" s="1"/>
  <c r="AI511" i="1"/>
  <c r="AJ511" i="1" s="1"/>
  <c r="AI512" i="1"/>
  <c r="AJ512" i="1" s="1"/>
  <c r="AI513" i="1"/>
  <c r="AJ513" i="1" s="1"/>
  <c r="AI514" i="1"/>
  <c r="AJ514" i="1" s="1"/>
  <c r="AI515" i="1"/>
  <c r="AJ515" i="1" s="1"/>
  <c r="AI516" i="1"/>
  <c r="AJ516" i="1" s="1"/>
  <c r="AI517" i="1"/>
  <c r="AJ517" i="1" s="1"/>
  <c r="AI518" i="1"/>
  <c r="AJ518" i="1" s="1"/>
  <c r="AI519" i="1"/>
  <c r="AJ519" i="1" s="1"/>
  <c r="AI520" i="1"/>
  <c r="AJ520" i="1" s="1"/>
  <c r="AI521" i="1"/>
  <c r="AJ521" i="1" s="1"/>
  <c r="AI522" i="1"/>
  <c r="AJ522" i="1" s="1"/>
  <c r="AI523" i="1"/>
  <c r="AJ523" i="1" s="1"/>
  <c r="AI524" i="1"/>
  <c r="AJ524" i="1" s="1"/>
  <c r="AI525" i="1"/>
  <c r="AJ525" i="1" s="1"/>
  <c r="AI526" i="1"/>
  <c r="AJ526" i="1" s="1"/>
  <c r="AI527" i="1"/>
  <c r="AJ527" i="1" s="1"/>
  <c r="AI528" i="1"/>
  <c r="AJ528" i="1" s="1"/>
  <c r="AI529" i="1"/>
  <c r="AJ529" i="1" s="1"/>
  <c r="AI530" i="1"/>
  <c r="AJ530" i="1" s="1"/>
  <c r="AI531" i="1"/>
  <c r="AJ531" i="1" s="1"/>
  <c r="AI532" i="1"/>
  <c r="AJ532" i="1" s="1"/>
  <c r="AI533" i="1"/>
  <c r="AJ533" i="1" s="1"/>
  <c r="AI534" i="1"/>
  <c r="AJ534" i="1" s="1"/>
  <c r="AI535" i="1"/>
  <c r="AJ535" i="1" s="1"/>
  <c r="AI536" i="1"/>
  <c r="AJ536" i="1" s="1"/>
  <c r="AI537" i="1"/>
  <c r="AJ537" i="1" s="1"/>
  <c r="AI538" i="1"/>
  <c r="AJ538" i="1" s="1"/>
  <c r="AI539" i="1"/>
  <c r="AJ539" i="1" s="1"/>
  <c r="AI540" i="1"/>
  <c r="AJ540" i="1" s="1"/>
  <c r="AI541" i="1"/>
  <c r="AJ541" i="1" s="1"/>
  <c r="AI542" i="1"/>
  <c r="AJ542" i="1" s="1"/>
  <c r="AI543" i="1"/>
  <c r="AJ543" i="1" s="1"/>
  <c r="AI544" i="1"/>
  <c r="AJ544" i="1" s="1"/>
  <c r="AI545" i="1"/>
  <c r="AJ545" i="1" s="1"/>
  <c r="AI546" i="1"/>
  <c r="AJ546" i="1" s="1"/>
  <c r="AI547" i="1"/>
  <c r="AJ547" i="1" s="1"/>
  <c r="AI548" i="1"/>
  <c r="AJ548" i="1" s="1"/>
  <c r="AI549" i="1"/>
  <c r="AJ549" i="1" s="1"/>
  <c r="AI550" i="1"/>
  <c r="AJ550" i="1" s="1"/>
  <c r="AI551" i="1"/>
  <c r="AJ551" i="1" s="1"/>
  <c r="AI552" i="1"/>
  <c r="AJ552" i="1" s="1"/>
  <c r="AI553" i="1"/>
  <c r="AJ553" i="1" s="1"/>
  <c r="AI554" i="1"/>
  <c r="AJ554" i="1" s="1"/>
  <c r="AI555" i="1"/>
  <c r="AJ555" i="1" s="1"/>
  <c r="AI556" i="1"/>
  <c r="AJ556" i="1" s="1"/>
  <c r="AI557" i="1"/>
  <c r="AJ557" i="1" s="1"/>
  <c r="AI558" i="1"/>
  <c r="AJ558" i="1" s="1"/>
  <c r="AI559" i="1"/>
  <c r="AJ559" i="1" s="1"/>
  <c r="AI560" i="1"/>
  <c r="AJ560" i="1" s="1"/>
  <c r="AI561" i="1"/>
  <c r="AJ561" i="1" s="1"/>
  <c r="AI562" i="1"/>
  <c r="AJ562" i="1" s="1"/>
  <c r="AI563" i="1"/>
  <c r="AJ563" i="1" s="1"/>
  <c r="AI564" i="1"/>
  <c r="AJ564" i="1" s="1"/>
  <c r="AI565" i="1"/>
  <c r="AJ565" i="1" s="1"/>
  <c r="AI566" i="1"/>
  <c r="AJ566" i="1" s="1"/>
  <c r="AI567" i="1"/>
  <c r="AJ567" i="1" s="1"/>
  <c r="AI568" i="1"/>
  <c r="AJ568" i="1" s="1"/>
  <c r="AI569" i="1"/>
  <c r="AJ569" i="1" s="1"/>
  <c r="AI570" i="1"/>
  <c r="AJ570" i="1" s="1"/>
  <c r="AI571" i="1"/>
  <c r="AJ571" i="1" s="1"/>
  <c r="AI572" i="1"/>
  <c r="AJ572" i="1" s="1"/>
  <c r="AI573" i="1"/>
  <c r="AJ573" i="1" s="1"/>
  <c r="AI574" i="1"/>
  <c r="AJ574" i="1" s="1"/>
  <c r="AI575" i="1"/>
  <c r="AJ575" i="1" s="1"/>
  <c r="AI576" i="1"/>
  <c r="AJ576" i="1" s="1"/>
  <c r="AI577" i="1"/>
  <c r="AJ577" i="1" s="1"/>
  <c r="AI578" i="1"/>
  <c r="AJ578" i="1" s="1"/>
  <c r="AI579" i="1"/>
  <c r="AJ579" i="1" s="1"/>
  <c r="AI580" i="1"/>
  <c r="AJ580" i="1" s="1"/>
  <c r="AI581" i="1"/>
  <c r="AJ581" i="1" s="1"/>
  <c r="AI582" i="1"/>
  <c r="AJ582" i="1" s="1"/>
  <c r="AI583" i="1"/>
  <c r="AJ583" i="1" s="1"/>
  <c r="AI584" i="1"/>
  <c r="AJ584" i="1" s="1"/>
  <c r="AI585" i="1"/>
  <c r="AJ585" i="1" s="1"/>
  <c r="AI586" i="1"/>
  <c r="AJ586" i="1" s="1"/>
  <c r="AI587" i="1"/>
  <c r="AJ587" i="1" s="1"/>
  <c r="AI588" i="1"/>
  <c r="AJ588" i="1" s="1"/>
  <c r="AI589" i="1"/>
  <c r="AJ589" i="1" s="1"/>
  <c r="AI590" i="1"/>
  <c r="AJ590" i="1" s="1"/>
  <c r="AI591" i="1"/>
  <c r="AJ591" i="1" s="1"/>
  <c r="AI592" i="1"/>
  <c r="AJ592" i="1" s="1"/>
  <c r="AI593" i="1"/>
  <c r="AJ593" i="1" s="1"/>
  <c r="AI594" i="1"/>
  <c r="AJ594" i="1" s="1"/>
  <c r="AI595" i="1"/>
  <c r="AJ595" i="1" s="1"/>
  <c r="AI596" i="1"/>
  <c r="AJ596" i="1" s="1"/>
  <c r="AI597" i="1"/>
  <c r="AJ597" i="1" s="1"/>
  <c r="AI598" i="1"/>
  <c r="AJ598" i="1" s="1"/>
  <c r="AI599" i="1"/>
  <c r="AJ599" i="1" s="1"/>
  <c r="AI600" i="1"/>
  <c r="AJ600" i="1" s="1"/>
  <c r="AI601" i="1"/>
  <c r="AJ601" i="1" s="1"/>
  <c r="AI602" i="1"/>
  <c r="AJ602" i="1" s="1"/>
  <c r="AI603" i="1"/>
  <c r="AJ603" i="1" s="1"/>
  <c r="AI604" i="1"/>
  <c r="AJ604" i="1" s="1"/>
  <c r="AI605" i="1"/>
  <c r="AJ605" i="1" s="1"/>
  <c r="AI606" i="1"/>
  <c r="AJ606" i="1" s="1"/>
  <c r="AI607" i="1"/>
  <c r="AJ607" i="1" s="1"/>
  <c r="AI608" i="1"/>
  <c r="AJ608" i="1" s="1"/>
  <c r="AI609" i="1"/>
  <c r="AJ609" i="1" s="1"/>
  <c r="AI610" i="1"/>
  <c r="AJ610" i="1" s="1"/>
  <c r="AI611" i="1"/>
  <c r="AJ611" i="1" s="1"/>
  <c r="AI612" i="1"/>
  <c r="AJ612" i="1" s="1"/>
  <c r="AI613" i="1"/>
  <c r="AJ613" i="1" s="1"/>
  <c r="AI614" i="1"/>
  <c r="AJ614" i="1" s="1"/>
  <c r="AI615" i="1"/>
  <c r="AJ615" i="1" s="1"/>
  <c r="AI616" i="1"/>
  <c r="AJ616" i="1" s="1"/>
  <c r="AI617" i="1"/>
  <c r="AJ617" i="1" s="1"/>
  <c r="AI618" i="1"/>
  <c r="AJ618" i="1" s="1"/>
  <c r="AI619" i="1"/>
  <c r="AJ619" i="1" s="1"/>
  <c r="AI620" i="1"/>
  <c r="AJ620" i="1" s="1"/>
  <c r="AI621" i="1"/>
  <c r="AJ621" i="1" s="1"/>
  <c r="AI622" i="1"/>
  <c r="AJ622" i="1" s="1"/>
  <c r="AI623" i="1"/>
  <c r="AJ623" i="1" s="1"/>
  <c r="AI624" i="1"/>
  <c r="AJ624" i="1" s="1"/>
  <c r="AI625" i="1"/>
  <c r="AJ625" i="1" s="1"/>
  <c r="AI626" i="1"/>
  <c r="AJ626" i="1" s="1"/>
  <c r="AI627" i="1"/>
  <c r="AJ627" i="1" s="1"/>
  <c r="AI628" i="1"/>
  <c r="AJ628" i="1" s="1"/>
  <c r="AI629" i="1"/>
  <c r="AJ629" i="1" s="1"/>
  <c r="AI630" i="1"/>
  <c r="AJ630" i="1" s="1"/>
  <c r="AI631" i="1"/>
  <c r="AJ631" i="1" s="1"/>
  <c r="AI632" i="1"/>
  <c r="AJ632" i="1" s="1"/>
  <c r="AI633" i="1"/>
  <c r="AJ633" i="1" s="1"/>
  <c r="AI634" i="1"/>
  <c r="AJ634" i="1" s="1"/>
  <c r="AI635" i="1"/>
  <c r="AJ635" i="1" s="1"/>
  <c r="AI636" i="1"/>
  <c r="AJ636" i="1" s="1"/>
  <c r="AI637" i="1"/>
  <c r="AJ637" i="1" s="1"/>
  <c r="AI638" i="1"/>
  <c r="AJ638" i="1" s="1"/>
  <c r="AI639" i="1"/>
  <c r="AJ639" i="1" s="1"/>
  <c r="AI640" i="1"/>
  <c r="AJ640" i="1" s="1"/>
  <c r="AI641" i="1"/>
  <c r="AJ641" i="1" s="1"/>
  <c r="AI642" i="1"/>
  <c r="AJ642" i="1" s="1"/>
  <c r="AI643" i="1"/>
  <c r="AJ643" i="1" s="1"/>
  <c r="AI644" i="1"/>
  <c r="AJ644" i="1" s="1"/>
  <c r="AI645" i="1"/>
  <c r="AJ645" i="1" s="1"/>
  <c r="AI646" i="1"/>
  <c r="AJ646" i="1" s="1"/>
  <c r="AI647" i="1"/>
  <c r="AJ647" i="1" s="1"/>
  <c r="AI648" i="1"/>
  <c r="AJ648" i="1" s="1"/>
  <c r="AI649" i="1"/>
  <c r="AJ649" i="1" s="1"/>
  <c r="AI650" i="1"/>
  <c r="AJ650" i="1" s="1"/>
  <c r="AI651" i="1"/>
  <c r="AJ651" i="1" s="1"/>
  <c r="AI652" i="1"/>
  <c r="AJ652" i="1" s="1"/>
  <c r="AI653" i="1"/>
  <c r="AJ653" i="1" s="1"/>
  <c r="AI654" i="1"/>
  <c r="AJ654" i="1" s="1"/>
  <c r="AI655" i="1"/>
  <c r="AJ655" i="1" s="1"/>
  <c r="AI656" i="1"/>
  <c r="AJ656" i="1" s="1"/>
  <c r="AI657" i="1"/>
  <c r="AJ657" i="1" s="1"/>
  <c r="AI658" i="1"/>
  <c r="AJ658" i="1" s="1"/>
  <c r="AI659" i="1"/>
  <c r="AJ659" i="1" s="1"/>
  <c r="AI660" i="1"/>
  <c r="AJ660" i="1" s="1"/>
  <c r="AI661" i="1"/>
  <c r="AJ661" i="1" s="1"/>
  <c r="AI662" i="1"/>
  <c r="AJ662" i="1" s="1"/>
  <c r="AI663" i="1"/>
  <c r="AJ663" i="1" s="1"/>
  <c r="AI664" i="1"/>
  <c r="AJ664" i="1" s="1"/>
  <c r="AI665" i="1"/>
  <c r="AJ665" i="1" s="1"/>
  <c r="AI666" i="1"/>
  <c r="AJ666" i="1" s="1"/>
  <c r="AI667" i="1"/>
  <c r="AJ667" i="1" s="1"/>
  <c r="AI668" i="1"/>
  <c r="AJ668" i="1" s="1"/>
  <c r="AI669" i="1"/>
  <c r="AJ669" i="1" s="1"/>
  <c r="AI670" i="1"/>
  <c r="AJ670" i="1" s="1"/>
  <c r="AI671" i="1"/>
  <c r="AJ671" i="1" s="1"/>
  <c r="AI672" i="1"/>
  <c r="AJ672" i="1" s="1"/>
  <c r="AI673" i="1"/>
  <c r="AJ673" i="1" s="1"/>
  <c r="AI674" i="1"/>
  <c r="AJ674" i="1" s="1"/>
  <c r="AI675" i="1"/>
  <c r="AJ675" i="1" s="1"/>
  <c r="AI676" i="1"/>
  <c r="AJ676" i="1" s="1"/>
  <c r="AI677" i="1"/>
  <c r="AJ677" i="1" s="1"/>
  <c r="AI678" i="1"/>
  <c r="AJ678" i="1" s="1"/>
  <c r="AI679" i="1"/>
  <c r="AJ679" i="1" s="1"/>
  <c r="AI680" i="1"/>
  <c r="AJ680" i="1" s="1"/>
  <c r="AI681" i="1"/>
  <c r="AJ681" i="1" s="1"/>
  <c r="AI682" i="1"/>
  <c r="AJ682" i="1" s="1"/>
  <c r="AI683" i="1"/>
  <c r="AJ683" i="1" s="1"/>
  <c r="AI684" i="1"/>
  <c r="AJ684" i="1" s="1"/>
  <c r="AI685" i="1"/>
  <c r="AJ685" i="1" s="1"/>
  <c r="AI686" i="1"/>
  <c r="AJ686" i="1" s="1"/>
  <c r="AI687" i="1"/>
  <c r="AJ687" i="1" s="1"/>
  <c r="AI688" i="1"/>
  <c r="AJ688" i="1" s="1"/>
  <c r="AI689" i="1"/>
  <c r="AJ689" i="1" s="1"/>
  <c r="AI690" i="1"/>
  <c r="AJ690" i="1" s="1"/>
  <c r="AI691" i="1"/>
  <c r="AJ691" i="1" s="1"/>
  <c r="AI692" i="1"/>
  <c r="AJ692" i="1" s="1"/>
  <c r="AI693" i="1"/>
  <c r="AJ693" i="1" s="1"/>
  <c r="AI694" i="1"/>
  <c r="AJ694" i="1" s="1"/>
  <c r="AI695" i="1"/>
  <c r="AJ695" i="1" s="1"/>
  <c r="AI696" i="1"/>
  <c r="AJ696" i="1" s="1"/>
  <c r="AI697" i="1"/>
  <c r="AJ697" i="1" s="1"/>
  <c r="AI698" i="1"/>
  <c r="AJ698" i="1" s="1"/>
  <c r="AI699" i="1"/>
  <c r="AJ699" i="1" s="1"/>
  <c r="AI700" i="1"/>
  <c r="AJ700" i="1" s="1"/>
  <c r="AI701" i="1"/>
  <c r="AJ701" i="1" s="1"/>
  <c r="AI702" i="1"/>
  <c r="AJ702" i="1" s="1"/>
  <c r="AI703" i="1"/>
  <c r="AJ703" i="1" s="1"/>
  <c r="AI704" i="1"/>
  <c r="AJ704" i="1" s="1"/>
  <c r="AI705" i="1"/>
  <c r="AJ705" i="1" s="1"/>
  <c r="AI706" i="1"/>
  <c r="AJ706" i="1" s="1"/>
  <c r="AI707" i="1"/>
  <c r="AJ707" i="1" s="1"/>
  <c r="AI708" i="1"/>
  <c r="AJ708" i="1" s="1"/>
  <c r="AI709" i="1"/>
  <c r="AJ709" i="1" s="1"/>
  <c r="AI710" i="1"/>
  <c r="AJ710" i="1" s="1"/>
  <c r="AI711" i="1"/>
  <c r="AJ711" i="1" s="1"/>
  <c r="AI712" i="1"/>
  <c r="AJ712" i="1" s="1"/>
  <c r="AI713" i="1"/>
  <c r="AJ713" i="1" s="1"/>
  <c r="AI714" i="1"/>
  <c r="AJ714" i="1" s="1"/>
  <c r="AI715" i="1"/>
  <c r="AJ715" i="1" s="1"/>
  <c r="AI716" i="1"/>
  <c r="AJ716" i="1" s="1"/>
  <c r="AI717" i="1"/>
  <c r="AJ717" i="1" s="1"/>
  <c r="AI718" i="1"/>
  <c r="AJ718" i="1" s="1"/>
  <c r="AI719" i="1"/>
  <c r="AJ719" i="1" s="1"/>
  <c r="AI720" i="1"/>
  <c r="AJ720" i="1" s="1"/>
  <c r="AI721" i="1"/>
  <c r="AJ721" i="1" s="1"/>
  <c r="AI722" i="1"/>
  <c r="AJ722" i="1" s="1"/>
  <c r="AI723" i="1"/>
  <c r="AJ723" i="1" s="1"/>
  <c r="AI724" i="1"/>
  <c r="AJ724" i="1" s="1"/>
  <c r="AI725" i="1"/>
  <c r="AJ725" i="1" s="1"/>
  <c r="AI726" i="1"/>
  <c r="AJ726" i="1" s="1"/>
  <c r="AI727" i="1"/>
  <c r="AJ727" i="1" s="1"/>
  <c r="AI728" i="1"/>
  <c r="AJ728" i="1" s="1"/>
  <c r="AI729" i="1"/>
  <c r="AJ729" i="1" s="1"/>
  <c r="AI730" i="1"/>
  <c r="AJ730" i="1" s="1"/>
  <c r="AI731" i="1"/>
  <c r="AJ731" i="1" s="1"/>
  <c r="AI732" i="1"/>
  <c r="AJ732" i="1" s="1"/>
  <c r="AI733" i="1"/>
  <c r="AJ733" i="1" s="1"/>
  <c r="AI734" i="1"/>
  <c r="AJ734" i="1" s="1"/>
  <c r="AI735" i="1"/>
  <c r="AJ735" i="1" s="1"/>
  <c r="AI736" i="1"/>
  <c r="AJ736" i="1" s="1"/>
  <c r="AI737" i="1"/>
  <c r="AJ737" i="1" s="1"/>
  <c r="AI738" i="1"/>
  <c r="AJ738" i="1" s="1"/>
  <c r="AI739" i="1"/>
  <c r="AJ739" i="1" s="1"/>
  <c r="AI740" i="1"/>
  <c r="AJ740" i="1" s="1"/>
  <c r="AI741" i="1"/>
  <c r="AJ741" i="1" s="1"/>
  <c r="AI742" i="1"/>
  <c r="AJ742" i="1" s="1"/>
  <c r="AI743" i="1"/>
  <c r="AJ743" i="1" s="1"/>
  <c r="AI744" i="1"/>
  <c r="AJ744" i="1" s="1"/>
  <c r="AI745" i="1"/>
  <c r="AJ745" i="1" s="1"/>
  <c r="AI746" i="1"/>
  <c r="AJ746" i="1" s="1"/>
  <c r="AI747" i="1"/>
  <c r="AJ747" i="1" s="1"/>
  <c r="AI748" i="1"/>
  <c r="AJ748" i="1" s="1"/>
  <c r="AI749" i="1"/>
  <c r="AJ749" i="1" s="1"/>
  <c r="AI750" i="1"/>
  <c r="AJ750" i="1" s="1"/>
  <c r="AI751" i="1"/>
  <c r="AJ751" i="1" s="1"/>
  <c r="AI752" i="1"/>
  <c r="AJ752" i="1" s="1"/>
  <c r="AI753" i="1"/>
  <c r="AJ753" i="1" s="1"/>
  <c r="AI754" i="1"/>
  <c r="AJ754" i="1" s="1"/>
  <c r="AI755" i="1"/>
  <c r="AJ755" i="1" s="1"/>
  <c r="AI756" i="1"/>
  <c r="AJ756" i="1" s="1"/>
  <c r="AI757" i="1"/>
  <c r="AJ757" i="1" s="1"/>
  <c r="AI758" i="1"/>
  <c r="AJ758" i="1" s="1"/>
  <c r="AI759" i="1"/>
  <c r="AJ759" i="1" s="1"/>
  <c r="AI760" i="1"/>
  <c r="AJ760" i="1" s="1"/>
  <c r="AI761" i="1"/>
  <c r="AJ761" i="1" s="1"/>
  <c r="AI762" i="1"/>
  <c r="AJ762" i="1" s="1"/>
  <c r="AI763" i="1"/>
  <c r="AJ763" i="1" s="1"/>
  <c r="AI764" i="1"/>
  <c r="AJ764" i="1" s="1"/>
  <c r="AI765" i="1"/>
  <c r="AJ765" i="1" s="1"/>
  <c r="AI766" i="1"/>
  <c r="AJ766" i="1" s="1"/>
  <c r="AI767" i="1"/>
  <c r="AJ767" i="1" s="1"/>
  <c r="AI768" i="1"/>
  <c r="AJ768" i="1" s="1"/>
  <c r="AI769" i="1"/>
  <c r="AJ769" i="1" s="1"/>
  <c r="AI770" i="1"/>
  <c r="AJ770" i="1" s="1"/>
  <c r="AI771" i="1"/>
  <c r="AJ771" i="1" s="1"/>
  <c r="AI772" i="1"/>
  <c r="AJ772" i="1" s="1"/>
  <c r="AI773" i="1"/>
  <c r="AJ773" i="1" s="1"/>
  <c r="AI774" i="1"/>
  <c r="AJ774" i="1" s="1"/>
  <c r="AI775" i="1"/>
  <c r="AJ775" i="1" s="1"/>
  <c r="AI776" i="1"/>
  <c r="AJ776" i="1" s="1"/>
  <c r="AI777" i="1"/>
  <c r="AJ777" i="1" s="1"/>
  <c r="AI778" i="1"/>
  <c r="AJ778" i="1" s="1"/>
  <c r="AI779" i="1"/>
  <c r="AJ779" i="1" s="1"/>
  <c r="AI780" i="1"/>
  <c r="AJ780" i="1" s="1"/>
  <c r="AI781" i="1"/>
  <c r="AJ781" i="1" s="1"/>
  <c r="AI782" i="1"/>
  <c r="AJ782" i="1" s="1"/>
  <c r="AI783" i="1"/>
  <c r="AJ783" i="1" s="1"/>
  <c r="AI784" i="1"/>
  <c r="AJ784" i="1" s="1"/>
  <c r="AI785" i="1"/>
  <c r="AJ785" i="1" s="1"/>
  <c r="AI786" i="1"/>
  <c r="AJ786" i="1" s="1"/>
  <c r="AI787" i="1"/>
  <c r="AJ787" i="1" s="1"/>
  <c r="AI788" i="1"/>
  <c r="AJ788" i="1" s="1"/>
  <c r="AI789" i="1"/>
  <c r="AJ789" i="1" s="1"/>
  <c r="AI790" i="1"/>
  <c r="AJ790" i="1" s="1"/>
  <c r="AI791" i="1"/>
  <c r="AJ791" i="1" s="1"/>
  <c r="AI792" i="1"/>
  <c r="AJ792" i="1" s="1"/>
  <c r="AI793" i="1"/>
  <c r="AJ793" i="1" s="1"/>
  <c r="AI794" i="1"/>
  <c r="AJ794" i="1" s="1"/>
  <c r="AI795" i="1"/>
  <c r="AJ795" i="1" s="1"/>
  <c r="AI796" i="1"/>
  <c r="AJ796" i="1" s="1"/>
  <c r="AI797" i="1"/>
  <c r="AJ797" i="1" s="1"/>
  <c r="AI798" i="1"/>
  <c r="AJ798" i="1" s="1"/>
  <c r="AI799" i="1"/>
  <c r="AJ799" i="1" s="1"/>
  <c r="AI800" i="1"/>
  <c r="AJ800" i="1" s="1"/>
  <c r="AI801" i="1"/>
  <c r="AJ801" i="1" s="1"/>
  <c r="AI802" i="1"/>
  <c r="AJ802" i="1" s="1"/>
  <c r="AI803" i="1"/>
  <c r="AJ803" i="1" s="1"/>
  <c r="AI804" i="1"/>
  <c r="AJ804" i="1" s="1"/>
  <c r="AI805" i="1"/>
  <c r="AJ805" i="1" s="1"/>
  <c r="AI806" i="1"/>
  <c r="AJ806" i="1" s="1"/>
  <c r="AI807" i="1"/>
  <c r="AJ807" i="1" s="1"/>
  <c r="AI808" i="1"/>
  <c r="AJ808" i="1" s="1"/>
  <c r="AI809" i="1"/>
  <c r="AJ809" i="1" s="1"/>
  <c r="AI810" i="1"/>
  <c r="AJ810" i="1" s="1"/>
  <c r="AI811" i="1"/>
  <c r="AJ811" i="1" s="1"/>
  <c r="AI812" i="1"/>
  <c r="AJ812" i="1" s="1"/>
  <c r="AI813" i="1"/>
  <c r="AJ813" i="1" s="1"/>
  <c r="AI814" i="1"/>
  <c r="AJ814" i="1" s="1"/>
  <c r="AI815" i="1"/>
  <c r="AJ815" i="1" s="1"/>
  <c r="AI816" i="1"/>
  <c r="AJ816" i="1" s="1"/>
  <c r="AI817" i="1"/>
  <c r="AJ817" i="1" s="1"/>
  <c r="AI818" i="1"/>
  <c r="AJ818" i="1" s="1"/>
  <c r="AI819" i="1"/>
  <c r="AJ819" i="1" s="1"/>
  <c r="AI820" i="1"/>
  <c r="AJ820" i="1" s="1"/>
  <c r="AI821" i="1"/>
  <c r="AJ821" i="1" s="1"/>
  <c r="AI822" i="1"/>
  <c r="AJ822" i="1" s="1"/>
  <c r="AI823" i="1"/>
  <c r="AJ823" i="1" s="1"/>
  <c r="AI824" i="1"/>
  <c r="AJ824" i="1" s="1"/>
  <c r="AI825" i="1"/>
  <c r="AJ825" i="1" s="1"/>
  <c r="AI826" i="1"/>
  <c r="AJ826" i="1" s="1"/>
  <c r="AI827" i="1"/>
  <c r="AJ827" i="1" s="1"/>
  <c r="AI828" i="1"/>
  <c r="AJ828" i="1" s="1"/>
  <c r="AI829" i="1"/>
  <c r="AJ829" i="1" s="1"/>
  <c r="AI830" i="1"/>
  <c r="AJ830" i="1" s="1"/>
  <c r="AI831" i="1"/>
  <c r="AJ831" i="1" s="1"/>
  <c r="AI832" i="1"/>
  <c r="AJ832" i="1" s="1"/>
  <c r="AI833" i="1"/>
  <c r="AJ833" i="1" s="1"/>
  <c r="AI834" i="1"/>
  <c r="AJ834" i="1" s="1"/>
  <c r="AI835" i="1"/>
  <c r="AJ835" i="1" s="1"/>
  <c r="AI836" i="1"/>
  <c r="AJ836" i="1" s="1"/>
  <c r="AI837" i="1"/>
  <c r="AJ837" i="1" s="1"/>
  <c r="AI838" i="1"/>
  <c r="AJ838" i="1" s="1"/>
  <c r="AI839" i="1"/>
  <c r="AJ839" i="1" s="1"/>
  <c r="AI840" i="1"/>
  <c r="AJ840" i="1" s="1"/>
  <c r="AI841" i="1"/>
  <c r="AJ841" i="1" s="1"/>
  <c r="AI842" i="1"/>
  <c r="AJ842" i="1" s="1"/>
  <c r="AI843" i="1"/>
  <c r="AJ843" i="1" s="1"/>
  <c r="AI844" i="1"/>
  <c r="AJ844" i="1" s="1"/>
  <c r="AI845" i="1"/>
  <c r="AJ845" i="1" s="1"/>
  <c r="AI846" i="1"/>
  <c r="AJ846" i="1" s="1"/>
  <c r="AI847" i="1"/>
  <c r="AJ847" i="1" s="1"/>
  <c r="AI848" i="1"/>
  <c r="AJ848" i="1" s="1"/>
  <c r="AI849" i="1"/>
  <c r="AJ849" i="1" s="1"/>
  <c r="AI850" i="1"/>
  <c r="AJ850" i="1" s="1"/>
  <c r="AI851" i="1"/>
  <c r="AJ851" i="1" s="1"/>
  <c r="AI852" i="1"/>
  <c r="AJ852" i="1" s="1"/>
  <c r="AI853" i="1"/>
  <c r="AJ853" i="1" s="1"/>
  <c r="AI854" i="1"/>
  <c r="AJ854" i="1" s="1"/>
  <c r="AI855" i="1"/>
  <c r="AJ855" i="1" s="1"/>
  <c r="AI856" i="1"/>
  <c r="AJ856" i="1" s="1"/>
  <c r="AI857" i="1"/>
  <c r="AJ857" i="1" s="1"/>
  <c r="AI858" i="1"/>
  <c r="AJ858" i="1" s="1"/>
  <c r="AI859" i="1"/>
  <c r="AJ859" i="1" s="1"/>
  <c r="AI860" i="1"/>
  <c r="AJ860" i="1" s="1"/>
  <c r="AI861" i="1"/>
  <c r="AJ861" i="1" s="1"/>
  <c r="AI862" i="1"/>
  <c r="AJ862" i="1" s="1"/>
  <c r="AI863" i="1"/>
  <c r="AJ863" i="1" s="1"/>
  <c r="AI864" i="1"/>
  <c r="AJ864" i="1" s="1"/>
  <c r="AI865" i="1"/>
  <c r="AJ865" i="1" s="1"/>
  <c r="AI866" i="1"/>
  <c r="AJ866" i="1" s="1"/>
  <c r="AI867" i="1"/>
  <c r="AJ867" i="1" s="1"/>
  <c r="AI868" i="1"/>
  <c r="AJ868" i="1" s="1"/>
  <c r="AI869" i="1"/>
  <c r="AJ869" i="1" s="1"/>
  <c r="AI870" i="1"/>
  <c r="AJ870" i="1" s="1"/>
  <c r="AI871" i="1"/>
  <c r="AJ871" i="1" s="1"/>
  <c r="AI872" i="1"/>
  <c r="AJ872" i="1" s="1"/>
  <c r="AI873" i="1"/>
  <c r="AJ873" i="1" s="1"/>
  <c r="AI874" i="1"/>
  <c r="AJ874" i="1" s="1"/>
  <c r="AI875" i="1"/>
  <c r="AJ875" i="1" s="1"/>
  <c r="AI876" i="1"/>
  <c r="AJ876" i="1" s="1"/>
  <c r="AI877" i="1"/>
  <c r="AJ877" i="1" s="1"/>
  <c r="AI878" i="1"/>
  <c r="AJ878" i="1" s="1"/>
  <c r="AI879" i="1"/>
  <c r="AJ879" i="1" s="1"/>
  <c r="AI880" i="1"/>
  <c r="AJ880" i="1" s="1"/>
  <c r="AI881" i="1"/>
  <c r="AJ881" i="1" s="1"/>
  <c r="AI882" i="1"/>
  <c r="AJ882" i="1" s="1"/>
  <c r="AI883" i="1"/>
  <c r="AJ883" i="1" s="1"/>
  <c r="AI884" i="1"/>
  <c r="AJ884" i="1" s="1"/>
  <c r="AI885" i="1"/>
  <c r="AJ885" i="1" s="1"/>
  <c r="AI886" i="1"/>
  <c r="AJ886" i="1" s="1"/>
  <c r="AI887" i="1"/>
  <c r="AJ887" i="1" s="1"/>
  <c r="AI888" i="1"/>
  <c r="AJ888" i="1" s="1"/>
  <c r="AI889" i="1"/>
  <c r="AJ889" i="1" s="1"/>
  <c r="AI890" i="1"/>
  <c r="AJ890" i="1" s="1"/>
  <c r="AI891" i="1"/>
  <c r="AJ891" i="1" s="1"/>
  <c r="AI892" i="1"/>
  <c r="AJ892" i="1" s="1"/>
  <c r="AI893" i="1"/>
  <c r="AJ893" i="1" s="1"/>
  <c r="AI894" i="1"/>
  <c r="AJ894" i="1" s="1"/>
  <c r="AI895" i="1"/>
  <c r="AJ895" i="1" s="1"/>
  <c r="AI896" i="1"/>
  <c r="AJ896" i="1" s="1"/>
  <c r="AI897" i="1"/>
  <c r="AJ897" i="1" s="1"/>
  <c r="AI898" i="1"/>
  <c r="AJ898" i="1" s="1"/>
  <c r="AI899" i="1"/>
  <c r="AJ899" i="1" s="1"/>
  <c r="AI900" i="1"/>
  <c r="AJ900" i="1" s="1"/>
  <c r="AI901" i="1"/>
  <c r="AJ901" i="1" s="1"/>
  <c r="AI902" i="1"/>
  <c r="AJ902" i="1" s="1"/>
  <c r="AI903" i="1"/>
  <c r="AJ903" i="1" s="1"/>
  <c r="AI904" i="1"/>
  <c r="AJ904" i="1" s="1"/>
  <c r="AI905" i="1"/>
  <c r="AJ905" i="1" s="1"/>
  <c r="AI906" i="1"/>
  <c r="AJ906" i="1" s="1"/>
  <c r="AI907" i="1"/>
  <c r="AJ907" i="1" s="1"/>
  <c r="AI908" i="1"/>
  <c r="AJ908" i="1" s="1"/>
  <c r="AI909" i="1"/>
  <c r="AJ909" i="1" s="1"/>
  <c r="AI910" i="1"/>
  <c r="AJ910" i="1" s="1"/>
  <c r="AI911" i="1"/>
  <c r="AJ911" i="1" s="1"/>
  <c r="AI912" i="1"/>
  <c r="AJ912" i="1" s="1"/>
  <c r="AI913" i="1"/>
  <c r="AJ913" i="1" s="1"/>
  <c r="AI914" i="1"/>
  <c r="AJ914" i="1" s="1"/>
  <c r="AI915" i="1"/>
  <c r="AJ915" i="1" s="1"/>
  <c r="AI916" i="1"/>
  <c r="AJ916" i="1" s="1"/>
  <c r="AI917" i="1"/>
  <c r="AJ917" i="1" s="1"/>
  <c r="AI918" i="1"/>
  <c r="AJ918" i="1" s="1"/>
  <c r="AI919" i="1"/>
  <c r="AJ919" i="1" s="1"/>
  <c r="AI920" i="1"/>
  <c r="AJ920" i="1" s="1"/>
  <c r="AI921" i="1"/>
  <c r="AJ921" i="1" s="1"/>
  <c r="AI922" i="1"/>
  <c r="AJ922" i="1" s="1"/>
  <c r="AI923" i="1"/>
  <c r="AJ923" i="1" s="1"/>
  <c r="AI924" i="1"/>
  <c r="AJ924" i="1" s="1"/>
  <c r="AI925" i="1"/>
  <c r="AJ925" i="1" s="1"/>
  <c r="AI926" i="1"/>
  <c r="AJ926" i="1" s="1"/>
  <c r="AI927" i="1"/>
  <c r="AJ927" i="1" s="1"/>
  <c r="AI928" i="1"/>
  <c r="AJ928" i="1" s="1"/>
  <c r="AI929" i="1"/>
  <c r="AJ929" i="1" s="1"/>
  <c r="AI930" i="1"/>
  <c r="AJ930" i="1" s="1"/>
  <c r="AI931" i="1"/>
  <c r="AJ931" i="1" s="1"/>
  <c r="AI932" i="1"/>
  <c r="AJ932" i="1" s="1"/>
  <c r="AI933" i="1"/>
  <c r="AJ933" i="1" s="1"/>
  <c r="AI934" i="1"/>
  <c r="AJ934" i="1" s="1"/>
  <c r="AI935" i="1"/>
  <c r="AJ935" i="1" s="1"/>
  <c r="AI936" i="1"/>
  <c r="AJ936" i="1" s="1"/>
  <c r="AI937" i="1"/>
  <c r="AJ937" i="1" s="1"/>
  <c r="AI938" i="1"/>
  <c r="AJ938" i="1" s="1"/>
  <c r="AI939" i="1"/>
  <c r="AJ939" i="1" s="1"/>
  <c r="AI940" i="1"/>
  <c r="AJ940" i="1" s="1"/>
  <c r="AI941" i="1"/>
  <c r="AJ941" i="1" s="1"/>
  <c r="AI942" i="1"/>
  <c r="AJ942" i="1" s="1"/>
  <c r="AI943" i="1"/>
  <c r="AJ943" i="1" s="1"/>
  <c r="AI944" i="1"/>
  <c r="AJ944" i="1" s="1"/>
  <c r="AI945" i="1"/>
  <c r="AJ945" i="1" s="1"/>
  <c r="AI946" i="1"/>
  <c r="AJ946" i="1" s="1"/>
  <c r="AI947" i="1"/>
  <c r="AJ947" i="1" s="1"/>
  <c r="AI948" i="1"/>
  <c r="AJ948" i="1" s="1"/>
  <c r="AI949" i="1"/>
  <c r="AJ949" i="1" s="1"/>
  <c r="AI950" i="1"/>
  <c r="AJ950" i="1" s="1"/>
  <c r="AI951" i="1"/>
  <c r="AJ951" i="1" s="1"/>
  <c r="AI952" i="1"/>
  <c r="AJ952" i="1" s="1"/>
  <c r="AI953" i="1"/>
  <c r="AJ953" i="1" s="1"/>
  <c r="AI954" i="1"/>
  <c r="AJ954" i="1" s="1"/>
  <c r="AI955" i="1"/>
  <c r="AJ955" i="1" s="1"/>
  <c r="AI956" i="1"/>
  <c r="AJ956" i="1" s="1"/>
  <c r="AI957" i="1"/>
  <c r="AJ957" i="1" s="1"/>
  <c r="AI958" i="1"/>
  <c r="AJ958" i="1" s="1"/>
  <c r="AI959" i="1"/>
  <c r="AJ959" i="1" s="1"/>
  <c r="AI960" i="1"/>
  <c r="AJ960" i="1" s="1"/>
  <c r="AI961" i="1"/>
  <c r="AJ961" i="1" s="1"/>
  <c r="AI962" i="1"/>
  <c r="AJ962" i="1" s="1"/>
  <c r="AI963" i="1"/>
  <c r="AJ963" i="1" s="1"/>
  <c r="AI964" i="1"/>
  <c r="AJ964" i="1" s="1"/>
  <c r="AI965" i="1"/>
  <c r="AJ965" i="1" s="1"/>
  <c r="AI966" i="1"/>
  <c r="AJ966" i="1" s="1"/>
  <c r="AI967" i="1"/>
  <c r="AJ967" i="1" s="1"/>
  <c r="AI968" i="1"/>
  <c r="AJ968" i="1" s="1"/>
  <c r="AI969" i="1"/>
  <c r="AJ969" i="1" s="1"/>
  <c r="AI970" i="1"/>
  <c r="AJ970" i="1" s="1"/>
  <c r="AI971" i="1"/>
  <c r="AJ971" i="1" s="1"/>
  <c r="AI972" i="1"/>
  <c r="AJ972" i="1" s="1"/>
  <c r="AI973" i="1"/>
  <c r="AJ973" i="1" s="1"/>
  <c r="AI974" i="1"/>
  <c r="AJ974" i="1" s="1"/>
  <c r="AI975" i="1"/>
  <c r="AJ975" i="1" s="1"/>
  <c r="AI976" i="1"/>
  <c r="AJ976" i="1" s="1"/>
  <c r="AI977" i="1"/>
  <c r="AJ977" i="1" s="1"/>
  <c r="AI978" i="1"/>
  <c r="AJ978" i="1" s="1"/>
  <c r="AI979" i="1"/>
  <c r="AJ979" i="1" s="1"/>
  <c r="AI980" i="1"/>
  <c r="AJ980" i="1" s="1"/>
  <c r="AI981" i="1"/>
  <c r="AJ981" i="1" s="1"/>
  <c r="AI982" i="1"/>
  <c r="AJ982" i="1" s="1"/>
  <c r="AI983" i="1"/>
  <c r="AJ983" i="1" s="1"/>
  <c r="AI984" i="1"/>
  <c r="AJ984" i="1" s="1"/>
  <c r="AI985" i="1"/>
  <c r="AJ985" i="1" s="1"/>
  <c r="AI986" i="1"/>
  <c r="AJ986" i="1" s="1"/>
  <c r="AI987" i="1"/>
  <c r="AJ987" i="1" s="1"/>
  <c r="AI988" i="1"/>
  <c r="AJ988" i="1" s="1"/>
  <c r="AI989" i="1"/>
  <c r="AJ989" i="1" s="1"/>
  <c r="AI990" i="1"/>
  <c r="AJ990" i="1" s="1"/>
  <c r="AI991" i="1"/>
  <c r="AJ991" i="1" s="1"/>
  <c r="AI992" i="1"/>
  <c r="AJ992" i="1" s="1"/>
  <c r="AI993" i="1"/>
  <c r="AJ993" i="1" s="1"/>
  <c r="AI994" i="1"/>
  <c r="AJ994" i="1" s="1"/>
  <c r="AI995" i="1"/>
  <c r="AJ995" i="1" s="1"/>
  <c r="AI996" i="1"/>
  <c r="AJ996" i="1" s="1"/>
  <c r="AI997" i="1"/>
  <c r="AJ997" i="1" s="1"/>
  <c r="AI998" i="1"/>
  <c r="AJ998" i="1" s="1"/>
  <c r="AI999" i="1"/>
  <c r="AJ999" i="1" s="1"/>
  <c r="AI1000" i="1"/>
  <c r="AJ1000" i="1" s="1"/>
  <c r="AI1001" i="1"/>
  <c r="AJ1001" i="1" s="1"/>
  <c r="AI1002" i="1"/>
  <c r="AJ1002" i="1" s="1"/>
  <c r="AI1003" i="1"/>
  <c r="AJ1003" i="1" s="1"/>
  <c r="AI1004" i="1"/>
  <c r="AJ1004" i="1" s="1"/>
  <c r="AI1005" i="1"/>
  <c r="AJ1005" i="1" s="1"/>
  <c r="AI1006" i="1"/>
  <c r="AJ1006" i="1" s="1"/>
  <c r="AI1007" i="1"/>
  <c r="AJ1007" i="1" s="1"/>
  <c r="AI1008" i="1"/>
  <c r="AJ1008" i="1" s="1"/>
  <c r="AI1009" i="1"/>
  <c r="AJ1009" i="1" s="1"/>
  <c r="AI1010" i="1"/>
  <c r="AJ1010" i="1" s="1"/>
  <c r="AI1011" i="1"/>
  <c r="AJ1011" i="1" s="1"/>
  <c r="AI1012" i="1"/>
  <c r="AJ1012" i="1" s="1"/>
  <c r="AI1013" i="1"/>
  <c r="AJ1013" i="1" s="1"/>
  <c r="AI1014" i="1"/>
  <c r="AJ1014" i="1" s="1"/>
  <c r="AI1015" i="1"/>
  <c r="AJ1015" i="1" s="1"/>
  <c r="AI1016" i="1"/>
  <c r="AJ1016" i="1" s="1"/>
  <c r="AI1017" i="1"/>
  <c r="AJ1017" i="1" s="1"/>
  <c r="AI1018" i="1"/>
  <c r="AJ1018" i="1" s="1"/>
  <c r="AI1019" i="1"/>
  <c r="AJ1019" i="1" s="1"/>
  <c r="AI1020" i="1"/>
  <c r="AJ1020" i="1" s="1"/>
  <c r="AI1021" i="1"/>
  <c r="AJ1021" i="1" s="1"/>
  <c r="AI1022" i="1"/>
  <c r="AJ1022" i="1" s="1"/>
  <c r="AI1023" i="1"/>
  <c r="AJ1023" i="1" s="1"/>
  <c r="AI1024" i="1"/>
  <c r="AJ1024" i="1" s="1"/>
  <c r="AI1025" i="1"/>
  <c r="AJ1025" i="1" s="1"/>
  <c r="AI1026" i="1"/>
  <c r="AJ1026" i="1" s="1"/>
  <c r="AI1027" i="1"/>
  <c r="AJ1027" i="1" s="1"/>
  <c r="AI1028" i="1"/>
  <c r="AJ1028" i="1" s="1"/>
  <c r="AI1029" i="1"/>
  <c r="AJ1029" i="1" s="1"/>
  <c r="AI1030" i="1"/>
  <c r="AJ1030" i="1" s="1"/>
  <c r="AI1031" i="1"/>
  <c r="AJ1031" i="1" s="1"/>
  <c r="AI1032" i="1"/>
  <c r="AJ1032" i="1" s="1"/>
  <c r="AI1033" i="1"/>
  <c r="AJ1033" i="1" s="1"/>
  <c r="AI1034" i="1"/>
  <c r="AJ1034" i="1" s="1"/>
  <c r="AI1035" i="1"/>
  <c r="AJ1035" i="1" s="1"/>
  <c r="AI1036" i="1"/>
  <c r="AJ1036" i="1" s="1"/>
  <c r="AI1037" i="1"/>
  <c r="AJ1037" i="1" s="1"/>
  <c r="AI1038" i="1"/>
  <c r="AJ1038" i="1" s="1"/>
  <c r="AI1039" i="1"/>
  <c r="AJ1039" i="1" s="1"/>
  <c r="AI1040" i="1"/>
  <c r="AJ1040" i="1" s="1"/>
  <c r="AI1041" i="1"/>
  <c r="AJ1041" i="1" s="1"/>
  <c r="AI1042" i="1"/>
  <c r="AJ1042" i="1" s="1"/>
  <c r="AI1043" i="1"/>
  <c r="AJ1043" i="1" s="1"/>
  <c r="AI1044" i="1"/>
  <c r="AJ1044" i="1" s="1"/>
  <c r="AI1045" i="1"/>
  <c r="AJ1045" i="1" s="1"/>
  <c r="AI1046" i="1"/>
  <c r="AJ1046" i="1" s="1"/>
  <c r="AI1047" i="1"/>
  <c r="AJ1047" i="1" s="1"/>
  <c r="AI1048" i="1"/>
  <c r="AJ1048" i="1" s="1"/>
  <c r="AI1049" i="1"/>
  <c r="AJ1049" i="1" s="1"/>
  <c r="AI1050" i="1"/>
  <c r="AJ1050" i="1" s="1"/>
  <c r="AI1051" i="1"/>
  <c r="AJ1051" i="1" s="1"/>
  <c r="AI1052" i="1"/>
  <c r="AJ1052" i="1" s="1"/>
  <c r="AI1053" i="1"/>
  <c r="AJ1053" i="1" s="1"/>
  <c r="AI1054" i="1"/>
  <c r="AJ1054" i="1" s="1"/>
  <c r="AI1055" i="1"/>
  <c r="AJ1055" i="1" s="1"/>
  <c r="AI1056" i="1"/>
  <c r="AJ1056" i="1" s="1"/>
  <c r="AI1057" i="1"/>
  <c r="AJ1057" i="1" s="1"/>
  <c r="AI1058" i="1"/>
  <c r="AJ1058" i="1" s="1"/>
  <c r="AI1059" i="1"/>
  <c r="AJ1059" i="1" s="1"/>
  <c r="AI1060" i="1"/>
  <c r="AJ1060" i="1" s="1"/>
  <c r="AI1061" i="1"/>
  <c r="AJ1061" i="1" s="1"/>
  <c r="AI1062" i="1"/>
  <c r="AJ1062" i="1" s="1"/>
  <c r="AI1063" i="1"/>
  <c r="AJ1063" i="1" s="1"/>
  <c r="AI1064" i="1"/>
  <c r="AJ1064" i="1" s="1"/>
  <c r="AI1065" i="1"/>
  <c r="AJ1065" i="1" s="1"/>
  <c r="AI1066" i="1"/>
  <c r="AJ1066" i="1" s="1"/>
  <c r="AI1067" i="1"/>
  <c r="AJ1067" i="1" s="1"/>
  <c r="AI1068" i="1"/>
  <c r="AJ1068" i="1" s="1"/>
  <c r="AI1069" i="1"/>
  <c r="AJ1069" i="1" s="1"/>
  <c r="AI1070" i="1"/>
  <c r="AJ1070" i="1" s="1"/>
  <c r="AI1071" i="1"/>
  <c r="AJ1071" i="1" s="1"/>
  <c r="AI1072" i="1"/>
  <c r="AJ1072" i="1" s="1"/>
  <c r="AI1073" i="1"/>
  <c r="AJ1073" i="1" s="1"/>
  <c r="AI1074" i="1"/>
  <c r="AJ1074" i="1" s="1"/>
  <c r="AI1075" i="1"/>
  <c r="AJ1075" i="1" s="1"/>
  <c r="AI1076" i="1"/>
  <c r="AJ1076" i="1" s="1"/>
  <c r="AI1077" i="1"/>
  <c r="AJ1077" i="1" s="1"/>
  <c r="AI1078" i="1"/>
  <c r="AJ1078" i="1" s="1"/>
  <c r="AI1079" i="1"/>
  <c r="AJ1079" i="1" s="1"/>
  <c r="AI1080" i="1"/>
  <c r="AJ1080" i="1" s="1"/>
  <c r="AI1081" i="1"/>
  <c r="AJ1081" i="1" s="1"/>
  <c r="AI1082" i="1"/>
  <c r="AJ1082" i="1" s="1"/>
  <c r="AI1083" i="1"/>
  <c r="AJ1083" i="1" s="1"/>
  <c r="AI1084" i="1"/>
  <c r="AJ1084" i="1" s="1"/>
  <c r="AI1085" i="1"/>
  <c r="AJ1085" i="1" s="1"/>
  <c r="AI1086" i="1"/>
  <c r="AJ1086" i="1" s="1"/>
  <c r="AI1087" i="1"/>
  <c r="AJ1087" i="1" s="1"/>
  <c r="AI1088" i="1"/>
  <c r="AJ1088" i="1" s="1"/>
  <c r="AI1089" i="1"/>
  <c r="AJ1089" i="1" s="1"/>
  <c r="AI1090" i="1"/>
  <c r="AJ1090" i="1" s="1"/>
  <c r="AI1091" i="1"/>
  <c r="AJ1091" i="1" s="1"/>
  <c r="AI1092" i="1"/>
  <c r="AJ1092" i="1" s="1"/>
  <c r="AI1093" i="1"/>
  <c r="AJ1093" i="1" s="1"/>
  <c r="AI1094" i="1"/>
  <c r="AJ1094" i="1" s="1"/>
  <c r="AI1095" i="1"/>
  <c r="AJ1095" i="1" s="1"/>
  <c r="AI1096" i="1"/>
  <c r="AJ1096" i="1" s="1"/>
  <c r="AI1097" i="1"/>
  <c r="AJ1097" i="1" s="1"/>
  <c r="AI1098" i="1"/>
  <c r="AJ1098" i="1" s="1"/>
  <c r="AI1099" i="1"/>
  <c r="AJ1099" i="1" s="1"/>
  <c r="AI1100" i="1"/>
  <c r="AJ1100" i="1" s="1"/>
  <c r="AI1101" i="1"/>
  <c r="AJ1101" i="1" s="1"/>
  <c r="AI1102" i="1"/>
  <c r="AJ1102" i="1" s="1"/>
  <c r="AI1103" i="1"/>
  <c r="AJ1103" i="1" s="1"/>
  <c r="AI1104" i="1"/>
  <c r="AJ1104" i="1" s="1"/>
  <c r="AI1105" i="1"/>
  <c r="AJ1105" i="1" s="1"/>
  <c r="AI1106" i="1"/>
  <c r="AJ1106" i="1" s="1"/>
  <c r="AI1107" i="1"/>
  <c r="AJ1107" i="1" s="1"/>
  <c r="AI1108" i="1"/>
  <c r="AJ1108" i="1" s="1"/>
  <c r="AI1109" i="1"/>
  <c r="AJ1109" i="1" s="1"/>
  <c r="AI1110" i="1"/>
  <c r="AJ1110" i="1" s="1"/>
  <c r="AI1111" i="1"/>
  <c r="AJ1111" i="1" s="1"/>
  <c r="AI1112" i="1"/>
  <c r="AJ1112" i="1" s="1"/>
  <c r="AI1113" i="1"/>
  <c r="AJ1113" i="1" s="1"/>
  <c r="AI1114" i="1"/>
  <c r="AJ1114" i="1" s="1"/>
  <c r="AI1115" i="1"/>
  <c r="AJ1115" i="1" s="1"/>
  <c r="AI1116" i="1"/>
  <c r="AJ1116" i="1" s="1"/>
  <c r="AI1117" i="1"/>
  <c r="AJ1117" i="1" s="1"/>
  <c r="AI1118" i="1"/>
  <c r="AJ1118" i="1" s="1"/>
  <c r="AI1119" i="1"/>
  <c r="AJ1119" i="1" s="1"/>
  <c r="AI1120" i="1"/>
  <c r="AJ1120" i="1" s="1"/>
  <c r="AI1121" i="1"/>
  <c r="AJ1121" i="1" s="1"/>
  <c r="AI1122" i="1"/>
  <c r="AJ1122" i="1" s="1"/>
  <c r="AI1123" i="1"/>
  <c r="AJ1123" i="1" s="1"/>
  <c r="AI1124" i="1"/>
  <c r="AJ1124" i="1" s="1"/>
  <c r="AI1125" i="1"/>
  <c r="AJ1125" i="1" s="1"/>
  <c r="AI1126" i="1"/>
  <c r="AJ1126" i="1" s="1"/>
  <c r="AI1127" i="1"/>
  <c r="AJ1127" i="1" s="1"/>
  <c r="AI1128" i="1"/>
  <c r="AJ1128" i="1" s="1"/>
  <c r="AI1129" i="1"/>
  <c r="AJ1129" i="1" s="1"/>
  <c r="AI1130" i="1"/>
  <c r="AJ1130" i="1" s="1"/>
  <c r="AI1131" i="1"/>
  <c r="AJ1131" i="1" s="1"/>
  <c r="AI1132" i="1"/>
  <c r="AJ1132" i="1" s="1"/>
  <c r="AI1133" i="1"/>
  <c r="AJ1133" i="1" s="1"/>
  <c r="AI1134" i="1"/>
  <c r="AJ1134" i="1" s="1"/>
  <c r="AI1135" i="1"/>
  <c r="AJ1135" i="1" s="1"/>
  <c r="AI1136" i="1"/>
  <c r="AJ1136" i="1" s="1"/>
  <c r="AI1137" i="1"/>
  <c r="AJ1137" i="1" s="1"/>
  <c r="AI1138" i="1"/>
  <c r="AJ1138" i="1" s="1"/>
  <c r="AI1139" i="1"/>
  <c r="AJ1139" i="1" s="1"/>
  <c r="AI1140" i="1"/>
  <c r="AJ1140" i="1" s="1"/>
  <c r="AI1141" i="1"/>
  <c r="AJ1141" i="1" s="1"/>
  <c r="AI1142" i="1"/>
  <c r="AJ1142" i="1" s="1"/>
  <c r="AI1143" i="1"/>
  <c r="AJ1143" i="1" s="1"/>
  <c r="AI1144" i="1"/>
  <c r="AJ1144" i="1" s="1"/>
  <c r="AI1145" i="1"/>
  <c r="AJ1145" i="1" s="1"/>
  <c r="AI1146" i="1"/>
  <c r="AJ1146" i="1" s="1"/>
  <c r="AI1147" i="1"/>
  <c r="AJ1147" i="1" s="1"/>
  <c r="AI1148" i="1"/>
  <c r="AJ1148" i="1" s="1"/>
  <c r="AI1149" i="1"/>
  <c r="AJ1149" i="1" s="1"/>
  <c r="AI1150" i="1"/>
  <c r="AJ1150" i="1" s="1"/>
  <c r="AI1151" i="1"/>
  <c r="AJ1151" i="1" s="1"/>
  <c r="AI1152" i="1"/>
  <c r="AJ1152" i="1" s="1"/>
  <c r="AI1153" i="1"/>
  <c r="AJ1153" i="1" s="1"/>
  <c r="AI1154" i="1"/>
  <c r="AJ1154" i="1" s="1"/>
  <c r="AI1155" i="1"/>
  <c r="AJ1155" i="1" s="1"/>
  <c r="AI1156" i="1"/>
  <c r="AJ1156" i="1" s="1"/>
  <c r="AI1157" i="1"/>
  <c r="AJ1157" i="1" s="1"/>
  <c r="AI1158" i="1"/>
  <c r="AJ1158" i="1" s="1"/>
  <c r="AI1159" i="1"/>
  <c r="AJ1159" i="1" s="1"/>
  <c r="AI1160" i="1"/>
  <c r="AJ1160" i="1" s="1"/>
  <c r="AI1161" i="1"/>
  <c r="AJ1161" i="1" s="1"/>
  <c r="AI1162" i="1"/>
  <c r="AJ1162" i="1" s="1"/>
  <c r="AI1163" i="1"/>
  <c r="AJ1163" i="1" s="1"/>
  <c r="AI1164" i="1"/>
  <c r="AJ1164" i="1" s="1"/>
  <c r="AI1165" i="1"/>
  <c r="AJ1165" i="1" s="1"/>
  <c r="AI1166" i="1"/>
  <c r="AJ1166" i="1" s="1"/>
  <c r="AI1167" i="1"/>
  <c r="AJ1167" i="1" s="1"/>
  <c r="AI1168" i="1"/>
  <c r="AJ1168" i="1" s="1"/>
  <c r="AI1169" i="1"/>
  <c r="AJ1169" i="1" s="1"/>
  <c r="AI1170" i="1"/>
  <c r="AJ1170" i="1" s="1"/>
  <c r="AI1171" i="1"/>
  <c r="AJ1171" i="1" s="1"/>
  <c r="AI1172" i="1"/>
  <c r="AJ1172" i="1" s="1"/>
  <c r="AI1173" i="1"/>
  <c r="AJ1173" i="1" s="1"/>
  <c r="AI1174" i="1"/>
  <c r="AJ1174" i="1" s="1"/>
  <c r="AI1175" i="1"/>
  <c r="AJ1175" i="1" s="1"/>
  <c r="AI1176" i="1"/>
  <c r="AJ1176" i="1" s="1"/>
  <c r="AI1177" i="1"/>
  <c r="AJ1177" i="1" s="1"/>
  <c r="AI1178" i="1"/>
  <c r="AJ1178" i="1" s="1"/>
  <c r="AI1179" i="1"/>
  <c r="AJ1179" i="1" s="1"/>
  <c r="AI1180" i="1"/>
  <c r="AJ1180" i="1" s="1"/>
  <c r="AI1181" i="1"/>
  <c r="AJ1181" i="1" s="1"/>
  <c r="AI1182" i="1"/>
  <c r="AJ1182" i="1" s="1"/>
  <c r="AI1183" i="1"/>
  <c r="AJ1183" i="1" s="1"/>
  <c r="AI1184" i="1"/>
  <c r="AJ1184" i="1" s="1"/>
  <c r="AI1185" i="1"/>
  <c r="AJ1185" i="1" s="1"/>
  <c r="AI1186" i="1"/>
  <c r="AJ1186" i="1" s="1"/>
  <c r="AI1187" i="1"/>
  <c r="AJ1187" i="1" s="1"/>
  <c r="AI1188" i="1"/>
  <c r="AJ1188" i="1" s="1"/>
  <c r="AI1189" i="1"/>
  <c r="AJ1189" i="1" s="1"/>
  <c r="AI1190" i="1"/>
  <c r="AJ1190" i="1" s="1"/>
  <c r="AI1191" i="1"/>
  <c r="AJ1191" i="1" s="1"/>
  <c r="AI1192" i="1"/>
  <c r="AJ1192" i="1" s="1"/>
  <c r="AI1193" i="1"/>
  <c r="AJ1193" i="1" s="1"/>
  <c r="AI1194" i="1"/>
  <c r="AJ1194" i="1" s="1"/>
  <c r="AI1195" i="1"/>
  <c r="AJ1195" i="1" s="1"/>
  <c r="AI1196" i="1"/>
  <c r="AJ1196" i="1" s="1"/>
  <c r="AI1197" i="1"/>
  <c r="AJ1197" i="1" s="1"/>
  <c r="AI1198" i="1"/>
  <c r="AJ1198" i="1" s="1"/>
  <c r="AI1199" i="1"/>
  <c r="AJ1199" i="1" s="1"/>
  <c r="AI1200" i="1"/>
  <c r="AJ1200" i="1" s="1"/>
  <c r="AI1201" i="1"/>
  <c r="AJ1201" i="1" s="1"/>
  <c r="AI1202" i="1"/>
  <c r="AJ1202" i="1" s="1"/>
  <c r="AI1203" i="1"/>
  <c r="AJ1203" i="1" s="1"/>
  <c r="AI1204" i="1"/>
  <c r="AJ1204" i="1" s="1"/>
  <c r="AI1205" i="1"/>
  <c r="AJ1205" i="1" s="1"/>
  <c r="AI1206" i="1"/>
  <c r="AJ1206" i="1" s="1"/>
  <c r="AI1207" i="1"/>
  <c r="AJ1207" i="1" s="1"/>
  <c r="AI1208" i="1"/>
  <c r="AJ1208" i="1" s="1"/>
  <c r="AI1209" i="1"/>
  <c r="AJ1209" i="1" s="1"/>
  <c r="AI1210" i="1"/>
  <c r="AJ1210" i="1" s="1"/>
  <c r="AI1211" i="1"/>
  <c r="AJ1211" i="1" s="1"/>
  <c r="AI1212" i="1"/>
  <c r="AJ1212" i="1" s="1"/>
  <c r="AI1213" i="1"/>
  <c r="AJ1213" i="1" s="1"/>
  <c r="AI1214" i="1"/>
  <c r="AJ1214" i="1" s="1"/>
  <c r="AI1215" i="1"/>
  <c r="AJ1215" i="1" s="1"/>
  <c r="AI1216" i="1"/>
  <c r="AJ1216" i="1" s="1"/>
  <c r="AI1217" i="1"/>
  <c r="AJ1217" i="1" s="1"/>
  <c r="AI1218" i="1"/>
  <c r="AJ1218" i="1" s="1"/>
  <c r="AI1219" i="1"/>
  <c r="AJ1219" i="1" s="1"/>
  <c r="AI1220" i="1"/>
  <c r="AJ1220" i="1" s="1"/>
  <c r="AI1221" i="1"/>
  <c r="AJ1221" i="1" s="1"/>
  <c r="AI1222" i="1"/>
  <c r="AJ1222" i="1" s="1"/>
  <c r="AI1223" i="1"/>
  <c r="AJ1223" i="1" s="1"/>
  <c r="AI1224" i="1"/>
  <c r="AJ1224" i="1" s="1"/>
  <c r="AI1225" i="1"/>
  <c r="AJ1225" i="1" s="1"/>
  <c r="AI1226" i="1"/>
  <c r="AJ1226" i="1" s="1"/>
  <c r="AI1227" i="1"/>
  <c r="AJ1227" i="1" s="1"/>
  <c r="AI1228" i="1"/>
  <c r="AJ1228" i="1" s="1"/>
  <c r="AI1229" i="1"/>
  <c r="AJ1229" i="1" s="1"/>
  <c r="AI1230" i="1"/>
  <c r="AJ1230" i="1" s="1"/>
  <c r="AI1231" i="1"/>
  <c r="AJ1231" i="1" s="1"/>
  <c r="AI1232" i="1"/>
  <c r="AJ1232" i="1" s="1"/>
  <c r="AI1233" i="1"/>
  <c r="AJ1233" i="1" s="1"/>
  <c r="AI1234" i="1"/>
  <c r="AJ1234" i="1" s="1"/>
  <c r="AI1235" i="1"/>
  <c r="AJ1235" i="1" s="1"/>
  <c r="AI1236" i="1"/>
  <c r="AJ1236" i="1" s="1"/>
  <c r="AI1237" i="1"/>
  <c r="AJ1237" i="1" s="1"/>
  <c r="AI1238" i="1"/>
  <c r="AJ1238" i="1" s="1"/>
  <c r="AI1239" i="1"/>
  <c r="AJ1239" i="1" s="1"/>
  <c r="AI1240" i="1"/>
  <c r="AJ1240" i="1" s="1"/>
  <c r="AI1241" i="1"/>
  <c r="AJ1241" i="1" s="1"/>
  <c r="AI1242" i="1"/>
  <c r="AJ1242" i="1" s="1"/>
  <c r="AI1243" i="1"/>
  <c r="AJ1243" i="1" s="1"/>
  <c r="AI1244" i="1"/>
  <c r="AJ1244" i="1" s="1"/>
  <c r="AI1245" i="1"/>
  <c r="AJ1245" i="1" s="1"/>
  <c r="AI1246" i="1"/>
  <c r="AJ1246" i="1" s="1"/>
  <c r="AI1247" i="1"/>
  <c r="AJ1247" i="1" s="1"/>
  <c r="AI1248" i="1"/>
  <c r="AJ1248" i="1" s="1"/>
  <c r="AI1249" i="1"/>
  <c r="AJ1249" i="1" s="1"/>
  <c r="AI1250" i="1"/>
  <c r="AJ1250" i="1" s="1"/>
  <c r="AI1251" i="1"/>
  <c r="AJ1251" i="1" s="1"/>
  <c r="AI1252" i="1"/>
  <c r="AJ1252" i="1" s="1"/>
  <c r="AI1253" i="1"/>
  <c r="AJ1253" i="1" s="1"/>
  <c r="AI1254" i="1"/>
  <c r="AJ1254" i="1" s="1"/>
  <c r="AI1255" i="1"/>
  <c r="AJ1255" i="1" s="1"/>
  <c r="AI1256" i="1"/>
  <c r="AJ1256" i="1" s="1"/>
  <c r="AI1257" i="1"/>
  <c r="AJ1257" i="1" s="1"/>
  <c r="AI1258" i="1"/>
  <c r="AJ1258" i="1" s="1"/>
  <c r="AI1259" i="1"/>
  <c r="AJ1259" i="1" s="1"/>
  <c r="AI1260" i="1"/>
  <c r="AJ1260" i="1" s="1"/>
  <c r="AI1261" i="1"/>
  <c r="AJ1261" i="1" s="1"/>
  <c r="AI1262" i="1"/>
  <c r="AJ1262" i="1" s="1"/>
  <c r="AI1263" i="1"/>
  <c r="AJ1263" i="1" s="1"/>
  <c r="AI1264" i="1"/>
  <c r="AJ1264" i="1" s="1"/>
  <c r="AI1265" i="1"/>
  <c r="AJ1265" i="1" s="1"/>
  <c r="AI1266" i="1"/>
  <c r="AJ1266" i="1" s="1"/>
  <c r="AI1267" i="1"/>
  <c r="AJ1267" i="1" s="1"/>
  <c r="AI1268" i="1"/>
  <c r="AJ1268" i="1" s="1"/>
  <c r="AI1269" i="1"/>
  <c r="AJ1269" i="1" s="1"/>
  <c r="AI1270" i="1"/>
  <c r="AJ1270" i="1" s="1"/>
  <c r="AI1271" i="1"/>
  <c r="AJ1271" i="1" s="1"/>
  <c r="AI1272" i="1"/>
  <c r="AJ1272" i="1" s="1"/>
  <c r="AI1273" i="1"/>
  <c r="AJ1273" i="1" s="1"/>
  <c r="AI1274" i="1"/>
  <c r="AJ1274" i="1" s="1"/>
  <c r="AI1275" i="1"/>
  <c r="AJ1275" i="1" s="1"/>
  <c r="AI1276" i="1"/>
  <c r="AJ1276" i="1" s="1"/>
  <c r="AI1277" i="1"/>
  <c r="AJ1277" i="1" s="1"/>
  <c r="AI1278" i="1"/>
  <c r="AJ1278" i="1" s="1"/>
  <c r="AI1279" i="1"/>
  <c r="AJ1279" i="1" s="1"/>
  <c r="AI1280" i="1"/>
  <c r="AJ1280" i="1" s="1"/>
  <c r="AI1281" i="1"/>
  <c r="AJ1281" i="1" s="1"/>
  <c r="AI1282" i="1"/>
  <c r="AJ1282" i="1" s="1"/>
  <c r="AI1283" i="1"/>
  <c r="AJ1283" i="1" s="1"/>
  <c r="AI1284" i="1"/>
  <c r="AJ1284" i="1" s="1"/>
  <c r="AI1285" i="1"/>
  <c r="AJ1285" i="1" s="1"/>
  <c r="AI1286" i="1"/>
  <c r="AJ1286" i="1" s="1"/>
  <c r="AI1287" i="1"/>
  <c r="AJ1287" i="1" s="1"/>
  <c r="AI1288" i="1"/>
  <c r="AJ1288" i="1" s="1"/>
  <c r="AI1289" i="1"/>
  <c r="AJ1289" i="1" s="1"/>
  <c r="AI1290" i="1"/>
  <c r="AJ1290" i="1" s="1"/>
  <c r="AI1291" i="1"/>
  <c r="AJ1291" i="1" s="1"/>
  <c r="AI1292" i="1"/>
  <c r="AJ1292" i="1" s="1"/>
  <c r="AI1293" i="1"/>
  <c r="AJ1293" i="1" s="1"/>
  <c r="AI1294" i="1"/>
  <c r="AJ1294" i="1" s="1"/>
  <c r="AI1295" i="1"/>
  <c r="AJ1295" i="1" s="1"/>
  <c r="AI1296" i="1"/>
  <c r="AJ1296" i="1" s="1"/>
  <c r="AI1297" i="1"/>
  <c r="AJ1297" i="1" s="1"/>
  <c r="AI1298" i="1"/>
  <c r="AJ1298" i="1" s="1"/>
  <c r="AI1299" i="1"/>
  <c r="AJ1299" i="1" s="1"/>
  <c r="AI1300" i="1"/>
  <c r="AJ1300" i="1" s="1"/>
  <c r="AI1301" i="1"/>
  <c r="AJ1301" i="1" s="1"/>
  <c r="AI1302" i="1"/>
  <c r="AJ1302" i="1" s="1"/>
  <c r="AI1303" i="1"/>
  <c r="AJ1303" i="1" s="1"/>
  <c r="AI1304" i="1"/>
  <c r="AJ1304" i="1" s="1"/>
  <c r="AI1305" i="1"/>
  <c r="AJ1305" i="1" s="1"/>
  <c r="AI1306" i="1"/>
  <c r="AJ1306" i="1" s="1"/>
  <c r="AI1307" i="1"/>
  <c r="AJ1307" i="1" s="1"/>
  <c r="AI1308" i="1"/>
  <c r="AJ1308" i="1" s="1"/>
  <c r="AI1309" i="1"/>
  <c r="AJ1309" i="1" s="1"/>
  <c r="AI1310" i="1"/>
  <c r="AJ1310" i="1" s="1"/>
  <c r="AI1311" i="1"/>
  <c r="AJ1311" i="1" s="1"/>
  <c r="AI1312" i="1"/>
  <c r="AJ1312" i="1" s="1"/>
  <c r="AI1313" i="1"/>
  <c r="AJ1313" i="1" s="1"/>
  <c r="AI1314" i="1"/>
  <c r="AJ1314" i="1" s="1"/>
  <c r="AI1315" i="1"/>
  <c r="AJ1315" i="1" s="1"/>
  <c r="AI1316" i="1"/>
  <c r="AJ1316" i="1" s="1"/>
  <c r="AI1317" i="1"/>
  <c r="AJ1317" i="1" s="1"/>
  <c r="AI1318" i="1"/>
  <c r="AJ1318" i="1" s="1"/>
  <c r="AI1319" i="1"/>
  <c r="AJ1319" i="1" s="1"/>
  <c r="AI1320" i="1"/>
  <c r="AJ1320" i="1" s="1"/>
  <c r="AI1321" i="1"/>
  <c r="AJ1321" i="1" s="1"/>
  <c r="AI1322" i="1"/>
  <c r="AJ1322" i="1" s="1"/>
  <c r="AI1323" i="1"/>
  <c r="AJ1323" i="1" s="1"/>
  <c r="AI1324" i="1"/>
  <c r="AJ1324" i="1" s="1"/>
  <c r="AI1325" i="1"/>
  <c r="AJ1325" i="1" s="1"/>
  <c r="AI1326" i="1"/>
  <c r="AJ1326" i="1" s="1"/>
  <c r="AI1327" i="1"/>
  <c r="AJ1327" i="1" s="1"/>
  <c r="AI1328" i="1"/>
  <c r="AJ1328" i="1" s="1"/>
  <c r="AI1329" i="1"/>
  <c r="AJ1329" i="1" s="1"/>
  <c r="AI1330" i="1"/>
  <c r="AJ1330" i="1" s="1"/>
  <c r="AI1331" i="1"/>
  <c r="AJ1331" i="1" s="1"/>
  <c r="AI1332" i="1"/>
  <c r="AJ1332" i="1" s="1"/>
  <c r="AI1333" i="1"/>
  <c r="AJ1333" i="1" s="1"/>
  <c r="AI1334" i="1"/>
  <c r="AJ1334" i="1" s="1"/>
  <c r="AI1335" i="1"/>
  <c r="AJ1335" i="1" s="1"/>
  <c r="AI1336" i="1"/>
  <c r="AJ1336" i="1" s="1"/>
  <c r="AI1337" i="1"/>
  <c r="AJ1337" i="1" s="1"/>
  <c r="AI1338" i="1"/>
  <c r="AJ1338" i="1" s="1"/>
  <c r="AI1339" i="1"/>
  <c r="AJ1339" i="1" s="1"/>
  <c r="AI1340" i="1"/>
  <c r="AJ1340" i="1" s="1"/>
  <c r="AI1341" i="1"/>
  <c r="AJ1341" i="1" s="1"/>
  <c r="AI1342" i="1"/>
  <c r="AJ1342" i="1" s="1"/>
  <c r="AI1343" i="1"/>
  <c r="AJ1343" i="1" s="1"/>
  <c r="AI1344" i="1"/>
  <c r="AJ1344" i="1" s="1"/>
  <c r="AI1345" i="1"/>
  <c r="AJ1345" i="1" s="1"/>
  <c r="AI1346" i="1"/>
  <c r="AJ1346" i="1" s="1"/>
  <c r="AI1347" i="1"/>
  <c r="AJ1347" i="1" s="1"/>
  <c r="AI1348" i="1"/>
  <c r="AJ1348" i="1" s="1"/>
  <c r="AI1349" i="1"/>
  <c r="AJ1349" i="1" s="1"/>
  <c r="AI1350" i="1"/>
  <c r="AJ1350" i="1" s="1"/>
  <c r="AI1351" i="1"/>
  <c r="AJ1351" i="1" s="1"/>
  <c r="AI1352" i="1"/>
  <c r="AJ1352" i="1" s="1"/>
  <c r="AI1353" i="1"/>
  <c r="AJ1353" i="1" s="1"/>
  <c r="AI1354" i="1"/>
  <c r="AJ1354" i="1" s="1"/>
  <c r="AI1355" i="1"/>
  <c r="AJ1355" i="1" s="1"/>
  <c r="AI1356" i="1"/>
  <c r="AJ1356" i="1" s="1"/>
  <c r="AI1357" i="1"/>
  <c r="AJ1357" i="1" s="1"/>
  <c r="AI1358" i="1"/>
  <c r="AJ1358" i="1" s="1"/>
  <c r="AI1359" i="1"/>
  <c r="AJ1359" i="1" s="1"/>
  <c r="AI1360" i="1"/>
  <c r="AJ1360" i="1" s="1"/>
  <c r="AI1361" i="1"/>
  <c r="AJ1361" i="1" s="1"/>
  <c r="AI1362" i="1"/>
  <c r="AJ1362" i="1" s="1"/>
  <c r="AI1363" i="1"/>
  <c r="AJ1363" i="1" s="1"/>
  <c r="AI1364" i="1"/>
  <c r="AJ1364" i="1" s="1"/>
  <c r="AI1365" i="1"/>
  <c r="AJ1365" i="1" s="1"/>
  <c r="AI1366" i="1"/>
  <c r="AJ1366" i="1" s="1"/>
  <c r="AI1367" i="1"/>
  <c r="AJ1367" i="1" s="1"/>
  <c r="AI1368" i="1"/>
  <c r="AJ1368" i="1" s="1"/>
  <c r="AI1369" i="1"/>
  <c r="AJ1369" i="1" s="1"/>
  <c r="AI1370" i="1"/>
  <c r="AJ1370" i="1" s="1"/>
  <c r="AI1371" i="1"/>
  <c r="AJ1371" i="1" s="1"/>
  <c r="AI1372" i="1"/>
  <c r="AJ1372" i="1" s="1"/>
  <c r="AI1373" i="1"/>
  <c r="AJ1373" i="1" s="1"/>
  <c r="AI1374" i="1"/>
  <c r="AJ1374" i="1" s="1"/>
  <c r="AI1375" i="1"/>
  <c r="AJ1375" i="1" s="1"/>
  <c r="AI1376" i="1"/>
  <c r="AJ1376" i="1" s="1"/>
  <c r="AI1377" i="1"/>
  <c r="AJ1377" i="1" s="1"/>
  <c r="AI1378" i="1"/>
  <c r="AJ1378" i="1" s="1"/>
  <c r="AI1379" i="1"/>
  <c r="AJ1379" i="1" s="1"/>
  <c r="AI1380" i="1"/>
  <c r="AJ1380" i="1" s="1"/>
  <c r="AI1381" i="1"/>
  <c r="AJ1381" i="1" s="1"/>
  <c r="AI1382" i="1"/>
  <c r="AJ1382" i="1" s="1"/>
  <c r="AI1383" i="1"/>
  <c r="AJ1383" i="1" s="1"/>
  <c r="AI1384" i="1"/>
  <c r="AJ1384" i="1" s="1"/>
  <c r="AI1385" i="1"/>
  <c r="AJ1385" i="1" s="1"/>
  <c r="AI1386" i="1"/>
  <c r="AJ1386" i="1" s="1"/>
  <c r="AI1387" i="1"/>
  <c r="AJ1387" i="1" s="1"/>
  <c r="AI1388" i="1"/>
  <c r="AJ1388" i="1" s="1"/>
  <c r="AI1389" i="1"/>
  <c r="AJ1389" i="1" s="1"/>
  <c r="AI1390" i="1"/>
  <c r="AJ1390" i="1" s="1"/>
  <c r="AI1391" i="1"/>
  <c r="AJ1391" i="1" s="1"/>
  <c r="AI1392" i="1"/>
  <c r="AJ1392" i="1" s="1"/>
  <c r="AI1393" i="1"/>
  <c r="AJ1393" i="1" s="1"/>
  <c r="AI1394" i="1"/>
  <c r="AJ1394" i="1" s="1"/>
  <c r="AI1395" i="1"/>
  <c r="AJ1395" i="1" s="1"/>
  <c r="AI1396" i="1"/>
  <c r="AJ1396" i="1" s="1"/>
  <c r="AI1397" i="1"/>
  <c r="AJ1397" i="1" s="1"/>
  <c r="AI1398" i="1"/>
  <c r="AJ1398" i="1" s="1"/>
  <c r="AI1399" i="1"/>
  <c r="AJ1399" i="1" s="1"/>
  <c r="AI1400" i="1"/>
  <c r="AJ1400" i="1" s="1"/>
  <c r="AI1401" i="1"/>
  <c r="AJ1401" i="1" s="1"/>
  <c r="AI1402" i="1"/>
  <c r="AJ1402" i="1" s="1"/>
  <c r="AI1403" i="1"/>
  <c r="AJ1403" i="1" s="1"/>
  <c r="AI1404" i="1"/>
  <c r="AJ1404" i="1" s="1"/>
  <c r="AI1405" i="1"/>
  <c r="AJ1405" i="1" s="1"/>
  <c r="AI1406" i="1"/>
  <c r="AJ1406" i="1" s="1"/>
  <c r="AI1407" i="1"/>
  <c r="AJ1407" i="1" s="1"/>
  <c r="AI1408" i="1"/>
  <c r="AJ1408" i="1" s="1"/>
  <c r="AI1409" i="1"/>
  <c r="AJ1409" i="1" s="1"/>
  <c r="AI1410" i="1"/>
  <c r="AJ1410" i="1" s="1"/>
  <c r="AI1411" i="1"/>
  <c r="AJ1411" i="1" s="1"/>
  <c r="AI1412" i="1"/>
  <c r="AJ1412" i="1" s="1"/>
  <c r="AI1413" i="1"/>
  <c r="AJ1413" i="1" s="1"/>
  <c r="AI1414" i="1"/>
  <c r="AJ1414" i="1" s="1"/>
  <c r="AI1415" i="1"/>
  <c r="AJ1415" i="1" s="1"/>
  <c r="AI1416" i="1"/>
  <c r="AJ1416" i="1" s="1"/>
  <c r="AI1417" i="1"/>
  <c r="AJ1417" i="1" s="1"/>
  <c r="AI1418" i="1"/>
  <c r="AJ1418" i="1" s="1"/>
  <c r="AI1419" i="1"/>
  <c r="AJ1419" i="1" s="1"/>
  <c r="AI1420" i="1"/>
  <c r="AJ1420" i="1" s="1"/>
  <c r="AI1421" i="1"/>
  <c r="AJ1421" i="1" s="1"/>
  <c r="AI1422" i="1"/>
  <c r="AJ1422" i="1" s="1"/>
  <c r="AI1423" i="1"/>
  <c r="AJ1423" i="1" s="1"/>
  <c r="AI1424" i="1"/>
  <c r="AJ1424" i="1" s="1"/>
  <c r="AI1425" i="1"/>
  <c r="AJ1425" i="1" s="1"/>
  <c r="AI1426" i="1"/>
  <c r="AJ1426" i="1" s="1"/>
  <c r="AI1427" i="1"/>
  <c r="AJ1427" i="1" s="1"/>
  <c r="AI1428" i="1"/>
  <c r="AJ1428" i="1" s="1"/>
  <c r="AI1429" i="1"/>
  <c r="AJ1429" i="1" s="1"/>
  <c r="AI1430" i="1"/>
  <c r="AJ1430" i="1" s="1"/>
  <c r="AI1431" i="1"/>
  <c r="AJ1431" i="1" s="1"/>
  <c r="AI1432" i="1"/>
  <c r="AJ1432" i="1" s="1"/>
  <c r="AI1433" i="1"/>
  <c r="AJ1433" i="1" s="1"/>
  <c r="AI1434" i="1"/>
  <c r="AJ1434" i="1" s="1"/>
  <c r="AI1435" i="1"/>
  <c r="AJ1435" i="1" s="1"/>
  <c r="AI1436" i="1"/>
  <c r="AJ1436" i="1" s="1"/>
  <c r="AI1437" i="1"/>
  <c r="AJ1437" i="1" s="1"/>
  <c r="AI1438" i="1"/>
  <c r="AJ1438" i="1" s="1"/>
  <c r="AI1439" i="1"/>
  <c r="AJ1439" i="1" s="1"/>
  <c r="AI1440" i="1"/>
  <c r="AJ1440" i="1" s="1"/>
  <c r="AI1441" i="1"/>
  <c r="AJ1441" i="1" s="1"/>
  <c r="AI1442" i="1"/>
  <c r="AJ1442" i="1" s="1"/>
  <c r="AI1443" i="1"/>
  <c r="AJ1443" i="1" s="1"/>
  <c r="AI1444" i="1"/>
  <c r="AJ1444" i="1" s="1"/>
  <c r="AI1445" i="1"/>
  <c r="AJ1445" i="1" s="1"/>
  <c r="AI1446" i="1"/>
  <c r="AJ1446" i="1" s="1"/>
  <c r="AI1447" i="1"/>
  <c r="AJ1447" i="1" s="1"/>
  <c r="AI1448" i="1"/>
  <c r="AJ1448" i="1" s="1"/>
  <c r="AI1449" i="1"/>
  <c r="AJ1449" i="1" s="1"/>
  <c r="AI1450" i="1"/>
  <c r="AJ1450" i="1" s="1"/>
  <c r="AI1451" i="1"/>
  <c r="AJ1451" i="1" s="1"/>
  <c r="AI1452" i="1"/>
  <c r="AJ1452" i="1" s="1"/>
  <c r="AI1453" i="1"/>
  <c r="AJ1453" i="1" s="1"/>
  <c r="AI1454" i="1"/>
  <c r="AJ1454" i="1" s="1"/>
  <c r="AI1455" i="1"/>
  <c r="AJ1455" i="1" s="1"/>
  <c r="AI1456" i="1"/>
  <c r="AJ1456" i="1" s="1"/>
  <c r="AI1457" i="1"/>
  <c r="AJ1457" i="1" s="1"/>
  <c r="AI1458" i="1"/>
  <c r="AJ1458" i="1" s="1"/>
  <c r="AI1459" i="1"/>
  <c r="AJ1459" i="1" s="1"/>
  <c r="AI1460" i="1"/>
  <c r="AJ1460" i="1" s="1"/>
  <c r="AI1461" i="1"/>
  <c r="AJ1461" i="1" s="1"/>
  <c r="AI1462" i="1"/>
  <c r="AJ1462" i="1" s="1"/>
  <c r="AI1463" i="1"/>
  <c r="AJ1463" i="1" s="1"/>
  <c r="AI1464" i="1"/>
  <c r="AJ1464" i="1" s="1"/>
  <c r="AI1465" i="1"/>
  <c r="AJ1465" i="1" s="1"/>
  <c r="AI1466" i="1"/>
  <c r="AJ1466" i="1" s="1"/>
  <c r="AI1467" i="1"/>
  <c r="AJ1467" i="1" s="1"/>
  <c r="AI1468" i="1"/>
  <c r="AJ1468" i="1" s="1"/>
  <c r="AI1469" i="1"/>
  <c r="AJ1469" i="1" s="1"/>
  <c r="AI1470" i="1"/>
  <c r="AJ1470" i="1" s="1"/>
  <c r="AI1471" i="1"/>
  <c r="AJ1471" i="1" s="1"/>
  <c r="AI1472" i="1"/>
  <c r="AJ1472" i="1" s="1"/>
  <c r="AI1473" i="1"/>
  <c r="AJ1473" i="1" s="1"/>
  <c r="AI1474" i="1"/>
  <c r="AJ1474" i="1" s="1"/>
  <c r="AI1475" i="1"/>
  <c r="AJ1475" i="1" s="1"/>
  <c r="AI1476" i="1"/>
  <c r="AJ1476" i="1" s="1"/>
  <c r="AI1477" i="1"/>
  <c r="AJ1477" i="1" s="1"/>
  <c r="AI1478" i="1"/>
  <c r="AJ1478" i="1" s="1"/>
  <c r="AI1479" i="1"/>
  <c r="AJ1479" i="1" s="1"/>
  <c r="AI1480" i="1"/>
  <c r="AJ1480" i="1" s="1"/>
  <c r="AI1481" i="1"/>
  <c r="AJ1481" i="1" s="1"/>
  <c r="AI1482" i="1"/>
  <c r="AJ1482" i="1" s="1"/>
  <c r="AI1483" i="1"/>
  <c r="AJ1483" i="1" s="1"/>
  <c r="AI1484" i="1"/>
  <c r="AJ1484" i="1" s="1"/>
  <c r="AI1485" i="1"/>
  <c r="AJ1485" i="1" s="1"/>
  <c r="AI1486" i="1"/>
  <c r="AJ1486" i="1" s="1"/>
  <c r="AI1487" i="1"/>
  <c r="AJ1487" i="1" s="1"/>
  <c r="AI1488" i="1"/>
  <c r="AJ1488" i="1" s="1"/>
  <c r="AI1489" i="1"/>
  <c r="AJ1489" i="1" s="1"/>
  <c r="AI1490" i="1"/>
  <c r="AJ1490" i="1" s="1"/>
  <c r="AI1491" i="1"/>
  <c r="AJ1491" i="1" s="1"/>
  <c r="AI1492" i="1"/>
  <c r="AJ1492" i="1" s="1"/>
  <c r="AI1493" i="1"/>
  <c r="AJ1493" i="1" s="1"/>
  <c r="AI1494" i="1"/>
  <c r="AJ1494" i="1" s="1"/>
  <c r="AI1495" i="1"/>
  <c r="AJ1495" i="1" s="1"/>
  <c r="AI1496" i="1"/>
  <c r="AJ1496" i="1" s="1"/>
  <c r="AI1497" i="1"/>
  <c r="AJ1497" i="1" s="1"/>
  <c r="AI1498" i="1"/>
  <c r="AJ1498" i="1" s="1"/>
  <c r="AI1499" i="1"/>
  <c r="AJ1499" i="1" s="1"/>
  <c r="AI1500" i="1"/>
  <c r="AJ1500" i="1" s="1"/>
  <c r="AI1501" i="1"/>
  <c r="AJ1501" i="1" s="1"/>
  <c r="AI1502" i="1"/>
  <c r="AJ1502" i="1" s="1"/>
  <c r="AI1503" i="1"/>
  <c r="AJ1503" i="1" s="1"/>
  <c r="AI1504" i="1"/>
  <c r="AJ1504" i="1" s="1"/>
  <c r="AI1505" i="1"/>
  <c r="AJ1505" i="1" s="1"/>
  <c r="AI1506" i="1"/>
  <c r="AJ1506" i="1" s="1"/>
  <c r="AI1507" i="1"/>
  <c r="AJ1507" i="1" s="1"/>
  <c r="AI1508" i="1"/>
  <c r="AJ1508" i="1" s="1"/>
  <c r="AI1509" i="1"/>
  <c r="AJ1509" i="1" s="1"/>
  <c r="AI1510" i="1"/>
  <c r="AJ1510" i="1" s="1"/>
  <c r="AI1511" i="1"/>
  <c r="AJ1511" i="1" s="1"/>
  <c r="AI1512" i="1"/>
  <c r="AJ1512" i="1" s="1"/>
  <c r="AI1513" i="1"/>
  <c r="AJ1513" i="1" s="1"/>
  <c r="AI1514" i="1"/>
  <c r="AJ1514" i="1" s="1"/>
  <c r="AI1515" i="1"/>
  <c r="AJ1515" i="1" s="1"/>
  <c r="AI1516" i="1"/>
  <c r="AJ1516" i="1" s="1"/>
  <c r="AI1517" i="1"/>
  <c r="AJ1517" i="1" s="1"/>
  <c r="AI1518" i="1"/>
  <c r="AJ1518" i="1" s="1"/>
  <c r="AI1519" i="1"/>
  <c r="AJ1519" i="1" s="1"/>
  <c r="AI1520" i="1"/>
  <c r="AJ1520" i="1" s="1"/>
  <c r="AI1521" i="1"/>
  <c r="AJ1521" i="1" s="1"/>
  <c r="AI1522" i="1"/>
  <c r="AJ1522" i="1" s="1"/>
  <c r="AI1523" i="1"/>
  <c r="AJ1523" i="1" s="1"/>
  <c r="AI1524" i="1"/>
  <c r="AJ1524" i="1" s="1"/>
  <c r="AI1525" i="1"/>
  <c r="AJ1525" i="1" s="1"/>
  <c r="AI1526" i="1"/>
  <c r="AJ1526" i="1" s="1"/>
  <c r="AI1527" i="1"/>
  <c r="AJ1527" i="1" s="1"/>
  <c r="AI1528" i="1"/>
  <c r="AJ1528" i="1" s="1"/>
  <c r="AI1529" i="1"/>
  <c r="AJ1529" i="1" s="1"/>
  <c r="AI1530" i="1"/>
  <c r="AJ1530" i="1" s="1"/>
  <c r="AI1531" i="1"/>
  <c r="AJ1531" i="1" s="1"/>
  <c r="AI1532" i="1"/>
  <c r="AJ1532" i="1" s="1"/>
  <c r="AI1533" i="1"/>
  <c r="AJ1533" i="1" s="1"/>
  <c r="AI1534" i="1"/>
  <c r="AJ1534" i="1" s="1"/>
  <c r="AI1535" i="1"/>
  <c r="AJ1535" i="1" s="1"/>
  <c r="AI1536" i="1"/>
  <c r="AJ1536" i="1" s="1"/>
  <c r="AI1537" i="1"/>
  <c r="AJ1537" i="1" s="1"/>
  <c r="AI1538" i="1"/>
  <c r="AJ1538" i="1" s="1"/>
  <c r="AI1539" i="1"/>
  <c r="AJ1539" i="1" s="1"/>
  <c r="AI1540" i="1"/>
  <c r="AJ1540" i="1" s="1"/>
  <c r="AI1541" i="1"/>
  <c r="AJ1541" i="1" s="1"/>
  <c r="AI1542" i="1"/>
  <c r="AJ1542" i="1" s="1"/>
  <c r="AI1543" i="1"/>
  <c r="AJ1543" i="1" s="1"/>
  <c r="AI1544" i="1"/>
  <c r="AJ1544" i="1" s="1"/>
  <c r="AI1545" i="1"/>
  <c r="AJ1545" i="1" s="1"/>
  <c r="AI1546" i="1"/>
  <c r="AJ1546" i="1" s="1"/>
  <c r="AI1547" i="1"/>
  <c r="AJ1547" i="1" s="1"/>
  <c r="AI1548" i="1"/>
  <c r="AJ1548" i="1" s="1"/>
  <c r="AI1549" i="1"/>
  <c r="AJ1549" i="1" s="1"/>
  <c r="AI1550" i="1"/>
  <c r="AJ1550" i="1" s="1"/>
  <c r="AI1551" i="1"/>
  <c r="AJ1551" i="1" s="1"/>
  <c r="AI1552" i="1"/>
  <c r="AJ1552" i="1" s="1"/>
  <c r="AI1553" i="1"/>
  <c r="AJ1553" i="1" s="1"/>
  <c r="AI1554" i="1"/>
  <c r="AJ1554" i="1" s="1"/>
  <c r="AI1555" i="1"/>
  <c r="AJ1555" i="1" s="1"/>
  <c r="AI1556" i="1"/>
  <c r="AJ1556" i="1" s="1"/>
  <c r="AI1557" i="1"/>
  <c r="AJ1557" i="1" s="1"/>
  <c r="AI1558" i="1"/>
  <c r="AJ1558" i="1" s="1"/>
  <c r="AI1559" i="1"/>
  <c r="AJ1559" i="1" s="1"/>
  <c r="AI1560" i="1"/>
  <c r="AJ1560" i="1" s="1"/>
  <c r="AI1561" i="1"/>
  <c r="AJ1561" i="1" s="1"/>
  <c r="AI1562" i="1"/>
  <c r="AJ1562" i="1" s="1"/>
  <c r="AI1563" i="1"/>
  <c r="AJ1563" i="1" s="1"/>
  <c r="AI1564" i="1"/>
  <c r="AJ1564" i="1" s="1"/>
  <c r="AI1565" i="1"/>
  <c r="AJ1565" i="1" s="1"/>
  <c r="AI1566" i="1"/>
  <c r="AJ1566" i="1" s="1"/>
  <c r="AI1567" i="1"/>
  <c r="AJ1567" i="1" s="1"/>
  <c r="AI1568" i="1"/>
  <c r="AJ1568" i="1" s="1"/>
  <c r="AI1569" i="1"/>
  <c r="AJ1569" i="1" s="1"/>
  <c r="AI1570" i="1"/>
  <c r="AJ1570" i="1" s="1"/>
  <c r="AI1571" i="1"/>
  <c r="AJ1571" i="1" s="1"/>
  <c r="AI1572" i="1"/>
  <c r="AJ1572" i="1" s="1"/>
  <c r="AI1573" i="1"/>
  <c r="AJ1573" i="1" s="1"/>
  <c r="AI1574" i="1"/>
  <c r="AJ1574" i="1" s="1"/>
  <c r="AI1575" i="1"/>
  <c r="AJ1575" i="1" s="1"/>
  <c r="AI1576" i="1"/>
  <c r="AJ1576" i="1" s="1"/>
  <c r="AI1577" i="1"/>
  <c r="AJ1577" i="1" s="1"/>
  <c r="AI1578" i="1"/>
  <c r="AJ1578" i="1" s="1"/>
  <c r="AI1579" i="1"/>
  <c r="AJ1579" i="1" s="1"/>
  <c r="AI1580" i="1"/>
  <c r="AJ1580" i="1" s="1"/>
  <c r="AI1581" i="1"/>
  <c r="AJ1581" i="1" s="1"/>
  <c r="AI1582" i="1"/>
  <c r="AJ1582" i="1" s="1"/>
  <c r="AI1583" i="1"/>
  <c r="AJ1583" i="1" s="1"/>
  <c r="AI1584" i="1"/>
  <c r="AJ1584" i="1" s="1"/>
  <c r="AI1585" i="1"/>
  <c r="AJ1585" i="1" s="1"/>
  <c r="AI1586" i="1"/>
  <c r="AJ1586" i="1" s="1"/>
  <c r="AI1587" i="1"/>
  <c r="AJ1587" i="1" s="1"/>
  <c r="AI1588" i="1"/>
  <c r="AJ1588" i="1" s="1"/>
  <c r="AI1589" i="1"/>
  <c r="AJ1589" i="1" s="1"/>
  <c r="AI1590" i="1"/>
  <c r="AJ1590" i="1" s="1"/>
  <c r="AI1591" i="1"/>
  <c r="AJ1591" i="1" s="1"/>
  <c r="AI1592" i="1"/>
  <c r="AJ1592" i="1" s="1"/>
  <c r="AI1593" i="1"/>
  <c r="AJ1593" i="1" s="1"/>
  <c r="AI1594" i="1"/>
  <c r="AJ1594" i="1" s="1"/>
  <c r="AI1595" i="1"/>
  <c r="AJ1595" i="1" s="1"/>
  <c r="AI1596" i="1"/>
  <c r="AJ1596" i="1" s="1"/>
  <c r="AI1597" i="1"/>
  <c r="AJ1597" i="1" s="1"/>
  <c r="AI1598" i="1"/>
  <c r="AJ1598" i="1" s="1"/>
  <c r="AI1599" i="1"/>
  <c r="AJ1599" i="1" s="1"/>
  <c r="AI1600" i="1"/>
  <c r="AJ1600" i="1" s="1"/>
  <c r="AI1601" i="1"/>
  <c r="AJ1601" i="1" s="1"/>
  <c r="AI1602" i="1"/>
  <c r="AJ1602" i="1" s="1"/>
  <c r="AI1603" i="1"/>
  <c r="AJ1603" i="1" s="1"/>
  <c r="AI1604" i="1"/>
  <c r="AJ1604" i="1" s="1"/>
  <c r="AI1605" i="1"/>
  <c r="AJ1605" i="1" s="1"/>
  <c r="AI1606" i="1"/>
  <c r="AJ1606" i="1" s="1"/>
  <c r="AI1607" i="1"/>
  <c r="AJ1607" i="1" s="1"/>
  <c r="AI1608" i="1"/>
  <c r="AJ1608" i="1" s="1"/>
  <c r="AI1609" i="1"/>
  <c r="AJ1609" i="1" s="1"/>
  <c r="AI1610" i="1"/>
  <c r="AJ1610" i="1" s="1"/>
  <c r="AI1611" i="1"/>
  <c r="AJ1611" i="1" s="1"/>
  <c r="AI1612" i="1"/>
  <c r="AJ1612" i="1" s="1"/>
  <c r="AI1613" i="1"/>
  <c r="AJ1613" i="1" s="1"/>
  <c r="AI1614" i="1"/>
  <c r="AJ1614" i="1" s="1"/>
  <c r="AI1615" i="1"/>
  <c r="AJ1615" i="1" s="1"/>
  <c r="AI1616" i="1"/>
  <c r="AJ1616" i="1" s="1"/>
  <c r="AI1617" i="1"/>
  <c r="AJ1617" i="1" s="1"/>
  <c r="AI1618" i="1"/>
  <c r="AJ1618" i="1" s="1"/>
  <c r="AI1619" i="1"/>
  <c r="AJ1619" i="1" s="1"/>
  <c r="AI1620" i="1"/>
  <c r="AJ1620" i="1" s="1"/>
  <c r="AI1621" i="1"/>
  <c r="AJ1621" i="1" s="1"/>
  <c r="AI1622" i="1"/>
  <c r="AJ1622" i="1" s="1"/>
  <c r="AI1623" i="1"/>
  <c r="AJ1623" i="1" s="1"/>
  <c r="AI1624" i="1"/>
  <c r="AJ1624" i="1" s="1"/>
  <c r="AI1625" i="1"/>
  <c r="AJ1625" i="1" s="1"/>
  <c r="AI1626" i="1"/>
  <c r="AJ1626" i="1" s="1"/>
  <c r="AI1627" i="1"/>
  <c r="AJ1627" i="1" s="1"/>
  <c r="AI1628" i="1"/>
  <c r="AJ1628" i="1" s="1"/>
  <c r="AI1629" i="1"/>
  <c r="AJ1629" i="1" s="1"/>
  <c r="AI1630" i="1"/>
  <c r="AJ1630" i="1" s="1"/>
  <c r="AI1631" i="1"/>
  <c r="AJ1631" i="1" s="1"/>
  <c r="AI1632" i="1"/>
  <c r="AJ1632" i="1" s="1"/>
  <c r="AI1633" i="1"/>
  <c r="AJ1633" i="1" s="1"/>
  <c r="AI1634" i="1"/>
  <c r="AJ1634" i="1" s="1"/>
  <c r="AI1635" i="1"/>
  <c r="AJ1635" i="1" s="1"/>
  <c r="AI1636" i="1"/>
  <c r="AJ1636" i="1" s="1"/>
  <c r="AI1637" i="1"/>
  <c r="AJ1637" i="1" s="1"/>
  <c r="AI1638" i="1"/>
  <c r="AJ1638" i="1" s="1"/>
  <c r="AI1639" i="1"/>
  <c r="AJ1639" i="1" s="1"/>
  <c r="AI1640" i="1"/>
  <c r="AJ1640" i="1" s="1"/>
  <c r="AI1641" i="1"/>
  <c r="AJ1641" i="1" s="1"/>
  <c r="AI1642" i="1"/>
  <c r="AJ1642" i="1" s="1"/>
  <c r="AI1643" i="1"/>
  <c r="AJ1643" i="1" s="1"/>
  <c r="AI1644" i="1"/>
  <c r="AJ1644" i="1" s="1"/>
  <c r="AI1645" i="1"/>
  <c r="AJ1645" i="1" s="1"/>
  <c r="AI1646" i="1"/>
  <c r="AJ1646" i="1" s="1"/>
  <c r="AI1647" i="1"/>
  <c r="AJ1647" i="1" s="1"/>
  <c r="AI1648" i="1"/>
  <c r="AJ1648" i="1" s="1"/>
  <c r="AI1649" i="1"/>
  <c r="AJ1649" i="1" s="1"/>
  <c r="AI1650" i="1"/>
  <c r="AJ1650" i="1" s="1"/>
  <c r="AI1651" i="1"/>
  <c r="AJ1651" i="1" s="1"/>
  <c r="AI1652" i="1"/>
  <c r="AJ1652" i="1" s="1"/>
  <c r="AI1653" i="1"/>
  <c r="AJ1653" i="1" s="1"/>
  <c r="AI1654" i="1"/>
  <c r="AJ1654" i="1" s="1"/>
  <c r="AI1655" i="1"/>
  <c r="AJ1655" i="1" s="1"/>
  <c r="AI1656" i="1"/>
  <c r="AJ1656" i="1" s="1"/>
  <c r="AI1657" i="1"/>
  <c r="AJ1657" i="1" s="1"/>
  <c r="AI1658" i="1"/>
  <c r="AJ1658" i="1" s="1"/>
  <c r="AI1659" i="1"/>
  <c r="AJ1659" i="1" s="1"/>
  <c r="AI1660" i="1"/>
  <c r="AJ1660" i="1" s="1"/>
  <c r="AI1661" i="1"/>
  <c r="AJ1661" i="1" s="1"/>
  <c r="AI1662" i="1"/>
  <c r="AJ1662" i="1" s="1"/>
  <c r="AI1663" i="1"/>
  <c r="AJ1663" i="1" s="1"/>
  <c r="AI1664" i="1"/>
  <c r="AJ1664" i="1" s="1"/>
  <c r="AI1665" i="1"/>
  <c r="AJ1665" i="1" s="1"/>
  <c r="AI1666" i="1"/>
  <c r="AJ1666" i="1" s="1"/>
  <c r="AI1667" i="1"/>
  <c r="AJ1667" i="1" s="1"/>
  <c r="AI1668" i="1"/>
  <c r="AJ1668" i="1" s="1"/>
  <c r="AI1669" i="1"/>
  <c r="AJ1669" i="1" s="1"/>
  <c r="AI1670" i="1"/>
  <c r="AJ1670" i="1" s="1"/>
  <c r="AI1671" i="1"/>
  <c r="AJ1671" i="1" s="1"/>
  <c r="AI1672" i="1"/>
  <c r="AJ1672" i="1" s="1"/>
  <c r="AI1673" i="1"/>
  <c r="AJ1673" i="1" s="1"/>
  <c r="AI1674" i="1"/>
  <c r="AJ1674" i="1" s="1"/>
  <c r="AI1675" i="1"/>
  <c r="AJ1675" i="1" s="1"/>
  <c r="AI1676" i="1"/>
  <c r="AJ1676" i="1" s="1"/>
  <c r="AI1677" i="1"/>
  <c r="AJ1677" i="1" s="1"/>
  <c r="AI1678" i="1"/>
  <c r="AJ1678" i="1" s="1"/>
  <c r="AI1679" i="1"/>
  <c r="AJ1679" i="1" s="1"/>
  <c r="AI1680" i="1"/>
  <c r="AJ1680" i="1" s="1"/>
  <c r="AI1681" i="1"/>
  <c r="AJ1681" i="1" s="1"/>
  <c r="AI1682" i="1"/>
  <c r="AJ1682" i="1" s="1"/>
  <c r="AI1683" i="1"/>
  <c r="AJ1683" i="1" s="1"/>
  <c r="AI1684" i="1"/>
  <c r="AJ1684" i="1" s="1"/>
  <c r="AI1685" i="1"/>
  <c r="AJ1685" i="1" s="1"/>
  <c r="AI1686" i="1"/>
  <c r="AJ1686" i="1" s="1"/>
  <c r="AI1687" i="1"/>
  <c r="AJ1687" i="1" s="1"/>
  <c r="AI1688" i="1"/>
  <c r="AJ1688" i="1" s="1"/>
  <c r="AI1689" i="1"/>
  <c r="AJ1689" i="1" s="1"/>
  <c r="AI1690" i="1"/>
  <c r="AJ1690" i="1" s="1"/>
  <c r="AI1691" i="1"/>
  <c r="AJ1691" i="1" s="1"/>
  <c r="AI1692" i="1"/>
  <c r="AJ1692" i="1" s="1"/>
  <c r="AI1693" i="1"/>
  <c r="AJ1693" i="1" s="1"/>
  <c r="AI1694" i="1"/>
  <c r="AJ1694" i="1" s="1"/>
  <c r="AI1695" i="1"/>
  <c r="AJ1695" i="1" s="1"/>
  <c r="AI1696" i="1"/>
  <c r="AJ1696" i="1" s="1"/>
  <c r="AI1697" i="1"/>
  <c r="AJ1697" i="1" s="1"/>
  <c r="AI1698" i="1"/>
  <c r="AJ1698" i="1" s="1"/>
  <c r="AI1699" i="1"/>
  <c r="AJ1699" i="1" s="1"/>
  <c r="AI1700" i="1"/>
  <c r="AJ1700" i="1" s="1"/>
  <c r="AI1701" i="1"/>
  <c r="AJ1701" i="1" s="1"/>
  <c r="AI1702" i="1"/>
  <c r="AJ1702" i="1" s="1"/>
  <c r="AI1703" i="1"/>
  <c r="AJ1703" i="1" s="1"/>
  <c r="AI1704" i="1"/>
  <c r="AJ1704" i="1" s="1"/>
  <c r="AI1705" i="1"/>
  <c r="AJ1705" i="1" s="1"/>
  <c r="AI1706" i="1"/>
  <c r="AJ1706" i="1" s="1"/>
  <c r="AI1707" i="1"/>
  <c r="AJ1707" i="1" s="1"/>
  <c r="AI1708" i="1"/>
  <c r="AJ1708" i="1" s="1"/>
  <c r="AI1709" i="1"/>
  <c r="AJ1709" i="1" s="1"/>
  <c r="AI1710" i="1"/>
  <c r="AJ1710" i="1" s="1"/>
  <c r="AI1711" i="1"/>
  <c r="AJ1711" i="1" s="1"/>
  <c r="AI1712" i="1"/>
  <c r="AJ1712" i="1" s="1"/>
  <c r="AI1713" i="1"/>
  <c r="AJ1713" i="1" s="1"/>
  <c r="AI1714" i="1"/>
  <c r="AJ1714" i="1" s="1"/>
  <c r="AI1715" i="1"/>
  <c r="AJ1715" i="1" s="1"/>
  <c r="AI1716" i="1"/>
  <c r="AJ1716" i="1" s="1"/>
  <c r="AI1717" i="1"/>
  <c r="AJ1717" i="1" s="1"/>
  <c r="AI1718" i="1"/>
  <c r="AJ1718" i="1" s="1"/>
  <c r="AI1719" i="1"/>
  <c r="AJ1719" i="1" s="1"/>
  <c r="AI1720" i="1"/>
  <c r="AJ1720" i="1" s="1"/>
  <c r="AI1721" i="1"/>
  <c r="AJ1721" i="1" s="1"/>
  <c r="AI1722" i="1"/>
  <c r="AJ1722" i="1" s="1"/>
  <c r="AI1723" i="1"/>
  <c r="AJ1723" i="1" s="1"/>
  <c r="AI1724" i="1"/>
  <c r="AJ1724" i="1" s="1"/>
  <c r="AI1725" i="1"/>
  <c r="AJ1725" i="1" s="1"/>
  <c r="AI1726" i="1"/>
  <c r="AJ1726" i="1" s="1"/>
  <c r="AI1727" i="1"/>
  <c r="AJ1727" i="1" s="1"/>
  <c r="AI1728" i="1"/>
  <c r="AJ1728" i="1" s="1"/>
  <c r="AI1729" i="1"/>
  <c r="AJ1729" i="1" s="1"/>
  <c r="AI1730" i="1"/>
  <c r="AJ1730" i="1" s="1"/>
  <c r="AI1731" i="1"/>
  <c r="AJ1731" i="1" s="1"/>
  <c r="AI1732" i="1"/>
  <c r="AJ1732" i="1" s="1"/>
  <c r="AI1733" i="1"/>
  <c r="AJ1733" i="1" s="1"/>
  <c r="AI1734" i="1"/>
  <c r="AJ1734" i="1" s="1"/>
  <c r="AI1735" i="1"/>
  <c r="AJ1735" i="1" s="1"/>
  <c r="AI1736" i="1"/>
  <c r="AJ1736" i="1" s="1"/>
  <c r="AI1737" i="1"/>
  <c r="AJ1737" i="1" s="1"/>
  <c r="AI1738" i="1"/>
  <c r="AJ1738" i="1" s="1"/>
  <c r="AI1739" i="1"/>
  <c r="AJ1739" i="1" s="1"/>
  <c r="AI1740" i="1"/>
  <c r="AJ1740" i="1" s="1"/>
  <c r="AI1741" i="1"/>
  <c r="AJ1741" i="1" s="1"/>
  <c r="AI1742" i="1"/>
  <c r="AJ1742" i="1" s="1"/>
  <c r="AI1743" i="1"/>
  <c r="AJ1743" i="1" s="1"/>
  <c r="AI1744" i="1"/>
  <c r="AJ1744" i="1" s="1"/>
  <c r="AI1745" i="1"/>
  <c r="AJ1745" i="1" s="1"/>
  <c r="AI1746" i="1"/>
  <c r="AJ1746" i="1" s="1"/>
  <c r="AI1747" i="1"/>
  <c r="AJ1747" i="1" s="1"/>
  <c r="AI1748" i="1"/>
  <c r="AJ1748" i="1" s="1"/>
  <c r="AI1749" i="1"/>
  <c r="AJ1749" i="1" s="1"/>
  <c r="AI1750" i="1"/>
  <c r="AJ1750" i="1" s="1"/>
  <c r="AI1751" i="1"/>
  <c r="AJ1751" i="1" s="1"/>
  <c r="AI1752" i="1"/>
  <c r="AJ1752" i="1" s="1"/>
  <c r="AI1753" i="1"/>
  <c r="AJ1753" i="1" s="1"/>
  <c r="AI1754" i="1"/>
  <c r="AJ1754" i="1" s="1"/>
  <c r="AI1755" i="1"/>
  <c r="AJ1755" i="1" s="1"/>
  <c r="AI1756" i="1"/>
  <c r="AJ1756" i="1" s="1"/>
  <c r="AI1757" i="1"/>
  <c r="AJ1757" i="1" s="1"/>
  <c r="AI1758" i="1"/>
  <c r="AJ1758" i="1" s="1"/>
  <c r="AI1759" i="1"/>
  <c r="AJ1759" i="1" s="1"/>
  <c r="AI1760" i="1"/>
  <c r="AJ1760" i="1" s="1"/>
  <c r="AI1761" i="1"/>
  <c r="AJ1761" i="1" s="1"/>
  <c r="AI1762" i="1"/>
  <c r="AJ1762" i="1" s="1"/>
  <c r="AI1763" i="1"/>
  <c r="AJ1763" i="1" s="1"/>
  <c r="AI1764" i="1"/>
  <c r="AJ1764" i="1" s="1"/>
  <c r="AI1765" i="1"/>
  <c r="AJ1765" i="1" s="1"/>
  <c r="AI1766" i="1"/>
  <c r="AJ1766" i="1" s="1"/>
  <c r="AI1767" i="1"/>
  <c r="AJ1767" i="1" s="1"/>
  <c r="AI1768" i="1"/>
  <c r="AJ1768" i="1" s="1"/>
  <c r="AI1769" i="1"/>
  <c r="AJ1769" i="1" s="1"/>
  <c r="AI1770" i="1"/>
  <c r="AJ1770" i="1" s="1"/>
  <c r="AI1771" i="1"/>
  <c r="AJ1771" i="1" s="1"/>
  <c r="AI1772" i="1"/>
  <c r="AJ1772" i="1" s="1"/>
  <c r="AI1773" i="1"/>
  <c r="AJ1773" i="1" s="1"/>
  <c r="AI1774" i="1"/>
  <c r="AJ1774" i="1" s="1"/>
  <c r="AI1775" i="1"/>
  <c r="AJ1775" i="1" s="1"/>
  <c r="AI1776" i="1"/>
  <c r="AJ1776" i="1" s="1"/>
  <c r="AI1777" i="1"/>
  <c r="AJ1777" i="1" s="1"/>
  <c r="AI1778" i="1"/>
  <c r="AJ1778" i="1" s="1"/>
  <c r="AI1779" i="1"/>
  <c r="AJ1779" i="1" s="1"/>
  <c r="AI1780" i="1"/>
  <c r="AJ1780" i="1" s="1"/>
  <c r="AI1781" i="1"/>
  <c r="AJ1781" i="1" s="1"/>
  <c r="AI1782" i="1"/>
  <c r="AJ1782" i="1" s="1"/>
  <c r="AI1783" i="1"/>
  <c r="AJ1783" i="1" s="1"/>
  <c r="AI1784" i="1"/>
  <c r="AJ1784" i="1" s="1"/>
  <c r="AI1785" i="1"/>
  <c r="AJ1785" i="1" s="1"/>
  <c r="AI1786" i="1"/>
  <c r="AJ1786" i="1" s="1"/>
  <c r="AI1787" i="1"/>
  <c r="AJ1787" i="1" s="1"/>
  <c r="AI1788" i="1"/>
  <c r="AJ1788" i="1" s="1"/>
  <c r="AI1789" i="1"/>
  <c r="AJ1789" i="1" s="1"/>
  <c r="AI1790" i="1"/>
  <c r="AJ1790" i="1" s="1"/>
  <c r="AI1791" i="1"/>
  <c r="AJ1791" i="1" s="1"/>
  <c r="AI1792" i="1"/>
  <c r="AJ1792" i="1" s="1"/>
  <c r="AI1793" i="1"/>
  <c r="AJ1793" i="1" s="1"/>
  <c r="AI1794" i="1"/>
  <c r="AJ1794" i="1" s="1"/>
  <c r="AI1795" i="1"/>
  <c r="AJ1795" i="1" s="1"/>
  <c r="AI1796" i="1"/>
  <c r="AJ1796" i="1" s="1"/>
  <c r="AI1797" i="1"/>
  <c r="AJ1797" i="1" s="1"/>
  <c r="AI1798" i="1"/>
  <c r="AJ1798" i="1" s="1"/>
  <c r="AI1799" i="1"/>
  <c r="AJ1799" i="1" s="1"/>
  <c r="AI1800" i="1"/>
  <c r="AJ1800" i="1" s="1"/>
  <c r="AI1801" i="1"/>
  <c r="AJ1801" i="1" s="1"/>
  <c r="AI1802" i="1"/>
  <c r="AJ1802" i="1" s="1"/>
  <c r="AI1803" i="1"/>
  <c r="AJ1803" i="1" s="1"/>
  <c r="AI1804" i="1"/>
  <c r="AJ1804" i="1" s="1"/>
  <c r="AI1805" i="1"/>
  <c r="AJ1805" i="1" s="1"/>
  <c r="AI1806" i="1"/>
  <c r="AJ1806" i="1" s="1"/>
  <c r="AI1807" i="1"/>
  <c r="AJ1807" i="1" s="1"/>
  <c r="AI1808" i="1"/>
  <c r="AJ1808" i="1" s="1"/>
  <c r="AI1809" i="1"/>
  <c r="AJ1809" i="1" s="1"/>
  <c r="AI1810" i="1"/>
  <c r="AJ1810" i="1" s="1"/>
  <c r="AI1811" i="1"/>
  <c r="AJ1811" i="1" s="1"/>
  <c r="AI1812" i="1"/>
  <c r="AJ1812" i="1" s="1"/>
  <c r="AI1813" i="1"/>
  <c r="AJ1813" i="1" s="1"/>
  <c r="AI1814" i="1"/>
  <c r="AJ1814" i="1" s="1"/>
  <c r="AI1815" i="1"/>
  <c r="AJ1815" i="1" s="1"/>
  <c r="AI1816" i="1"/>
  <c r="AJ1816" i="1" s="1"/>
  <c r="AI1817" i="1"/>
  <c r="AJ1817" i="1" s="1"/>
  <c r="AI1818" i="1"/>
  <c r="AJ1818" i="1" s="1"/>
  <c r="AI1819" i="1"/>
  <c r="AJ1819" i="1" s="1"/>
  <c r="AI1820" i="1"/>
  <c r="AJ1820" i="1" s="1"/>
  <c r="AI1821" i="1"/>
  <c r="AJ1821" i="1" s="1"/>
  <c r="AI1822" i="1"/>
  <c r="AJ1822" i="1" s="1"/>
  <c r="AI1823" i="1"/>
  <c r="AJ1823" i="1" s="1"/>
  <c r="AI1824" i="1"/>
  <c r="AJ1824" i="1" s="1"/>
  <c r="AI1825" i="1"/>
  <c r="AJ1825" i="1" s="1"/>
  <c r="AI1826" i="1"/>
  <c r="AJ1826" i="1" s="1"/>
  <c r="AI1827" i="1"/>
  <c r="AJ1827" i="1" s="1"/>
  <c r="AI1828" i="1"/>
  <c r="AJ1828" i="1" s="1"/>
  <c r="AI1829" i="1"/>
  <c r="AJ1829" i="1" s="1"/>
  <c r="AI1830" i="1"/>
  <c r="AJ1830" i="1" s="1"/>
  <c r="AI1831" i="1"/>
  <c r="AJ1831" i="1" s="1"/>
  <c r="AI1832" i="1"/>
  <c r="AJ1832" i="1" s="1"/>
  <c r="AI1833" i="1"/>
  <c r="AJ1833" i="1" s="1"/>
  <c r="AI1834" i="1"/>
  <c r="AJ1834" i="1" s="1"/>
  <c r="AI1835" i="1"/>
  <c r="AJ1835" i="1" s="1"/>
  <c r="AI1836" i="1"/>
  <c r="AJ1836" i="1" s="1"/>
  <c r="AI1837" i="1"/>
  <c r="AJ1837" i="1" s="1"/>
  <c r="AI1838" i="1"/>
  <c r="AJ1838" i="1" s="1"/>
  <c r="AI1839" i="1"/>
  <c r="AJ1839" i="1" s="1"/>
  <c r="AI1840" i="1"/>
  <c r="AJ1840" i="1" s="1"/>
  <c r="AI1841" i="1"/>
  <c r="AJ1841" i="1" s="1"/>
  <c r="AI1842" i="1"/>
  <c r="AJ1842" i="1" s="1"/>
  <c r="AI1843" i="1"/>
  <c r="AJ1843" i="1" s="1"/>
  <c r="AI1844" i="1"/>
  <c r="AJ1844" i="1" s="1"/>
  <c r="AI1845" i="1"/>
  <c r="AJ1845" i="1" s="1"/>
  <c r="AI1846" i="1"/>
  <c r="AJ1846" i="1" s="1"/>
  <c r="AI1847" i="1"/>
  <c r="AJ1847" i="1" s="1"/>
  <c r="AI1848" i="1"/>
  <c r="AJ1848" i="1" s="1"/>
  <c r="AI1849" i="1"/>
  <c r="AJ1849" i="1" s="1"/>
  <c r="AI1850" i="1"/>
  <c r="AJ1850" i="1" s="1"/>
  <c r="AI1851" i="1"/>
  <c r="AJ1851" i="1" s="1"/>
  <c r="AI1852" i="1"/>
  <c r="AJ1852" i="1" s="1"/>
  <c r="AI1853" i="1"/>
  <c r="AJ1853" i="1" s="1"/>
  <c r="AI1854" i="1"/>
  <c r="AJ1854" i="1" s="1"/>
  <c r="AI1855" i="1"/>
  <c r="AJ1855" i="1" s="1"/>
  <c r="AI1856" i="1"/>
  <c r="AJ1856" i="1" s="1"/>
  <c r="AI1857" i="1"/>
  <c r="AJ1857" i="1" s="1"/>
  <c r="AI1858" i="1"/>
  <c r="AJ1858" i="1" s="1"/>
  <c r="AI1859" i="1"/>
  <c r="AJ1859" i="1" s="1"/>
  <c r="AI1860" i="1"/>
  <c r="AJ1860" i="1" s="1"/>
  <c r="AI2" i="1"/>
  <c r="AJ2" i="1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2" i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2" i="1"/>
  <c r="AB1279" i="1" l="1"/>
  <c r="AC1279" i="1" s="1"/>
  <c r="AB1278" i="1"/>
  <c r="AC1278" i="1" s="1"/>
  <c r="AB1277" i="1"/>
  <c r="AC1277" i="1" s="1"/>
  <c r="AB1276" i="1"/>
  <c r="AC1276" i="1" s="1"/>
  <c r="AB1275" i="1"/>
  <c r="AC1275" i="1" s="1"/>
  <c r="AB1274" i="1"/>
  <c r="AC1274" i="1" s="1"/>
  <c r="AB1273" i="1"/>
  <c r="AC1273" i="1" s="1"/>
  <c r="AB1272" i="1"/>
  <c r="AC1272" i="1" s="1"/>
  <c r="AB1271" i="1"/>
  <c r="AC1271" i="1" s="1"/>
  <c r="AB1270" i="1"/>
  <c r="AC1270" i="1" s="1"/>
  <c r="AB1269" i="1"/>
  <c r="AC1269" i="1" s="1"/>
  <c r="AB1268" i="1"/>
  <c r="AC1268" i="1" s="1"/>
  <c r="AB1267" i="1"/>
  <c r="AC1267" i="1" s="1"/>
  <c r="AB1266" i="1"/>
  <c r="AC1266" i="1" s="1"/>
  <c r="AB1265" i="1"/>
  <c r="AC1265" i="1" s="1"/>
  <c r="AB1264" i="1"/>
  <c r="AC1264" i="1" s="1"/>
  <c r="AB1263" i="1"/>
  <c r="AC1263" i="1" s="1"/>
  <c r="AB1262" i="1"/>
  <c r="AC1262" i="1" s="1"/>
  <c r="AB1261" i="1"/>
  <c r="AC1261" i="1" s="1"/>
  <c r="AB1260" i="1"/>
  <c r="AC1260" i="1" s="1"/>
  <c r="AB1259" i="1"/>
  <c r="AC1259" i="1" s="1"/>
  <c r="AB1258" i="1"/>
  <c r="AC1258" i="1" s="1"/>
  <c r="AB1257" i="1"/>
  <c r="AC1257" i="1" s="1"/>
  <c r="AB1256" i="1"/>
  <c r="AC1256" i="1" s="1"/>
  <c r="AB1255" i="1"/>
  <c r="AC1255" i="1" s="1"/>
  <c r="AB1254" i="1"/>
  <c r="AC1254" i="1" s="1"/>
  <c r="AB1253" i="1"/>
  <c r="AC1253" i="1" s="1"/>
  <c r="AB1252" i="1"/>
  <c r="AC1252" i="1" s="1"/>
  <c r="AB1251" i="1"/>
  <c r="AC1251" i="1" s="1"/>
  <c r="AB1250" i="1"/>
  <c r="AC1250" i="1" s="1"/>
  <c r="AB1249" i="1"/>
  <c r="AC1249" i="1" s="1"/>
  <c r="AB1248" i="1"/>
  <c r="AC1248" i="1" s="1"/>
  <c r="AB1247" i="1"/>
  <c r="AC1247" i="1" s="1"/>
  <c r="AB1246" i="1"/>
  <c r="AC1246" i="1" s="1"/>
  <c r="AB1245" i="1"/>
  <c r="AC1245" i="1" s="1"/>
  <c r="AB1244" i="1"/>
  <c r="AC1244" i="1" s="1"/>
  <c r="AB1243" i="1"/>
  <c r="AC1243" i="1" s="1"/>
  <c r="AB1242" i="1"/>
  <c r="AC1242" i="1" s="1"/>
  <c r="AB1241" i="1"/>
  <c r="AC1241" i="1" s="1"/>
  <c r="AB1240" i="1"/>
  <c r="AC1240" i="1" s="1"/>
  <c r="AB1239" i="1"/>
  <c r="AC1239" i="1" s="1"/>
  <c r="AB1238" i="1"/>
  <c r="AC1238" i="1" s="1"/>
  <c r="AB1237" i="1"/>
  <c r="AC1237" i="1" s="1"/>
  <c r="AB1236" i="1"/>
  <c r="AC1236" i="1" s="1"/>
  <c r="AB1235" i="1"/>
  <c r="AC1235" i="1" s="1"/>
  <c r="AB1234" i="1"/>
  <c r="AC1234" i="1" s="1"/>
  <c r="AB1233" i="1"/>
  <c r="AC1233" i="1" s="1"/>
  <c r="AB1232" i="1"/>
  <c r="AC1232" i="1" s="1"/>
  <c r="AB1231" i="1"/>
  <c r="AC1231" i="1" s="1"/>
  <c r="AB1230" i="1"/>
  <c r="AC1230" i="1" s="1"/>
  <c r="AB1229" i="1"/>
  <c r="AC1229" i="1" s="1"/>
  <c r="AB1228" i="1"/>
  <c r="AC1228" i="1" s="1"/>
  <c r="AB1227" i="1"/>
  <c r="AC1227" i="1" s="1"/>
  <c r="AB1226" i="1"/>
  <c r="AC1226" i="1" s="1"/>
  <c r="AB1225" i="1"/>
  <c r="AC1225" i="1" s="1"/>
  <c r="AB1224" i="1"/>
  <c r="AC1224" i="1" s="1"/>
  <c r="AB1223" i="1"/>
  <c r="AC1223" i="1" s="1"/>
  <c r="AB1222" i="1"/>
  <c r="AC1222" i="1" s="1"/>
  <c r="AB1221" i="1"/>
  <c r="AC1221" i="1" s="1"/>
  <c r="AB1220" i="1"/>
  <c r="AC1220" i="1" s="1"/>
  <c r="AB1219" i="1"/>
  <c r="AC1219" i="1" s="1"/>
  <c r="AB1218" i="1"/>
  <c r="AC1218" i="1" s="1"/>
  <c r="AB1217" i="1"/>
  <c r="AC1217" i="1" s="1"/>
  <c r="AB1216" i="1"/>
  <c r="AC1216" i="1" s="1"/>
  <c r="AB1215" i="1"/>
  <c r="AC1215" i="1" s="1"/>
  <c r="AB1214" i="1"/>
  <c r="AC1214" i="1" s="1"/>
  <c r="AB1213" i="1"/>
  <c r="AC1213" i="1" s="1"/>
  <c r="AB1212" i="1"/>
  <c r="AC1212" i="1" s="1"/>
  <c r="AB1211" i="1"/>
  <c r="AC1211" i="1" s="1"/>
  <c r="AB1210" i="1"/>
  <c r="AC1210" i="1" s="1"/>
  <c r="AB1209" i="1"/>
  <c r="AC1209" i="1" s="1"/>
  <c r="AB1208" i="1"/>
  <c r="AC1208" i="1" s="1"/>
  <c r="AB1207" i="1"/>
  <c r="AC1207" i="1" s="1"/>
  <c r="AD1210" i="1" l="1"/>
  <c r="AQ1210" i="1" s="1"/>
  <c r="AD1249" i="1"/>
  <c r="AQ1249" i="1" s="1"/>
  <c r="AD1220" i="1"/>
  <c r="AQ1220" i="1" s="1"/>
  <c r="AD1259" i="1"/>
  <c r="AQ1259" i="1" s="1"/>
  <c r="AD1211" i="1"/>
  <c r="AQ1211" i="1" s="1"/>
  <c r="AD1219" i="1"/>
  <c r="AQ1219" i="1" s="1"/>
  <c r="AD1227" i="1"/>
  <c r="AQ1227" i="1" s="1"/>
  <c r="AD1235" i="1"/>
  <c r="AQ1235" i="1" s="1"/>
  <c r="AD1243" i="1"/>
  <c r="AQ1243" i="1" s="1"/>
  <c r="AD1251" i="1"/>
  <c r="AQ1251" i="1" s="1"/>
  <c r="AD1258" i="1"/>
  <c r="AQ1258" i="1" s="1"/>
  <c r="AD1266" i="1"/>
  <c r="AQ1266" i="1" s="1"/>
  <c r="AD1274" i="1"/>
  <c r="AQ1274" i="1" s="1"/>
  <c r="AD1228" i="1"/>
  <c r="AQ1228" i="1" s="1"/>
  <c r="AD1208" i="1"/>
  <c r="AQ1208" i="1" s="1"/>
  <c r="AD1214" i="1"/>
  <c r="AQ1214" i="1" s="1"/>
  <c r="AD1222" i="1"/>
  <c r="AQ1222" i="1" s="1"/>
  <c r="AD1230" i="1"/>
  <c r="AQ1230" i="1" s="1"/>
  <c r="AD1238" i="1"/>
  <c r="AQ1238" i="1" s="1"/>
  <c r="AD1246" i="1"/>
  <c r="AQ1246" i="1" s="1"/>
  <c r="AD1254" i="1"/>
  <c r="AQ1254" i="1" s="1"/>
  <c r="AD1261" i="1"/>
  <c r="AQ1261" i="1" s="1"/>
  <c r="AD1269" i="1"/>
  <c r="AQ1269" i="1" s="1"/>
  <c r="AD1277" i="1"/>
  <c r="AQ1277" i="1" s="1"/>
  <c r="AD1225" i="1"/>
  <c r="AQ1225" i="1" s="1"/>
  <c r="AD1264" i="1"/>
  <c r="AQ1264" i="1" s="1"/>
  <c r="AD1267" i="1"/>
  <c r="AQ1267" i="1" s="1"/>
  <c r="AD1215" i="1"/>
  <c r="AQ1215" i="1" s="1"/>
  <c r="AD1223" i="1"/>
  <c r="AQ1223" i="1" s="1"/>
  <c r="AD1231" i="1"/>
  <c r="AQ1231" i="1" s="1"/>
  <c r="AD1239" i="1"/>
  <c r="AQ1239" i="1" s="1"/>
  <c r="AD1247" i="1"/>
  <c r="AQ1247" i="1" s="1"/>
  <c r="AD1255" i="1"/>
  <c r="AQ1255" i="1" s="1"/>
  <c r="AD1262" i="1"/>
  <c r="AQ1262" i="1" s="1"/>
  <c r="AD1270" i="1"/>
  <c r="AQ1270" i="1" s="1"/>
  <c r="AD1278" i="1"/>
  <c r="AQ1278" i="1" s="1"/>
  <c r="AD1233" i="1"/>
  <c r="AQ1233" i="1" s="1"/>
  <c r="AD1236" i="1"/>
  <c r="AQ1236" i="1" s="1"/>
  <c r="AD1218" i="1"/>
  <c r="AQ1218" i="1" s="1"/>
  <c r="AD1226" i="1"/>
  <c r="AQ1226" i="1" s="1"/>
  <c r="AD1234" i="1"/>
  <c r="AQ1234" i="1" s="1"/>
  <c r="AD1242" i="1"/>
  <c r="AQ1242" i="1" s="1"/>
  <c r="AD1250" i="1"/>
  <c r="AQ1250" i="1" s="1"/>
  <c r="AD1257" i="1"/>
  <c r="AQ1257" i="1" s="1"/>
  <c r="AD1265" i="1"/>
  <c r="AQ1265" i="1" s="1"/>
  <c r="AD1273" i="1"/>
  <c r="AQ1273" i="1" s="1"/>
  <c r="AD1241" i="1"/>
  <c r="AQ1241" i="1" s="1"/>
  <c r="AD1212" i="1"/>
  <c r="AQ1212" i="1" s="1"/>
  <c r="AD1244" i="1"/>
  <c r="AQ1244" i="1" s="1"/>
  <c r="AD1207" i="1"/>
  <c r="AQ1207" i="1" s="1"/>
  <c r="AD1213" i="1"/>
  <c r="AQ1213" i="1" s="1"/>
  <c r="AD1221" i="1"/>
  <c r="AQ1221" i="1" s="1"/>
  <c r="AD1229" i="1"/>
  <c r="AQ1229" i="1" s="1"/>
  <c r="AD1237" i="1"/>
  <c r="AQ1237" i="1" s="1"/>
  <c r="AD1245" i="1"/>
  <c r="AQ1245" i="1" s="1"/>
  <c r="AD1253" i="1"/>
  <c r="AQ1253" i="1" s="1"/>
  <c r="AD1260" i="1"/>
  <c r="AQ1260" i="1" s="1"/>
  <c r="AD1268" i="1"/>
  <c r="AQ1268" i="1" s="1"/>
  <c r="AD1276" i="1"/>
  <c r="AQ1276" i="1" s="1"/>
  <c r="AD1217" i="1"/>
  <c r="AQ1217" i="1" s="1"/>
  <c r="AD1272" i="1"/>
  <c r="AQ1272" i="1" s="1"/>
  <c r="AD1252" i="1"/>
  <c r="AQ1252" i="1" s="1"/>
  <c r="AD1275" i="1"/>
  <c r="AQ1275" i="1" s="1"/>
  <c r="AD1209" i="1"/>
  <c r="AQ1209" i="1" s="1"/>
  <c r="AD1216" i="1"/>
  <c r="AQ1216" i="1" s="1"/>
  <c r="AD1224" i="1"/>
  <c r="AQ1224" i="1" s="1"/>
  <c r="AD1232" i="1"/>
  <c r="AQ1232" i="1" s="1"/>
  <c r="AD1240" i="1"/>
  <c r="AQ1240" i="1" s="1"/>
  <c r="AD1248" i="1"/>
  <c r="AQ1248" i="1" s="1"/>
  <c r="AD1256" i="1"/>
  <c r="AQ1256" i="1" s="1"/>
  <c r="AD1263" i="1"/>
  <c r="AQ1263" i="1" s="1"/>
  <c r="AD1271" i="1"/>
  <c r="AQ1271" i="1" s="1"/>
  <c r="AD1279" i="1"/>
  <c r="AQ1279" i="1" s="1"/>
  <c r="AB2" i="1"/>
  <c r="AC2" i="1" s="1"/>
  <c r="AD2" i="1" l="1"/>
  <c r="AQ2" i="1" s="1"/>
  <c r="AB4" i="1" l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2" i="1"/>
  <c r="AC462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B500" i="1"/>
  <c r="AC500" i="1" s="1"/>
  <c r="AB501" i="1"/>
  <c r="AC501" i="1" s="1"/>
  <c r="AB502" i="1"/>
  <c r="AC502" i="1" s="1"/>
  <c r="AB503" i="1"/>
  <c r="AC503" i="1" s="1"/>
  <c r="AB504" i="1"/>
  <c r="AC504" i="1" s="1"/>
  <c r="AB505" i="1"/>
  <c r="AC505" i="1" s="1"/>
  <c r="AB506" i="1"/>
  <c r="AC506" i="1" s="1"/>
  <c r="AB507" i="1"/>
  <c r="AC507" i="1" s="1"/>
  <c r="AB508" i="1"/>
  <c r="AC508" i="1" s="1"/>
  <c r="AB509" i="1"/>
  <c r="AC509" i="1" s="1"/>
  <c r="AB510" i="1"/>
  <c r="AC510" i="1" s="1"/>
  <c r="AB511" i="1"/>
  <c r="AC511" i="1" s="1"/>
  <c r="AB512" i="1"/>
  <c r="AC512" i="1" s="1"/>
  <c r="AB513" i="1"/>
  <c r="AC513" i="1" s="1"/>
  <c r="AB514" i="1"/>
  <c r="AC514" i="1" s="1"/>
  <c r="AB515" i="1"/>
  <c r="AC515" i="1" s="1"/>
  <c r="AB516" i="1"/>
  <c r="AC516" i="1" s="1"/>
  <c r="AB517" i="1"/>
  <c r="AC517" i="1" s="1"/>
  <c r="AB518" i="1"/>
  <c r="AC518" i="1" s="1"/>
  <c r="AB519" i="1"/>
  <c r="AC519" i="1" s="1"/>
  <c r="AB520" i="1"/>
  <c r="AC520" i="1" s="1"/>
  <c r="AB521" i="1"/>
  <c r="AC521" i="1" s="1"/>
  <c r="AB522" i="1"/>
  <c r="AC522" i="1" s="1"/>
  <c r="AB523" i="1"/>
  <c r="AC523" i="1" s="1"/>
  <c r="AB524" i="1"/>
  <c r="AC524" i="1" s="1"/>
  <c r="AB525" i="1"/>
  <c r="AC525" i="1" s="1"/>
  <c r="AB526" i="1"/>
  <c r="AC526" i="1" s="1"/>
  <c r="AB527" i="1"/>
  <c r="AC527" i="1" s="1"/>
  <c r="AB528" i="1"/>
  <c r="AC528" i="1" s="1"/>
  <c r="AB529" i="1"/>
  <c r="AC529" i="1" s="1"/>
  <c r="AB530" i="1"/>
  <c r="AC530" i="1" s="1"/>
  <c r="AB531" i="1"/>
  <c r="AC531" i="1" s="1"/>
  <c r="AB532" i="1"/>
  <c r="AC532" i="1" s="1"/>
  <c r="AB533" i="1"/>
  <c r="AC533" i="1" s="1"/>
  <c r="AB534" i="1"/>
  <c r="AC534" i="1" s="1"/>
  <c r="AB535" i="1"/>
  <c r="AC535" i="1" s="1"/>
  <c r="AB536" i="1"/>
  <c r="AC536" i="1" s="1"/>
  <c r="AB537" i="1"/>
  <c r="AC537" i="1" s="1"/>
  <c r="AB538" i="1"/>
  <c r="AC538" i="1" s="1"/>
  <c r="AB539" i="1"/>
  <c r="AC539" i="1" s="1"/>
  <c r="AB540" i="1"/>
  <c r="AC540" i="1" s="1"/>
  <c r="AB541" i="1"/>
  <c r="AC541" i="1" s="1"/>
  <c r="AB542" i="1"/>
  <c r="AC542" i="1" s="1"/>
  <c r="AB543" i="1"/>
  <c r="AC543" i="1" s="1"/>
  <c r="AB544" i="1"/>
  <c r="AC544" i="1" s="1"/>
  <c r="AB545" i="1"/>
  <c r="AC545" i="1" s="1"/>
  <c r="AB546" i="1"/>
  <c r="AC546" i="1" s="1"/>
  <c r="AB547" i="1"/>
  <c r="AC547" i="1" s="1"/>
  <c r="AB548" i="1"/>
  <c r="AC548" i="1" s="1"/>
  <c r="AB549" i="1"/>
  <c r="AC549" i="1" s="1"/>
  <c r="AB550" i="1"/>
  <c r="AC550" i="1" s="1"/>
  <c r="AB551" i="1"/>
  <c r="AC551" i="1" s="1"/>
  <c r="AB552" i="1"/>
  <c r="AC552" i="1" s="1"/>
  <c r="AB553" i="1"/>
  <c r="AC553" i="1" s="1"/>
  <c r="AB554" i="1"/>
  <c r="AC554" i="1" s="1"/>
  <c r="AB555" i="1"/>
  <c r="AC555" i="1" s="1"/>
  <c r="AB556" i="1"/>
  <c r="AC556" i="1" s="1"/>
  <c r="AB557" i="1"/>
  <c r="AC557" i="1" s="1"/>
  <c r="AB558" i="1"/>
  <c r="AC558" i="1" s="1"/>
  <c r="AB559" i="1"/>
  <c r="AC559" i="1" s="1"/>
  <c r="AB560" i="1"/>
  <c r="AC560" i="1" s="1"/>
  <c r="AB561" i="1"/>
  <c r="AC561" i="1" s="1"/>
  <c r="AB562" i="1"/>
  <c r="AC562" i="1" s="1"/>
  <c r="AB563" i="1"/>
  <c r="AC563" i="1" s="1"/>
  <c r="AB564" i="1"/>
  <c r="AC564" i="1" s="1"/>
  <c r="AB565" i="1"/>
  <c r="AC565" i="1" s="1"/>
  <c r="AB566" i="1"/>
  <c r="AC566" i="1" s="1"/>
  <c r="AB567" i="1"/>
  <c r="AC567" i="1" s="1"/>
  <c r="AB568" i="1"/>
  <c r="AC568" i="1" s="1"/>
  <c r="AB569" i="1"/>
  <c r="AC569" i="1" s="1"/>
  <c r="AB570" i="1"/>
  <c r="AC570" i="1" s="1"/>
  <c r="AB571" i="1"/>
  <c r="AC571" i="1" s="1"/>
  <c r="AB572" i="1"/>
  <c r="AC572" i="1" s="1"/>
  <c r="AB573" i="1"/>
  <c r="AC573" i="1" s="1"/>
  <c r="AB574" i="1"/>
  <c r="AC574" i="1" s="1"/>
  <c r="AB575" i="1"/>
  <c r="AC575" i="1" s="1"/>
  <c r="AB576" i="1"/>
  <c r="AC576" i="1" s="1"/>
  <c r="AB577" i="1"/>
  <c r="AC577" i="1" s="1"/>
  <c r="AB578" i="1"/>
  <c r="AC578" i="1" s="1"/>
  <c r="AB579" i="1"/>
  <c r="AC579" i="1" s="1"/>
  <c r="AB580" i="1"/>
  <c r="AC580" i="1" s="1"/>
  <c r="AB581" i="1"/>
  <c r="AC581" i="1" s="1"/>
  <c r="AB582" i="1"/>
  <c r="AC582" i="1" s="1"/>
  <c r="AB583" i="1"/>
  <c r="AC583" i="1" s="1"/>
  <c r="AB584" i="1"/>
  <c r="AC584" i="1" s="1"/>
  <c r="AB585" i="1"/>
  <c r="AC585" i="1" s="1"/>
  <c r="AB586" i="1"/>
  <c r="AC586" i="1" s="1"/>
  <c r="AB587" i="1"/>
  <c r="AC587" i="1" s="1"/>
  <c r="AB588" i="1"/>
  <c r="AC588" i="1" s="1"/>
  <c r="AB589" i="1"/>
  <c r="AC589" i="1" s="1"/>
  <c r="AB590" i="1"/>
  <c r="AC590" i="1" s="1"/>
  <c r="AB591" i="1"/>
  <c r="AC591" i="1" s="1"/>
  <c r="AB592" i="1"/>
  <c r="AC592" i="1" s="1"/>
  <c r="AB593" i="1"/>
  <c r="AC593" i="1" s="1"/>
  <c r="AB594" i="1"/>
  <c r="AC594" i="1" s="1"/>
  <c r="AB595" i="1"/>
  <c r="AC595" i="1" s="1"/>
  <c r="AB596" i="1"/>
  <c r="AC596" i="1" s="1"/>
  <c r="AB597" i="1"/>
  <c r="AC597" i="1" s="1"/>
  <c r="AB598" i="1"/>
  <c r="AC598" i="1" s="1"/>
  <c r="AB599" i="1"/>
  <c r="AC599" i="1" s="1"/>
  <c r="AB600" i="1"/>
  <c r="AC600" i="1" s="1"/>
  <c r="AB601" i="1"/>
  <c r="AC601" i="1" s="1"/>
  <c r="AB602" i="1"/>
  <c r="AC602" i="1" s="1"/>
  <c r="AB603" i="1"/>
  <c r="AC603" i="1" s="1"/>
  <c r="AB604" i="1"/>
  <c r="AC604" i="1" s="1"/>
  <c r="AB605" i="1"/>
  <c r="AC605" i="1" s="1"/>
  <c r="AB606" i="1"/>
  <c r="AC606" i="1" s="1"/>
  <c r="AB607" i="1"/>
  <c r="AC607" i="1" s="1"/>
  <c r="AB608" i="1"/>
  <c r="AC608" i="1" s="1"/>
  <c r="AB609" i="1"/>
  <c r="AC609" i="1" s="1"/>
  <c r="AB610" i="1"/>
  <c r="AC610" i="1" s="1"/>
  <c r="AB611" i="1"/>
  <c r="AC611" i="1" s="1"/>
  <c r="AB612" i="1"/>
  <c r="AC612" i="1" s="1"/>
  <c r="AB613" i="1"/>
  <c r="AC613" i="1" s="1"/>
  <c r="AB614" i="1"/>
  <c r="AC614" i="1" s="1"/>
  <c r="AB615" i="1"/>
  <c r="AC615" i="1" s="1"/>
  <c r="AB616" i="1"/>
  <c r="AC616" i="1" s="1"/>
  <c r="AB617" i="1"/>
  <c r="AC617" i="1" s="1"/>
  <c r="AB618" i="1"/>
  <c r="AC618" i="1" s="1"/>
  <c r="AB619" i="1"/>
  <c r="AC619" i="1" s="1"/>
  <c r="AB620" i="1"/>
  <c r="AC620" i="1" s="1"/>
  <c r="AB621" i="1"/>
  <c r="AC621" i="1" s="1"/>
  <c r="AB622" i="1"/>
  <c r="AC622" i="1" s="1"/>
  <c r="AB623" i="1"/>
  <c r="AC623" i="1" s="1"/>
  <c r="AB624" i="1"/>
  <c r="AC624" i="1" s="1"/>
  <c r="AB625" i="1"/>
  <c r="AC625" i="1" s="1"/>
  <c r="AB626" i="1"/>
  <c r="AC626" i="1" s="1"/>
  <c r="AB627" i="1"/>
  <c r="AC627" i="1" s="1"/>
  <c r="AB628" i="1"/>
  <c r="AC628" i="1" s="1"/>
  <c r="AB629" i="1"/>
  <c r="AC629" i="1" s="1"/>
  <c r="AB630" i="1"/>
  <c r="AC630" i="1" s="1"/>
  <c r="AB631" i="1"/>
  <c r="AC631" i="1" s="1"/>
  <c r="AB632" i="1"/>
  <c r="AC632" i="1" s="1"/>
  <c r="AB633" i="1"/>
  <c r="AC633" i="1" s="1"/>
  <c r="AB634" i="1"/>
  <c r="AC634" i="1" s="1"/>
  <c r="AB635" i="1"/>
  <c r="AC635" i="1" s="1"/>
  <c r="AB636" i="1"/>
  <c r="AC636" i="1" s="1"/>
  <c r="AB637" i="1"/>
  <c r="AC637" i="1" s="1"/>
  <c r="AB638" i="1"/>
  <c r="AC638" i="1" s="1"/>
  <c r="AB639" i="1"/>
  <c r="AC639" i="1" s="1"/>
  <c r="AB640" i="1"/>
  <c r="AC640" i="1" s="1"/>
  <c r="AB641" i="1"/>
  <c r="AC641" i="1" s="1"/>
  <c r="AB642" i="1"/>
  <c r="AC642" i="1" s="1"/>
  <c r="AB643" i="1"/>
  <c r="AC643" i="1" s="1"/>
  <c r="AB644" i="1"/>
  <c r="AC644" i="1" s="1"/>
  <c r="AB645" i="1"/>
  <c r="AC645" i="1" s="1"/>
  <c r="AB646" i="1"/>
  <c r="AC646" i="1" s="1"/>
  <c r="AB647" i="1"/>
  <c r="AC647" i="1" s="1"/>
  <c r="AB648" i="1"/>
  <c r="AC648" i="1" s="1"/>
  <c r="AB649" i="1"/>
  <c r="AC649" i="1" s="1"/>
  <c r="AB650" i="1"/>
  <c r="AC650" i="1" s="1"/>
  <c r="AB651" i="1"/>
  <c r="AC651" i="1" s="1"/>
  <c r="AB652" i="1"/>
  <c r="AC652" i="1" s="1"/>
  <c r="AB653" i="1"/>
  <c r="AC653" i="1" s="1"/>
  <c r="AB654" i="1"/>
  <c r="AC654" i="1" s="1"/>
  <c r="AB655" i="1"/>
  <c r="AC655" i="1" s="1"/>
  <c r="AB656" i="1"/>
  <c r="AC656" i="1" s="1"/>
  <c r="AB657" i="1"/>
  <c r="AC657" i="1" s="1"/>
  <c r="AB658" i="1"/>
  <c r="AC658" i="1" s="1"/>
  <c r="AB659" i="1"/>
  <c r="AC659" i="1" s="1"/>
  <c r="AB660" i="1"/>
  <c r="AC660" i="1" s="1"/>
  <c r="AB661" i="1"/>
  <c r="AC661" i="1" s="1"/>
  <c r="AB662" i="1"/>
  <c r="AC662" i="1" s="1"/>
  <c r="AB663" i="1"/>
  <c r="AC663" i="1" s="1"/>
  <c r="AB664" i="1"/>
  <c r="AC664" i="1" s="1"/>
  <c r="AB665" i="1"/>
  <c r="AC665" i="1" s="1"/>
  <c r="AB666" i="1"/>
  <c r="AC666" i="1" s="1"/>
  <c r="AB667" i="1"/>
  <c r="AC667" i="1" s="1"/>
  <c r="AB668" i="1"/>
  <c r="AC668" i="1" s="1"/>
  <c r="AB669" i="1"/>
  <c r="AC669" i="1" s="1"/>
  <c r="AB670" i="1"/>
  <c r="AC670" i="1" s="1"/>
  <c r="AB671" i="1"/>
  <c r="AC671" i="1" s="1"/>
  <c r="AB672" i="1"/>
  <c r="AC672" i="1" s="1"/>
  <c r="AB673" i="1"/>
  <c r="AC673" i="1" s="1"/>
  <c r="AB674" i="1"/>
  <c r="AC674" i="1" s="1"/>
  <c r="AB675" i="1"/>
  <c r="AC675" i="1" s="1"/>
  <c r="AB676" i="1"/>
  <c r="AC676" i="1" s="1"/>
  <c r="AB677" i="1"/>
  <c r="AC677" i="1" s="1"/>
  <c r="AB678" i="1"/>
  <c r="AC678" i="1" s="1"/>
  <c r="AB679" i="1"/>
  <c r="AC679" i="1" s="1"/>
  <c r="AB680" i="1"/>
  <c r="AC680" i="1" s="1"/>
  <c r="AB681" i="1"/>
  <c r="AC681" i="1" s="1"/>
  <c r="AB682" i="1"/>
  <c r="AC682" i="1" s="1"/>
  <c r="AB683" i="1"/>
  <c r="AC683" i="1" s="1"/>
  <c r="AB684" i="1"/>
  <c r="AC684" i="1" s="1"/>
  <c r="AB685" i="1"/>
  <c r="AC685" i="1" s="1"/>
  <c r="AB686" i="1"/>
  <c r="AC686" i="1" s="1"/>
  <c r="AB687" i="1"/>
  <c r="AC687" i="1" s="1"/>
  <c r="AB688" i="1"/>
  <c r="AC688" i="1" s="1"/>
  <c r="AB689" i="1"/>
  <c r="AC689" i="1" s="1"/>
  <c r="AB690" i="1"/>
  <c r="AC690" i="1" s="1"/>
  <c r="AB691" i="1"/>
  <c r="AC691" i="1" s="1"/>
  <c r="AB692" i="1"/>
  <c r="AC692" i="1" s="1"/>
  <c r="AB693" i="1"/>
  <c r="AC693" i="1" s="1"/>
  <c r="AB694" i="1"/>
  <c r="AC694" i="1" s="1"/>
  <c r="AB695" i="1"/>
  <c r="AC695" i="1" s="1"/>
  <c r="AB696" i="1"/>
  <c r="AC696" i="1" s="1"/>
  <c r="AB697" i="1"/>
  <c r="AC697" i="1" s="1"/>
  <c r="AB698" i="1"/>
  <c r="AC698" i="1" s="1"/>
  <c r="AB699" i="1"/>
  <c r="AC699" i="1" s="1"/>
  <c r="AB700" i="1"/>
  <c r="AC700" i="1" s="1"/>
  <c r="AB701" i="1"/>
  <c r="AC701" i="1" s="1"/>
  <c r="AB702" i="1"/>
  <c r="AC702" i="1" s="1"/>
  <c r="AB703" i="1"/>
  <c r="AC703" i="1" s="1"/>
  <c r="AB704" i="1"/>
  <c r="AC704" i="1" s="1"/>
  <c r="AB705" i="1"/>
  <c r="AC705" i="1" s="1"/>
  <c r="AB706" i="1"/>
  <c r="AC706" i="1" s="1"/>
  <c r="AB707" i="1"/>
  <c r="AC707" i="1" s="1"/>
  <c r="AB708" i="1"/>
  <c r="AC708" i="1" s="1"/>
  <c r="AB709" i="1"/>
  <c r="AC709" i="1" s="1"/>
  <c r="AB710" i="1"/>
  <c r="AC710" i="1" s="1"/>
  <c r="AB711" i="1"/>
  <c r="AC711" i="1" s="1"/>
  <c r="AB712" i="1"/>
  <c r="AC712" i="1" s="1"/>
  <c r="AB713" i="1"/>
  <c r="AC713" i="1" s="1"/>
  <c r="AB714" i="1"/>
  <c r="AC714" i="1" s="1"/>
  <c r="AB715" i="1"/>
  <c r="AC715" i="1" s="1"/>
  <c r="AB716" i="1"/>
  <c r="AC716" i="1" s="1"/>
  <c r="AB717" i="1"/>
  <c r="AC717" i="1" s="1"/>
  <c r="AB718" i="1"/>
  <c r="AC718" i="1" s="1"/>
  <c r="AB719" i="1"/>
  <c r="AC719" i="1" s="1"/>
  <c r="AB720" i="1"/>
  <c r="AC720" i="1" s="1"/>
  <c r="AB721" i="1"/>
  <c r="AC721" i="1" s="1"/>
  <c r="AB722" i="1"/>
  <c r="AC722" i="1" s="1"/>
  <c r="AB723" i="1"/>
  <c r="AC723" i="1" s="1"/>
  <c r="AB724" i="1"/>
  <c r="AC724" i="1" s="1"/>
  <c r="AB725" i="1"/>
  <c r="AC725" i="1" s="1"/>
  <c r="AB726" i="1"/>
  <c r="AC726" i="1" s="1"/>
  <c r="AB727" i="1"/>
  <c r="AC727" i="1" s="1"/>
  <c r="AB728" i="1"/>
  <c r="AC728" i="1" s="1"/>
  <c r="AB729" i="1"/>
  <c r="AC729" i="1" s="1"/>
  <c r="AB730" i="1"/>
  <c r="AC730" i="1" s="1"/>
  <c r="AB731" i="1"/>
  <c r="AC731" i="1" s="1"/>
  <c r="AB732" i="1"/>
  <c r="AC732" i="1" s="1"/>
  <c r="AB733" i="1"/>
  <c r="AC733" i="1" s="1"/>
  <c r="AB734" i="1"/>
  <c r="AC734" i="1" s="1"/>
  <c r="AB735" i="1"/>
  <c r="AC735" i="1" s="1"/>
  <c r="AB736" i="1"/>
  <c r="AC736" i="1" s="1"/>
  <c r="AB737" i="1"/>
  <c r="AC737" i="1" s="1"/>
  <c r="AB738" i="1"/>
  <c r="AC738" i="1" s="1"/>
  <c r="AB739" i="1"/>
  <c r="AC739" i="1" s="1"/>
  <c r="AB740" i="1"/>
  <c r="AC740" i="1" s="1"/>
  <c r="AB741" i="1"/>
  <c r="AC741" i="1" s="1"/>
  <c r="AB742" i="1"/>
  <c r="AC742" i="1" s="1"/>
  <c r="AB743" i="1"/>
  <c r="AC743" i="1" s="1"/>
  <c r="AB744" i="1"/>
  <c r="AC744" i="1" s="1"/>
  <c r="AB745" i="1"/>
  <c r="AC745" i="1" s="1"/>
  <c r="AB746" i="1"/>
  <c r="AC746" i="1" s="1"/>
  <c r="AB747" i="1"/>
  <c r="AC747" i="1" s="1"/>
  <c r="AB748" i="1"/>
  <c r="AC748" i="1" s="1"/>
  <c r="AB749" i="1"/>
  <c r="AC749" i="1" s="1"/>
  <c r="AB750" i="1"/>
  <c r="AC750" i="1" s="1"/>
  <c r="AB751" i="1"/>
  <c r="AC751" i="1" s="1"/>
  <c r="AB752" i="1"/>
  <c r="AC752" i="1" s="1"/>
  <c r="AB753" i="1"/>
  <c r="AC753" i="1" s="1"/>
  <c r="AB754" i="1"/>
  <c r="AC754" i="1" s="1"/>
  <c r="AB755" i="1"/>
  <c r="AC755" i="1" s="1"/>
  <c r="AB756" i="1"/>
  <c r="AC756" i="1" s="1"/>
  <c r="AB757" i="1"/>
  <c r="AC757" i="1" s="1"/>
  <c r="AB758" i="1"/>
  <c r="AC758" i="1" s="1"/>
  <c r="AB759" i="1"/>
  <c r="AC759" i="1" s="1"/>
  <c r="AB760" i="1"/>
  <c r="AC760" i="1" s="1"/>
  <c r="AB761" i="1"/>
  <c r="AC761" i="1" s="1"/>
  <c r="AB762" i="1"/>
  <c r="AC762" i="1" s="1"/>
  <c r="AB763" i="1"/>
  <c r="AC763" i="1" s="1"/>
  <c r="AB764" i="1"/>
  <c r="AC764" i="1" s="1"/>
  <c r="AB765" i="1"/>
  <c r="AC765" i="1" s="1"/>
  <c r="AB766" i="1"/>
  <c r="AC766" i="1" s="1"/>
  <c r="AB767" i="1"/>
  <c r="AC767" i="1" s="1"/>
  <c r="AB768" i="1"/>
  <c r="AC768" i="1" s="1"/>
  <c r="AB769" i="1"/>
  <c r="AC769" i="1" s="1"/>
  <c r="AB770" i="1"/>
  <c r="AC770" i="1" s="1"/>
  <c r="AB771" i="1"/>
  <c r="AC771" i="1" s="1"/>
  <c r="AB772" i="1"/>
  <c r="AC772" i="1" s="1"/>
  <c r="AB773" i="1"/>
  <c r="AC773" i="1" s="1"/>
  <c r="AB774" i="1"/>
  <c r="AC774" i="1" s="1"/>
  <c r="AB775" i="1"/>
  <c r="AC775" i="1" s="1"/>
  <c r="AB776" i="1"/>
  <c r="AC776" i="1" s="1"/>
  <c r="AB777" i="1"/>
  <c r="AC777" i="1" s="1"/>
  <c r="AB778" i="1"/>
  <c r="AC778" i="1" s="1"/>
  <c r="AB779" i="1"/>
  <c r="AC779" i="1" s="1"/>
  <c r="AB780" i="1"/>
  <c r="AC780" i="1" s="1"/>
  <c r="AB781" i="1"/>
  <c r="AC781" i="1" s="1"/>
  <c r="AB782" i="1"/>
  <c r="AC782" i="1" s="1"/>
  <c r="AB783" i="1"/>
  <c r="AC783" i="1" s="1"/>
  <c r="AB784" i="1"/>
  <c r="AC784" i="1" s="1"/>
  <c r="AB785" i="1"/>
  <c r="AC785" i="1" s="1"/>
  <c r="AB786" i="1"/>
  <c r="AC786" i="1" s="1"/>
  <c r="AB787" i="1"/>
  <c r="AC787" i="1" s="1"/>
  <c r="AB788" i="1"/>
  <c r="AC788" i="1" s="1"/>
  <c r="AB789" i="1"/>
  <c r="AC789" i="1" s="1"/>
  <c r="AB790" i="1"/>
  <c r="AC790" i="1" s="1"/>
  <c r="AB791" i="1"/>
  <c r="AC791" i="1" s="1"/>
  <c r="AB792" i="1"/>
  <c r="AC792" i="1" s="1"/>
  <c r="AB793" i="1"/>
  <c r="AC793" i="1" s="1"/>
  <c r="AB794" i="1"/>
  <c r="AC794" i="1" s="1"/>
  <c r="AB795" i="1"/>
  <c r="AC795" i="1" s="1"/>
  <c r="AB796" i="1"/>
  <c r="AC796" i="1" s="1"/>
  <c r="AB797" i="1"/>
  <c r="AC797" i="1" s="1"/>
  <c r="AB798" i="1"/>
  <c r="AC798" i="1" s="1"/>
  <c r="AB799" i="1"/>
  <c r="AC799" i="1" s="1"/>
  <c r="AB800" i="1"/>
  <c r="AC800" i="1" s="1"/>
  <c r="AB801" i="1"/>
  <c r="AC801" i="1" s="1"/>
  <c r="AB802" i="1"/>
  <c r="AC802" i="1" s="1"/>
  <c r="AB803" i="1"/>
  <c r="AC803" i="1" s="1"/>
  <c r="AB804" i="1"/>
  <c r="AC804" i="1" s="1"/>
  <c r="AB805" i="1"/>
  <c r="AC805" i="1" s="1"/>
  <c r="AB806" i="1"/>
  <c r="AC806" i="1" s="1"/>
  <c r="AB807" i="1"/>
  <c r="AC807" i="1" s="1"/>
  <c r="AB808" i="1"/>
  <c r="AC808" i="1" s="1"/>
  <c r="AB809" i="1"/>
  <c r="AC809" i="1" s="1"/>
  <c r="AB810" i="1"/>
  <c r="AC810" i="1" s="1"/>
  <c r="AB811" i="1"/>
  <c r="AC811" i="1" s="1"/>
  <c r="AB812" i="1"/>
  <c r="AC812" i="1" s="1"/>
  <c r="AB813" i="1"/>
  <c r="AC813" i="1" s="1"/>
  <c r="AB814" i="1"/>
  <c r="AC814" i="1" s="1"/>
  <c r="AB815" i="1"/>
  <c r="AC815" i="1" s="1"/>
  <c r="AB816" i="1"/>
  <c r="AC816" i="1" s="1"/>
  <c r="AB817" i="1"/>
  <c r="AC817" i="1" s="1"/>
  <c r="AB818" i="1"/>
  <c r="AC818" i="1" s="1"/>
  <c r="AB819" i="1"/>
  <c r="AC819" i="1" s="1"/>
  <c r="AB820" i="1"/>
  <c r="AC820" i="1" s="1"/>
  <c r="AB821" i="1"/>
  <c r="AC821" i="1" s="1"/>
  <c r="AB822" i="1"/>
  <c r="AC822" i="1" s="1"/>
  <c r="AB823" i="1"/>
  <c r="AC823" i="1" s="1"/>
  <c r="AB824" i="1"/>
  <c r="AC824" i="1" s="1"/>
  <c r="AB825" i="1"/>
  <c r="AC825" i="1" s="1"/>
  <c r="AB826" i="1"/>
  <c r="AC826" i="1" s="1"/>
  <c r="AB827" i="1"/>
  <c r="AC827" i="1" s="1"/>
  <c r="AB828" i="1"/>
  <c r="AC828" i="1" s="1"/>
  <c r="AB829" i="1"/>
  <c r="AC829" i="1" s="1"/>
  <c r="AB830" i="1"/>
  <c r="AC830" i="1" s="1"/>
  <c r="AB831" i="1"/>
  <c r="AC831" i="1" s="1"/>
  <c r="AB832" i="1"/>
  <c r="AC832" i="1" s="1"/>
  <c r="AB833" i="1"/>
  <c r="AC833" i="1" s="1"/>
  <c r="AB834" i="1"/>
  <c r="AC834" i="1" s="1"/>
  <c r="AB835" i="1"/>
  <c r="AC835" i="1" s="1"/>
  <c r="AB836" i="1"/>
  <c r="AC836" i="1" s="1"/>
  <c r="AB837" i="1"/>
  <c r="AC837" i="1" s="1"/>
  <c r="AB838" i="1"/>
  <c r="AC838" i="1" s="1"/>
  <c r="AB839" i="1"/>
  <c r="AC839" i="1" s="1"/>
  <c r="AB840" i="1"/>
  <c r="AC840" i="1" s="1"/>
  <c r="AB841" i="1"/>
  <c r="AC841" i="1" s="1"/>
  <c r="AB842" i="1"/>
  <c r="AC842" i="1" s="1"/>
  <c r="AB843" i="1"/>
  <c r="AC843" i="1" s="1"/>
  <c r="AB844" i="1"/>
  <c r="AC844" i="1" s="1"/>
  <c r="AB845" i="1"/>
  <c r="AC845" i="1" s="1"/>
  <c r="AB846" i="1"/>
  <c r="AC846" i="1" s="1"/>
  <c r="AB847" i="1"/>
  <c r="AC847" i="1" s="1"/>
  <c r="AB848" i="1"/>
  <c r="AC848" i="1" s="1"/>
  <c r="AB849" i="1"/>
  <c r="AC849" i="1" s="1"/>
  <c r="AB850" i="1"/>
  <c r="AC850" i="1" s="1"/>
  <c r="AB851" i="1"/>
  <c r="AC851" i="1" s="1"/>
  <c r="AB852" i="1"/>
  <c r="AC852" i="1" s="1"/>
  <c r="AB853" i="1"/>
  <c r="AC853" i="1" s="1"/>
  <c r="AB854" i="1"/>
  <c r="AC854" i="1" s="1"/>
  <c r="AB855" i="1"/>
  <c r="AC855" i="1" s="1"/>
  <c r="AB856" i="1"/>
  <c r="AC856" i="1" s="1"/>
  <c r="AB857" i="1"/>
  <c r="AC857" i="1" s="1"/>
  <c r="AB858" i="1"/>
  <c r="AC858" i="1" s="1"/>
  <c r="AB859" i="1"/>
  <c r="AC859" i="1" s="1"/>
  <c r="AB860" i="1"/>
  <c r="AC860" i="1" s="1"/>
  <c r="AB861" i="1"/>
  <c r="AC861" i="1" s="1"/>
  <c r="AB862" i="1"/>
  <c r="AC862" i="1" s="1"/>
  <c r="AB863" i="1"/>
  <c r="AC863" i="1" s="1"/>
  <c r="AB864" i="1"/>
  <c r="AC864" i="1" s="1"/>
  <c r="AB865" i="1"/>
  <c r="AC865" i="1" s="1"/>
  <c r="AB866" i="1"/>
  <c r="AC866" i="1" s="1"/>
  <c r="AB867" i="1"/>
  <c r="AC867" i="1" s="1"/>
  <c r="AB868" i="1"/>
  <c r="AC868" i="1" s="1"/>
  <c r="AB869" i="1"/>
  <c r="AC869" i="1" s="1"/>
  <c r="AB870" i="1"/>
  <c r="AC870" i="1" s="1"/>
  <c r="AB871" i="1"/>
  <c r="AC871" i="1" s="1"/>
  <c r="AB872" i="1"/>
  <c r="AC872" i="1" s="1"/>
  <c r="AB873" i="1"/>
  <c r="AC873" i="1" s="1"/>
  <c r="AB874" i="1"/>
  <c r="AC874" i="1" s="1"/>
  <c r="AB875" i="1"/>
  <c r="AC875" i="1" s="1"/>
  <c r="AB876" i="1"/>
  <c r="AC876" i="1" s="1"/>
  <c r="AB877" i="1"/>
  <c r="AC877" i="1" s="1"/>
  <c r="AB878" i="1"/>
  <c r="AC878" i="1" s="1"/>
  <c r="AB879" i="1"/>
  <c r="AC879" i="1" s="1"/>
  <c r="AB880" i="1"/>
  <c r="AC880" i="1" s="1"/>
  <c r="AB881" i="1"/>
  <c r="AC881" i="1" s="1"/>
  <c r="AB882" i="1"/>
  <c r="AC882" i="1" s="1"/>
  <c r="AB883" i="1"/>
  <c r="AC883" i="1" s="1"/>
  <c r="AB884" i="1"/>
  <c r="AC884" i="1" s="1"/>
  <c r="AB885" i="1"/>
  <c r="AC885" i="1" s="1"/>
  <c r="AB886" i="1"/>
  <c r="AC886" i="1" s="1"/>
  <c r="AB887" i="1"/>
  <c r="AC887" i="1" s="1"/>
  <c r="AB888" i="1"/>
  <c r="AC888" i="1" s="1"/>
  <c r="AB889" i="1"/>
  <c r="AC889" i="1" s="1"/>
  <c r="AB890" i="1"/>
  <c r="AC890" i="1" s="1"/>
  <c r="AB891" i="1"/>
  <c r="AC891" i="1" s="1"/>
  <c r="AB892" i="1"/>
  <c r="AC892" i="1" s="1"/>
  <c r="AB893" i="1"/>
  <c r="AC893" i="1" s="1"/>
  <c r="AB894" i="1"/>
  <c r="AC894" i="1" s="1"/>
  <c r="AB895" i="1"/>
  <c r="AC895" i="1" s="1"/>
  <c r="AB896" i="1"/>
  <c r="AC896" i="1" s="1"/>
  <c r="AB897" i="1"/>
  <c r="AC897" i="1" s="1"/>
  <c r="AB898" i="1"/>
  <c r="AC898" i="1" s="1"/>
  <c r="AB899" i="1"/>
  <c r="AC899" i="1" s="1"/>
  <c r="AB900" i="1"/>
  <c r="AC900" i="1" s="1"/>
  <c r="AB901" i="1"/>
  <c r="AC901" i="1" s="1"/>
  <c r="AB902" i="1"/>
  <c r="AC902" i="1" s="1"/>
  <c r="AB903" i="1"/>
  <c r="AC903" i="1" s="1"/>
  <c r="AB904" i="1"/>
  <c r="AC904" i="1" s="1"/>
  <c r="AB905" i="1"/>
  <c r="AC905" i="1" s="1"/>
  <c r="AB906" i="1"/>
  <c r="AC906" i="1" s="1"/>
  <c r="AB907" i="1"/>
  <c r="AC907" i="1" s="1"/>
  <c r="AB908" i="1"/>
  <c r="AC908" i="1" s="1"/>
  <c r="AB909" i="1"/>
  <c r="AC909" i="1" s="1"/>
  <c r="AB910" i="1"/>
  <c r="AC910" i="1" s="1"/>
  <c r="AB911" i="1"/>
  <c r="AC911" i="1" s="1"/>
  <c r="AB912" i="1"/>
  <c r="AC912" i="1" s="1"/>
  <c r="AB913" i="1"/>
  <c r="AC913" i="1" s="1"/>
  <c r="AB914" i="1"/>
  <c r="AC914" i="1" s="1"/>
  <c r="AB915" i="1"/>
  <c r="AC915" i="1" s="1"/>
  <c r="AB916" i="1"/>
  <c r="AC916" i="1" s="1"/>
  <c r="AB917" i="1"/>
  <c r="AC917" i="1" s="1"/>
  <c r="AB918" i="1"/>
  <c r="AC918" i="1" s="1"/>
  <c r="AB919" i="1"/>
  <c r="AC919" i="1" s="1"/>
  <c r="AB920" i="1"/>
  <c r="AC920" i="1" s="1"/>
  <c r="AB921" i="1"/>
  <c r="AC921" i="1" s="1"/>
  <c r="AB922" i="1"/>
  <c r="AC922" i="1" s="1"/>
  <c r="AB923" i="1"/>
  <c r="AC923" i="1" s="1"/>
  <c r="AB924" i="1"/>
  <c r="AC924" i="1" s="1"/>
  <c r="AB925" i="1"/>
  <c r="AC925" i="1" s="1"/>
  <c r="AB926" i="1"/>
  <c r="AC926" i="1" s="1"/>
  <c r="AB927" i="1"/>
  <c r="AC927" i="1" s="1"/>
  <c r="AB928" i="1"/>
  <c r="AC928" i="1" s="1"/>
  <c r="AB929" i="1"/>
  <c r="AC929" i="1" s="1"/>
  <c r="AB930" i="1"/>
  <c r="AC930" i="1" s="1"/>
  <c r="AB931" i="1"/>
  <c r="AC931" i="1" s="1"/>
  <c r="AB932" i="1"/>
  <c r="AC932" i="1" s="1"/>
  <c r="AB933" i="1"/>
  <c r="AC933" i="1" s="1"/>
  <c r="AB934" i="1"/>
  <c r="AC934" i="1" s="1"/>
  <c r="AB935" i="1"/>
  <c r="AC935" i="1" s="1"/>
  <c r="AB936" i="1"/>
  <c r="AC936" i="1" s="1"/>
  <c r="AB937" i="1"/>
  <c r="AC937" i="1" s="1"/>
  <c r="AB938" i="1"/>
  <c r="AC938" i="1" s="1"/>
  <c r="AB939" i="1"/>
  <c r="AC939" i="1" s="1"/>
  <c r="AB940" i="1"/>
  <c r="AC940" i="1" s="1"/>
  <c r="AB941" i="1"/>
  <c r="AC941" i="1" s="1"/>
  <c r="AB942" i="1"/>
  <c r="AC942" i="1" s="1"/>
  <c r="AB943" i="1"/>
  <c r="AC943" i="1" s="1"/>
  <c r="AB944" i="1"/>
  <c r="AC944" i="1" s="1"/>
  <c r="AB945" i="1"/>
  <c r="AC945" i="1" s="1"/>
  <c r="AB946" i="1"/>
  <c r="AC946" i="1" s="1"/>
  <c r="AB947" i="1"/>
  <c r="AC947" i="1" s="1"/>
  <c r="AB948" i="1"/>
  <c r="AC948" i="1" s="1"/>
  <c r="AB949" i="1"/>
  <c r="AC949" i="1" s="1"/>
  <c r="AB950" i="1"/>
  <c r="AC950" i="1" s="1"/>
  <c r="AB951" i="1"/>
  <c r="AC951" i="1" s="1"/>
  <c r="AB952" i="1"/>
  <c r="AC952" i="1" s="1"/>
  <c r="AB953" i="1"/>
  <c r="AC953" i="1" s="1"/>
  <c r="AB954" i="1"/>
  <c r="AC954" i="1" s="1"/>
  <c r="AB955" i="1"/>
  <c r="AC955" i="1" s="1"/>
  <c r="AB956" i="1"/>
  <c r="AC956" i="1" s="1"/>
  <c r="AB957" i="1"/>
  <c r="AC957" i="1" s="1"/>
  <c r="AB958" i="1"/>
  <c r="AC958" i="1" s="1"/>
  <c r="AB959" i="1"/>
  <c r="AC959" i="1" s="1"/>
  <c r="AB960" i="1"/>
  <c r="AC960" i="1" s="1"/>
  <c r="AB961" i="1"/>
  <c r="AC961" i="1" s="1"/>
  <c r="AB962" i="1"/>
  <c r="AC962" i="1" s="1"/>
  <c r="AB963" i="1"/>
  <c r="AC963" i="1" s="1"/>
  <c r="AB964" i="1"/>
  <c r="AC964" i="1" s="1"/>
  <c r="AB965" i="1"/>
  <c r="AC965" i="1" s="1"/>
  <c r="AB966" i="1"/>
  <c r="AC966" i="1" s="1"/>
  <c r="AB967" i="1"/>
  <c r="AC967" i="1" s="1"/>
  <c r="AB968" i="1"/>
  <c r="AC968" i="1" s="1"/>
  <c r="AB969" i="1"/>
  <c r="AC969" i="1" s="1"/>
  <c r="AB970" i="1"/>
  <c r="AC970" i="1" s="1"/>
  <c r="AB971" i="1"/>
  <c r="AC971" i="1" s="1"/>
  <c r="AB972" i="1"/>
  <c r="AC972" i="1" s="1"/>
  <c r="AB973" i="1"/>
  <c r="AC973" i="1" s="1"/>
  <c r="AB974" i="1"/>
  <c r="AC974" i="1" s="1"/>
  <c r="AB975" i="1"/>
  <c r="AC975" i="1" s="1"/>
  <c r="AB976" i="1"/>
  <c r="AC976" i="1" s="1"/>
  <c r="AB977" i="1"/>
  <c r="AC977" i="1" s="1"/>
  <c r="AB978" i="1"/>
  <c r="AC978" i="1" s="1"/>
  <c r="AB979" i="1"/>
  <c r="AC979" i="1" s="1"/>
  <c r="AB980" i="1"/>
  <c r="AC980" i="1" s="1"/>
  <c r="AB981" i="1"/>
  <c r="AC981" i="1" s="1"/>
  <c r="AB982" i="1"/>
  <c r="AC982" i="1" s="1"/>
  <c r="AB983" i="1"/>
  <c r="AC983" i="1" s="1"/>
  <c r="AB984" i="1"/>
  <c r="AC984" i="1" s="1"/>
  <c r="AB985" i="1"/>
  <c r="AC985" i="1" s="1"/>
  <c r="AB986" i="1"/>
  <c r="AC986" i="1" s="1"/>
  <c r="AB987" i="1"/>
  <c r="AC987" i="1" s="1"/>
  <c r="AB988" i="1"/>
  <c r="AC988" i="1" s="1"/>
  <c r="AB989" i="1"/>
  <c r="AC989" i="1" s="1"/>
  <c r="AB990" i="1"/>
  <c r="AC990" i="1" s="1"/>
  <c r="AB991" i="1"/>
  <c r="AC991" i="1" s="1"/>
  <c r="AB992" i="1"/>
  <c r="AC992" i="1" s="1"/>
  <c r="AB993" i="1"/>
  <c r="AC993" i="1" s="1"/>
  <c r="AB994" i="1"/>
  <c r="AC994" i="1" s="1"/>
  <c r="AB995" i="1"/>
  <c r="AC995" i="1" s="1"/>
  <c r="AB996" i="1"/>
  <c r="AC996" i="1" s="1"/>
  <c r="AB997" i="1"/>
  <c r="AC997" i="1" s="1"/>
  <c r="AB998" i="1"/>
  <c r="AC998" i="1" s="1"/>
  <c r="AB999" i="1"/>
  <c r="AC999" i="1" s="1"/>
  <c r="AB1000" i="1"/>
  <c r="AC1000" i="1" s="1"/>
  <c r="AB1001" i="1"/>
  <c r="AC1001" i="1" s="1"/>
  <c r="AB1002" i="1"/>
  <c r="AC1002" i="1" s="1"/>
  <c r="AB1003" i="1"/>
  <c r="AC1003" i="1" s="1"/>
  <c r="AB1004" i="1"/>
  <c r="AC1004" i="1" s="1"/>
  <c r="AB1005" i="1"/>
  <c r="AC1005" i="1" s="1"/>
  <c r="AB1006" i="1"/>
  <c r="AC1006" i="1" s="1"/>
  <c r="AB1007" i="1"/>
  <c r="AC1007" i="1" s="1"/>
  <c r="AB1008" i="1"/>
  <c r="AC1008" i="1" s="1"/>
  <c r="AB1009" i="1"/>
  <c r="AC1009" i="1" s="1"/>
  <c r="AB1010" i="1"/>
  <c r="AC1010" i="1" s="1"/>
  <c r="AB1011" i="1"/>
  <c r="AC1011" i="1" s="1"/>
  <c r="AB1012" i="1"/>
  <c r="AC1012" i="1" s="1"/>
  <c r="AB1013" i="1"/>
  <c r="AC1013" i="1" s="1"/>
  <c r="AB1014" i="1"/>
  <c r="AC1014" i="1" s="1"/>
  <c r="AB1015" i="1"/>
  <c r="AC1015" i="1" s="1"/>
  <c r="AB1016" i="1"/>
  <c r="AC1016" i="1" s="1"/>
  <c r="AB1017" i="1"/>
  <c r="AC1017" i="1" s="1"/>
  <c r="AB1018" i="1"/>
  <c r="AC1018" i="1" s="1"/>
  <c r="AB1019" i="1"/>
  <c r="AC1019" i="1" s="1"/>
  <c r="AB1020" i="1"/>
  <c r="AC1020" i="1" s="1"/>
  <c r="AB1021" i="1"/>
  <c r="AC1021" i="1" s="1"/>
  <c r="AB1022" i="1"/>
  <c r="AC1022" i="1" s="1"/>
  <c r="AB1023" i="1"/>
  <c r="AC1023" i="1" s="1"/>
  <c r="AB1024" i="1"/>
  <c r="AC1024" i="1" s="1"/>
  <c r="AB1025" i="1"/>
  <c r="AC1025" i="1" s="1"/>
  <c r="AB1026" i="1"/>
  <c r="AC1026" i="1" s="1"/>
  <c r="AB1027" i="1"/>
  <c r="AC1027" i="1" s="1"/>
  <c r="AB1028" i="1"/>
  <c r="AC1028" i="1" s="1"/>
  <c r="AB1029" i="1"/>
  <c r="AC1029" i="1" s="1"/>
  <c r="AB1030" i="1"/>
  <c r="AC1030" i="1" s="1"/>
  <c r="AB1031" i="1"/>
  <c r="AC1031" i="1" s="1"/>
  <c r="AB1032" i="1"/>
  <c r="AC1032" i="1" s="1"/>
  <c r="AB1033" i="1"/>
  <c r="AC1033" i="1" s="1"/>
  <c r="AB1034" i="1"/>
  <c r="AC1034" i="1" s="1"/>
  <c r="AB1035" i="1"/>
  <c r="AC1035" i="1" s="1"/>
  <c r="AB1036" i="1"/>
  <c r="AC1036" i="1" s="1"/>
  <c r="AB1037" i="1"/>
  <c r="AC1037" i="1" s="1"/>
  <c r="AB1038" i="1"/>
  <c r="AC1038" i="1" s="1"/>
  <c r="AB1039" i="1"/>
  <c r="AC1039" i="1" s="1"/>
  <c r="AB1040" i="1"/>
  <c r="AC1040" i="1" s="1"/>
  <c r="AB1041" i="1"/>
  <c r="AC1041" i="1" s="1"/>
  <c r="AB1042" i="1"/>
  <c r="AC1042" i="1" s="1"/>
  <c r="AB1043" i="1"/>
  <c r="AC1043" i="1" s="1"/>
  <c r="AB1044" i="1"/>
  <c r="AC1044" i="1" s="1"/>
  <c r="AB1045" i="1"/>
  <c r="AC1045" i="1" s="1"/>
  <c r="AB1046" i="1"/>
  <c r="AC1046" i="1" s="1"/>
  <c r="AB1047" i="1"/>
  <c r="AC1047" i="1" s="1"/>
  <c r="AB1048" i="1"/>
  <c r="AC1048" i="1" s="1"/>
  <c r="AB1049" i="1"/>
  <c r="AC1049" i="1" s="1"/>
  <c r="AB1050" i="1"/>
  <c r="AC1050" i="1" s="1"/>
  <c r="AB1051" i="1"/>
  <c r="AC1051" i="1" s="1"/>
  <c r="AB1052" i="1"/>
  <c r="AC1052" i="1" s="1"/>
  <c r="AB1053" i="1"/>
  <c r="AC1053" i="1" s="1"/>
  <c r="AB1054" i="1"/>
  <c r="AC1054" i="1" s="1"/>
  <c r="AB1055" i="1"/>
  <c r="AC1055" i="1" s="1"/>
  <c r="AB1056" i="1"/>
  <c r="AC1056" i="1" s="1"/>
  <c r="AB1057" i="1"/>
  <c r="AC1057" i="1" s="1"/>
  <c r="AB1058" i="1"/>
  <c r="AC1058" i="1" s="1"/>
  <c r="AB1059" i="1"/>
  <c r="AC1059" i="1" s="1"/>
  <c r="AB1060" i="1"/>
  <c r="AC1060" i="1" s="1"/>
  <c r="AB1061" i="1"/>
  <c r="AC1061" i="1" s="1"/>
  <c r="AB1062" i="1"/>
  <c r="AC1062" i="1" s="1"/>
  <c r="AB1063" i="1"/>
  <c r="AC1063" i="1" s="1"/>
  <c r="AB1064" i="1"/>
  <c r="AC1064" i="1" s="1"/>
  <c r="AB1065" i="1"/>
  <c r="AC1065" i="1" s="1"/>
  <c r="AB1066" i="1"/>
  <c r="AC1066" i="1" s="1"/>
  <c r="AB1067" i="1"/>
  <c r="AC1067" i="1" s="1"/>
  <c r="AB1068" i="1"/>
  <c r="AC1068" i="1" s="1"/>
  <c r="AB1069" i="1"/>
  <c r="AC1069" i="1" s="1"/>
  <c r="AB1070" i="1"/>
  <c r="AC1070" i="1" s="1"/>
  <c r="AB1071" i="1"/>
  <c r="AC1071" i="1" s="1"/>
  <c r="AB1072" i="1"/>
  <c r="AC1072" i="1" s="1"/>
  <c r="AB1073" i="1"/>
  <c r="AC1073" i="1" s="1"/>
  <c r="AB1074" i="1"/>
  <c r="AC1074" i="1" s="1"/>
  <c r="AB1075" i="1"/>
  <c r="AC1075" i="1" s="1"/>
  <c r="AB1076" i="1"/>
  <c r="AC1076" i="1" s="1"/>
  <c r="AB1077" i="1"/>
  <c r="AC1077" i="1" s="1"/>
  <c r="AB1078" i="1"/>
  <c r="AC1078" i="1" s="1"/>
  <c r="AB1079" i="1"/>
  <c r="AC1079" i="1" s="1"/>
  <c r="AB1080" i="1"/>
  <c r="AC1080" i="1" s="1"/>
  <c r="AB1081" i="1"/>
  <c r="AC1081" i="1" s="1"/>
  <c r="AB1082" i="1"/>
  <c r="AC1082" i="1" s="1"/>
  <c r="AB1083" i="1"/>
  <c r="AC1083" i="1" s="1"/>
  <c r="AB1084" i="1"/>
  <c r="AC1084" i="1" s="1"/>
  <c r="AB1085" i="1"/>
  <c r="AC1085" i="1" s="1"/>
  <c r="AB1086" i="1"/>
  <c r="AC1086" i="1" s="1"/>
  <c r="AB1087" i="1"/>
  <c r="AC1087" i="1" s="1"/>
  <c r="AB1088" i="1"/>
  <c r="AC1088" i="1" s="1"/>
  <c r="AB1089" i="1"/>
  <c r="AC1089" i="1" s="1"/>
  <c r="AB1090" i="1"/>
  <c r="AC1090" i="1" s="1"/>
  <c r="AB1091" i="1"/>
  <c r="AC1091" i="1" s="1"/>
  <c r="AB1092" i="1"/>
  <c r="AC1092" i="1" s="1"/>
  <c r="AB1093" i="1"/>
  <c r="AC1093" i="1" s="1"/>
  <c r="AB1094" i="1"/>
  <c r="AC1094" i="1" s="1"/>
  <c r="AB1095" i="1"/>
  <c r="AC1095" i="1" s="1"/>
  <c r="AB1096" i="1"/>
  <c r="AC1096" i="1" s="1"/>
  <c r="AB1097" i="1"/>
  <c r="AC1097" i="1" s="1"/>
  <c r="AB1098" i="1"/>
  <c r="AC1098" i="1" s="1"/>
  <c r="AB1099" i="1"/>
  <c r="AC1099" i="1" s="1"/>
  <c r="AB1100" i="1"/>
  <c r="AC1100" i="1" s="1"/>
  <c r="AB1101" i="1"/>
  <c r="AC1101" i="1" s="1"/>
  <c r="AB1102" i="1"/>
  <c r="AC1102" i="1" s="1"/>
  <c r="AB1103" i="1"/>
  <c r="AC1103" i="1" s="1"/>
  <c r="AB1104" i="1"/>
  <c r="AC1104" i="1" s="1"/>
  <c r="AB1105" i="1"/>
  <c r="AC1105" i="1" s="1"/>
  <c r="AB1106" i="1"/>
  <c r="AC1106" i="1" s="1"/>
  <c r="AB1107" i="1"/>
  <c r="AC1107" i="1" s="1"/>
  <c r="AB1108" i="1"/>
  <c r="AC1108" i="1" s="1"/>
  <c r="AB1109" i="1"/>
  <c r="AC1109" i="1" s="1"/>
  <c r="AB1110" i="1"/>
  <c r="AC1110" i="1" s="1"/>
  <c r="AB1111" i="1"/>
  <c r="AC1111" i="1" s="1"/>
  <c r="AB1112" i="1"/>
  <c r="AC1112" i="1" s="1"/>
  <c r="AB1113" i="1"/>
  <c r="AC1113" i="1" s="1"/>
  <c r="AB1114" i="1"/>
  <c r="AC1114" i="1" s="1"/>
  <c r="AB1115" i="1"/>
  <c r="AC1115" i="1" s="1"/>
  <c r="AB1116" i="1"/>
  <c r="AC1116" i="1" s="1"/>
  <c r="AB1117" i="1"/>
  <c r="AC1117" i="1" s="1"/>
  <c r="AB1118" i="1"/>
  <c r="AC1118" i="1" s="1"/>
  <c r="AB1119" i="1"/>
  <c r="AC1119" i="1" s="1"/>
  <c r="AB1120" i="1"/>
  <c r="AC1120" i="1" s="1"/>
  <c r="AB1121" i="1"/>
  <c r="AC1121" i="1" s="1"/>
  <c r="AB1122" i="1"/>
  <c r="AC1122" i="1" s="1"/>
  <c r="AB1123" i="1"/>
  <c r="AC1123" i="1" s="1"/>
  <c r="AB1124" i="1"/>
  <c r="AC1124" i="1" s="1"/>
  <c r="AB1125" i="1"/>
  <c r="AC1125" i="1" s="1"/>
  <c r="AB1126" i="1"/>
  <c r="AC1126" i="1" s="1"/>
  <c r="AB1127" i="1"/>
  <c r="AC1127" i="1" s="1"/>
  <c r="AB1128" i="1"/>
  <c r="AC1128" i="1" s="1"/>
  <c r="AB1129" i="1"/>
  <c r="AC1129" i="1" s="1"/>
  <c r="AB1130" i="1"/>
  <c r="AC1130" i="1" s="1"/>
  <c r="AB1131" i="1"/>
  <c r="AC1131" i="1" s="1"/>
  <c r="AB1132" i="1"/>
  <c r="AC1132" i="1" s="1"/>
  <c r="AB1133" i="1"/>
  <c r="AC1133" i="1" s="1"/>
  <c r="AB1134" i="1"/>
  <c r="AC1134" i="1" s="1"/>
  <c r="AB1135" i="1"/>
  <c r="AC1135" i="1" s="1"/>
  <c r="AB1136" i="1"/>
  <c r="AC1136" i="1" s="1"/>
  <c r="AB1137" i="1"/>
  <c r="AC1137" i="1" s="1"/>
  <c r="AB1138" i="1"/>
  <c r="AC1138" i="1" s="1"/>
  <c r="AB1139" i="1"/>
  <c r="AC1139" i="1" s="1"/>
  <c r="AB1140" i="1"/>
  <c r="AC1140" i="1" s="1"/>
  <c r="AB1141" i="1"/>
  <c r="AC1141" i="1" s="1"/>
  <c r="AB1142" i="1"/>
  <c r="AC1142" i="1" s="1"/>
  <c r="AB1143" i="1"/>
  <c r="AC1143" i="1" s="1"/>
  <c r="AB1144" i="1"/>
  <c r="AC1144" i="1" s="1"/>
  <c r="AB1145" i="1"/>
  <c r="AC1145" i="1" s="1"/>
  <c r="AB1146" i="1"/>
  <c r="AC1146" i="1" s="1"/>
  <c r="AB1147" i="1"/>
  <c r="AC1147" i="1" s="1"/>
  <c r="AB1148" i="1"/>
  <c r="AC1148" i="1" s="1"/>
  <c r="AB1149" i="1"/>
  <c r="AC1149" i="1" s="1"/>
  <c r="AB1150" i="1"/>
  <c r="AC1150" i="1" s="1"/>
  <c r="AB1151" i="1"/>
  <c r="AC1151" i="1" s="1"/>
  <c r="AB1152" i="1"/>
  <c r="AC1152" i="1" s="1"/>
  <c r="AB1153" i="1"/>
  <c r="AC1153" i="1" s="1"/>
  <c r="AB1154" i="1"/>
  <c r="AC1154" i="1" s="1"/>
  <c r="AB1155" i="1"/>
  <c r="AC1155" i="1" s="1"/>
  <c r="AB1156" i="1"/>
  <c r="AC1156" i="1" s="1"/>
  <c r="AB1157" i="1"/>
  <c r="AC1157" i="1" s="1"/>
  <c r="AB1158" i="1"/>
  <c r="AC1158" i="1" s="1"/>
  <c r="AB1159" i="1"/>
  <c r="AC1159" i="1" s="1"/>
  <c r="AB1160" i="1"/>
  <c r="AC1160" i="1" s="1"/>
  <c r="AB1161" i="1"/>
  <c r="AC1161" i="1" s="1"/>
  <c r="AB1162" i="1"/>
  <c r="AC1162" i="1" s="1"/>
  <c r="AB1163" i="1"/>
  <c r="AC1163" i="1" s="1"/>
  <c r="AB1164" i="1"/>
  <c r="AC1164" i="1" s="1"/>
  <c r="AB1165" i="1"/>
  <c r="AC1165" i="1" s="1"/>
  <c r="AB1166" i="1"/>
  <c r="AC1166" i="1" s="1"/>
  <c r="AB1167" i="1"/>
  <c r="AC1167" i="1" s="1"/>
  <c r="AB1168" i="1"/>
  <c r="AC1168" i="1" s="1"/>
  <c r="AB1169" i="1"/>
  <c r="AC1169" i="1" s="1"/>
  <c r="AB1170" i="1"/>
  <c r="AC1170" i="1" s="1"/>
  <c r="AB1171" i="1"/>
  <c r="AC1171" i="1" s="1"/>
  <c r="AB1172" i="1"/>
  <c r="AC1172" i="1" s="1"/>
  <c r="AB1173" i="1"/>
  <c r="AC1173" i="1" s="1"/>
  <c r="AB1174" i="1"/>
  <c r="AC1174" i="1" s="1"/>
  <c r="AB1175" i="1"/>
  <c r="AC1175" i="1" s="1"/>
  <c r="AB1176" i="1"/>
  <c r="AC1176" i="1" s="1"/>
  <c r="AB1177" i="1"/>
  <c r="AC1177" i="1" s="1"/>
  <c r="AB1178" i="1"/>
  <c r="AC1178" i="1" s="1"/>
  <c r="AB1179" i="1"/>
  <c r="AC1179" i="1" s="1"/>
  <c r="AB1180" i="1"/>
  <c r="AC1180" i="1" s="1"/>
  <c r="AB1181" i="1"/>
  <c r="AC1181" i="1" s="1"/>
  <c r="AB1182" i="1"/>
  <c r="AC1182" i="1" s="1"/>
  <c r="AB1183" i="1"/>
  <c r="AC1183" i="1" s="1"/>
  <c r="AB1184" i="1"/>
  <c r="AC1184" i="1" s="1"/>
  <c r="AB1185" i="1"/>
  <c r="AC1185" i="1" s="1"/>
  <c r="AB1186" i="1"/>
  <c r="AC1186" i="1" s="1"/>
  <c r="AB1187" i="1"/>
  <c r="AC1187" i="1" s="1"/>
  <c r="AB1188" i="1"/>
  <c r="AC1188" i="1" s="1"/>
  <c r="AB1189" i="1"/>
  <c r="AC1189" i="1" s="1"/>
  <c r="AB1190" i="1"/>
  <c r="AC1190" i="1" s="1"/>
  <c r="AB1191" i="1"/>
  <c r="AC1191" i="1" s="1"/>
  <c r="AB1192" i="1"/>
  <c r="AC1192" i="1" s="1"/>
  <c r="AB1193" i="1"/>
  <c r="AC1193" i="1" s="1"/>
  <c r="AB1194" i="1"/>
  <c r="AC1194" i="1" s="1"/>
  <c r="AB1195" i="1"/>
  <c r="AC1195" i="1" s="1"/>
  <c r="AB1196" i="1"/>
  <c r="AC1196" i="1" s="1"/>
  <c r="AB1197" i="1"/>
  <c r="AC1197" i="1" s="1"/>
  <c r="AB1198" i="1"/>
  <c r="AC1198" i="1" s="1"/>
  <c r="AB1199" i="1"/>
  <c r="AC1199" i="1" s="1"/>
  <c r="AB1200" i="1"/>
  <c r="AC1200" i="1" s="1"/>
  <c r="AB1201" i="1"/>
  <c r="AC1201" i="1" s="1"/>
  <c r="AB1202" i="1"/>
  <c r="AC1202" i="1" s="1"/>
  <c r="AB1203" i="1"/>
  <c r="AC1203" i="1" s="1"/>
  <c r="AB1204" i="1"/>
  <c r="AC1204" i="1" s="1"/>
  <c r="AB1205" i="1"/>
  <c r="AC1205" i="1" s="1"/>
  <c r="AB1206" i="1"/>
  <c r="AC1206" i="1" s="1"/>
  <c r="AB1280" i="1"/>
  <c r="AC1280" i="1" s="1"/>
  <c r="AB1281" i="1"/>
  <c r="AC1281" i="1" s="1"/>
  <c r="AB1282" i="1"/>
  <c r="AC1282" i="1" s="1"/>
  <c r="AB1283" i="1"/>
  <c r="AC1283" i="1" s="1"/>
  <c r="AB1284" i="1"/>
  <c r="AC1284" i="1" s="1"/>
  <c r="AB1285" i="1"/>
  <c r="AC1285" i="1" s="1"/>
  <c r="AB1286" i="1"/>
  <c r="AC1286" i="1" s="1"/>
  <c r="AB1287" i="1"/>
  <c r="AC1287" i="1" s="1"/>
  <c r="AB1288" i="1"/>
  <c r="AC1288" i="1" s="1"/>
  <c r="AB1289" i="1"/>
  <c r="AC1289" i="1" s="1"/>
  <c r="AB1290" i="1"/>
  <c r="AC1290" i="1" s="1"/>
  <c r="AB1291" i="1"/>
  <c r="AC1291" i="1" s="1"/>
  <c r="AB1292" i="1"/>
  <c r="AC1292" i="1" s="1"/>
  <c r="AB1293" i="1"/>
  <c r="AC1293" i="1" s="1"/>
  <c r="AB1294" i="1"/>
  <c r="AC1294" i="1" s="1"/>
  <c r="AB1295" i="1"/>
  <c r="AC1295" i="1" s="1"/>
  <c r="AB1296" i="1"/>
  <c r="AC1296" i="1" s="1"/>
  <c r="AB1297" i="1"/>
  <c r="AC1297" i="1" s="1"/>
  <c r="AB1298" i="1"/>
  <c r="AC1298" i="1" s="1"/>
  <c r="AB1299" i="1"/>
  <c r="AC1299" i="1" s="1"/>
  <c r="AB1300" i="1"/>
  <c r="AC1300" i="1" s="1"/>
  <c r="AB1301" i="1"/>
  <c r="AC1301" i="1" s="1"/>
  <c r="AB1302" i="1"/>
  <c r="AC1302" i="1" s="1"/>
  <c r="AB1303" i="1"/>
  <c r="AC1303" i="1" s="1"/>
  <c r="AB1304" i="1"/>
  <c r="AC1304" i="1" s="1"/>
  <c r="AB1305" i="1"/>
  <c r="AC1305" i="1" s="1"/>
  <c r="AB1306" i="1"/>
  <c r="AC1306" i="1" s="1"/>
  <c r="AB1307" i="1"/>
  <c r="AC1307" i="1" s="1"/>
  <c r="AB1308" i="1"/>
  <c r="AC1308" i="1" s="1"/>
  <c r="AB1309" i="1"/>
  <c r="AC1309" i="1" s="1"/>
  <c r="AB1310" i="1"/>
  <c r="AC1310" i="1" s="1"/>
  <c r="AB1311" i="1"/>
  <c r="AC1311" i="1" s="1"/>
  <c r="AB1312" i="1"/>
  <c r="AC1312" i="1" s="1"/>
  <c r="AB1313" i="1"/>
  <c r="AC1313" i="1" s="1"/>
  <c r="AB1314" i="1"/>
  <c r="AC1314" i="1" s="1"/>
  <c r="AB1315" i="1"/>
  <c r="AC1315" i="1" s="1"/>
  <c r="AB1316" i="1"/>
  <c r="AC1316" i="1" s="1"/>
  <c r="AB1317" i="1"/>
  <c r="AC1317" i="1" s="1"/>
  <c r="AB1318" i="1"/>
  <c r="AC1318" i="1" s="1"/>
  <c r="AB1319" i="1"/>
  <c r="AC1319" i="1" s="1"/>
  <c r="AB1320" i="1"/>
  <c r="AC1320" i="1" s="1"/>
  <c r="AB1321" i="1"/>
  <c r="AC1321" i="1" s="1"/>
  <c r="AB1322" i="1"/>
  <c r="AC1322" i="1" s="1"/>
  <c r="AB1323" i="1"/>
  <c r="AC1323" i="1" s="1"/>
  <c r="AB1324" i="1"/>
  <c r="AC1324" i="1" s="1"/>
  <c r="AB1325" i="1"/>
  <c r="AC1325" i="1" s="1"/>
  <c r="AB1326" i="1"/>
  <c r="AC1326" i="1" s="1"/>
  <c r="AB1327" i="1"/>
  <c r="AC1327" i="1" s="1"/>
  <c r="AB1328" i="1"/>
  <c r="AC1328" i="1" s="1"/>
  <c r="AB1329" i="1"/>
  <c r="AC1329" i="1" s="1"/>
  <c r="AB1330" i="1"/>
  <c r="AC1330" i="1" s="1"/>
  <c r="AB1331" i="1"/>
  <c r="AC1331" i="1" s="1"/>
  <c r="AB1332" i="1"/>
  <c r="AC1332" i="1" s="1"/>
  <c r="AB1333" i="1"/>
  <c r="AC1333" i="1" s="1"/>
  <c r="AB1334" i="1"/>
  <c r="AC1334" i="1" s="1"/>
  <c r="AB1335" i="1"/>
  <c r="AC1335" i="1" s="1"/>
  <c r="AB1336" i="1"/>
  <c r="AC1336" i="1" s="1"/>
  <c r="AB1337" i="1"/>
  <c r="AC1337" i="1" s="1"/>
  <c r="AB1338" i="1"/>
  <c r="AC1338" i="1" s="1"/>
  <c r="AB1339" i="1"/>
  <c r="AC1339" i="1" s="1"/>
  <c r="AB1340" i="1"/>
  <c r="AC1340" i="1" s="1"/>
  <c r="AB1341" i="1"/>
  <c r="AC1341" i="1" s="1"/>
  <c r="AB1342" i="1"/>
  <c r="AC1342" i="1" s="1"/>
  <c r="AB1343" i="1"/>
  <c r="AC1343" i="1" s="1"/>
  <c r="AB1344" i="1"/>
  <c r="AC1344" i="1" s="1"/>
  <c r="AB1345" i="1"/>
  <c r="AC1345" i="1" s="1"/>
  <c r="AB1346" i="1"/>
  <c r="AC1346" i="1" s="1"/>
  <c r="AB1347" i="1"/>
  <c r="AC1347" i="1" s="1"/>
  <c r="AB1348" i="1"/>
  <c r="AC1348" i="1" s="1"/>
  <c r="AB1349" i="1"/>
  <c r="AC1349" i="1" s="1"/>
  <c r="AB1350" i="1"/>
  <c r="AC1350" i="1" s="1"/>
  <c r="AB1351" i="1"/>
  <c r="AC1351" i="1" s="1"/>
  <c r="AB1352" i="1"/>
  <c r="AC1352" i="1" s="1"/>
  <c r="AB1353" i="1"/>
  <c r="AC1353" i="1" s="1"/>
  <c r="AB1354" i="1"/>
  <c r="AC1354" i="1" s="1"/>
  <c r="AB1355" i="1"/>
  <c r="AC1355" i="1" s="1"/>
  <c r="AB1356" i="1"/>
  <c r="AC1356" i="1" s="1"/>
  <c r="AB1357" i="1"/>
  <c r="AC1357" i="1" s="1"/>
  <c r="AB1358" i="1"/>
  <c r="AC1358" i="1" s="1"/>
  <c r="AB1359" i="1"/>
  <c r="AC1359" i="1" s="1"/>
  <c r="AB1360" i="1"/>
  <c r="AC1360" i="1" s="1"/>
  <c r="AB1361" i="1"/>
  <c r="AC1361" i="1" s="1"/>
  <c r="AB1362" i="1"/>
  <c r="AC1362" i="1" s="1"/>
  <c r="AB1363" i="1"/>
  <c r="AC1363" i="1" s="1"/>
  <c r="AB1364" i="1"/>
  <c r="AC1364" i="1" s="1"/>
  <c r="AB1365" i="1"/>
  <c r="AC1365" i="1" s="1"/>
  <c r="AB1366" i="1"/>
  <c r="AC1366" i="1" s="1"/>
  <c r="AB1367" i="1"/>
  <c r="AC1367" i="1" s="1"/>
  <c r="AB1368" i="1"/>
  <c r="AC1368" i="1" s="1"/>
  <c r="AB1369" i="1"/>
  <c r="AC1369" i="1" s="1"/>
  <c r="AB1370" i="1"/>
  <c r="AC1370" i="1" s="1"/>
  <c r="AB1371" i="1"/>
  <c r="AC1371" i="1" s="1"/>
  <c r="AB1372" i="1"/>
  <c r="AC1372" i="1" s="1"/>
  <c r="AB1373" i="1"/>
  <c r="AC1373" i="1" s="1"/>
  <c r="AB1374" i="1"/>
  <c r="AC1374" i="1" s="1"/>
  <c r="AB1375" i="1"/>
  <c r="AC1375" i="1" s="1"/>
  <c r="AB1376" i="1"/>
  <c r="AC1376" i="1" s="1"/>
  <c r="AB1377" i="1"/>
  <c r="AC1377" i="1" s="1"/>
  <c r="AB1378" i="1"/>
  <c r="AC1378" i="1" s="1"/>
  <c r="AB1379" i="1"/>
  <c r="AC1379" i="1" s="1"/>
  <c r="AB1380" i="1"/>
  <c r="AC1380" i="1" s="1"/>
  <c r="AB1381" i="1"/>
  <c r="AC1381" i="1" s="1"/>
  <c r="AB1382" i="1"/>
  <c r="AC1382" i="1" s="1"/>
  <c r="AB1383" i="1"/>
  <c r="AC1383" i="1" s="1"/>
  <c r="AB1384" i="1"/>
  <c r="AC1384" i="1" s="1"/>
  <c r="AB1385" i="1"/>
  <c r="AC1385" i="1" s="1"/>
  <c r="AB1386" i="1"/>
  <c r="AC1386" i="1" s="1"/>
  <c r="AB1387" i="1"/>
  <c r="AC1387" i="1" s="1"/>
  <c r="AB1388" i="1"/>
  <c r="AC1388" i="1" s="1"/>
  <c r="AB1389" i="1"/>
  <c r="AC1389" i="1" s="1"/>
  <c r="AB1390" i="1"/>
  <c r="AC1390" i="1" s="1"/>
  <c r="AB1391" i="1"/>
  <c r="AC1391" i="1" s="1"/>
  <c r="AB1392" i="1"/>
  <c r="AC1392" i="1" s="1"/>
  <c r="AB1393" i="1"/>
  <c r="AC1393" i="1" s="1"/>
  <c r="AB1394" i="1"/>
  <c r="AC1394" i="1" s="1"/>
  <c r="AB1395" i="1"/>
  <c r="AC1395" i="1" s="1"/>
  <c r="AB1396" i="1"/>
  <c r="AC1396" i="1" s="1"/>
  <c r="AB1397" i="1"/>
  <c r="AC1397" i="1" s="1"/>
  <c r="AB1398" i="1"/>
  <c r="AC1398" i="1" s="1"/>
  <c r="AB1399" i="1"/>
  <c r="AC1399" i="1" s="1"/>
  <c r="AB1400" i="1"/>
  <c r="AC1400" i="1" s="1"/>
  <c r="AB1401" i="1"/>
  <c r="AC1401" i="1" s="1"/>
  <c r="AB1402" i="1"/>
  <c r="AC1402" i="1" s="1"/>
  <c r="AB1403" i="1"/>
  <c r="AC1403" i="1" s="1"/>
  <c r="AB1404" i="1"/>
  <c r="AC1404" i="1" s="1"/>
  <c r="AB1405" i="1"/>
  <c r="AC1405" i="1" s="1"/>
  <c r="AB1406" i="1"/>
  <c r="AC1406" i="1" s="1"/>
  <c r="AB1407" i="1"/>
  <c r="AC1407" i="1" s="1"/>
  <c r="AB1408" i="1"/>
  <c r="AC1408" i="1" s="1"/>
  <c r="AB1409" i="1"/>
  <c r="AC1409" i="1" s="1"/>
  <c r="AB1410" i="1"/>
  <c r="AC1410" i="1" s="1"/>
  <c r="AB1411" i="1"/>
  <c r="AC1411" i="1" s="1"/>
  <c r="AB1412" i="1"/>
  <c r="AC1412" i="1" s="1"/>
  <c r="AB1413" i="1"/>
  <c r="AC1413" i="1" s="1"/>
  <c r="AB1414" i="1"/>
  <c r="AC1414" i="1" s="1"/>
  <c r="AB1415" i="1"/>
  <c r="AC1415" i="1" s="1"/>
  <c r="AB1416" i="1"/>
  <c r="AC1416" i="1" s="1"/>
  <c r="AB1417" i="1"/>
  <c r="AC1417" i="1" s="1"/>
  <c r="AB1418" i="1"/>
  <c r="AC1418" i="1" s="1"/>
  <c r="AB1419" i="1"/>
  <c r="AC1419" i="1" s="1"/>
  <c r="AB1420" i="1"/>
  <c r="AC1420" i="1" s="1"/>
  <c r="AB1421" i="1"/>
  <c r="AC1421" i="1" s="1"/>
  <c r="AB1422" i="1"/>
  <c r="AC1422" i="1" s="1"/>
  <c r="AB1423" i="1"/>
  <c r="AC1423" i="1" s="1"/>
  <c r="AB1424" i="1"/>
  <c r="AC1424" i="1" s="1"/>
  <c r="AB1425" i="1"/>
  <c r="AC1425" i="1" s="1"/>
  <c r="AB1426" i="1"/>
  <c r="AC1426" i="1" s="1"/>
  <c r="AB1427" i="1"/>
  <c r="AC1427" i="1" s="1"/>
  <c r="AB1428" i="1"/>
  <c r="AC1428" i="1" s="1"/>
  <c r="AB1429" i="1"/>
  <c r="AC1429" i="1" s="1"/>
  <c r="AB1430" i="1"/>
  <c r="AC1430" i="1" s="1"/>
  <c r="AB1431" i="1"/>
  <c r="AC1431" i="1" s="1"/>
  <c r="AB1432" i="1"/>
  <c r="AC1432" i="1" s="1"/>
  <c r="AB1433" i="1"/>
  <c r="AC1433" i="1" s="1"/>
  <c r="AB1434" i="1"/>
  <c r="AC1434" i="1" s="1"/>
  <c r="AB1435" i="1"/>
  <c r="AC1435" i="1" s="1"/>
  <c r="AB1436" i="1"/>
  <c r="AC1436" i="1" s="1"/>
  <c r="AB1437" i="1"/>
  <c r="AC1437" i="1" s="1"/>
  <c r="AB1438" i="1"/>
  <c r="AC1438" i="1" s="1"/>
  <c r="AB1439" i="1"/>
  <c r="AC1439" i="1" s="1"/>
  <c r="AB1440" i="1"/>
  <c r="AC1440" i="1" s="1"/>
  <c r="AB1441" i="1"/>
  <c r="AC1441" i="1" s="1"/>
  <c r="AB1442" i="1"/>
  <c r="AC1442" i="1" s="1"/>
  <c r="AB1443" i="1"/>
  <c r="AC1443" i="1" s="1"/>
  <c r="AB1444" i="1"/>
  <c r="AC1444" i="1" s="1"/>
  <c r="AB1445" i="1"/>
  <c r="AC1445" i="1" s="1"/>
  <c r="AB1446" i="1"/>
  <c r="AC1446" i="1" s="1"/>
  <c r="AB1447" i="1"/>
  <c r="AC1447" i="1" s="1"/>
  <c r="AB1448" i="1"/>
  <c r="AC1448" i="1" s="1"/>
  <c r="AB1449" i="1"/>
  <c r="AC1449" i="1" s="1"/>
  <c r="AB1450" i="1"/>
  <c r="AC1450" i="1" s="1"/>
  <c r="AB1451" i="1"/>
  <c r="AC1451" i="1" s="1"/>
  <c r="AB1452" i="1"/>
  <c r="AC1452" i="1" s="1"/>
  <c r="AB1453" i="1"/>
  <c r="AC1453" i="1" s="1"/>
  <c r="AB1454" i="1"/>
  <c r="AC1454" i="1" s="1"/>
  <c r="AB1455" i="1"/>
  <c r="AC1455" i="1" s="1"/>
  <c r="AB1456" i="1"/>
  <c r="AC1456" i="1" s="1"/>
  <c r="AB1457" i="1"/>
  <c r="AC1457" i="1" s="1"/>
  <c r="AB1458" i="1"/>
  <c r="AC1458" i="1" s="1"/>
  <c r="AB1459" i="1"/>
  <c r="AC1459" i="1" s="1"/>
  <c r="AB1460" i="1"/>
  <c r="AC1460" i="1" s="1"/>
  <c r="AB1461" i="1"/>
  <c r="AC1461" i="1" s="1"/>
  <c r="AB1462" i="1"/>
  <c r="AC1462" i="1" s="1"/>
  <c r="AB1463" i="1"/>
  <c r="AC1463" i="1" s="1"/>
  <c r="AB1464" i="1"/>
  <c r="AC1464" i="1" s="1"/>
  <c r="AB1465" i="1"/>
  <c r="AC1465" i="1" s="1"/>
  <c r="AB1466" i="1"/>
  <c r="AC1466" i="1" s="1"/>
  <c r="AB1467" i="1"/>
  <c r="AC1467" i="1" s="1"/>
  <c r="AB1468" i="1"/>
  <c r="AC1468" i="1" s="1"/>
  <c r="AB1469" i="1"/>
  <c r="AC1469" i="1" s="1"/>
  <c r="AB1470" i="1"/>
  <c r="AC1470" i="1" s="1"/>
  <c r="AB1471" i="1"/>
  <c r="AC1471" i="1" s="1"/>
  <c r="AB1472" i="1"/>
  <c r="AC1472" i="1" s="1"/>
  <c r="AB1473" i="1"/>
  <c r="AC1473" i="1" s="1"/>
  <c r="AB1474" i="1"/>
  <c r="AC1474" i="1" s="1"/>
  <c r="AB1475" i="1"/>
  <c r="AC1475" i="1" s="1"/>
  <c r="AB1476" i="1"/>
  <c r="AC1476" i="1" s="1"/>
  <c r="AB1477" i="1"/>
  <c r="AC1477" i="1" s="1"/>
  <c r="AB1478" i="1"/>
  <c r="AC1478" i="1" s="1"/>
  <c r="AB1479" i="1"/>
  <c r="AC1479" i="1" s="1"/>
  <c r="AB1480" i="1"/>
  <c r="AC1480" i="1" s="1"/>
  <c r="AB1481" i="1"/>
  <c r="AC1481" i="1" s="1"/>
  <c r="AB1482" i="1"/>
  <c r="AC1482" i="1" s="1"/>
  <c r="AB1483" i="1"/>
  <c r="AC1483" i="1" s="1"/>
  <c r="AB1484" i="1"/>
  <c r="AC1484" i="1" s="1"/>
  <c r="AB1485" i="1"/>
  <c r="AC1485" i="1" s="1"/>
  <c r="AB1486" i="1"/>
  <c r="AC1486" i="1" s="1"/>
  <c r="AB1487" i="1"/>
  <c r="AC1487" i="1" s="1"/>
  <c r="AB1488" i="1"/>
  <c r="AC1488" i="1" s="1"/>
  <c r="AB1489" i="1"/>
  <c r="AC1489" i="1" s="1"/>
  <c r="AB1490" i="1"/>
  <c r="AC1490" i="1" s="1"/>
  <c r="AB1491" i="1"/>
  <c r="AC1491" i="1" s="1"/>
  <c r="AB1492" i="1"/>
  <c r="AC1492" i="1" s="1"/>
  <c r="AB1493" i="1"/>
  <c r="AC1493" i="1" s="1"/>
  <c r="AB1494" i="1"/>
  <c r="AC1494" i="1" s="1"/>
  <c r="AB1495" i="1"/>
  <c r="AC1495" i="1" s="1"/>
  <c r="AB1496" i="1"/>
  <c r="AC1496" i="1" s="1"/>
  <c r="AB1497" i="1"/>
  <c r="AC1497" i="1" s="1"/>
  <c r="AB1498" i="1"/>
  <c r="AC1498" i="1" s="1"/>
  <c r="AB1499" i="1"/>
  <c r="AC1499" i="1" s="1"/>
  <c r="AB1500" i="1"/>
  <c r="AC1500" i="1" s="1"/>
  <c r="AB1501" i="1"/>
  <c r="AC1501" i="1" s="1"/>
  <c r="AB1502" i="1"/>
  <c r="AC1502" i="1" s="1"/>
  <c r="AB1503" i="1"/>
  <c r="AC1503" i="1" s="1"/>
  <c r="AB1504" i="1"/>
  <c r="AC1504" i="1" s="1"/>
  <c r="AB1505" i="1"/>
  <c r="AC1505" i="1" s="1"/>
  <c r="AB1506" i="1"/>
  <c r="AC1506" i="1" s="1"/>
  <c r="AB1507" i="1"/>
  <c r="AC1507" i="1" s="1"/>
  <c r="AB1508" i="1"/>
  <c r="AC1508" i="1" s="1"/>
  <c r="AB1509" i="1"/>
  <c r="AC1509" i="1" s="1"/>
  <c r="AB1510" i="1"/>
  <c r="AC1510" i="1" s="1"/>
  <c r="AB1511" i="1"/>
  <c r="AC1511" i="1" s="1"/>
  <c r="AB1512" i="1"/>
  <c r="AC1512" i="1" s="1"/>
  <c r="AB1513" i="1"/>
  <c r="AC1513" i="1" s="1"/>
  <c r="AB1514" i="1"/>
  <c r="AC1514" i="1" s="1"/>
  <c r="AB1515" i="1"/>
  <c r="AC1515" i="1" s="1"/>
  <c r="AB1516" i="1"/>
  <c r="AC1516" i="1" s="1"/>
  <c r="AB1517" i="1"/>
  <c r="AC1517" i="1" s="1"/>
  <c r="AB1518" i="1"/>
  <c r="AC1518" i="1" s="1"/>
  <c r="AB1519" i="1"/>
  <c r="AC1519" i="1" s="1"/>
  <c r="AB1520" i="1"/>
  <c r="AC1520" i="1" s="1"/>
  <c r="AB1521" i="1"/>
  <c r="AC1521" i="1" s="1"/>
  <c r="AB1522" i="1"/>
  <c r="AC1522" i="1" s="1"/>
  <c r="AB1523" i="1"/>
  <c r="AC1523" i="1" s="1"/>
  <c r="AB1524" i="1"/>
  <c r="AC1524" i="1" s="1"/>
  <c r="AB1525" i="1"/>
  <c r="AC1525" i="1" s="1"/>
  <c r="AB1526" i="1"/>
  <c r="AC1526" i="1" s="1"/>
  <c r="AB1527" i="1"/>
  <c r="AC1527" i="1" s="1"/>
  <c r="AB1528" i="1"/>
  <c r="AC1528" i="1" s="1"/>
  <c r="AB1529" i="1"/>
  <c r="AC1529" i="1" s="1"/>
  <c r="AB1530" i="1"/>
  <c r="AC1530" i="1" s="1"/>
  <c r="AB1531" i="1"/>
  <c r="AC1531" i="1" s="1"/>
  <c r="AB1532" i="1"/>
  <c r="AC1532" i="1" s="1"/>
  <c r="AB1533" i="1"/>
  <c r="AC1533" i="1" s="1"/>
  <c r="AB1534" i="1"/>
  <c r="AC1534" i="1" s="1"/>
  <c r="AB1535" i="1"/>
  <c r="AC1535" i="1" s="1"/>
  <c r="AB1536" i="1"/>
  <c r="AC1536" i="1" s="1"/>
  <c r="AB1537" i="1"/>
  <c r="AC1537" i="1" s="1"/>
  <c r="AB1538" i="1"/>
  <c r="AC1538" i="1" s="1"/>
  <c r="AB1539" i="1"/>
  <c r="AC1539" i="1" s="1"/>
  <c r="AB1540" i="1"/>
  <c r="AC1540" i="1" s="1"/>
  <c r="AB1541" i="1"/>
  <c r="AC1541" i="1" s="1"/>
  <c r="AB1542" i="1"/>
  <c r="AC1542" i="1" s="1"/>
  <c r="AB1543" i="1"/>
  <c r="AC1543" i="1" s="1"/>
  <c r="AB1544" i="1"/>
  <c r="AC1544" i="1" s="1"/>
  <c r="AB1545" i="1"/>
  <c r="AC1545" i="1" s="1"/>
  <c r="AB1546" i="1"/>
  <c r="AC1546" i="1" s="1"/>
  <c r="AB1547" i="1"/>
  <c r="AC1547" i="1" s="1"/>
  <c r="AB1548" i="1"/>
  <c r="AC1548" i="1" s="1"/>
  <c r="AB1549" i="1"/>
  <c r="AC1549" i="1" s="1"/>
  <c r="AB1550" i="1"/>
  <c r="AC1550" i="1" s="1"/>
  <c r="AB1551" i="1"/>
  <c r="AC1551" i="1" s="1"/>
  <c r="AB1552" i="1"/>
  <c r="AC1552" i="1" s="1"/>
  <c r="AB1553" i="1"/>
  <c r="AC1553" i="1" s="1"/>
  <c r="AB1554" i="1"/>
  <c r="AC1554" i="1" s="1"/>
  <c r="AB1555" i="1"/>
  <c r="AC1555" i="1" s="1"/>
  <c r="AB1556" i="1"/>
  <c r="AC1556" i="1" s="1"/>
  <c r="AB1557" i="1"/>
  <c r="AC1557" i="1" s="1"/>
  <c r="AB1558" i="1"/>
  <c r="AC1558" i="1" s="1"/>
  <c r="AB1559" i="1"/>
  <c r="AC1559" i="1" s="1"/>
  <c r="AB1560" i="1"/>
  <c r="AC1560" i="1" s="1"/>
  <c r="AB1561" i="1"/>
  <c r="AC1561" i="1" s="1"/>
  <c r="AB1562" i="1"/>
  <c r="AC1562" i="1" s="1"/>
  <c r="AB1563" i="1"/>
  <c r="AC1563" i="1" s="1"/>
  <c r="AB1564" i="1"/>
  <c r="AC1564" i="1" s="1"/>
  <c r="AB1565" i="1"/>
  <c r="AC1565" i="1" s="1"/>
  <c r="AB1566" i="1"/>
  <c r="AC1566" i="1" s="1"/>
  <c r="AB1567" i="1"/>
  <c r="AC1567" i="1" s="1"/>
  <c r="AB1568" i="1"/>
  <c r="AC1568" i="1" s="1"/>
  <c r="AB1569" i="1"/>
  <c r="AC1569" i="1" s="1"/>
  <c r="AB1570" i="1"/>
  <c r="AC1570" i="1" s="1"/>
  <c r="AB1571" i="1"/>
  <c r="AC1571" i="1" s="1"/>
  <c r="AB1572" i="1"/>
  <c r="AC1572" i="1" s="1"/>
  <c r="AB1573" i="1"/>
  <c r="AC1573" i="1" s="1"/>
  <c r="AB1574" i="1"/>
  <c r="AC1574" i="1" s="1"/>
  <c r="AB1575" i="1"/>
  <c r="AC1575" i="1" s="1"/>
  <c r="AB1576" i="1"/>
  <c r="AC1576" i="1" s="1"/>
  <c r="AB1577" i="1"/>
  <c r="AC1577" i="1" s="1"/>
  <c r="AB1578" i="1"/>
  <c r="AC1578" i="1" s="1"/>
  <c r="AB1579" i="1"/>
  <c r="AC1579" i="1" s="1"/>
  <c r="AB1580" i="1"/>
  <c r="AC1580" i="1" s="1"/>
  <c r="AB1581" i="1"/>
  <c r="AC1581" i="1" s="1"/>
  <c r="AB1582" i="1"/>
  <c r="AC1582" i="1" s="1"/>
  <c r="AB1583" i="1"/>
  <c r="AC1583" i="1" s="1"/>
  <c r="AB1584" i="1"/>
  <c r="AC1584" i="1" s="1"/>
  <c r="AB1585" i="1"/>
  <c r="AC1585" i="1" s="1"/>
  <c r="AB1586" i="1"/>
  <c r="AC1586" i="1" s="1"/>
  <c r="AB1587" i="1"/>
  <c r="AC1587" i="1" s="1"/>
  <c r="AB1588" i="1"/>
  <c r="AC1588" i="1" s="1"/>
  <c r="AB1589" i="1"/>
  <c r="AC1589" i="1" s="1"/>
  <c r="AB1590" i="1"/>
  <c r="AC1590" i="1" s="1"/>
  <c r="AB1591" i="1"/>
  <c r="AC1591" i="1" s="1"/>
  <c r="AB1592" i="1"/>
  <c r="AC1592" i="1" s="1"/>
  <c r="AB1593" i="1"/>
  <c r="AC1593" i="1" s="1"/>
  <c r="AB1594" i="1"/>
  <c r="AC1594" i="1" s="1"/>
  <c r="AB1595" i="1"/>
  <c r="AC1595" i="1" s="1"/>
  <c r="AB1596" i="1"/>
  <c r="AC1596" i="1" s="1"/>
  <c r="AB1597" i="1"/>
  <c r="AC1597" i="1" s="1"/>
  <c r="AB1598" i="1"/>
  <c r="AC1598" i="1" s="1"/>
  <c r="AB1599" i="1"/>
  <c r="AC1599" i="1" s="1"/>
  <c r="AB1600" i="1"/>
  <c r="AC1600" i="1" s="1"/>
  <c r="AB1601" i="1"/>
  <c r="AC1601" i="1" s="1"/>
  <c r="AB1602" i="1"/>
  <c r="AC1602" i="1" s="1"/>
  <c r="AB1603" i="1"/>
  <c r="AC1603" i="1" s="1"/>
  <c r="AB1604" i="1"/>
  <c r="AC1604" i="1" s="1"/>
  <c r="AB1605" i="1"/>
  <c r="AC1605" i="1" s="1"/>
  <c r="AB1606" i="1"/>
  <c r="AC1606" i="1" s="1"/>
  <c r="AB1607" i="1"/>
  <c r="AC1607" i="1" s="1"/>
  <c r="AB1608" i="1"/>
  <c r="AC1608" i="1" s="1"/>
  <c r="AB1609" i="1"/>
  <c r="AC1609" i="1" s="1"/>
  <c r="AB1610" i="1"/>
  <c r="AC1610" i="1" s="1"/>
  <c r="AB1611" i="1"/>
  <c r="AC1611" i="1" s="1"/>
  <c r="AB1612" i="1"/>
  <c r="AC1612" i="1" s="1"/>
  <c r="AB1613" i="1"/>
  <c r="AC1613" i="1" s="1"/>
  <c r="AB1614" i="1"/>
  <c r="AC1614" i="1" s="1"/>
  <c r="AB1615" i="1"/>
  <c r="AC1615" i="1" s="1"/>
  <c r="AB1616" i="1"/>
  <c r="AC1616" i="1" s="1"/>
  <c r="AB1617" i="1"/>
  <c r="AC1617" i="1" s="1"/>
  <c r="AB1618" i="1"/>
  <c r="AC1618" i="1" s="1"/>
  <c r="AB1619" i="1"/>
  <c r="AC1619" i="1" s="1"/>
  <c r="AB1620" i="1"/>
  <c r="AC1620" i="1" s="1"/>
  <c r="AB1621" i="1"/>
  <c r="AC1621" i="1" s="1"/>
  <c r="AB1622" i="1"/>
  <c r="AC1622" i="1" s="1"/>
  <c r="AB1623" i="1"/>
  <c r="AC1623" i="1" s="1"/>
  <c r="AB1624" i="1"/>
  <c r="AC1624" i="1" s="1"/>
  <c r="AB1625" i="1"/>
  <c r="AC1625" i="1" s="1"/>
  <c r="AB1626" i="1"/>
  <c r="AC1626" i="1" s="1"/>
  <c r="AB1627" i="1"/>
  <c r="AC1627" i="1" s="1"/>
  <c r="AB1628" i="1"/>
  <c r="AC1628" i="1" s="1"/>
  <c r="AB1629" i="1"/>
  <c r="AC1629" i="1" s="1"/>
  <c r="AB1630" i="1"/>
  <c r="AC1630" i="1" s="1"/>
  <c r="AB1631" i="1"/>
  <c r="AC1631" i="1" s="1"/>
  <c r="AB1632" i="1"/>
  <c r="AC1632" i="1" s="1"/>
  <c r="AB1633" i="1"/>
  <c r="AC1633" i="1" s="1"/>
  <c r="AB1634" i="1"/>
  <c r="AC1634" i="1" s="1"/>
  <c r="AB1635" i="1"/>
  <c r="AC1635" i="1" s="1"/>
  <c r="AB1636" i="1"/>
  <c r="AC1636" i="1" s="1"/>
  <c r="AB1637" i="1"/>
  <c r="AC1637" i="1" s="1"/>
  <c r="AB1638" i="1"/>
  <c r="AC1638" i="1" s="1"/>
  <c r="AB1639" i="1"/>
  <c r="AC1639" i="1" s="1"/>
  <c r="AB1640" i="1"/>
  <c r="AC1640" i="1" s="1"/>
  <c r="AB1641" i="1"/>
  <c r="AC1641" i="1" s="1"/>
  <c r="AB1642" i="1"/>
  <c r="AC1642" i="1" s="1"/>
  <c r="AB1643" i="1"/>
  <c r="AC1643" i="1" s="1"/>
  <c r="AB1644" i="1"/>
  <c r="AC1644" i="1" s="1"/>
  <c r="AB1645" i="1"/>
  <c r="AC1645" i="1" s="1"/>
  <c r="AB1646" i="1"/>
  <c r="AC1646" i="1" s="1"/>
  <c r="AB1647" i="1"/>
  <c r="AC1647" i="1" s="1"/>
  <c r="AB1648" i="1"/>
  <c r="AC1648" i="1" s="1"/>
  <c r="AB1649" i="1"/>
  <c r="AC1649" i="1" s="1"/>
  <c r="AB1650" i="1"/>
  <c r="AC1650" i="1" s="1"/>
  <c r="AB1651" i="1"/>
  <c r="AC1651" i="1" s="1"/>
  <c r="AB1652" i="1"/>
  <c r="AC1652" i="1" s="1"/>
  <c r="AB1653" i="1"/>
  <c r="AC1653" i="1" s="1"/>
  <c r="AB1654" i="1"/>
  <c r="AC1654" i="1" s="1"/>
  <c r="AB1655" i="1"/>
  <c r="AC1655" i="1" s="1"/>
  <c r="AB1656" i="1"/>
  <c r="AC1656" i="1" s="1"/>
  <c r="AB1657" i="1"/>
  <c r="AC1657" i="1" s="1"/>
  <c r="AB1658" i="1"/>
  <c r="AC1658" i="1" s="1"/>
  <c r="AB1659" i="1"/>
  <c r="AC1659" i="1" s="1"/>
  <c r="AB1660" i="1"/>
  <c r="AC1660" i="1" s="1"/>
  <c r="AB1661" i="1"/>
  <c r="AC1661" i="1" s="1"/>
  <c r="AB1662" i="1"/>
  <c r="AC1662" i="1" s="1"/>
  <c r="AB1663" i="1"/>
  <c r="AC1663" i="1" s="1"/>
  <c r="AB1664" i="1"/>
  <c r="AC1664" i="1" s="1"/>
  <c r="AB1665" i="1"/>
  <c r="AC1665" i="1" s="1"/>
  <c r="AB1666" i="1"/>
  <c r="AC1666" i="1" s="1"/>
  <c r="AB1667" i="1"/>
  <c r="AC1667" i="1" s="1"/>
  <c r="AB1668" i="1"/>
  <c r="AC1668" i="1" s="1"/>
  <c r="AB1669" i="1"/>
  <c r="AC1669" i="1" s="1"/>
  <c r="AB1670" i="1"/>
  <c r="AC1670" i="1" s="1"/>
  <c r="AB1671" i="1"/>
  <c r="AC1671" i="1" s="1"/>
  <c r="AB1672" i="1"/>
  <c r="AC1672" i="1" s="1"/>
  <c r="AB1673" i="1"/>
  <c r="AC1673" i="1" s="1"/>
  <c r="AB1674" i="1"/>
  <c r="AC1674" i="1" s="1"/>
  <c r="AB1675" i="1"/>
  <c r="AC1675" i="1" s="1"/>
  <c r="AB1676" i="1"/>
  <c r="AC1676" i="1" s="1"/>
  <c r="AB1677" i="1"/>
  <c r="AC1677" i="1" s="1"/>
  <c r="AB1678" i="1"/>
  <c r="AC1678" i="1" s="1"/>
  <c r="AB1679" i="1"/>
  <c r="AC1679" i="1" s="1"/>
  <c r="AB1680" i="1"/>
  <c r="AC1680" i="1" s="1"/>
  <c r="AB1681" i="1"/>
  <c r="AC1681" i="1" s="1"/>
  <c r="AB1682" i="1"/>
  <c r="AC1682" i="1" s="1"/>
  <c r="AB1683" i="1"/>
  <c r="AC1683" i="1" s="1"/>
  <c r="AB1684" i="1"/>
  <c r="AC1684" i="1" s="1"/>
  <c r="AB1685" i="1"/>
  <c r="AC1685" i="1" s="1"/>
  <c r="AB1686" i="1"/>
  <c r="AC1686" i="1" s="1"/>
  <c r="AB1687" i="1"/>
  <c r="AC1687" i="1" s="1"/>
  <c r="AB1688" i="1"/>
  <c r="AC1688" i="1" s="1"/>
  <c r="AB1689" i="1"/>
  <c r="AC1689" i="1" s="1"/>
  <c r="AB1690" i="1"/>
  <c r="AC1690" i="1" s="1"/>
  <c r="AB1691" i="1"/>
  <c r="AC1691" i="1" s="1"/>
  <c r="AB1692" i="1"/>
  <c r="AC1692" i="1" s="1"/>
  <c r="AB1693" i="1"/>
  <c r="AC1693" i="1" s="1"/>
  <c r="AB1694" i="1"/>
  <c r="AC1694" i="1" s="1"/>
  <c r="AB1695" i="1"/>
  <c r="AC1695" i="1" s="1"/>
  <c r="AB1696" i="1"/>
  <c r="AC1696" i="1" s="1"/>
  <c r="AB1697" i="1"/>
  <c r="AC1697" i="1" s="1"/>
  <c r="AB1698" i="1"/>
  <c r="AC1698" i="1" s="1"/>
  <c r="AB1699" i="1"/>
  <c r="AC1699" i="1" s="1"/>
  <c r="AB1700" i="1"/>
  <c r="AC1700" i="1" s="1"/>
  <c r="AB1701" i="1"/>
  <c r="AC1701" i="1" s="1"/>
  <c r="AB1702" i="1"/>
  <c r="AC1702" i="1" s="1"/>
  <c r="AB1703" i="1"/>
  <c r="AC1703" i="1" s="1"/>
  <c r="AB1704" i="1"/>
  <c r="AC1704" i="1" s="1"/>
  <c r="AB1705" i="1"/>
  <c r="AC1705" i="1" s="1"/>
  <c r="AB1706" i="1"/>
  <c r="AC1706" i="1" s="1"/>
  <c r="AB1707" i="1"/>
  <c r="AC1707" i="1" s="1"/>
  <c r="AB1708" i="1"/>
  <c r="AC1708" i="1" s="1"/>
  <c r="AB1709" i="1"/>
  <c r="AC1709" i="1" s="1"/>
  <c r="AB1710" i="1"/>
  <c r="AC1710" i="1" s="1"/>
  <c r="AB1711" i="1"/>
  <c r="AC1711" i="1" s="1"/>
  <c r="AB1712" i="1"/>
  <c r="AC1712" i="1" s="1"/>
  <c r="AB1713" i="1"/>
  <c r="AC1713" i="1" s="1"/>
  <c r="AB1714" i="1"/>
  <c r="AC1714" i="1" s="1"/>
  <c r="AB1715" i="1"/>
  <c r="AC1715" i="1" s="1"/>
  <c r="AB1716" i="1"/>
  <c r="AC1716" i="1" s="1"/>
  <c r="AB1717" i="1"/>
  <c r="AC1717" i="1" s="1"/>
  <c r="AB1718" i="1"/>
  <c r="AC1718" i="1" s="1"/>
  <c r="AB1719" i="1"/>
  <c r="AC1719" i="1" s="1"/>
  <c r="AB1720" i="1"/>
  <c r="AC1720" i="1" s="1"/>
  <c r="AB1721" i="1"/>
  <c r="AC1721" i="1" s="1"/>
  <c r="AB1722" i="1"/>
  <c r="AC1722" i="1" s="1"/>
  <c r="AB1723" i="1"/>
  <c r="AC1723" i="1" s="1"/>
  <c r="AB1724" i="1"/>
  <c r="AC1724" i="1" s="1"/>
  <c r="AB1725" i="1"/>
  <c r="AC1725" i="1" s="1"/>
  <c r="AB1726" i="1"/>
  <c r="AC1726" i="1" s="1"/>
  <c r="AB1727" i="1"/>
  <c r="AC1727" i="1" s="1"/>
  <c r="AB1728" i="1"/>
  <c r="AC1728" i="1" s="1"/>
  <c r="AB1729" i="1"/>
  <c r="AC1729" i="1" s="1"/>
  <c r="AB1730" i="1"/>
  <c r="AC1730" i="1" s="1"/>
  <c r="AB1731" i="1"/>
  <c r="AC1731" i="1" s="1"/>
  <c r="AB1732" i="1"/>
  <c r="AC1732" i="1" s="1"/>
  <c r="AB1733" i="1"/>
  <c r="AC1733" i="1" s="1"/>
  <c r="AB1734" i="1"/>
  <c r="AC1734" i="1" s="1"/>
  <c r="AB1735" i="1"/>
  <c r="AC1735" i="1" s="1"/>
  <c r="AB1736" i="1"/>
  <c r="AC1736" i="1" s="1"/>
  <c r="AB1737" i="1"/>
  <c r="AC1737" i="1" s="1"/>
  <c r="AB1738" i="1"/>
  <c r="AC1738" i="1" s="1"/>
  <c r="AB1739" i="1"/>
  <c r="AC1739" i="1" s="1"/>
  <c r="AB1740" i="1"/>
  <c r="AC1740" i="1" s="1"/>
  <c r="AB1741" i="1"/>
  <c r="AC1741" i="1" s="1"/>
  <c r="AB1742" i="1"/>
  <c r="AC1742" i="1" s="1"/>
  <c r="AB1743" i="1"/>
  <c r="AC1743" i="1" s="1"/>
  <c r="AB1744" i="1"/>
  <c r="AC1744" i="1" s="1"/>
  <c r="AB1745" i="1"/>
  <c r="AC1745" i="1" s="1"/>
  <c r="AB1746" i="1"/>
  <c r="AC1746" i="1" s="1"/>
  <c r="AB1747" i="1"/>
  <c r="AC1747" i="1" s="1"/>
  <c r="AB1748" i="1"/>
  <c r="AC1748" i="1" s="1"/>
  <c r="AB1749" i="1"/>
  <c r="AC1749" i="1" s="1"/>
  <c r="AB1750" i="1"/>
  <c r="AC1750" i="1" s="1"/>
  <c r="AB1751" i="1"/>
  <c r="AC1751" i="1" s="1"/>
  <c r="AB1752" i="1"/>
  <c r="AC1752" i="1" s="1"/>
  <c r="AB1753" i="1"/>
  <c r="AC1753" i="1" s="1"/>
  <c r="AB1754" i="1"/>
  <c r="AC1754" i="1" s="1"/>
  <c r="AB1755" i="1"/>
  <c r="AC1755" i="1" s="1"/>
  <c r="AB1756" i="1"/>
  <c r="AC1756" i="1" s="1"/>
  <c r="AB1757" i="1"/>
  <c r="AC1757" i="1" s="1"/>
  <c r="AB1758" i="1"/>
  <c r="AC1758" i="1" s="1"/>
  <c r="AB1759" i="1"/>
  <c r="AC1759" i="1" s="1"/>
  <c r="AB1760" i="1"/>
  <c r="AC1760" i="1" s="1"/>
  <c r="AB1761" i="1"/>
  <c r="AC1761" i="1" s="1"/>
  <c r="AB1762" i="1"/>
  <c r="AC1762" i="1" s="1"/>
  <c r="AB1763" i="1"/>
  <c r="AC1763" i="1" s="1"/>
  <c r="AB1764" i="1"/>
  <c r="AC1764" i="1" s="1"/>
  <c r="AB1765" i="1"/>
  <c r="AC1765" i="1" s="1"/>
  <c r="AB1766" i="1"/>
  <c r="AC1766" i="1" s="1"/>
  <c r="AB1767" i="1"/>
  <c r="AC1767" i="1" s="1"/>
  <c r="AB1768" i="1"/>
  <c r="AC1768" i="1" s="1"/>
  <c r="AB1769" i="1"/>
  <c r="AC1769" i="1" s="1"/>
  <c r="AB1770" i="1"/>
  <c r="AC1770" i="1" s="1"/>
  <c r="AB1771" i="1"/>
  <c r="AC1771" i="1" s="1"/>
  <c r="AB1772" i="1"/>
  <c r="AC1772" i="1" s="1"/>
  <c r="AB1773" i="1"/>
  <c r="AC1773" i="1" s="1"/>
  <c r="AB1774" i="1"/>
  <c r="AC1774" i="1" s="1"/>
  <c r="AB1775" i="1"/>
  <c r="AC1775" i="1" s="1"/>
  <c r="AB1776" i="1"/>
  <c r="AC1776" i="1" s="1"/>
  <c r="AB1777" i="1"/>
  <c r="AC1777" i="1" s="1"/>
  <c r="AB1778" i="1"/>
  <c r="AC1778" i="1" s="1"/>
  <c r="AB1779" i="1"/>
  <c r="AC1779" i="1" s="1"/>
  <c r="AB1780" i="1"/>
  <c r="AC1780" i="1" s="1"/>
  <c r="AB1781" i="1"/>
  <c r="AC1781" i="1" s="1"/>
  <c r="AB1782" i="1"/>
  <c r="AC1782" i="1" s="1"/>
  <c r="AB1783" i="1"/>
  <c r="AC1783" i="1" s="1"/>
  <c r="AB1784" i="1"/>
  <c r="AC1784" i="1" s="1"/>
  <c r="AB1785" i="1"/>
  <c r="AC1785" i="1" s="1"/>
  <c r="AB1786" i="1"/>
  <c r="AC1786" i="1" s="1"/>
  <c r="AB1787" i="1"/>
  <c r="AC1787" i="1" s="1"/>
  <c r="AB1788" i="1"/>
  <c r="AC1788" i="1" s="1"/>
  <c r="AB1789" i="1"/>
  <c r="AC1789" i="1" s="1"/>
  <c r="AB1790" i="1"/>
  <c r="AC1790" i="1" s="1"/>
  <c r="AB1791" i="1"/>
  <c r="AC1791" i="1" s="1"/>
  <c r="AB1792" i="1"/>
  <c r="AC1792" i="1" s="1"/>
  <c r="AB1793" i="1"/>
  <c r="AC1793" i="1" s="1"/>
  <c r="AB1794" i="1"/>
  <c r="AC1794" i="1" s="1"/>
  <c r="AB1795" i="1"/>
  <c r="AC1795" i="1" s="1"/>
  <c r="AB1796" i="1"/>
  <c r="AC1796" i="1" s="1"/>
  <c r="AB1797" i="1"/>
  <c r="AC1797" i="1" s="1"/>
  <c r="AB1798" i="1"/>
  <c r="AC1798" i="1" s="1"/>
  <c r="AB1799" i="1"/>
  <c r="AC1799" i="1" s="1"/>
  <c r="AB1800" i="1"/>
  <c r="AC1800" i="1" s="1"/>
  <c r="AB1801" i="1"/>
  <c r="AC1801" i="1" s="1"/>
  <c r="AB1802" i="1"/>
  <c r="AC1802" i="1" s="1"/>
  <c r="AB1803" i="1"/>
  <c r="AC1803" i="1" s="1"/>
  <c r="AB1804" i="1"/>
  <c r="AC1804" i="1" s="1"/>
  <c r="AB1805" i="1"/>
  <c r="AC1805" i="1" s="1"/>
  <c r="AB1806" i="1"/>
  <c r="AC1806" i="1" s="1"/>
  <c r="AB1807" i="1"/>
  <c r="AC1807" i="1" s="1"/>
  <c r="AB1808" i="1"/>
  <c r="AC1808" i="1" s="1"/>
  <c r="AB1809" i="1"/>
  <c r="AC1809" i="1" s="1"/>
  <c r="AB1810" i="1"/>
  <c r="AC1810" i="1" s="1"/>
  <c r="AB1811" i="1"/>
  <c r="AC1811" i="1" s="1"/>
  <c r="AB1812" i="1"/>
  <c r="AC1812" i="1" s="1"/>
  <c r="AB1813" i="1"/>
  <c r="AC1813" i="1" s="1"/>
  <c r="AB1814" i="1"/>
  <c r="AC1814" i="1" s="1"/>
  <c r="AB1815" i="1"/>
  <c r="AC1815" i="1" s="1"/>
  <c r="AB1816" i="1"/>
  <c r="AC1816" i="1" s="1"/>
  <c r="AB1817" i="1"/>
  <c r="AC1817" i="1" s="1"/>
  <c r="AB1818" i="1"/>
  <c r="AC1818" i="1" s="1"/>
  <c r="AB1819" i="1"/>
  <c r="AC1819" i="1" s="1"/>
  <c r="AB1820" i="1"/>
  <c r="AC1820" i="1" s="1"/>
  <c r="AB1821" i="1"/>
  <c r="AC1821" i="1" s="1"/>
  <c r="AB1822" i="1"/>
  <c r="AC1822" i="1" s="1"/>
  <c r="AB1823" i="1"/>
  <c r="AC1823" i="1" s="1"/>
  <c r="AB1824" i="1"/>
  <c r="AC1824" i="1" s="1"/>
  <c r="AB1825" i="1"/>
  <c r="AC1825" i="1" s="1"/>
  <c r="AB1826" i="1"/>
  <c r="AC1826" i="1" s="1"/>
  <c r="AB1827" i="1"/>
  <c r="AC1827" i="1" s="1"/>
  <c r="AB1828" i="1"/>
  <c r="AC1828" i="1" s="1"/>
  <c r="AB1829" i="1"/>
  <c r="AC1829" i="1" s="1"/>
  <c r="AB1830" i="1"/>
  <c r="AC1830" i="1" s="1"/>
  <c r="AB1831" i="1"/>
  <c r="AC1831" i="1" s="1"/>
  <c r="AB1832" i="1"/>
  <c r="AC1832" i="1" s="1"/>
  <c r="AB1833" i="1"/>
  <c r="AC1833" i="1" s="1"/>
  <c r="AB1834" i="1"/>
  <c r="AC1834" i="1" s="1"/>
  <c r="AB1835" i="1"/>
  <c r="AC1835" i="1" s="1"/>
  <c r="AB1836" i="1"/>
  <c r="AC1836" i="1" s="1"/>
  <c r="AB1837" i="1"/>
  <c r="AC1837" i="1" s="1"/>
  <c r="AB1838" i="1"/>
  <c r="AC1838" i="1" s="1"/>
  <c r="AB1839" i="1"/>
  <c r="AC1839" i="1" s="1"/>
  <c r="AB1840" i="1"/>
  <c r="AC1840" i="1" s="1"/>
  <c r="AB1841" i="1"/>
  <c r="AC1841" i="1" s="1"/>
  <c r="AB1842" i="1"/>
  <c r="AC1842" i="1" s="1"/>
  <c r="AB1843" i="1"/>
  <c r="AC1843" i="1" s="1"/>
  <c r="AB1844" i="1"/>
  <c r="AC1844" i="1" s="1"/>
  <c r="AB1845" i="1"/>
  <c r="AC1845" i="1" s="1"/>
  <c r="AB1846" i="1"/>
  <c r="AC1846" i="1" s="1"/>
  <c r="AB1847" i="1"/>
  <c r="AC1847" i="1" s="1"/>
  <c r="AB1848" i="1"/>
  <c r="AC1848" i="1" s="1"/>
  <c r="AB1849" i="1"/>
  <c r="AC1849" i="1" s="1"/>
  <c r="AB1850" i="1"/>
  <c r="AC1850" i="1" s="1"/>
  <c r="AB1851" i="1"/>
  <c r="AC1851" i="1" s="1"/>
  <c r="AB1852" i="1"/>
  <c r="AC1852" i="1" s="1"/>
  <c r="AB1853" i="1"/>
  <c r="AC1853" i="1" s="1"/>
  <c r="AB1854" i="1"/>
  <c r="AC1854" i="1" s="1"/>
  <c r="AB1855" i="1"/>
  <c r="AC1855" i="1" s="1"/>
  <c r="AB1856" i="1"/>
  <c r="AC1856" i="1" s="1"/>
  <c r="AB1857" i="1"/>
  <c r="AC1857" i="1" s="1"/>
  <c r="AB1858" i="1"/>
  <c r="AC1858" i="1" s="1"/>
  <c r="AB1859" i="1"/>
  <c r="AC1859" i="1" s="1"/>
  <c r="AB1860" i="1"/>
  <c r="AC1860" i="1" s="1"/>
  <c r="AB3" i="1"/>
  <c r="AC3" i="1" s="1"/>
  <c r="AD122" i="1" l="1"/>
  <c r="AQ122" i="1" s="1"/>
  <c r="AD114" i="1"/>
  <c r="AQ114" i="1" s="1"/>
  <c r="AD1831" i="1"/>
  <c r="AQ1831" i="1" s="1"/>
  <c r="AD1787" i="1"/>
  <c r="AQ1787" i="1" s="1"/>
  <c r="AD1752" i="1"/>
  <c r="AQ1752" i="1" s="1"/>
  <c r="AD1718" i="1"/>
  <c r="AQ1718" i="1" s="1"/>
  <c r="AD1678" i="1"/>
  <c r="AQ1678" i="1" s="1"/>
  <c r="AD1643" i="1"/>
  <c r="AQ1643" i="1" s="1"/>
  <c r="AD1603" i="1"/>
  <c r="AQ1603" i="1" s="1"/>
  <c r="AD1536" i="1"/>
  <c r="AQ1536" i="1" s="1"/>
  <c r="AD1500" i="1"/>
  <c r="AQ1500" i="1" s="1"/>
  <c r="AD1457" i="1"/>
  <c r="AQ1457" i="1" s="1"/>
  <c r="AD1376" i="1"/>
  <c r="AQ1376" i="1" s="1"/>
  <c r="AD1334" i="1"/>
  <c r="AQ1334" i="1" s="1"/>
  <c r="AD1303" i="1"/>
  <c r="AQ1303" i="1" s="1"/>
  <c r="AD1197" i="1"/>
  <c r="AQ1197" i="1" s="1"/>
  <c r="AD1152" i="1"/>
  <c r="AQ1152" i="1" s="1"/>
  <c r="AD1116" i="1"/>
  <c r="AQ1116" i="1" s="1"/>
  <c r="AD1084" i="1"/>
  <c r="AQ1084" i="1" s="1"/>
  <c r="AD1032" i="1"/>
  <c r="AQ1032" i="1" s="1"/>
  <c r="AD984" i="1"/>
  <c r="AQ984" i="1" s="1"/>
  <c r="AD939" i="1"/>
  <c r="AQ939" i="1" s="1"/>
  <c r="AD893" i="1"/>
  <c r="AQ893" i="1" s="1"/>
  <c r="AD856" i="1"/>
  <c r="AQ856" i="1" s="1"/>
  <c r="AD816" i="1"/>
  <c r="AQ816" i="1" s="1"/>
  <c r="AD757" i="1"/>
  <c r="AQ757" i="1" s="1"/>
  <c r="AD724" i="1"/>
  <c r="AQ724" i="1" s="1"/>
  <c r="AD685" i="1"/>
  <c r="AQ685" i="1" s="1"/>
  <c r="AD646" i="1"/>
  <c r="AQ646" i="1" s="1"/>
  <c r="AD624" i="1"/>
  <c r="AQ624" i="1" s="1"/>
  <c r="AD587" i="1"/>
  <c r="AQ587" i="1" s="1"/>
  <c r="AD541" i="1"/>
  <c r="AQ541" i="1" s="1"/>
  <c r="AD497" i="1"/>
  <c r="AQ497" i="1" s="1"/>
  <c r="AD465" i="1"/>
  <c r="AQ465" i="1" s="1"/>
  <c r="AD421" i="1"/>
  <c r="AQ421" i="1" s="1"/>
  <c r="AD378" i="1"/>
  <c r="AQ378" i="1" s="1"/>
  <c r="AD343" i="1"/>
  <c r="AQ343" i="1" s="1"/>
  <c r="AD307" i="1"/>
  <c r="AQ307" i="1" s="1"/>
  <c r="AD269" i="1"/>
  <c r="AQ269" i="1" s="1"/>
  <c r="AD224" i="1"/>
  <c r="AQ224" i="1" s="1"/>
  <c r="AD204" i="1"/>
  <c r="AQ204" i="1" s="1"/>
  <c r="AD173" i="1"/>
  <c r="AQ173" i="1" s="1"/>
  <c r="AD136" i="1"/>
  <c r="AQ136" i="1" s="1"/>
  <c r="AD1853" i="1"/>
  <c r="AQ1853" i="1" s="1"/>
  <c r="AD1766" i="1"/>
  <c r="AQ1766" i="1" s="1"/>
  <c r="AD1684" i="1"/>
  <c r="AQ1684" i="1" s="1"/>
  <c r="AD1641" i="1"/>
  <c r="AQ1641" i="1" s="1"/>
  <c r="AD1601" i="1"/>
  <c r="AQ1601" i="1" s="1"/>
  <c r="AD1578" i="1"/>
  <c r="AQ1578" i="1" s="1"/>
  <c r="AD1542" i="1"/>
  <c r="AQ1542" i="1" s="1"/>
  <c r="AD1499" i="1"/>
  <c r="AQ1499" i="1" s="1"/>
  <c r="AD1455" i="1"/>
  <c r="AQ1455" i="1" s="1"/>
  <c r="AD1405" i="1"/>
  <c r="AQ1405" i="1" s="1"/>
  <c r="AD1366" i="1"/>
  <c r="AQ1366" i="1" s="1"/>
  <c r="AD1340" i="1"/>
  <c r="AQ1340" i="1" s="1"/>
  <c r="AD1301" i="1"/>
  <c r="AQ1301" i="1" s="1"/>
  <c r="AD1195" i="1"/>
  <c r="AQ1195" i="1" s="1"/>
  <c r="AD1150" i="1"/>
  <c r="AQ1150" i="1" s="1"/>
  <c r="AD1074" i="1"/>
  <c r="AQ1074" i="1" s="1"/>
  <c r="AD1030" i="1"/>
  <c r="AQ1030" i="1" s="1"/>
  <c r="AD1003" i="1"/>
  <c r="AQ1003" i="1" s="1"/>
  <c r="AD952" i="1"/>
  <c r="AQ952" i="1" s="1"/>
  <c r="AD923" i="1"/>
  <c r="AQ923" i="1" s="1"/>
  <c r="AD869" i="1"/>
  <c r="AQ869" i="1" s="1"/>
  <c r="AD833" i="1"/>
  <c r="AQ833" i="1" s="1"/>
  <c r="AD800" i="1"/>
  <c r="AQ800" i="1" s="1"/>
  <c r="AD769" i="1"/>
  <c r="AQ769" i="1" s="1"/>
  <c r="AD699" i="1"/>
  <c r="AQ699" i="1" s="1"/>
  <c r="AD669" i="1"/>
  <c r="AQ669" i="1" s="1"/>
  <c r="AD593" i="1"/>
  <c r="AQ593" i="1" s="1"/>
  <c r="AD547" i="1"/>
  <c r="AQ547" i="1" s="1"/>
  <c r="AD522" i="1"/>
  <c r="AQ522" i="1" s="1"/>
  <c r="AD495" i="1"/>
  <c r="AQ495" i="1" s="1"/>
  <c r="AD463" i="1"/>
  <c r="AQ463" i="1" s="1"/>
  <c r="AD419" i="1"/>
  <c r="AQ419" i="1" s="1"/>
  <c r="AD376" i="1"/>
  <c r="AQ376" i="1" s="1"/>
  <c r="AD341" i="1"/>
  <c r="AQ341" i="1" s="1"/>
  <c r="AD305" i="1"/>
  <c r="AQ305" i="1" s="1"/>
  <c r="AD282" i="1"/>
  <c r="AQ282" i="1" s="1"/>
  <c r="AD238" i="1"/>
  <c r="AQ238" i="1" s="1"/>
  <c r="AD195" i="1"/>
  <c r="AQ195" i="1" s="1"/>
  <c r="AD149" i="1"/>
  <c r="AQ149" i="1" s="1"/>
  <c r="AD120" i="1"/>
  <c r="AQ120" i="1" s="1"/>
  <c r="AD92" i="1"/>
  <c r="AQ92" i="1" s="1"/>
  <c r="AD1817" i="1"/>
  <c r="AQ1817" i="1" s="1"/>
  <c r="AD1729" i="1"/>
  <c r="AQ1729" i="1" s="1"/>
  <c r="AD1694" i="1"/>
  <c r="AQ1694" i="1" s="1"/>
  <c r="AD1658" i="1"/>
  <c r="AQ1658" i="1" s="1"/>
  <c r="AD1619" i="1"/>
  <c r="AQ1619" i="1" s="1"/>
  <c r="AD1572" i="1"/>
  <c r="AQ1572" i="1" s="1"/>
  <c r="AD1512" i="1"/>
  <c r="AQ1512" i="1" s="1"/>
  <c r="AD1486" i="1"/>
  <c r="AQ1486" i="1" s="1"/>
  <c r="AD1443" i="1"/>
  <c r="AQ1443" i="1" s="1"/>
  <c r="AD1368" i="1"/>
  <c r="AQ1368" i="1" s="1"/>
  <c r="AD1326" i="1"/>
  <c r="AQ1326" i="1" s="1"/>
  <c r="AD1175" i="1"/>
  <c r="AQ1175" i="1" s="1"/>
  <c r="AD1128" i="1"/>
  <c r="AQ1128" i="1" s="1"/>
  <c r="AD1091" i="1"/>
  <c r="AQ1091" i="1" s="1"/>
  <c r="AD1047" i="1"/>
  <c r="AQ1047" i="1" s="1"/>
  <c r="AD998" i="1"/>
  <c r="AQ998" i="1" s="1"/>
  <c r="AD946" i="1"/>
  <c r="AQ946" i="1" s="1"/>
  <c r="AD909" i="1"/>
  <c r="AQ909" i="1" s="1"/>
  <c r="AD863" i="1"/>
  <c r="AQ863" i="1" s="1"/>
  <c r="AD824" i="1"/>
  <c r="AQ824" i="1" s="1"/>
  <c r="AD742" i="1"/>
  <c r="AQ742" i="1" s="1"/>
  <c r="AD701" i="1"/>
  <c r="AQ701" i="1" s="1"/>
  <c r="AD657" i="1"/>
  <c r="AQ657" i="1" s="1"/>
  <c r="AD603" i="1"/>
  <c r="AQ603" i="1" s="1"/>
  <c r="AD564" i="1"/>
  <c r="AQ564" i="1" s="1"/>
  <c r="AD489" i="1"/>
  <c r="AQ489" i="1" s="1"/>
  <c r="AD444" i="1"/>
  <c r="AQ444" i="1" s="1"/>
  <c r="AD398" i="1"/>
  <c r="AQ398" i="1" s="1"/>
  <c r="AD315" i="1"/>
  <c r="AQ315" i="1" s="1"/>
  <c r="AD261" i="1"/>
  <c r="AQ261" i="1" s="1"/>
  <c r="AD218" i="1"/>
  <c r="AQ218" i="1" s="1"/>
  <c r="AD158" i="1"/>
  <c r="AQ158" i="1" s="1"/>
  <c r="AD3" i="1"/>
  <c r="AQ3" i="1" s="1"/>
  <c r="AD1815" i="1"/>
  <c r="AQ1815" i="1" s="1"/>
  <c r="AD1758" i="1"/>
  <c r="AQ1758" i="1" s="1"/>
  <c r="AD1716" i="1"/>
  <c r="AQ1716" i="1" s="1"/>
  <c r="AD1661" i="1"/>
  <c r="AQ1661" i="1" s="1"/>
  <c r="AD1629" i="1"/>
  <c r="AQ1629" i="1" s="1"/>
  <c r="AD1586" i="1"/>
  <c r="AQ1586" i="1" s="1"/>
  <c r="AD1534" i="1"/>
  <c r="AQ1534" i="1" s="1"/>
  <c r="AD1485" i="1"/>
  <c r="AQ1485" i="1" s="1"/>
  <c r="AD1441" i="1"/>
  <c r="AQ1441" i="1" s="1"/>
  <c r="AD1398" i="1"/>
  <c r="AQ1398" i="1" s="1"/>
  <c r="AD1356" i="1"/>
  <c r="AQ1356" i="1" s="1"/>
  <c r="AD1309" i="1"/>
  <c r="AQ1309" i="1" s="1"/>
  <c r="AD1203" i="1"/>
  <c r="AQ1203" i="1" s="1"/>
  <c r="AD1158" i="1"/>
  <c r="AQ1158" i="1" s="1"/>
  <c r="AD1126" i="1"/>
  <c r="AQ1126" i="1" s="1"/>
  <c r="AD1089" i="1"/>
  <c r="AQ1089" i="1" s="1"/>
  <c r="AD1053" i="1"/>
  <c r="AQ1053" i="1" s="1"/>
  <c r="AD1010" i="1"/>
  <c r="AQ1010" i="1" s="1"/>
  <c r="AD966" i="1"/>
  <c r="AQ966" i="1" s="1"/>
  <c r="AD907" i="1"/>
  <c r="AQ907" i="1" s="1"/>
  <c r="AD861" i="1"/>
  <c r="AQ861" i="1" s="1"/>
  <c r="AD822" i="1"/>
  <c r="AQ822" i="1" s="1"/>
  <c r="AD784" i="1"/>
  <c r="AQ784" i="1" s="1"/>
  <c r="AD741" i="1"/>
  <c r="AQ741" i="1" s="1"/>
  <c r="AD691" i="1"/>
  <c r="AQ691" i="1" s="1"/>
  <c r="AD650" i="1"/>
  <c r="AQ650" i="1" s="1"/>
  <c r="AD617" i="1"/>
  <c r="AQ617" i="1" s="1"/>
  <c r="AD487" i="1"/>
  <c r="AQ487" i="1" s="1"/>
  <c r="AD435" i="1"/>
  <c r="AQ435" i="1" s="1"/>
  <c r="AD348" i="1"/>
  <c r="AQ348" i="1" s="1"/>
  <c r="AD289" i="1"/>
  <c r="AQ289" i="1" s="1"/>
  <c r="AD246" i="1"/>
  <c r="AQ246" i="1" s="1"/>
  <c r="AD210" i="1"/>
  <c r="AQ210" i="1" s="1"/>
  <c r="AD156" i="1"/>
  <c r="AQ156" i="1" s="1"/>
  <c r="AD85" i="1"/>
  <c r="AQ85" i="1" s="1"/>
  <c r="AD1847" i="1"/>
  <c r="AQ1847" i="1" s="1"/>
  <c r="AD1809" i="1"/>
  <c r="AQ1809" i="1" s="1"/>
  <c r="AD1768" i="1"/>
  <c r="AQ1768" i="1" s="1"/>
  <c r="AD1726" i="1"/>
  <c r="AQ1726" i="1" s="1"/>
  <c r="AD1662" i="1"/>
  <c r="AQ1662" i="1" s="1"/>
  <c r="AD1623" i="1"/>
  <c r="AQ1623" i="1" s="1"/>
  <c r="AD1580" i="1"/>
  <c r="AQ1580" i="1" s="1"/>
  <c r="AD1528" i="1"/>
  <c r="AQ1528" i="1" s="1"/>
  <c r="AD1479" i="1"/>
  <c r="AQ1479" i="1" s="1"/>
  <c r="AD1437" i="1"/>
  <c r="AQ1437" i="1" s="1"/>
  <c r="AD1400" i="1"/>
  <c r="AQ1400" i="1" s="1"/>
  <c r="AD1350" i="1"/>
  <c r="AQ1350" i="1" s="1"/>
  <c r="AD1292" i="1"/>
  <c r="AQ1292" i="1" s="1"/>
  <c r="AD1189" i="1"/>
  <c r="AQ1189" i="1" s="1"/>
  <c r="AD1144" i="1"/>
  <c r="AQ1144" i="1" s="1"/>
  <c r="AD1105" i="1"/>
  <c r="AQ1105" i="1" s="1"/>
  <c r="AD1025" i="1"/>
  <c r="AQ1025" i="1" s="1"/>
  <c r="AD976" i="1"/>
  <c r="AQ976" i="1" s="1"/>
  <c r="AD917" i="1"/>
  <c r="AQ917" i="1" s="1"/>
  <c r="AD828" i="1"/>
  <c r="AQ828" i="1" s="1"/>
  <c r="AD786" i="1"/>
  <c r="AQ786" i="1" s="1"/>
  <c r="AD749" i="1"/>
  <c r="AQ749" i="1" s="1"/>
  <c r="AD708" i="1"/>
  <c r="AQ708" i="1" s="1"/>
  <c r="AD664" i="1"/>
  <c r="AQ664" i="1" s="1"/>
  <c r="AD611" i="1"/>
  <c r="AQ611" i="1" s="1"/>
  <c r="AD571" i="1"/>
  <c r="AQ571" i="1" s="1"/>
  <c r="AD524" i="1"/>
  <c r="AQ524" i="1" s="1"/>
  <c r="AD481" i="1"/>
  <c r="AQ481" i="1" s="1"/>
  <c r="AD437" i="1"/>
  <c r="AQ437" i="1" s="1"/>
  <c r="AD386" i="1"/>
  <c r="AQ386" i="1" s="1"/>
  <c r="AD338" i="1"/>
  <c r="AQ338" i="1" s="1"/>
  <c r="AD291" i="1"/>
  <c r="AQ291" i="1" s="1"/>
  <c r="AD248" i="1"/>
  <c r="AQ248" i="1" s="1"/>
  <c r="AD189" i="1"/>
  <c r="AQ189" i="1" s="1"/>
  <c r="AD1837" i="1"/>
  <c r="AQ1837" i="1" s="1"/>
  <c r="AD1742" i="1"/>
  <c r="AQ1742" i="1" s="1"/>
  <c r="AD1700" i="1"/>
  <c r="AQ1700" i="1" s="1"/>
  <c r="AD1656" i="1"/>
  <c r="AQ1656" i="1" s="1"/>
  <c r="AD1617" i="1"/>
  <c r="AQ1617" i="1" s="1"/>
  <c r="AD1557" i="1"/>
  <c r="AQ1557" i="1" s="1"/>
  <c r="AD1518" i="1"/>
  <c r="AQ1518" i="1" s="1"/>
  <c r="AD1435" i="1"/>
  <c r="AQ1435" i="1" s="1"/>
  <c r="AD1390" i="1"/>
  <c r="AQ1390" i="1" s="1"/>
  <c r="AD1332" i="1"/>
  <c r="AQ1332" i="1" s="1"/>
  <c r="AD1290" i="1"/>
  <c r="AQ1290" i="1" s="1"/>
  <c r="AD1173" i="1"/>
  <c r="AQ1173" i="1" s="1"/>
  <c r="AD1114" i="1"/>
  <c r="AQ1114" i="1" s="1"/>
  <c r="AD1068" i="1"/>
  <c r="AQ1068" i="1" s="1"/>
  <c r="AD974" i="1"/>
  <c r="AQ974" i="1" s="1"/>
  <c r="AD944" i="1"/>
  <c r="AQ944" i="1" s="1"/>
  <c r="AD899" i="1"/>
  <c r="AQ899" i="1" s="1"/>
  <c r="AD854" i="1"/>
  <c r="AQ854" i="1" s="1"/>
  <c r="AD814" i="1"/>
  <c r="AQ814" i="1" s="1"/>
  <c r="AD755" i="1"/>
  <c r="AQ755" i="1" s="1"/>
  <c r="AD707" i="1"/>
  <c r="AQ707" i="1" s="1"/>
  <c r="AD656" i="1"/>
  <c r="AQ656" i="1" s="1"/>
  <c r="AD601" i="1"/>
  <c r="AQ601" i="1" s="1"/>
  <c r="AD555" i="1"/>
  <c r="AQ555" i="1" s="1"/>
  <c r="AD514" i="1"/>
  <c r="AQ514" i="1" s="1"/>
  <c r="AD456" i="1"/>
  <c r="AQ456" i="1" s="1"/>
  <c r="AD411" i="1"/>
  <c r="AQ411" i="1" s="1"/>
  <c r="AD369" i="1"/>
  <c r="AQ369" i="1" s="1"/>
  <c r="AD329" i="1"/>
  <c r="AQ329" i="1" s="1"/>
  <c r="AD275" i="1"/>
  <c r="AQ275" i="1" s="1"/>
  <c r="AD230" i="1"/>
  <c r="AQ230" i="1" s="1"/>
  <c r="AD179" i="1"/>
  <c r="AQ179" i="1" s="1"/>
  <c r="AD134" i="1"/>
  <c r="AQ134" i="1" s="1"/>
  <c r="AD38" i="1"/>
  <c r="AQ38" i="1" s="1"/>
  <c r="AD1801" i="1"/>
  <c r="AQ1801" i="1" s="1"/>
  <c r="AD1736" i="1"/>
  <c r="AQ1736" i="1" s="1"/>
  <c r="AD1686" i="1"/>
  <c r="AQ1686" i="1" s="1"/>
  <c r="AD1588" i="1"/>
  <c r="AQ1588" i="1" s="1"/>
  <c r="AD1544" i="1"/>
  <c r="AQ1544" i="1" s="1"/>
  <c r="AD1465" i="1"/>
  <c r="AQ1465" i="1" s="1"/>
  <c r="AD1422" i="1"/>
  <c r="AQ1422" i="1" s="1"/>
  <c r="AD1360" i="1"/>
  <c r="AQ1360" i="1" s="1"/>
  <c r="AD1311" i="1"/>
  <c r="AQ1311" i="1" s="1"/>
  <c r="AD1167" i="1"/>
  <c r="AQ1167" i="1" s="1"/>
  <c r="AD1109" i="1"/>
  <c r="AQ1109" i="1" s="1"/>
  <c r="AD1055" i="1"/>
  <c r="AQ1055" i="1" s="1"/>
  <c r="AD991" i="1"/>
  <c r="AQ991" i="1" s="1"/>
  <c r="AD954" i="1"/>
  <c r="AQ954" i="1" s="1"/>
  <c r="AD901" i="1"/>
  <c r="AQ901" i="1" s="1"/>
  <c r="AD849" i="1"/>
  <c r="AQ849" i="1" s="1"/>
  <c r="AD802" i="1"/>
  <c r="AQ802" i="1" s="1"/>
  <c r="AD735" i="1"/>
  <c r="AQ735" i="1" s="1"/>
  <c r="AD677" i="1"/>
  <c r="AQ677" i="1" s="1"/>
  <c r="AD632" i="1"/>
  <c r="AQ632" i="1" s="1"/>
  <c r="AD557" i="1"/>
  <c r="AQ557" i="1" s="1"/>
  <c r="AD516" i="1"/>
  <c r="AQ516" i="1" s="1"/>
  <c r="AD452" i="1"/>
  <c r="AQ452" i="1" s="1"/>
  <c r="AD406" i="1"/>
  <c r="AQ406" i="1" s="1"/>
  <c r="AD299" i="1"/>
  <c r="AQ299" i="1" s="1"/>
  <c r="AD254" i="1"/>
  <c r="AQ254" i="1" s="1"/>
  <c r="AD1845" i="1"/>
  <c r="AQ1845" i="1" s="1"/>
  <c r="AD1779" i="1"/>
  <c r="AQ1779" i="1" s="1"/>
  <c r="AD1734" i="1"/>
  <c r="AQ1734" i="1" s="1"/>
  <c r="AD1676" i="1"/>
  <c r="AQ1676" i="1" s="1"/>
  <c r="AD1570" i="1"/>
  <c r="AQ1570" i="1" s="1"/>
  <c r="AD1510" i="1"/>
  <c r="AQ1510" i="1" s="1"/>
  <c r="AD1463" i="1"/>
  <c r="AQ1463" i="1" s="1"/>
  <c r="AD1420" i="1"/>
  <c r="AQ1420" i="1" s="1"/>
  <c r="AD1358" i="1"/>
  <c r="AQ1358" i="1" s="1"/>
  <c r="AD1317" i="1"/>
  <c r="AQ1317" i="1" s="1"/>
  <c r="AD1180" i="1"/>
  <c r="AQ1180" i="1" s="1"/>
  <c r="AD1134" i="1"/>
  <c r="AQ1134" i="1" s="1"/>
  <c r="AD1097" i="1"/>
  <c r="AQ1097" i="1" s="1"/>
  <c r="AD1045" i="1"/>
  <c r="AQ1045" i="1" s="1"/>
  <c r="AD989" i="1"/>
  <c r="AQ989" i="1" s="1"/>
  <c r="AD930" i="1"/>
  <c r="AQ930" i="1" s="1"/>
  <c r="AD884" i="1"/>
  <c r="AQ884" i="1" s="1"/>
  <c r="AD827" i="1"/>
  <c r="AQ827" i="1" s="1"/>
  <c r="AD777" i="1"/>
  <c r="AQ777" i="1" s="1"/>
  <c r="AD730" i="1"/>
  <c r="AQ730" i="1" s="1"/>
  <c r="AD675" i="1"/>
  <c r="AQ675" i="1" s="1"/>
  <c r="AD630" i="1"/>
  <c r="AQ630" i="1" s="1"/>
  <c r="AD577" i="1"/>
  <c r="AQ577" i="1" s="1"/>
  <c r="AD532" i="1"/>
  <c r="AQ532" i="1" s="1"/>
  <c r="AD479" i="1"/>
  <c r="AQ479" i="1" s="1"/>
  <c r="AD442" i="1"/>
  <c r="AQ442" i="1" s="1"/>
  <c r="AD384" i="1"/>
  <c r="AQ384" i="1" s="1"/>
  <c r="AD336" i="1"/>
  <c r="AQ336" i="1" s="1"/>
  <c r="AD297" i="1"/>
  <c r="AQ297" i="1" s="1"/>
  <c r="AD252" i="1"/>
  <c r="AQ252" i="1" s="1"/>
  <c r="AD202" i="1"/>
  <c r="AQ202" i="1" s="1"/>
  <c r="AD142" i="1"/>
  <c r="AQ142" i="1" s="1"/>
  <c r="AD30" i="1"/>
  <c r="AQ30" i="1" s="1"/>
  <c r="AD1855" i="1"/>
  <c r="AQ1855" i="1" s="1"/>
  <c r="AD1824" i="1"/>
  <c r="AQ1824" i="1" s="1"/>
  <c r="AD1781" i="1"/>
  <c r="AQ1781" i="1" s="1"/>
  <c r="AD1744" i="1"/>
  <c r="AQ1744" i="1" s="1"/>
  <c r="AD1710" i="1"/>
  <c r="AQ1710" i="1" s="1"/>
  <c r="AD1670" i="1"/>
  <c r="AQ1670" i="1" s="1"/>
  <c r="AD1631" i="1"/>
  <c r="AQ1631" i="1" s="1"/>
  <c r="AD1596" i="1"/>
  <c r="AQ1596" i="1" s="1"/>
  <c r="AD1520" i="1"/>
  <c r="AQ1520" i="1" s="1"/>
  <c r="AD1494" i="1"/>
  <c r="AQ1494" i="1" s="1"/>
  <c r="AD1414" i="1"/>
  <c r="AQ1414" i="1" s="1"/>
  <c r="AD1384" i="1"/>
  <c r="AQ1384" i="1" s="1"/>
  <c r="AD1319" i="1"/>
  <c r="AQ1319" i="1" s="1"/>
  <c r="AD1205" i="1"/>
  <c r="AQ1205" i="1" s="1"/>
  <c r="AD1160" i="1"/>
  <c r="AQ1160" i="1" s="1"/>
  <c r="AD1076" i="1"/>
  <c r="AQ1076" i="1" s="1"/>
  <c r="AD1039" i="1"/>
  <c r="AQ1039" i="1" s="1"/>
  <c r="AD1012" i="1"/>
  <c r="AQ1012" i="1" s="1"/>
  <c r="AD968" i="1"/>
  <c r="AQ968" i="1" s="1"/>
  <c r="AD932" i="1"/>
  <c r="AQ932" i="1" s="1"/>
  <c r="AD842" i="1"/>
  <c r="AQ842" i="1" s="1"/>
  <c r="AD794" i="1"/>
  <c r="AQ794" i="1" s="1"/>
  <c r="AD771" i="1"/>
  <c r="AQ771" i="1" s="1"/>
  <c r="AD731" i="1"/>
  <c r="AQ731" i="1" s="1"/>
  <c r="AD693" i="1"/>
  <c r="AQ693" i="1" s="1"/>
  <c r="AD651" i="1"/>
  <c r="AQ651" i="1" s="1"/>
  <c r="AD618" i="1"/>
  <c r="AQ618" i="1" s="1"/>
  <c r="AD579" i="1"/>
  <c r="AQ579" i="1" s="1"/>
  <c r="AD534" i="1"/>
  <c r="AQ534" i="1" s="1"/>
  <c r="AD473" i="1"/>
  <c r="AQ473" i="1" s="1"/>
  <c r="AD429" i="1"/>
  <c r="AQ429" i="1" s="1"/>
  <c r="AD392" i="1"/>
  <c r="AQ392" i="1" s="1"/>
  <c r="AD363" i="1"/>
  <c r="AQ363" i="1" s="1"/>
  <c r="AD323" i="1"/>
  <c r="AQ323" i="1" s="1"/>
  <c r="AD277" i="1"/>
  <c r="AQ277" i="1" s="1"/>
  <c r="AD240" i="1"/>
  <c r="AQ240" i="1" s="1"/>
  <c r="AD212" i="1"/>
  <c r="AQ212" i="1" s="1"/>
  <c r="AD181" i="1"/>
  <c r="AQ181" i="1" s="1"/>
  <c r="AD128" i="1"/>
  <c r="AQ128" i="1" s="1"/>
  <c r="AD1822" i="1"/>
  <c r="AQ1822" i="1" s="1"/>
  <c r="AD1807" i="1"/>
  <c r="AQ1807" i="1" s="1"/>
  <c r="AD1773" i="1"/>
  <c r="AQ1773" i="1" s="1"/>
  <c r="AD1724" i="1"/>
  <c r="AQ1724" i="1" s="1"/>
  <c r="AD1692" i="1"/>
  <c r="AQ1692" i="1" s="1"/>
  <c r="AD1668" i="1"/>
  <c r="AQ1668" i="1" s="1"/>
  <c r="AD1594" i="1"/>
  <c r="AQ1594" i="1" s="1"/>
  <c r="AD1564" i="1"/>
  <c r="AQ1564" i="1" s="1"/>
  <c r="AD1526" i="1"/>
  <c r="AQ1526" i="1" s="1"/>
  <c r="AD1492" i="1"/>
  <c r="AQ1492" i="1" s="1"/>
  <c r="AD1448" i="1"/>
  <c r="AQ1448" i="1" s="1"/>
  <c r="AD1412" i="1"/>
  <c r="AQ1412" i="1" s="1"/>
  <c r="AD1382" i="1"/>
  <c r="AQ1382" i="1" s="1"/>
  <c r="AD1348" i="1"/>
  <c r="AQ1348" i="1" s="1"/>
  <c r="AD1187" i="1"/>
  <c r="AQ1187" i="1" s="1"/>
  <c r="AD1142" i="1"/>
  <c r="AQ1142" i="1" s="1"/>
  <c r="AD1061" i="1"/>
  <c r="AQ1061" i="1" s="1"/>
  <c r="AD1037" i="1"/>
  <c r="AQ1037" i="1" s="1"/>
  <c r="AD996" i="1"/>
  <c r="AQ996" i="1" s="1"/>
  <c r="AD960" i="1"/>
  <c r="AQ960" i="1" s="1"/>
  <c r="AD915" i="1"/>
  <c r="AQ915" i="1" s="1"/>
  <c r="AD876" i="1"/>
  <c r="AQ876" i="1" s="1"/>
  <c r="AD840" i="1"/>
  <c r="AQ840" i="1" s="1"/>
  <c r="AD792" i="1"/>
  <c r="AQ792" i="1" s="1"/>
  <c r="AD761" i="1"/>
  <c r="AQ761" i="1" s="1"/>
  <c r="AD722" i="1"/>
  <c r="AQ722" i="1" s="1"/>
  <c r="AD683" i="1"/>
  <c r="AQ683" i="1" s="1"/>
  <c r="AD644" i="1"/>
  <c r="AQ644" i="1" s="1"/>
  <c r="AD609" i="1"/>
  <c r="AQ609" i="1" s="1"/>
  <c r="AD585" i="1"/>
  <c r="AQ585" i="1" s="1"/>
  <c r="AD539" i="1"/>
  <c r="AQ539" i="1" s="1"/>
  <c r="AD471" i="1"/>
  <c r="AQ471" i="1" s="1"/>
  <c r="AD427" i="1"/>
  <c r="AQ427" i="1" s="1"/>
  <c r="AD355" i="1"/>
  <c r="AQ355" i="1" s="1"/>
  <c r="AD321" i="1"/>
  <c r="AQ321" i="1" s="1"/>
  <c r="AD267" i="1"/>
  <c r="AQ267" i="1" s="1"/>
  <c r="AD222" i="1"/>
  <c r="AQ222" i="1" s="1"/>
  <c r="AD187" i="1"/>
  <c r="AQ187" i="1" s="1"/>
  <c r="AD164" i="1"/>
  <c r="AQ164" i="1" s="1"/>
  <c r="AD127" i="1"/>
  <c r="AQ127" i="1" s="1"/>
  <c r="AD16" i="1"/>
  <c r="AQ16" i="1" s="1"/>
  <c r="AD1839" i="1"/>
  <c r="AQ1839" i="1" s="1"/>
  <c r="AD1794" i="1"/>
  <c r="AQ1794" i="1" s="1"/>
  <c r="AD1760" i="1"/>
  <c r="AQ1760" i="1" s="1"/>
  <c r="AD1702" i="1"/>
  <c r="AQ1702" i="1" s="1"/>
  <c r="AD1650" i="1"/>
  <c r="AQ1650" i="1" s="1"/>
  <c r="AD1611" i="1"/>
  <c r="AQ1611" i="1" s="1"/>
  <c r="AD1551" i="1"/>
  <c r="AQ1551" i="1" s="1"/>
  <c r="AD1504" i="1"/>
  <c r="AQ1504" i="1" s="1"/>
  <c r="AD1472" i="1"/>
  <c r="AQ1472" i="1" s="1"/>
  <c r="AD1430" i="1"/>
  <c r="AQ1430" i="1" s="1"/>
  <c r="AD1392" i="1"/>
  <c r="AQ1392" i="1" s="1"/>
  <c r="AD1342" i="1"/>
  <c r="AQ1342" i="1" s="1"/>
  <c r="AD1297" i="1"/>
  <c r="AQ1297" i="1" s="1"/>
  <c r="AD1182" i="1"/>
  <c r="AQ1182" i="1" s="1"/>
  <c r="AD1136" i="1"/>
  <c r="AQ1136" i="1" s="1"/>
  <c r="AD1099" i="1"/>
  <c r="AQ1099" i="1" s="1"/>
  <c r="AD1063" i="1"/>
  <c r="AQ1063" i="1" s="1"/>
  <c r="AD962" i="1"/>
  <c r="AQ962" i="1" s="1"/>
  <c r="AD925" i="1"/>
  <c r="AQ925" i="1" s="1"/>
  <c r="AD878" i="1"/>
  <c r="AQ878" i="1" s="1"/>
  <c r="AD835" i="1"/>
  <c r="AQ835" i="1" s="1"/>
  <c r="AD808" i="1"/>
  <c r="AQ808" i="1" s="1"/>
  <c r="AD763" i="1"/>
  <c r="AQ763" i="1" s="1"/>
  <c r="AD716" i="1"/>
  <c r="AQ716" i="1" s="1"/>
  <c r="AD639" i="1"/>
  <c r="AQ639" i="1" s="1"/>
  <c r="AD595" i="1"/>
  <c r="AQ595" i="1" s="1"/>
  <c r="AD549" i="1"/>
  <c r="AQ549" i="1" s="1"/>
  <c r="AD509" i="1"/>
  <c r="AQ509" i="1" s="1"/>
  <c r="AD458" i="1"/>
  <c r="AQ458" i="1" s="1"/>
  <c r="AD413" i="1"/>
  <c r="AQ413" i="1" s="1"/>
  <c r="AD370" i="1"/>
  <c r="AQ370" i="1" s="1"/>
  <c r="AD331" i="1"/>
  <c r="AQ331" i="1" s="1"/>
  <c r="AD283" i="1"/>
  <c r="AQ283" i="1" s="1"/>
  <c r="AD232" i="1"/>
  <c r="AQ232" i="1" s="1"/>
  <c r="AD197" i="1"/>
  <c r="AQ197" i="1" s="1"/>
  <c r="AD144" i="1"/>
  <c r="AQ144" i="1" s="1"/>
  <c r="AD1829" i="1"/>
  <c r="AQ1829" i="1" s="1"/>
  <c r="AD1792" i="1"/>
  <c r="AQ1792" i="1" s="1"/>
  <c r="AD1750" i="1"/>
  <c r="AQ1750" i="1" s="1"/>
  <c r="AD1708" i="1"/>
  <c r="AQ1708" i="1" s="1"/>
  <c r="AD1648" i="1"/>
  <c r="AQ1648" i="1" s="1"/>
  <c r="AD1609" i="1"/>
  <c r="AQ1609" i="1" s="1"/>
  <c r="AD1549" i="1"/>
  <c r="AQ1549" i="1" s="1"/>
  <c r="AD1503" i="1"/>
  <c r="AQ1503" i="1" s="1"/>
  <c r="AD1470" i="1"/>
  <c r="AQ1470" i="1" s="1"/>
  <c r="AD1428" i="1"/>
  <c r="AQ1428" i="1" s="1"/>
  <c r="AD1374" i="1"/>
  <c r="AQ1374" i="1" s="1"/>
  <c r="AD1325" i="1"/>
  <c r="AQ1325" i="1" s="1"/>
  <c r="AD1284" i="1"/>
  <c r="AQ1284" i="1" s="1"/>
  <c r="AD1166" i="1"/>
  <c r="AQ1166" i="1" s="1"/>
  <c r="AD1120" i="1"/>
  <c r="AQ1120" i="1" s="1"/>
  <c r="AD1082" i="1"/>
  <c r="AQ1082" i="1" s="1"/>
  <c r="AD982" i="1"/>
  <c r="AQ982" i="1" s="1"/>
  <c r="AD938" i="1"/>
  <c r="AQ938" i="1" s="1"/>
  <c r="AD891" i="1"/>
  <c r="AQ891" i="1" s="1"/>
  <c r="AD848" i="1"/>
  <c r="AQ848" i="1" s="1"/>
  <c r="AD747" i="1"/>
  <c r="AQ747" i="1" s="1"/>
  <c r="AD714" i="1"/>
  <c r="AQ714" i="1" s="1"/>
  <c r="AD663" i="1"/>
  <c r="AQ663" i="1" s="1"/>
  <c r="AD623" i="1"/>
  <c r="AQ623" i="1" s="1"/>
  <c r="AD562" i="1"/>
  <c r="AQ562" i="1" s="1"/>
  <c r="AD507" i="1"/>
  <c r="AQ507" i="1" s="1"/>
  <c r="AD450" i="1"/>
  <c r="AQ450" i="1" s="1"/>
  <c r="AD404" i="1"/>
  <c r="AQ404" i="1" s="1"/>
  <c r="AD361" i="1"/>
  <c r="AQ361" i="1" s="1"/>
  <c r="AD313" i="1"/>
  <c r="AQ313" i="1" s="1"/>
  <c r="AD216" i="1"/>
  <c r="AQ216" i="1" s="1"/>
  <c r="AD171" i="1"/>
  <c r="AQ171" i="1" s="1"/>
  <c r="AD22" i="1"/>
  <c r="AQ22" i="1" s="1"/>
  <c r="AD109" i="1"/>
  <c r="AQ109" i="1" s="1"/>
  <c r="AD93" i="1"/>
  <c r="AQ93" i="1" s="1"/>
  <c r="AD87" i="1"/>
  <c r="AQ87" i="1" s="1"/>
  <c r="AD79" i="1"/>
  <c r="AQ79" i="1" s="1"/>
  <c r="AD64" i="1"/>
  <c r="AQ64" i="1" s="1"/>
  <c r="AD56" i="1"/>
  <c r="AQ56" i="1" s="1"/>
  <c r="AD48" i="1"/>
  <c r="AQ48" i="1" s="1"/>
  <c r="AD40" i="1"/>
  <c r="AQ40" i="1" s="1"/>
  <c r="AD32" i="1"/>
  <c r="AQ32" i="1" s="1"/>
  <c r="AD24" i="1"/>
  <c r="AQ24" i="1" s="1"/>
  <c r="AD18" i="1"/>
  <c r="AQ18" i="1" s="1"/>
  <c r="AD11" i="1"/>
  <c r="AQ11" i="1" s="1"/>
  <c r="AD1854" i="1"/>
  <c r="AQ1854" i="1" s="1"/>
  <c r="AD1846" i="1"/>
  <c r="AQ1846" i="1" s="1"/>
  <c r="AD1838" i="1"/>
  <c r="AQ1838" i="1" s="1"/>
  <c r="AD1830" i="1"/>
  <c r="AQ1830" i="1" s="1"/>
  <c r="AD1823" i="1"/>
  <c r="AQ1823" i="1" s="1"/>
  <c r="AD1816" i="1"/>
  <c r="AQ1816" i="1" s="1"/>
  <c r="AD1808" i="1"/>
  <c r="AQ1808" i="1" s="1"/>
  <c r="AD1800" i="1"/>
  <c r="AQ1800" i="1" s="1"/>
  <c r="AD1793" i="1"/>
  <c r="AQ1793" i="1" s="1"/>
  <c r="AD1786" i="1"/>
  <c r="AQ1786" i="1" s="1"/>
  <c r="AD1780" i="1"/>
  <c r="AQ1780" i="1" s="1"/>
  <c r="AD1767" i="1"/>
  <c r="AQ1767" i="1" s="1"/>
  <c r="AD1759" i="1"/>
  <c r="AQ1759" i="1" s="1"/>
  <c r="AD1751" i="1"/>
  <c r="AQ1751" i="1" s="1"/>
  <c r="AD1743" i="1"/>
  <c r="AQ1743" i="1" s="1"/>
  <c r="AD1735" i="1"/>
  <c r="AQ1735" i="1" s="1"/>
  <c r="AD1728" i="1"/>
  <c r="AQ1728" i="1" s="1"/>
  <c r="AD1725" i="1"/>
  <c r="AQ1725" i="1" s="1"/>
  <c r="AD1717" i="1"/>
  <c r="AQ1717" i="1" s="1"/>
  <c r="AD1709" i="1"/>
  <c r="AQ1709" i="1" s="1"/>
  <c r="AD1701" i="1"/>
  <c r="AQ1701" i="1" s="1"/>
  <c r="AD1693" i="1"/>
  <c r="AQ1693" i="1" s="1"/>
  <c r="AD1685" i="1"/>
  <c r="AQ1685" i="1" s="1"/>
  <c r="AD1677" i="1"/>
  <c r="AQ1677" i="1" s="1"/>
  <c r="AD1669" i="1"/>
  <c r="AQ1669" i="1" s="1"/>
  <c r="AD1657" i="1"/>
  <c r="AQ1657" i="1" s="1"/>
  <c r="AD1649" i="1"/>
  <c r="AQ1649" i="1" s="1"/>
  <c r="AD1642" i="1"/>
  <c r="AQ1642" i="1" s="1"/>
  <c r="AD1630" i="1"/>
  <c r="AQ1630" i="1" s="1"/>
  <c r="AD1618" i="1"/>
  <c r="AQ1618" i="1" s="1"/>
  <c r="AD1610" i="1"/>
  <c r="AQ1610" i="1" s="1"/>
  <c r="AD1602" i="1"/>
  <c r="AQ1602" i="1" s="1"/>
  <c r="AD1595" i="1"/>
  <c r="AQ1595" i="1" s="1"/>
  <c r="AD1587" i="1"/>
  <c r="AQ1587" i="1" s="1"/>
  <c r="AD1579" i="1"/>
  <c r="AQ1579" i="1" s="1"/>
  <c r="AD1571" i="1"/>
  <c r="AQ1571" i="1" s="1"/>
  <c r="AD1565" i="1"/>
  <c r="AQ1565" i="1" s="1"/>
  <c r="AD1558" i="1"/>
  <c r="AQ1558" i="1" s="1"/>
  <c r="AD1550" i="1"/>
  <c r="AQ1550" i="1" s="1"/>
  <c r="AD1543" i="1"/>
  <c r="AQ1543" i="1" s="1"/>
  <c r="AD1535" i="1"/>
  <c r="AQ1535" i="1" s="1"/>
  <c r="AD1527" i="1"/>
  <c r="AQ1527" i="1" s="1"/>
  <c r="AD1519" i="1"/>
  <c r="AQ1519" i="1" s="1"/>
  <c r="AD1511" i="1"/>
  <c r="AQ1511" i="1" s="1"/>
  <c r="AD1493" i="1"/>
  <c r="AQ1493" i="1" s="1"/>
  <c r="AD1478" i="1"/>
  <c r="AQ1478" i="1" s="1"/>
  <c r="AD1471" i="1"/>
  <c r="AQ1471" i="1" s="1"/>
  <c r="AD1464" i="1"/>
  <c r="AQ1464" i="1" s="1"/>
  <c r="AD1456" i="1"/>
  <c r="AQ1456" i="1" s="1"/>
  <c r="AD1449" i="1"/>
  <c r="AQ1449" i="1" s="1"/>
  <c r="AD1442" i="1"/>
  <c r="AQ1442" i="1" s="1"/>
  <c r="AD1436" i="1"/>
  <c r="AQ1436" i="1" s="1"/>
  <c r="AD1429" i="1"/>
  <c r="AQ1429" i="1" s="1"/>
  <c r="AD1421" i="1"/>
  <c r="AQ1421" i="1" s="1"/>
  <c r="AD1413" i="1"/>
  <c r="AQ1413" i="1" s="1"/>
  <c r="AD1406" i="1"/>
  <c r="AQ1406" i="1" s="1"/>
  <c r="AD1399" i="1"/>
  <c r="AQ1399" i="1" s="1"/>
  <c r="AD1391" i="1"/>
  <c r="AQ1391" i="1" s="1"/>
  <c r="AD1383" i="1"/>
  <c r="AQ1383" i="1" s="1"/>
  <c r="AD1375" i="1"/>
  <c r="AQ1375" i="1" s="1"/>
  <c r="AD1367" i="1"/>
  <c r="AQ1367" i="1" s="1"/>
  <c r="AD1359" i="1"/>
  <c r="AQ1359" i="1" s="1"/>
  <c r="AD1349" i="1"/>
  <c r="AQ1349" i="1" s="1"/>
  <c r="AD1341" i="1"/>
  <c r="AQ1341" i="1" s="1"/>
  <c r="AD1333" i="1"/>
  <c r="AQ1333" i="1" s="1"/>
  <c r="AD1318" i="1"/>
  <c r="AQ1318" i="1" s="1"/>
  <c r="AD1310" i="1"/>
  <c r="AQ1310" i="1" s="1"/>
  <c r="AD1302" i="1"/>
  <c r="AQ1302" i="1" s="1"/>
  <c r="AD1296" i="1"/>
  <c r="AQ1296" i="1" s="1"/>
  <c r="AD1291" i="1"/>
  <c r="AQ1291" i="1" s="1"/>
  <c r="AD1285" i="1"/>
  <c r="AQ1285" i="1" s="1"/>
  <c r="AD1204" i="1"/>
  <c r="AQ1204" i="1" s="1"/>
  <c r="AD1196" i="1"/>
  <c r="AQ1196" i="1" s="1"/>
  <c r="AD1188" i="1"/>
  <c r="AQ1188" i="1" s="1"/>
  <c r="AD1181" i="1"/>
  <c r="AQ1181" i="1" s="1"/>
  <c r="AD1174" i="1"/>
  <c r="AQ1174" i="1" s="1"/>
  <c r="AD1159" i="1"/>
  <c r="AQ1159" i="1" s="1"/>
  <c r="AD1151" i="1"/>
  <c r="AQ1151" i="1" s="1"/>
  <c r="AD1143" i="1"/>
  <c r="AQ1143" i="1" s="1"/>
  <c r="AD1135" i="1"/>
  <c r="AQ1135" i="1" s="1"/>
  <c r="AD1127" i="1"/>
  <c r="AQ1127" i="1" s="1"/>
  <c r="AD1121" i="1"/>
  <c r="AQ1121" i="1" s="1"/>
  <c r="AD1115" i="1"/>
  <c r="AQ1115" i="1" s="1"/>
  <c r="AD1108" i="1"/>
  <c r="AQ1108" i="1" s="1"/>
  <c r="AD1104" i="1"/>
  <c r="AQ1104" i="1" s="1"/>
  <c r="AD1098" i="1"/>
  <c r="AQ1098" i="1" s="1"/>
  <c r="AD1090" i="1"/>
  <c r="AQ1090" i="1" s="1"/>
  <c r="AD1083" i="1"/>
  <c r="AQ1083" i="1" s="1"/>
  <c r="AD1075" i="1"/>
  <c r="AQ1075" i="1" s="1"/>
  <c r="AD1069" i="1"/>
  <c r="AQ1069" i="1" s="1"/>
  <c r="AD1062" i="1"/>
  <c r="AQ1062" i="1" s="1"/>
  <c r="AD1054" i="1"/>
  <c r="AQ1054" i="1" s="1"/>
  <c r="AD1046" i="1"/>
  <c r="AQ1046" i="1" s="1"/>
  <c r="AD1038" i="1"/>
  <c r="AQ1038" i="1" s="1"/>
  <c r="AD1031" i="1"/>
  <c r="AQ1031" i="1" s="1"/>
  <c r="AD1024" i="1"/>
  <c r="AQ1024" i="1" s="1"/>
  <c r="AD1018" i="1"/>
  <c r="AQ1018" i="1" s="1"/>
  <c r="AD1011" i="1"/>
  <c r="AQ1011" i="1" s="1"/>
  <c r="AD1004" i="1"/>
  <c r="AQ1004" i="1" s="1"/>
  <c r="AD997" i="1"/>
  <c r="AQ997" i="1" s="1"/>
  <c r="AD990" i="1"/>
  <c r="AQ990" i="1" s="1"/>
  <c r="AD983" i="1"/>
  <c r="AQ983" i="1" s="1"/>
  <c r="AD975" i="1"/>
  <c r="AQ975" i="1" s="1"/>
  <c r="AD967" i="1"/>
  <c r="AQ967" i="1" s="1"/>
  <c r="AD961" i="1"/>
  <c r="AQ961" i="1" s="1"/>
  <c r="AD953" i="1"/>
  <c r="AQ953" i="1" s="1"/>
  <c r="AD945" i="1"/>
  <c r="AQ945" i="1" s="1"/>
  <c r="AD931" i="1"/>
  <c r="AQ931" i="1" s="1"/>
  <c r="AD924" i="1"/>
  <c r="AQ924" i="1" s="1"/>
  <c r="AD916" i="1"/>
  <c r="AQ916" i="1" s="1"/>
  <c r="AD908" i="1"/>
  <c r="AQ908" i="1" s="1"/>
  <c r="AD900" i="1"/>
  <c r="AQ900" i="1" s="1"/>
  <c r="AD892" i="1"/>
  <c r="AQ892" i="1" s="1"/>
  <c r="AD885" i="1"/>
  <c r="AQ885" i="1" s="1"/>
  <c r="AD877" i="1"/>
  <c r="AQ877" i="1" s="1"/>
  <c r="AD870" i="1"/>
  <c r="AQ870" i="1" s="1"/>
  <c r="AD862" i="1"/>
  <c r="AQ862" i="1" s="1"/>
  <c r="AD855" i="1"/>
  <c r="AQ855" i="1" s="1"/>
  <c r="AD841" i="1"/>
  <c r="AQ841" i="1" s="1"/>
  <c r="AD834" i="1"/>
  <c r="AQ834" i="1" s="1"/>
  <c r="AD823" i="1"/>
  <c r="AQ823" i="1" s="1"/>
  <c r="AD815" i="1"/>
  <c r="AQ815" i="1" s="1"/>
  <c r="AD807" i="1"/>
  <c r="AQ807" i="1" s="1"/>
  <c r="AD801" i="1"/>
  <c r="AQ801" i="1" s="1"/>
  <c r="AD793" i="1"/>
  <c r="AQ793" i="1" s="1"/>
  <c r="AD785" i="1"/>
  <c r="AQ785" i="1" s="1"/>
  <c r="AD778" i="1"/>
  <c r="AQ778" i="1" s="1"/>
  <c r="AD770" i="1"/>
  <c r="AQ770" i="1" s="1"/>
  <c r="AD762" i="1"/>
  <c r="AQ762" i="1" s="1"/>
  <c r="AD756" i="1"/>
  <c r="AQ756" i="1" s="1"/>
  <c r="AD748" i="1"/>
  <c r="AQ748" i="1" s="1"/>
  <c r="AD734" i="1"/>
  <c r="AQ734" i="1" s="1"/>
  <c r="AD723" i="1"/>
  <c r="AQ723" i="1" s="1"/>
  <c r="AD715" i="1"/>
  <c r="AQ715" i="1" s="1"/>
  <c r="AD700" i="1"/>
  <c r="AQ700" i="1" s="1"/>
  <c r="AD692" i="1"/>
  <c r="AQ692" i="1" s="1"/>
  <c r="AD684" i="1"/>
  <c r="AQ684" i="1" s="1"/>
  <c r="AD676" i="1"/>
  <c r="AQ676" i="1" s="1"/>
  <c r="AD670" i="1"/>
  <c r="AQ670" i="1" s="1"/>
  <c r="AD645" i="1"/>
  <c r="AQ645" i="1" s="1"/>
  <c r="AD638" i="1"/>
  <c r="AQ638" i="1" s="1"/>
  <c r="AD631" i="1"/>
  <c r="AQ631" i="1" s="1"/>
  <c r="AD610" i="1"/>
  <c r="AQ610" i="1" s="1"/>
  <c r="AD602" i="1"/>
  <c r="AQ602" i="1" s="1"/>
  <c r="AD594" i="1"/>
  <c r="AQ594" i="1" s="1"/>
  <c r="AD586" i="1"/>
  <c r="AQ586" i="1" s="1"/>
  <c r="AD578" i="1"/>
  <c r="AQ578" i="1" s="1"/>
  <c r="AD570" i="1"/>
  <c r="AQ570" i="1" s="1"/>
  <c r="AD563" i="1"/>
  <c r="AQ563" i="1" s="1"/>
  <c r="AD556" i="1"/>
  <c r="AQ556" i="1" s="1"/>
  <c r="AD548" i="1"/>
  <c r="AQ548" i="1" s="1"/>
  <c r="AD540" i="1"/>
  <c r="AQ540" i="1" s="1"/>
  <c r="AD533" i="1"/>
  <c r="AQ533" i="1" s="1"/>
  <c r="AD528" i="1"/>
  <c r="AQ528" i="1" s="1"/>
  <c r="AD523" i="1"/>
  <c r="AQ523" i="1" s="1"/>
  <c r="AD515" i="1"/>
  <c r="AQ515" i="1" s="1"/>
  <c r="AD508" i="1"/>
  <c r="AQ508" i="1" s="1"/>
  <c r="AD496" i="1"/>
  <c r="AQ496" i="1" s="1"/>
  <c r="AD488" i="1"/>
  <c r="AQ488" i="1" s="1"/>
  <c r="AD480" i="1"/>
  <c r="AQ480" i="1" s="1"/>
  <c r="AD472" i="1"/>
  <c r="AQ472" i="1" s="1"/>
  <c r="AD464" i="1"/>
  <c r="AQ464" i="1" s="1"/>
  <c r="AD457" i="1"/>
  <c r="AQ457" i="1" s="1"/>
  <c r="AD451" i="1"/>
  <c r="AQ451" i="1" s="1"/>
  <c r="AD443" i="1"/>
  <c r="AQ443" i="1" s="1"/>
  <c r="AD436" i="1"/>
  <c r="AQ436" i="1" s="1"/>
  <c r="AD428" i="1"/>
  <c r="AQ428" i="1" s="1"/>
  <c r="AD420" i="1"/>
  <c r="AQ420" i="1" s="1"/>
  <c r="AD412" i="1"/>
  <c r="AQ412" i="1" s="1"/>
  <c r="AD405" i="1"/>
  <c r="AQ405" i="1" s="1"/>
  <c r="AD397" i="1"/>
  <c r="AQ397" i="1" s="1"/>
  <c r="AD391" i="1"/>
  <c r="AQ391" i="1" s="1"/>
  <c r="AD385" i="1"/>
  <c r="AQ385" i="1" s="1"/>
  <c r="AD377" i="1"/>
  <c r="AQ377" i="1" s="1"/>
  <c r="AD362" i="1"/>
  <c r="AQ362" i="1" s="1"/>
  <c r="AD356" i="1"/>
  <c r="AQ356" i="1" s="1"/>
  <c r="AD349" i="1"/>
  <c r="AQ349" i="1" s="1"/>
  <c r="AD342" i="1"/>
  <c r="AQ342" i="1" s="1"/>
  <c r="AD337" i="1"/>
  <c r="AQ337" i="1" s="1"/>
  <c r="AD330" i="1"/>
  <c r="AQ330" i="1" s="1"/>
  <c r="AD322" i="1"/>
  <c r="AQ322" i="1" s="1"/>
  <c r="AD314" i="1"/>
  <c r="AQ314" i="1" s="1"/>
  <c r="AD306" i="1"/>
  <c r="AQ306" i="1" s="1"/>
  <c r="AD298" i="1"/>
  <c r="AQ298" i="1" s="1"/>
  <c r="AD290" i="1"/>
  <c r="AQ290" i="1" s="1"/>
  <c r="AD276" i="1"/>
  <c r="AQ276" i="1" s="1"/>
  <c r="AD268" i="1"/>
  <c r="AQ268" i="1" s="1"/>
  <c r="AD260" i="1"/>
  <c r="AQ260" i="1" s="1"/>
  <c r="AD253" i="1"/>
  <c r="AQ253" i="1" s="1"/>
  <c r="AD247" i="1"/>
  <c r="AQ247" i="1" s="1"/>
  <c r="AD239" i="1"/>
  <c r="AQ239" i="1" s="1"/>
  <c r="AD231" i="1"/>
  <c r="AQ231" i="1" s="1"/>
  <c r="AD223" i="1"/>
  <c r="AQ223" i="1" s="1"/>
  <c r="AD217" i="1"/>
  <c r="AQ217" i="1" s="1"/>
  <c r="AD211" i="1"/>
  <c r="AQ211" i="1" s="1"/>
  <c r="AD203" i="1"/>
  <c r="AQ203" i="1" s="1"/>
  <c r="AD196" i="1"/>
  <c r="AQ196" i="1" s="1"/>
  <c r="AD188" i="1"/>
  <c r="AQ188" i="1" s="1"/>
  <c r="AD180" i="1"/>
  <c r="AQ180" i="1" s="1"/>
  <c r="AD172" i="1"/>
  <c r="AQ172" i="1" s="1"/>
  <c r="AD165" i="1"/>
  <c r="AQ165" i="1" s="1"/>
  <c r="AD157" i="1"/>
  <c r="AQ157" i="1" s="1"/>
  <c r="AD150" i="1"/>
  <c r="AQ150" i="1" s="1"/>
  <c r="AD143" i="1"/>
  <c r="AQ143" i="1" s="1"/>
  <c r="AD135" i="1"/>
  <c r="AQ135" i="1" s="1"/>
  <c r="AD121" i="1"/>
  <c r="AQ121" i="1" s="1"/>
  <c r="AD108" i="1"/>
  <c r="AQ108" i="1" s="1"/>
  <c r="AD103" i="1"/>
  <c r="AQ103" i="1" s="1"/>
  <c r="AD97" i="1"/>
  <c r="AQ97" i="1" s="1"/>
  <c r="AD86" i="1"/>
  <c r="AQ86" i="1" s="1"/>
  <c r="AD78" i="1"/>
  <c r="AQ78" i="1" s="1"/>
  <c r="AD71" i="1"/>
  <c r="AQ71" i="1" s="1"/>
  <c r="AD63" i="1"/>
  <c r="AQ63" i="1" s="1"/>
  <c r="AD55" i="1"/>
  <c r="AQ55" i="1" s="1"/>
  <c r="AD47" i="1"/>
  <c r="AQ47" i="1" s="1"/>
  <c r="AD39" i="1"/>
  <c r="AQ39" i="1" s="1"/>
  <c r="AD31" i="1"/>
  <c r="AQ31" i="1" s="1"/>
  <c r="AD23" i="1"/>
  <c r="AQ23" i="1" s="1"/>
  <c r="AD17" i="1"/>
  <c r="AQ17" i="1" s="1"/>
  <c r="AD10" i="1"/>
  <c r="AQ10" i="1" s="1"/>
  <c r="AD77" i="1"/>
  <c r="AQ77" i="1" s="1"/>
  <c r="AD70" i="1"/>
  <c r="AQ70" i="1" s="1"/>
  <c r="AD62" i="1"/>
  <c r="AQ62" i="1" s="1"/>
  <c r="AD54" i="1"/>
  <c r="AQ54" i="1" s="1"/>
  <c r="AD46" i="1"/>
  <c r="AQ46" i="1" s="1"/>
  <c r="AD9" i="1"/>
  <c r="AQ9" i="1" s="1"/>
  <c r="AD1860" i="1"/>
  <c r="AQ1860" i="1" s="1"/>
  <c r="AD1852" i="1"/>
  <c r="AQ1852" i="1" s="1"/>
  <c r="AD1844" i="1"/>
  <c r="AQ1844" i="1" s="1"/>
  <c r="AD1836" i="1"/>
  <c r="AQ1836" i="1" s="1"/>
  <c r="AD1828" i="1"/>
  <c r="AQ1828" i="1" s="1"/>
  <c r="AD1821" i="1"/>
  <c r="AQ1821" i="1" s="1"/>
  <c r="AD1814" i="1"/>
  <c r="AQ1814" i="1" s="1"/>
  <c r="AD1806" i="1"/>
  <c r="AQ1806" i="1" s="1"/>
  <c r="AD1799" i="1"/>
  <c r="AQ1799" i="1" s="1"/>
  <c r="AD1791" i="1"/>
  <c r="AQ1791" i="1" s="1"/>
  <c r="AD1785" i="1"/>
  <c r="AQ1785" i="1" s="1"/>
  <c r="AD1778" i="1"/>
  <c r="AQ1778" i="1" s="1"/>
  <c r="AD1772" i="1"/>
  <c r="AQ1772" i="1" s="1"/>
  <c r="AD1765" i="1"/>
  <c r="AQ1765" i="1" s="1"/>
  <c r="AD1757" i="1"/>
  <c r="AQ1757" i="1" s="1"/>
  <c r="AD1749" i="1"/>
  <c r="AQ1749" i="1" s="1"/>
  <c r="AD1741" i="1"/>
  <c r="AQ1741" i="1" s="1"/>
  <c r="AD1733" i="1"/>
  <c r="AQ1733" i="1" s="1"/>
  <c r="AD1727" i="1"/>
  <c r="AQ1727" i="1" s="1"/>
  <c r="AD1723" i="1"/>
  <c r="AQ1723" i="1" s="1"/>
  <c r="AD1715" i="1"/>
  <c r="AQ1715" i="1" s="1"/>
  <c r="AD1707" i="1"/>
  <c r="AQ1707" i="1" s="1"/>
  <c r="AD1699" i="1"/>
  <c r="AQ1699" i="1" s="1"/>
  <c r="AD1691" i="1"/>
  <c r="AQ1691" i="1" s="1"/>
  <c r="AD1683" i="1"/>
  <c r="AQ1683" i="1" s="1"/>
  <c r="AD1675" i="1"/>
  <c r="AQ1675" i="1" s="1"/>
  <c r="AD1667" i="1"/>
  <c r="AQ1667" i="1" s="1"/>
  <c r="AD1655" i="1"/>
  <c r="AQ1655" i="1" s="1"/>
  <c r="AD1640" i="1"/>
  <c r="AQ1640" i="1" s="1"/>
  <c r="AD1635" i="1"/>
  <c r="AQ1635" i="1" s="1"/>
  <c r="AD1628" i="1"/>
  <c r="AQ1628" i="1" s="1"/>
  <c r="AD1622" i="1"/>
  <c r="AQ1622" i="1" s="1"/>
  <c r="AD1616" i="1"/>
  <c r="AQ1616" i="1" s="1"/>
  <c r="AD1608" i="1"/>
  <c r="AQ1608" i="1" s="1"/>
  <c r="AD1600" i="1"/>
  <c r="AQ1600" i="1" s="1"/>
  <c r="AD1593" i="1"/>
  <c r="AQ1593" i="1" s="1"/>
  <c r="AD1585" i="1"/>
  <c r="AQ1585" i="1" s="1"/>
  <c r="AD1577" i="1"/>
  <c r="AQ1577" i="1" s="1"/>
  <c r="AD1569" i="1"/>
  <c r="AQ1569" i="1" s="1"/>
  <c r="AD1563" i="1"/>
  <c r="AQ1563" i="1" s="1"/>
  <c r="AD1556" i="1"/>
  <c r="AQ1556" i="1" s="1"/>
  <c r="AD1548" i="1"/>
  <c r="AQ1548" i="1" s="1"/>
  <c r="AD1541" i="1"/>
  <c r="AQ1541" i="1" s="1"/>
  <c r="AD1533" i="1"/>
  <c r="AQ1533" i="1" s="1"/>
  <c r="AD1525" i="1"/>
  <c r="AQ1525" i="1" s="1"/>
  <c r="AD1517" i="1"/>
  <c r="AQ1517" i="1" s="1"/>
  <c r="AD1509" i="1"/>
  <c r="AQ1509" i="1" s="1"/>
  <c r="AD1491" i="1"/>
  <c r="AQ1491" i="1" s="1"/>
  <c r="AD1484" i="1"/>
  <c r="AQ1484" i="1" s="1"/>
  <c r="AD1477" i="1"/>
  <c r="AQ1477" i="1" s="1"/>
  <c r="AD1469" i="1"/>
  <c r="AQ1469" i="1" s="1"/>
  <c r="AD1462" i="1"/>
  <c r="AQ1462" i="1" s="1"/>
  <c r="AD1454" i="1"/>
  <c r="AQ1454" i="1" s="1"/>
  <c r="AD1447" i="1"/>
  <c r="AQ1447" i="1" s="1"/>
  <c r="AD1427" i="1"/>
  <c r="AQ1427" i="1" s="1"/>
  <c r="AD1419" i="1"/>
  <c r="AQ1419" i="1" s="1"/>
  <c r="AD1411" i="1"/>
  <c r="AQ1411" i="1" s="1"/>
  <c r="AD1404" i="1"/>
  <c r="AQ1404" i="1" s="1"/>
  <c r="AD1397" i="1"/>
  <c r="AQ1397" i="1" s="1"/>
  <c r="AD1389" i="1"/>
  <c r="AQ1389" i="1" s="1"/>
  <c r="AD1381" i="1"/>
  <c r="AQ1381" i="1" s="1"/>
  <c r="AD1373" i="1"/>
  <c r="AQ1373" i="1" s="1"/>
  <c r="AD1365" i="1"/>
  <c r="AQ1365" i="1" s="1"/>
  <c r="AD1355" i="1"/>
  <c r="AQ1355" i="1" s="1"/>
  <c r="AD1347" i="1"/>
  <c r="AQ1347" i="1" s="1"/>
  <c r="AD1339" i="1"/>
  <c r="AQ1339" i="1" s="1"/>
  <c r="AD1331" i="1"/>
  <c r="AQ1331" i="1" s="1"/>
  <c r="AD1324" i="1"/>
  <c r="AQ1324" i="1" s="1"/>
  <c r="AD1316" i="1"/>
  <c r="AQ1316" i="1" s="1"/>
  <c r="AD1308" i="1"/>
  <c r="AQ1308" i="1" s="1"/>
  <c r="AD1300" i="1"/>
  <c r="AQ1300" i="1" s="1"/>
  <c r="AD1295" i="1"/>
  <c r="AQ1295" i="1" s="1"/>
  <c r="AD1289" i="1"/>
  <c r="AQ1289" i="1" s="1"/>
  <c r="AD1283" i="1"/>
  <c r="AQ1283" i="1" s="1"/>
  <c r="AD1202" i="1"/>
  <c r="AQ1202" i="1" s="1"/>
  <c r="AD1194" i="1"/>
  <c r="AQ1194" i="1" s="1"/>
  <c r="AD1186" i="1"/>
  <c r="AQ1186" i="1" s="1"/>
  <c r="AD1179" i="1"/>
  <c r="AQ1179" i="1" s="1"/>
  <c r="AD1172" i="1"/>
  <c r="AQ1172" i="1" s="1"/>
  <c r="AD1165" i="1"/>
  <c r="AQ1165" i="1" s="1"/>
  <c r="AD1157" i="1"/>
  <c r="AQ1157" i="1" s="1"/>
  <c r="AD1149" i="1"/>
  <c r="AQ1149" i="1" s="1"/>
  <c r="AD1141" i="1"/>
  <c r="AQ1141" i="1" s="1"/>
  <c r="AD1133" i="1"/>
  <c r="AQ1133" i="1" s="1"/>
  <c r="AD1125" i="1"/>
  <c r="AQ1125" i="1" s="1"/>
  <c r="AD1119" i="1"/>
  <c r="AQ1119" i="1" s="1"/>
  <c r="AD1113" i="1"/>
  <c r="AQ1113" i="1" s="1"/>
  <c r="AD1103" i="1"/>
  <c r="AQ1103" i="1" s="1"/>
  <c r="AD1096" i="1"/>
  <c r="AQ1096" i="1" s="1"/>
  <c r="AD1088" i="1"/>
  <c r="AQ1088" i="1" s="1"/>
  <c r="AD1081" i="1"/>
  <c r="AQ1081" i="1" s="1"/>
  <c r="AD1073" i="1"/>
  <c r="AQ1073" i="1" s="1"/>
  <c r="AD1067" i="1"/>
  <c r="AQ1067" i="1" s="1"/>
  <c r="AD1060" i="1"/>
  <c r="AQ1060" i="1" s="1"/>
  <c r="AD1052" i="1"/>
  <c r="AQ1052" i="1" s="1"/>
  <c r="AD1044" i="1"/>
  <c r="AQ1044" i="1" s="1"/>
  <c r="AD1036" i="1"/>
  <c r="AQ1036" i="1" s="1"/>
  <c r="AD1029" i="1"/>
  <c r="AQ1029" i="1" s="1"/>
  <c r="AD1023" i="1"/>
  <c r="AQ1023" i="1" s="1"/>
  <c r="AD1017" i="1"/>
  <c r="AQ1017" i="1" s="1"/>
  <c r="AD1009" i="1"/>
  <c r="AQ1009" i="1" s="1"/>
  <c r="AD995" i="1"/>
  <c r="AQ995" i="1" s="1"/>
  <c r="AD988" i="1"/>
  <c r="AQ988" i="1" s="1"/>
  <c r="AD981" i="1"/>
  <c r="AQ981" i="1" s="1"/>
  <c r="AD973" i="1"/>
  <c r="AQ973" i="1" s="1"/>
  <c r="AD965" i="1"/>
  <c r="AQ965" i="1" s="1"/>
  <c r="AD959" i="1"/>
  <c r="AQ959" i="1" s="1"/>
  <c r="AD951" i="1"/>
  <c r="AQ951" i="1" s="1"/>
  <c r="AD943" i="1"/>
  <c r="AQ943" i="1" s="1"/>
  <c r="AD937" i="1"/>
  <c r="AQ937" i="1" s="1"/>
  <c r="AD929" i="1"/>
  <c r="AQ929" i="1" s="1"/>
  <c r="AD922" i="1"/>
  <c r="AQ922" i="1" s="1"/>
  <c r="AD914" i="1"/>
  <c r="AQ914" i="1" s="1"/>
  <c r="AD906" i="1"/>
  <c r="AQ906" i="1" s="1"/>
  <c r="AD898" i="1"/>
  <c r="AQ898" i="1" s="1"/>
  <c r="AD890" i="1"/>
  <c r="AQ890" i="1" s="1"/>
  <c r="AD883" i="1"/>
  <c r="AQ883" i="1" s="1"/>
  <c r="AD875" i="1"/>
  <c r="AQ875" i="1" s="1"/>
  <c r="AD868" i="1"/>
  <c r="AQ868" i="1" s="1"/>
  <c r="AD860" i="1"/>
  <c r="AQ860" i="1" s="1"/>
  <c r="AD853" i="1"/>
  <c r="AQ853" i="1" s="1"/>
  <c r="AD847" i="1"/>
  <c r="AQ847" i="1" s="1"/>
  <c r="AD839" i="1"/>
  <c r="AQ839" i="1" s="1"/>
  <c r="AD832" i="1"/>
  <c r="AQ832" i="1" s="1"/>
  <c r="AD821" i="1"/>
  <c r="AQ821" i="1" s="1"/>
  <c r="AD813" i="1"/>
  <c r="AQ813" i="1" s="1"/>
  <c r="AD806" i="1"/>
  <c r="AQ806" i="1" s="1"/>
  <c r="AD799" i="1"/>
  <c r="AQ799" i="1" s="1"/>
  <c r="AD791" i="1"/>
  <c r="AQ791" i="1" s="1"/>
  <c r="AD783" i="1"/>
  <c r="AQ783" i="1" s="1"/>
  <c r="AD776" i="1"/>
  <c r="AQ776" i="1" s="1"/>
  <c r="AD768" i="1"/>
  <c r="AQ768" i="1" s="1"/>
  <c r="AD754" i="1"/>
  <c r="AQ754" i="1" s="1"/>
  <c r="AD746" i="1"/>
  <c r="AQ746" i="1" s="1"/>
  <c r="AD740" i="1"/>
  <c r="AQ740" i="1" s="1"/>
  <c r="AD729" i="1"/>
  <c r="AQ729" i="1" s="1"/>
  <c r="AD721" i="1"/>
  <c r="AQ721" i="1" s="1"/>
  <c r="AD713" i="1"/>
  <c r="AQ713" i="1" s="1"/>
  <c r="AD706" i="1"/>
  <c r="AQ706" i="1" s="1"/>
  <c r="AD698" i="1"/>
  <c r="AQ698" i="1" s="1"/>
  <c r="AD690" i="1"/>
  <c r="AQ690" i="1" s="1"/>
  <c r="AD682" i="1"/>
  <c r="AQ682" i="1" s="1"/>
  <c r="AD674" i="1"/>
  <c r="AQ674" i="1" s="1"/>
  <c r="AD668" i="1"/>
  <c r="AQ668" i="1" s="1"/>
  <c r="AD662" i="1"/>
  <c r="AQ662" i="1" s="1"/>
  <c r="AD655" i="1"/>
  <c r="AQ655" i="1" s="1"/>
  <c r="AD649" i="1"/>
  <c r="AQ649" i="1" s="1"/>
  <c r="AD643" i="1"/>
  <c r="AQ643" i="1" s="1"/>
  <c r="AD637" i="1"/>
  <c r="AQ637" i="1" s="1"/>
  <c r="AD629" i="1"/>
  <c r="AQ629" i="1" s="1"/>
  <c r="AD622" i="1"/>
  <c r="AQ622" i="1" s="1"/>
  <c r="AD616" i="1"/>
  <c r="AQ616" i="1" s="1"/>
  <c r="AD608" i="1"/>
  <c r="AQ608" i="1" s="1"/>
  <c r="AD600" i="1"/>
  <c r="AQ600" i="1" s="1"/>
  <c r="AD592" i="1"/>
  <c r="AQ592" i="1" s="1"/>
  <c r="AD584" i="1"/>
  <c r="AQ584" i="1" s="1"/>
  <c r="AD576" i="1"/>
  <c r="AQ576" i="1" s="1"/>
  <c r="AD569" i="1"/>
  <c r="AQ569" i="1" s="1"/>
  <c r="AD561" i="1"/>
  <c r="AQ561" i="1" s="1"/>
  <c r="AD554" i="1"/>
  <c r="AQ554" i="1" s="1"/>
  <c r="AD546" i="1"/>
  <c r="AQ546" i="1" s="1"/>
  <c r="AD538" i="1"/>
  <c r="AQ538" i="1" s="1"/>
  <c r="AD527" i="1"/>
  <c r="AQ527" i="1" s="1"/>
  <c r="AD521" i="1"/>
  <c r="AQ521" i="1" s="1"/>
  <c r="AD513" i="1"/>
  <c r="AQ513" i="1" s="1"/>
  <c r="AD506" i="1"/>
  <c r="AQ506" i="1" s="1"/>
  <c r="AD502" i="1"/>
  <c r="AQ502" i="1" s="1"/>
  <c r="AD494" i="1"/>
  <c r="AQ494" i="1" s="1"/>
  <c r="AD486" i="1"/>
  <c r="AQ486" i="1" s="1"/>
  <c r="AD478" i="1"/>
  <c r="AQ478" i="1" s="1"/>
  <c r="AD470" i="1"/>
  <c r="AQ470" i="1" s="1"/>
  <c r="AD462" i="1"/>
  <c r="AQ462" i="1" s="1"/>
  <c r="AD449" i="1"/>
  <c r="AQ449" i="1" s="1"/>
  <c r="AD434" i="1"/>
  <c r="AQ434" i="1" s="1"/>
  <c r="AD426" i="1"/>
  <c r="AQ426" i="1" s="1"/>
  <c r="AD418" i="1"/>
  <c r="AQ418" i="1" s="1"/>
  <c r="AD410" i="1"/>
  <c r="AQ410" i="1" s="1"/>
  <c r="AD403" i="1"/>
  <c r="AQ403" i="1" s="1"/>
  <c r="AD396" i="1"/>
  <c r="AQ396" i="1" s="1"/>
  <c r="AD383" i="1"/>
  <c r="AQ383" i="1" s="1"/>
  <c r="AD375" i="1"/>
  <c r="AQ375" i="1" s="1"/>
  <c r="AD368" i="1"/>
  <c r="AQ368" i="1" s="1"/>
  <c r="AD354" i="1"/>
  <c r="AQ354" i="1" s="1"/>
  <c r="AD347" i="1"/>
  <c r="AQ347" i="1" s="1"/>
  <c r="AD335" i="1"/>
  <c r="AQ335" i="1" s="1"/>
  <c r="AD328" i="1"/>
  <c r="AQ328" i="1" s="1"/>
  <c r="AD320" i="1"/>
  <c r="AQ320" i="1" s="1"/>
  <c r="AD312" i="1"/>
  <c r="AQ312" i="1" s="1"/>
  <c r="AD304" i="1"/>
  <c r="AQ304" i="1" s="1"/>
  <c r="AD296" i="1"/>
  <c r="AQ296" i="1" s="1"/>
  <c r="AD288" i="1"/>
  <c r="AQ288" i="1" s="1"/>
  <c r="AD281" i="1"/>
  <c r="AQ281" i="1" s="1"/>
  <c r="AD274" i="1"/>
  <c r="AQ274" i="1" s="1"/>
  <c r="AD266" i="1"/>
  <c r="AQ266" i="1" s="1"/>
  <c r="AD259" i="1"/>
  <c r="AQ259" i="1" s="1"/>
  <c r="AD245" i="1"/>
  <c r="AQ245" i="1" s="1"/>
  <c r="AD237" i="1"/>
  <c r="AQ237" i="1" s="1"/>
  <c r="AD229" i="1"/>
  <c r="AQ229" i="1" s="1"/>
  <c r="AD221" i="1"/>
  <c r="AQ221" i="1" s="1"/>
  <c r="AD215" i="1"/>
  <c r="AQ215" i="1" s="1"/>
  <c r="AD209" i="1"/>
  <c r="AQ209" i="1" s="1"/>
  <c r="AD201" i="1"/>
  <c r="AQ201" i="1" s="1"/>
  <c r="AD194" i="1"/>
  <c r="AQ194" i="1" s="1"/>
  <c r="AD186" i="1"/>
  <c r="AQ186" i="1" s="1"/>
  <c r="AD178" i="1"/>
  <c r="AQ178" i="1" s="1"/>
  <c r="AD170" i="1"/>
  <c r="AQ170" i="1" s="1"/>
  <c r="AD163" i="1"/>
  <c r="AQ163" i="1" s="1"/>
  <c r="AD155" i="1"/>
  <c r="AQ155" i="1" s="1"/>
  <c r="AD141" i="1"/>
  <c r="AQ141" i="1" s="1"/>
  <c r="AD133" i="1"/>
  <c r="AQ133" i="1" s="1"/>
  <c r="AD126" i="1"/>
  <c r="AQ126" i="1" s="1"/>
  <c r="AD119" i="1"/>
  <c r="AQ119" i="1" s="1"/>
  <c r="AD113" i="1"/>
  <c r="AQ113" i="1" s="1"/>
  <c r="AD107" i="1"/>
  <c r="AQ107" i="1" s="1"/>
  <c r="AD102" i="1"/>
  <c r="AQ102" i="1" s="1"/>
  <c r="AD91" i="1"/>
  <c r="AQ91" i="1" s="1"/>
  <c r="AD84" i="1"/>
  <c r="AQ84" i="1" s="1"/>
  <c r="AD76" i="1"/>
  <c r="AQ76" i="1" s="1"/>
  <c r="AD69" i="1"/>
  <c r="AQ69" i="1" s="1"/>
  <c r="AD61" i="1"/>
  <c r="AQ61" i="1" s="1"/>
  <c r="AD53" i="1"/>
  <c r="AQ53" i="1" s="1"/>
  <c r="AD45" i="1"/>
  <c r="AQ45" i="1" s="1"/>
  <c r="AD37" i="1"/>
  <c r="AQ37" i="1" s="1"/>
  <c r="AD29" i="1"/>
  <c r="AQ29" i="1" s="1"/>
  <c r="AD15" i="1"/>
  <c r="AQ15" i="1" s="1"/>
  <c r="AD8" i="1"/>
  <c r="AQ8" i="1" s="1"/>
  <c r="AD1790" i="1"/>
  <c r="AQ1790" i="1" s="1"/>
  <c r="AD1784" i="1"/>
  <c r="AQ1784" i="1" s="1"/>
  <c r="AD1777" i="1"/>
  <c r="AQ1777" i="1" s="1"/>
  <c r="AD1764" i="1"/>
  <c r="AQ1764" i="1" s="1"/>
  <c r="AD1756" i="1"/>
  <c r="AQ1756" i="1" s="1"/>
  <c r="AD1748" i="1"/>
  <c r="AQ1748" i="1" s="1"/>
  <c r="AD1740" i="1"/>
  <c r="AQ1740" i="1" s="1"/>
  <c r="AD1732" i="1"/>
  <c r="AQ1732" i="1" s="1"/>
  <c r="AD1722" i="1"/>
  <c r="AQ1722" i="1" s="1"/>
  <c r="AD1714" i="1"/>
  <c r="AQ1714" i="1" s="1"/>
  <c r="AD1706" i="1"/>
  <c r="AQ1706" i="1" s="1"/>
  <c r="AD1698" i="1"/>
  <c r="AQ1698" i="1" s="1"/>
  <c r="AD1690" i="1"/>
  <c r="AQ1690" i="1" s="1"/>
  <c r="AD1682" i="1"/>
  <c r="AQ1682" i="1" s="1"/>
  <c r="AD1674" i="1"/>
  <c r="AQ1674" i="1" s="1"/>
  <c r="AD1666" i="1"/>
  <c r="AQ1666" i="1" s="1"/>
  <c r="AD1654" i="1"/>
  <c r="AQ1654" i="1" s="1"/>
  <c r="AD1647" i="1"/>
  <c r="AQ1647" i="1" s="1"/>
  <c r="AD1639" i="1"/>
  <c r="AQ1639" i="1" s="1"/>
  <c r="AD1634" i="1"/>
  <c r="AQ1634" i="1" s="1"/>
  <c r="AD1627" i="1"/>
  <c r="AQ1627" i="1" s="1"/>
  <c r="AD1615" i="1"/>
  <c r="AQ1615" i="1" s="1"/>
  <c r="AD1607" i="1"/>
  <c r="AQ1607" i="1" s="1"/>
  <c r="AD1599" i="1"/>
  <c r="AQ1599" i="1" s="1"/>
  <c r="AD1592" i="1"/>
  <c r="AQ1592" i="1" s="1"/>
  <c r="AD1584" i="1"/>
  <c r="AQ1584" i="1" s="1"/>
  <c r="AD1576" i="1"/>
  <c r="AQ1576" i="1" s="1"/>
  <c r="AD1568" i="1"/>
  <c r="AQ1568" i="1" s="1"/>
  <c r="AD1562" i="1"/>
  <c r="AQ1562" i="1" s="1"/>
  <c r="AD1555" i="1"/>
  <c r="AQ1555" i="1" s="1"/>
  <c r="AD1547" i="1"/>
  <c r="AQ1547" i="1" s="1"/>
  <c r="AD1540" i="1"/>
  <c r="AQ1540" i="1" s="1"/>
  <c r="AD1532" i="1"/>
  <c r="AQ1532" i="1" s="1"/>
  <c r="AD1524" i="1"/>
  <c r="AQ1524" i="1" s="1"/>
  <c r="AD1516" i="1"/>
  <c r="AQ1516" i="1" s="1"/>
  <c r="AD1508" i="1"/>
  <c r="AQ1508" i="1" s="1"/>
  <c r="AD1498" i="1"/>
  <c r="AQ1498" i="1" s="1"/>
  <c r="AD1490" i="1"/>
  <c r="AQ1490" i="1" s="1"/>
  <c r="AD1483" i="1"/>
  <c r="AQ1483" i="1" s="1"/>
  <c r="AD1476" i="1"/>
  <c r="AQ1476" i="1" s="1"/>
  <c r="AD1468" i="1"/>
  <c r="AQ1468" i="1" s="1"/>
  <c r="AD1461" i="1"/>
  <c r="AQ1461" i="1" s="1"/>
  <c r="AD1453" i="1"/>
  <c r="AQ1453" i="1" s="1"/>
  <c r="AD1446" i="1"/>
  <c r="AQ1446" i="1" s="1"/>
  <c r="AD1440" i="1"/>
  <c r="AQ1440" i="1" s="1"/>
  <c r="AD1434" i="1"/>
  <c r="AQ1434" i="1" s="1"/>
  <c r="AD1426" i="1"/>
  <c r="AQ1426" i="1" s="1"/>
  <c r="AD1418" i="1"/>
  <c r="AQ1418" i="1" s="1"/>
  <c r="AD1410" i="1"/>
  <c r="AQ1410" i="1" s="1"/>
  <c r="AD1403" i="1"/>
  <c r="AQ1403" i="1" s="1"/>
  <c r="AD1396" i="1"/>
  <c r="AQ1396" i="1" s="1"/>
  <c r="AD1388" i="1"/>
  <c r="AQ1388" i="1" s="1"/>
  <c r="AD1380" i="1"/>
  <c r="AQ1380" i="1" s="1"/>
  <c r="AD1372" i="1"/>
  <c r="AQ1372" i="1" s="1"/>
  <c r="AD1364" i="1"/>
  <c r="AQ1364" i="1" s="1"/>
  <c r="AD1357" i="1"/>
  <c r="AQ1357" i="1" s="1"/>
  <c r="AD1354" i="1"/>
  <c r="AQ1354" i="1" s="1"/>
  <c r="AD1346" i="1"/>
  <c r="AQ1346" i="1" s="1"/>
  <c r="AD1338" i="1"/>
  <c r="AQ1338" i="1" s="1"/>
  <c r="AD1330" i="1"/>
  <c r="AQ1330" i="1" s="1"/>
  <c r="AD1323" i="1"/>
  <c r="AQ1323" i="1" s="1"/>
  <c r="AD1315" i="1"/>
  <c r="AQ1315" i="1" s="1"/>
  <c r="AD1307" i="1"/>
  <c r="AQ1307" i="1" s="1"/>
  <c r="AD1299" i="1"/>
  <c r="AQ1299" i="1" s="1"/>
  <c r="AD1288" i="1"/>
  <c r="AQ1288" i="1" s="1"/>
  <c r="AD1282" i="1"/>
  <c r="AQ1282" i="1" s="1"/>
  <c r="AD1201" i="1"/>
  <c r="AQ1201" i="1" s="1"/>
  <c r="AD1193" i="1"/>
  <c r="AQ1193" i="1" s="1"/>
  <c r="AD1185" i="1"/>
  <c r="AQ1185" i="1" s="1"/>
  <c r="AD1171" i="1"/>
  <c r="AQ1171" i="1" s="1"/>
  <c r="AD1164" i="1"/>
  <c r="AQ1164" i="1" s="1"/>
  <c r="AD1156" i="1"/>
  <c r="AQ1156" i="1" s="1"/>
  <c r="AD1148" i="1"/>
  <c r="AQ1148" i="1" s="1"/>
  <c r="AD1140" i="1"/>
  <c r="AQ1140" i="1" s="1"/>
  <c r="AD1132" i="1"/>
  <c r="AQ1132" i="1" s="1"/>
  <c r="AD1124" i="1"/>
  <c r="AQ1124" i="1" s="1"/>
  <c r="AD1118" i="1"/>
  <c r="AQ1118" i="1" s="1"/>
  <c r="AD1112" i="1"/>
  <c r="AQ1112" i="1" s="1"/>
  <c r="AD1102" i="1"/>
  <c r="AQ1102" i="1" s="1"/>
  <c r="AD1095" i="1"/>
  <c r="AQ1095" i="1" s="1"/>
  <c r="AD1087" i="1"/>
  <c r="AQ1087" i="1" s="1"/>
  <c r="AD1080" i="1"/>
  <c r="AQ1080" i="1" s="1"/>
  <c r="AD1066" i="1"/>
  <c r="AQ1066" i="1" s="1"/>
  <c r="AD1059" i="1"/>
  <c r="AQ1059" i="1" s="1"/>
  <c r="AD1051" i="1"/>
  <c r="AQ1051" i="1" s="1"/>
  <c r="AD1043" i="1"/>
  <c r="AQ1043" i="1" s="1"/>
  <c r="AD1035" i="1"/>
  <c r="AQ1035" i="1" s="1"/>
  <c r="AD1028" i="1"/>
  <c r="AQ1028" i="1" s="1"/>
  <c r="AD1022" i="1"/>
  <c r="AQ1022" i="1" s="1"/>
  <c r="AD1016" i="1"/>
  <c r="AQ1016" i="1" s="1"/>
  <c r="AD1008" i="1"/>
  <c r="AQ1008" i="1" s="1"/>
  <c r="AD1002" i="1"/>
  <c r="AQ1002" i="1" s="1"/>
  <c r="AD994" i="1"/>
  <c r="AQ994" i="1" s="1"/>
  <c r="AD987" i="1"/>
  <c r="AQ987" i="1" s="1"/>
  <c r="AD980" i="1"/>
  <c r="AQ980" i="1" s="1"/>
  <c r="AD972" i="1"/>
  <c r="AQ972" i="1" s="1"/>
  <c r="AD964" i="1"/>
  <c r="AQ964" i="1" s="1"/>
  <c r="AD958" i="1"/>
  <c r="AQ958" i="1" s="1"/>
  <c r="AD950" i="1"/>
  <c r="AQ950" i="1" s="1"/>
  <c r="AD942" i="1"/>
  <c r="AQ942" i="1" s="1"/>
  <c r="AD936" i="1"/>
  <c r="AQ936" i="1" s="1"/>
  <c r="AD921" i="1"/>
  <c r="AQ921" i="1" s="1"/>
  <c r="AD913" i="1"/>
  <c r="AQ913" i="1" s="1"/>
  <c r="AD905" i="1"/>
  <c r="AQ905" i="1" s="1"/>
  <c r="AD897" i="1"/>
  <c r="AQ897" i="1" s="1"/>
  <c r="AD889" i="1"/>
  <c r="AQ889" i="1" s="1"/>
  <c r="AD882" i="1"/>
  <c r="AQ882" i="1" s="1"/>
  <c r="AD874" i="1"/>
  <c r="AQ874" i="1" s="1"/>
  <c r="AD867" i="1"/>
  <c r="AQ867" i="1" s="1"/>
  <c r="AD846" i="1"/>
  <c r="AQ846" i="1" s="1"/>
  <c r="AD838" i="1"/>
  <c r="AQ838" i="1" s="1"/>
  <c r="AD831" i="1"/>
  <c r="AQ831" i="1" s="1"/>
  <c r="AD820" i="1"/>
  <c r="AQ820" i="1" s="1"/>
  <c r="AD812" i="1"/>
  <c r="AQ812" i="1" s="1"/>
  <c r="AD805" i="1"/>
  <c r="AQ805" i="1" s="1"/>
  <c r="AD798" i="1"/>
  <c r="AQ798" i="1" s="1"/>
  <c r="AD790" i="1"/>
  <c r="AQ790" i="1" s="1"/>
  <c r="AD782" i="1"/>
  <c r="AQ782" i="1" s="1"/>
  <c r="AD775" i="1"/>
  <c r="AQ775" i="1" s="1"/>
  <c r="AD767" i="1"/>
  <c r="AQ767" i="1" s="1"/>
  <c r="AD760" i="1"/>
  <c r="AQ760" i="1" s="1"/>
  <c r="AD753" i="1"/>
  <c r="AQ753" i="1" s="1"/>
  <c r="AD745" i="1"/>
  <c r="AQ745" i="1" s="1"/>
  <c r="AD739" i="1"/>
  <c r="AQ739" i="1" s="1"/>
  <c r="AD733" i="1"/>
  <c r="AQ733" i="1" s="1"/>
  <c r="AD728" i="1"/>
  <c r="AQ728" i="1" s="1"/>
  <c r="AD720" i="1"/>
  <c r="AQ720" i="1" s="1"/>
  <c r="AD712" i="1"/>
  <c r="AQ712" i="1" s="1"/>
  <c r="AD705" i="1"/>
  <c r="AQ705" i="1" s="1"/>
  <c r="AD697" i="1"/>
  <c r="AQ697" i="1" s="1"/>
  <c r="AD689" i="1"/>
  <c r="AQ689" i="1" s="1"/>
  <c r="AD681" i="1"/>
  <c r="AQ681" i="1" s="1"/>
  <c r="AD673" i="1"/>
  <c r="AQ673" i="1" s="1"/>
  <c r="AD667" i="1"/>
  <c r="AQ667" i="1" s="1"/>
  <c r="AD661" i="1"/>
  <c r="AQ661" i="1" s="1"/>
  <c r="AD654" i="1"/>
  <c r="AQ654" i="1" s="1"/>
  <c r="AD648" i="1"/>
  <c r="AQ648" i="1" s="1"/>
  <c r="AD642" i="1"/>
  <c r="AQ642" i="1" s="1"/>
  <c r="AD636" i="1"/>
  <c r="AQ636" i="1" s="1"/>
  <c r="AD628" i="1"/>
  <c r="AQ628" i="1" s="1"/>
  <c r="AD621" i="1"/>
  <c r="AQ621" i="1" s="1"/>
  <c r="AD615" i="1"/>
  <c r="AQ615" i="1" s="1"/>
  <c r="AD607" i="1"/>
  <c r="AQ607" i="1" s="1"/>
  <c r="AD599" i="1"/>
  <c r="AQ599" i="1" s="1"/>
  <c r="AD591" i="1"/>
  <c r="AQ591" i="1" s="1"/>
  <c r="AD583" i="1"/>
  <c r="AQ583" i="1" s="1"/>
  <c r="AD575" i="1"/>
  <c r="AQ575" i="1" s="1"/>
  <c r="AD568" i="1"/>
  <c r="AQ568" i="1" s="1"/>
  <c r="AD553" i="1"/>
  <c r="AQ553" i="1" s="1"/>
  <c r="AD545" i="1"/>
  <c r="AQ545" i="1" s="1"/>
  <c r="AD537" i="1"/>
  <c r="AQ537" i="1" s="1"/>
  <c r="AD531" i="1"/>
  <c r="AQ531" i="1" s="1"/>
  <c r="AD526" i="1"/>
  <c r="AQ526" i="1" s="1"/>
  <c r="AD520" i="1"/>
  <c r="AQ520" i="1" s="1"/>
  <c r="AD512" i="1"/>
  <c r="AQ512" i="1" s="1"/>
  <c r="AD505" i="1"/>
  <c r="AQ505" i="1" s="1"/>
  <c r="AD501" i="1"/>
  <c r="AQ501" i="1" s="1"/>
  <c r="AD493" i="1"/>
  <c r="AQ493" i="1" s="1"/>
  <c r="AD485" i="1"/>
  <c r="AQ485" i="1" s="1"/>
  <c r="AD477" i="1"/>
  <c r="AQ477" i="1" s="1"/>
  <c r="AD469" i="1"/>
  <c r="AQ469" i="1" s="1"/>
  <c r="AD461" i="1"/>
  <c r="AQ461" i="1" s="1"/>
  <c r="AD455" i="1"/>
  <c r="AQ455" i="1" s="1"/>
  <c r="AD448" i="1"/>
  <c r="AQ448" i="1" s="1"/>
  <c r="AD441" i="1"/>
  <c r="AQ441" i="1" s="1"/>
  <c r="AD433" i="1"/>
  <c r="AQ433" i="1" s="1"/>
  <c r="AD425" i="1"/>
  <c r="AQ425" i="1" s="1"/>
  <c r="AD417" i="1"/>
  <c r="AQ417" i="1" s="1"/>
  <c r="AD409" i="1"/>
  <c r="AQ409" i="1" s="1"/>
  <c r="AD402" i="1"/>
  <c r="AQ402" i="1" s="1"/>
  <c r="AD395" i="1"/>
  <c r="AQ395" i="1" s="1"/>
  <c r="AD390" i="1"/>
  <c r="AQ390" i="1" s="1"/>
  <c r="AD382" i="1"/>
  <c r="AQ382" i="1" s="1"/>
  <c r="AD374" i="1"/>
  <c r="AQ374" i="1" s="1"/>
  <c r="AD367" i="1"/>
  <c r="AQ367" i="1" s="1"/>
  <c r="AD360" i="1"/>
  <c r="AQ360" i="1" s="1"/>
  <c r="AD353" i="1"/>
  <c r="AQ353" i="1" s="1"/>
  <c r="AD346" i="1"/>
  <c r="AQ346" i="1" s="1"/>
  <c r="AD340" i="1"/>
  <c r="AQ340" i="1" s="1"/>
  <c r="AD327" i="1"/>
  <c r="AQ327" i="1" s="1"/>
  <c r="AD319" i="1"/>
  <c r="AQ319" i="1" s="1"/>
  <c r="AD311" i="1"/>
  <c r="AQ311" i="1" s="1"/>
  <c r="AD303" i="1"/>
  <c r="AQ303" i="1" s="1"/>
  <c r="AD295" i="1"/>
  <c r="AQ295" i="1" s="1"/>
  <c r="AD287" i="1"/>
  <c r="AQ287" i="1" s="1"/>
  <c r="AD280" i="1"/>
  <c r="AQ280" i="1" s="1"/>
  <c r="AD273" i="1"/>
  <c r="AQ273" i="1" s="1"/>
  <c r="AD265" i="1"/>
  <c r="AQ265" i="1" s="1"/>
  <c r="AD258" i="1"/>
  <c r="AQ258" i="1" s="1"/>
  <c r="AD244" i="1"/>
  <c r="AQ244" i="1" s="1"/>
  <c r="AD236" i="1"/>
  <c r="AQ236" i="1" s="1"/>
  <c r="AD228" i="1"/>
  <c r="AQ228" i="1" s="1"/>
  <c r="AD214" i="1"/>
  <c r="AQ214" i="1" s="1"/>
  <c r="AD208" i="1"/>
  <c r="AQ208" i="1" s="1"/>
  <c r="AD200" i="1"/>
  <c r="AQ200" i="1" s="1"/>
  <c r="AD193" i="1"/>
  <c r="AQ193" i="1" s="1"/>
  <c r="AD185" i="1"/>
  <c r="AQ185" i="1" s="1"/>
  <c r="AD177" i="1"/>
  <c r="AQ177" i="1" s="1"/>
  <c r="AD169" i="1"/>
  <c r="AQ169" i="1" s="1"/>
  <c r="AD162" i="1"/>
  <c r="AQ162" i="1" s="1"/>
  <c r="AD154" i="1"/>
  <c r="AQ154" i="1" s="1"/>
  <c r="AD148" i="1"/>
  <c r="AQ148" i="1" s="1"/>
  <c r="AD140" i="1"/>
  <c r="AQ140" i="1" s="1"/>
  <c r="AD132" i="1"/>
  <c r="AQ132" i="1" s="1"/>
  <c r="AD125" i="1"/>
  <c r="AQ125" i="1" s="1"/>
  <c r="AD118" i="1"/>
  <c r="AQ118" i="1" s="1"/>
  <c r="AD106" i="1"/>
  <c r="AQ106" i="1" s="1"/>
  <c r="AD101" i="1"/>
  <c r="AQ101" i="1" s="1"/>
  <c r="AD90" i="1"/>
  <c r="AQ90" i="1" s="1"/>
  <c r="AD83" i="1"/>
  <c r="AQ83" i="1" s="1"/>
  <c r="AD75" i="1"/>
  <c r="AQ75" i="1" s="1"/>
  <c r="AD68" i="1"/>
  <c r="AQ68" i="1" s="1"/>
  <c r="AD60" i="1"/>
  <c r="AQ60" i="1" s="1"/>
  <c r="AD52" i="1"/>
  <c r="AQ52" i="1" s="1"/>
  <c r="AD44" i="1"/>
  <c r="AQ44" i="1" s="1"/>
  <c r="AD36" i="1"/>
  <c r="AQ36" i="1" s="1"/>
  <c r="AD28" i="1"/>
  <c r="AQ28" i="1" s="1"/>
  <c r="AD7" i="1"/>
  <c r="AQ7" i="1" s="1"/>
  <c r="AD1859" i="1"/>
  <c r="AQ1859" i="1" s="1"/>
  <c r="AD1835" i="1"/>
  <c r="AQ1835" i="1" s="1"/>
  <c r="AD1850" i="1"/>
  <c r="AQ1850" i="1" s="1"/>
  <c r="AD1819" i="1"/>
  <c r="AQ1819" i="1" s="1"/>
  <c r="AD1797" i="1"/>
  <c r="AQ1797" i="1" s="1"/>
  <c r="AD1771" i="1"/>
  <c r="AQ1771" i="1" s="1"/>
  <c r="AD1739" i="1"/>
  <c r="AQ1739" i="1" s="1"/>
  <c r="AD1713" i="1"/>
  <c r="AQ1713" i="1" s="1"/>
  <c r="AD1689" i="1"/>
  <c r="AQ1689" i="1" s="1"/>
  <c r="AD1665" i="1"/>
  <c r="AQ1665" i="1" s="1"/>
  <c r="AD1638" i="1"/>
  <c r="AQ1638" i="1" s="1"/>
  <c r="AD1614" i="1"/>
  <c r="AQ1614" i="1" s="1"/>
  <c r="AD1606" i="1"/>
  <c r="AQ1606" i="1" s="1"/>
  <c r="AD1598" i="1"/>
  <c r="AQ1598" i="1" s="1"/>
  <c r="AD1591" i="1"/>
  <c r="AQ1591" i="1" s="1"/>
  <c r="AD1583" i="1"/>
  <c r="AQ1583" i="1" s="1"/>
  <c r="AD1575" i="1"/>
  <c r="AQ1575" i="1" s="1"/>
  <c r="AD1561" i="1"/>
  <c r="AQ1561" i="1" s="1"/>
  <c r="AD1554" i="1"/>
  <c r="AQ1554" i="1" s="1"/>
  <c r="AD1539" i="1"/>
  <c r="AQ1539" i="1" s="1"/>
  <c r="AD1531" i="1"/>
  <c r="AQ1531" i="1" s="1"/>
  <c r="AD1523" i="1"/>
  <c r="AQ1523" i="1" s="1"/>
  <c r="AD1515" i="1"/>
  <c r="AQ1515" i="1" s="1"/>
  <c r="AD1507" i="1"/>
  <c r="AQ1507" i="1" s="1"/>
  <c r="AD1497" i="1"/>
  <c r="AQ1497" i="1" s="1"/>
  <c r="AD1489" i="1"/>
  <c r="AQ1489" i="1" s="1"/>
  <c r="AD1482" i="1"/>
  <c r="AQ1482" i="1" s="1"/>
  <c r="AD1475" i="1"/>
  <c r="AQ1475" i="1" s="1"/>
  <c r="AD1467" i="1"/>
  <c r="AQ1467" i="1" s="1"/>
  <c r="AD1460" i="1"/>
  <c r="AQ1460" i="1" s="1"/>
  <c r="AD1452" i="1"/>
  <c r="AQ1452" i="1" s="1"/>
  <c r="AD1445" i="1"/>
  <c r="AQ1445" i="1" s="1"/>
  <c r="AD1439" i="1"/>
  <c r="AQ1439" i="1" s="1"/>
  <c r="AD1433" i="1"/>
  <c r="AQ1433" i="1" s="1"/>
  <c r="AD1425" i="1"/>
  <c r="AQ1425" i="1" s="1"/>
  <c r="AD1417" i="1"/>
  <c r="AQ1417" i="1" s="1"/>
  <c r="AD1409" i="1"/>
  <c r="AQ1409" i="1" s="1"/>
  <c r="AD1402" i="1"/>
  <c r="AQ1402" i="1" s="1"/>
  <c r="AD1395" i="1"/>
  <c r="AQ1395" i="1" s="1"/>
  <c r="AD1387" i="1"/>
  <c r="AQ1387" i="1" s="1"/>
  <c r="AD1379" i="1"/>
  <c r="AQ1379" i="1" s="1"/>
  <c r="AD1371" i="1"/>
  <c r="AQ1371" i="1" s="1"/>
  <c r="AD1363" i="1"/>
  <c r="AQ1363" i="1" s="1"/>
  <c r="AD1353" i="1"/>
  <c r="AQ1353" i="1" s="1"/>
  <c r="AD1345" i="1"/>
  <c r="AQ1345" i="1" s="1"/>
  <c r="AD1337" i="1"/>
  <c r="AQ1337" i="1" s="1"/>
  <c r="AD1329" i="1"/>
  <c r="AQ1329" i="1" s="1"/>
  <c r="AD1322" i="1"/>
  <c r="AQ1322" i="1" s="1"/>
  <c r="AD1314" i="1"/>
  <c r="AQ1314" i="1" s="1"/>
  <c r="AD1306" i="1"/>
  <c r="AQ1306" i="1" s="1"/>
  <c r="AD1298" i="1"/>
  <c r="AQ1298" i="1" s="1"/>
  <c r="AD1294" i="1"/>
  <c r="AQ1294" i="1" s="1"/>
  <c r="AD1287" i="1"/>
  <c r="AQ1287" i="1" s="1"/>
  <c r="AD1281" i="1"/>
  <c r="AQ1281" i="1" s="1"/>
  <c r="AD1200" i="1"/>
  <c r="AQ1200" i="1" s="1"/>
  <c r="AD1192" i="1"/>
  <c r="AQ1192" i="1" s="1"/>
  <c r="AD1184" i="1"/>
  <c r="AQ1184" i="1" s="1"/>
  <c r="AD1178" i="1"/>
  <c r="AQ1178" i="1" s="1"/>
  <c r="AD1170" i="1"/>
  <c r="AQ1170" i="1" s="1"/>
  <c r="AD1163" i="1"/>
  <c r="AQ1163" i="1" s="1"/>
  <c r="AD1155" i="1"/>
  <c r="AQ1155" i="1" s="1"/>
  <c r="AD1147" i="1"/>
  <c r="AQ1147" i="1" s="1"/>
  <c r="AD1139" i="1"/>
  <c r="AQ1139" i="1" s="1"/>
  <c r="AD1131" i="1"/>
  <c r="AQ1131" i="1" s="1"/>
  <c r="AD1123" i="1"/>
  <c r="AQ1123" i="1" s="1"/>
  <c r="AD1107" i="1"/>
  <c r="AQ1107" i="1" s="1"/>
  <c r="AD1094" i="1"/>
  <c r="AQ1094" i="1" s="1"/>
  <c r="AD1086" i="1"/>
  <c r="AQ1086" i="1" s="1"/>
  <c r="AD1079" i="1"/>
  <c r="AQ1079" i="1" s="1"/>
  <c r="AD1072" i="1"/>
  <c r="AQ1072" i="1" s="1"/>
  <c r="AD1065" i="1"/>
  <c r="AQ1065" i="1" s="1"/>
  <c r="AD1058" i="1"/>
  <c r="AQ1058" i="1" s="1"/>
  <c r="AD1050" i="1"/>
  <c r="AQ1050" i="1" s="1"/>
  <c r="AD1042" i="1"/>
  <c r="AQ1042" i="1" s="1"/>
  <c r="AD1034" i="1"/>
  <c r="AQ1034" i="1" s="1"/>
  <c r="AD1027" i="1"/>
  <c r="AQ1027" i="1" s="1"/>
  <c r="AD1021" i="1"/>
  <c r="AQ1021" i="1" s="1"/>
  <c r="AD1015" i="1"/>
  <c r="AQ1015" i="1" s="1"/>
  <c r="AD1007" i="1"/>
  <c r="AQ1007" i="1" s="1"/>
  <c r="AD1001" i="1"/>
  <c r="AQ1001" i="1" s="1"/>
  <c r="AD993" i="1"/>
  <c r="AQ993" i="1" s="1"/>
  <c r="AD986" i="1"/>
  <c r="AQ986" i="1" s="1"/>
  <c r="AD979" i="1"/>
  <c r="AQ979" i="1" s="1"/>
  <c r="AD971" i="1"/>
  <c r="AQ971" i="1" s="1"/>
  <c r="AD957" i="1"/>
  <c r="AQ957" i="1" s="1"/>
  <c r="AD949" i="1"/>
  <c r="AQ949" i="1" s="1"/>
  <c r="AD941" i="1"/>
  <c r="AQ941" i="1" s="1"/>
  <c r="AD935" i="1"/>
  <c r="AQ935" i="1" s="1"/>
  <c r="AD928" i="1"/>
  <c r="AQ928" i="1" s="1"/>
  <c r="AD920" i="1"/>
  <c r="AQ920" i="1" s="1"/>
  <c r="AD912" i="1"/>
  <c r="AQ912" i="1" s="1"/>
  <c r="AD904" i="1"/>
  <c r="AQ904" i="1" s="1"/>
  <c r="AD896" i="1"/>
  <c r="AQ896" i="1" s="1"/>
  <c r="AD888" i="1"/>
  <c r="AQ888" i="1" s="1"/>
  <c r="AD881" i="1"/>
  <c r="AQ881" i="1" s="1"/>
  <c r="AD873" i="1"/>
  <c r="AQ873" i="1" s="1"/>
  <c r="AD866" i="1"/>
  <c r="AQ866" i="1" s="1"/>
  <c r="AD859" i="1"/>
  <c r="AQ859" i="1" s="1"/>
  <c r="AD852" i="1"/>
  <c r="AQ852" i="1" s="1"/>
  <c r="AD845" i="1"/>
  <c r="AQ845" i="1" s="1"/>
  <c r="AD837" i="1"/>
  <c r="AQ837" i="1" s="1"/>
  <c r="AD819" i="1"/>
  <c r="AQ819" i="1" s="1"/>
  <c r="AD811" i="1"/>
  <c r="AQ811" i="1" s="1"/>
  <c r="AD797" i="1"/>
  <c r="AQ797" i="1" s="1"/>
  <c r="AD789" i="1"/>
  <c r="AQ789" i="1" s="1"/>
  <c r="AD781" i="1"/>
  <c r="AQ781" i="1" s="1"/>
  <c r="AD774" i="1"/>
  <c r="AQ774" i="1" s="1"/>
  <c r="AD766" i="1"/>
  <c r="AQ766" i="1" s="1"/>
  <c r="AD759" i="1"/>
  <c r="AQ759" i="1" s="1"/>
  <c r="AD752" i="1"/>
  <c r="AQ752" i="1" s="1"/>
  <c r="AD744" i="1"/>
  <c r="AQ744" i="1" s="1"/>
  <c r="AD738" i="1"/>
  <c r="AQ738" i="1" s="1"/>
  <c r="AD727" i="1"/>
  <c r="AQ727" i="1" s="1"/>
  <c r="AD719" i="1"/>
  <c r="AQ719" i="1" s="1"/>
  <c r="AD711" i="1"/>
  <c r="AQ711" i="1" s="1"/>
  <c r="AD704" i="1"/>
  <c r="AQ704" i="1" s="1"/>
  <c r="AD696" i="1"/>
  <c r="AQ696" i="1" s="1"/>
  <c r="AD688" i="1"/>
  <c r="AQ688" i="1" s="1"/>
  <c r="AD680" i="1"/>
  <c r="AQ680" i="1" s="1"/>
  <c r="AD672" i="1"/>
  <c r="AQ672" i="1" s="1"/>
  <c r="AD660" i="1"/>
  <c r="AQ660" i="1" s="1"/>
  <c r="AD653" i="1"/>
  <c r="AQ653" i="1" s="1"/>
  <c r="AD641" i="1"/>
  <c r="AQ641" i="1" s="1"/>
  <c r="AD635" i="1"/>
  <c r="AQ635" i="1" s="1"/>
  <c r="AD627" i="1"/>
  <c r="AQ627" i="1" s="1"/>
  <c r="AD620" i="1"/>
  <c r="AQ620" i="1" s="1"/>
  <c r="AD614" i="1"/>
  <c r="AQ614" i="1" s="1"/>
  <c r="AD606" i="1"/>
  <c r="AQ606" i="1" s="1"/>
  <c r="AD598" i="1"/>
  <c r="AQ598" i="1" s="1"/>
  <c r="AD590" i="1"/>
  <c r="AQ590" i="1" s="1"/>
  <c r="AD582" i="1"/>
  <c r="AQ582" i="1" s="1"/>
  <c r="AD574" i="1"/>
  <c r="AQ574" i="1" s="1"/>
  <c r="AD567" i="1"/>
  <c r="AQ567" i="1" s="1"/>
  <c r="AD560" i="1"/>
  <c r="AQ560" i="1" s="1"/>
  <c r="AD552" i="1"/>
  <c r="AQ552" i="1" s="1"/>
  <c r="AD544" i="1"/>
  <c r="AQ544" i="1" s="1"/>
  <c r="AD530" i="1"/>
  <c r="AQ530" i="1" s="1"/>
  <c r="AD519" i="1"/>
  <c r="AQ519" i="1" s="1"/>
  <c r="AD504" i="1"/>
  <c r="AQ504" i="1" s="1"/>
  <c r="AD500" i="1"/>
  <c r="AQ500" i="1" s="1"/>
  <c r="AD492" i="1"/>
  <c r="AQ492" i="1" s="1"/>
  <c r="AD484" i="1"/>
  <c r="AQ484" i="1" s="1"/>
  <c r="AD476" i="1"/>
  <c r="AQ476" i="1" s="1"/>
  <c r="AD468" i="1"/>
  <c r="AQ468" i="1" s="1"/>
  <c r="AD460" i="1"/>
  <c r="AQ460" i="1" s="1"/>
  <c r="AD454" i="1"/>
  <c r="AQ454" i="1" s="1"/>
  <c r="AD447" i="1"/>
  <c r="AQ447" i="1" s="1"/>
  <c r="AD440" i="1"/>
  <c r="AQ440" i="1" s="1"/>
  <c r="AD432" i="1"/>
  <c r="AQ432" i="1" s="1"/>
  <c r="AD424" i="1"/>
  <c r="AQ424" i="1" s="1"/>
  <c r="AD416" i="1"/>
  <c r="AQ416" i="1" s="1"/>
  <c r="AD408" i="1"/>
  <c r="AQ408" i="1" s="1"/>
  <c r="AD401" i="1"/>
  <c r="AQ401" i="1" s="1"/>
  <c r="AD389" i="1"/>
  <c r="AQ389" i="1" s="1"/>
  <c r="AD381" i="1"/>
  <c r="AQ381" i="1" s="1"/>
  <c r="AD373" i="1"/>
  <c r="AQ373" i="1" s="1"/>
  <c r="AD366" i="1"/>
  <c r="AQ366" i="1" s="1"/>
  <c r="AD359" i="1"/>
  <c r="AQ359" i="1" s="1"/>
  <c r="AD352" i="1"/>
  <c r="AQ352" i="1" s="1"/>
  <c r="AD334" i="1"/>
  <c r="AQ334" i="1" s="1"/>
  <c r="AD326" i="1"/>
  <c r="AQ326" i="1" s="1"/>
  <c r="AD318" i="1"/>
  <c r="AQ318" i="1" s="1"/>
  <c r="AD310" i="1"/>
  <c r="AQ310" i="1" s="1"/>
  <c r="AD302" i="1"/>
  <c r="AQ302" i="1" s="1"/>
  <c r="AD294" i="1"/>
  <c r="AQ294" i="1" s="1"/>
  <c r="AD286" i="1"/>
  <c r="AQ286" i="1" s="1"/>
  <c r="AD279" i="1"/>
  <c r="AQ279" i="1" s="1"/>
  <c r="AD272" i="1"/>
  <c r="AQ272" i="1" s="1"/>
  <c r="AD264" i="1"/>
  <c r="AQ264" i="1" s="1"/>
  <c r="AD257" i="1"/>
  <c r="AQ257" i="1" s="1"/>
  <c r="AD251" i="1"/>
  <c r="AQ251" i="1" s="1"/>
  <c r="AD243" i="1"/>
  <c r="AQ243" i="1" s="1"/>
  <c r="AD235" i="1"/>
  <c r="AQ235" i="1" s="1"/>
  <c r="AD227" i="1"/>
  <c r="AQ227" i="1" s="1"/>
  <c r="AD220" i="1"/>
  <c r="AQ220" i="1" s="1"/>
  <c r="AD213" i="1"/>
  <c r="AQ213" i="1" s="1"/>
  <c r="AD207" i="1"/>
  <c r="AQ207" i="1" s="1"/>
  <c r="AD192" i="1"/>
  <c r="AQ192" i="1" s="1"/>
  <c r="AD184" i="1"/>
  <c r="AQ184" i="1" s="1"/>
  <c r="AD176" i="1"/>
  <c r="AQ176" i="1" s="1"/>
  <c r="AD168" i="1"/>
  <c r="AQ168" i="1" s="1"/>
  <c r="AD161" i="1"/>
  <c r="AQ161" i="1" s="1"/>
  <c r="AD153" i="1"/>
  <c r="AQ153" i="1" s="1"/>
  <c r="AD147" i="1"/>
  <c r="AQ147" i="1" s="1"/>
  <c r="AD139" i="1"/>
  <c r="AQ139" i="1" s="1"/>
  <c r="AD131" i="1"/>
  <c r="AQ131" i="1" s="1"/>
  <c r="AD124" i="1"/>
  <c r="AQ124" i="1" s="1"/>
  <c r="AD117" i="1"/>
  <c r="AQ117" i="1" s="1"/>
  <c r="AD112" i="1"/>
  <c r="AQ112" i="1" s="1"/>
  <c r="AD100" i="1"/>
  <c r="AQ100" i="1" s="1"/>
  <c r="AD96" i="1"/>
  <c r="AQ96" i="1" s="1"/>
  <c r="AD82" i="1"/>
  <c r="AQ82" i="1" s="1"/>
  <c r="AD74" i="1"/>
  <c r="AQ74" i="1" s="1"/>
  <c r="AD67" i="1"/>
  <c r="AQ67" i="1" s="1"/>
  <c r="AD59" i="1"/>
  <c r="AQ59" i="1" s="1"/>
  <c r="AD51" i="1"/>
  <c r="AQ51" i="1" s="1"/>
  <c r="AD43" i="1"/>
  <c r="AQ43" i="1" s="1"/>
  <c r="AD35" i="1"/>
  <c r="AQ35" i="1" s="1"/>
  <c r="AD27" i="1"/>
  <c r="AQ27" i="1" s="1"/>
  <c r="AD21" i="1"/>
  <c r="AQ21" i="1" s="1"/>
  <c r="AD14" i="1"/>
  <c r="AQ14" i="1" s="1"/>
  <c r="AD6" i="1"/>
  <c r="AQ6" i="1" s="1"/>
  <c r="AD1843" i="1"/>
  <c r="AQ1843" i="1" s="1"/>
  <c r="AD1813" i="1"/>
  <c r="AQ1813" i="1" s="1"/>
  <c r="AD1798" i="1"/>
  <c r="AQ1798" i="1" s="1"/>
  <c r="AD1842" i="1"/>
  <c r="AQ1842" i="1" s="1"/>
  <c r="AD1827" i="1"/>
  <c r="AQ1827" i="1" s="1"/>
  <c r="AD1804" i="1"/>
  <c r="AQ1804" i="1" s="1"/>
  <c r="AD1763" i="1"/>
  <c r="AQ1763" i="1" s="1"/>
  <c r="AD1747" i="1"/>
  <c r="AQ1747" i="1" s="1"/>
  <c r="AD1721" i="1"/>
  <c r="AQ1721" i="1" s="1"/>
  <c r="AD1697" i="1"/>
  <c r="AQ1697" i="1" s="1"/>
  <c r="AD1673" i="1"/>
  <c r="AQ1673" i="1" s="1"/>
  <c r="AD1653" i="1"/>
  <c r="AQ1653" i="1" s="1"/>
  <c r="AD1626" i="1"/>
  <c r="AQ1626" i="1" s="1"/>
  <c r="AD1849" i="1"/>
  <c r="AQ1849" i="1" s="1"/>
  <c r="AD1841" i="1"/>
  <c r="AQ1841" i="1" s="1"/>
  <c r="AD1833" i="1"/>
  <c r="AQ1833" i="1" s="1"/>
  <c r="AD1826" i="1"/>
  <c r="AQ1826" i="1" s="1"/>
  <c r="AD1818" i="1"/>
  <c r="AQ1818" i="1" s="1"/>
  <c r="AD1811" i="1"/>
  <c r="AQ1811" i="1" s="1"/>
  <c r="AD1803" i="1"/>
  <c r="AQ1803" i="1" s="1"/>
  <c r="AD1796" i="1"/>
  <c r="AQ1796" i="1" s="1"/>
  <c r="AD1783" i="1"/>
  <c r="AQ1783" i="1" s="1"/>
  <c r="AD1775" i="1"/>
  <c r="AQ1775" i="1" s="1"/>
  <c r="AD1770" i="1"/>
  <c r="AQ1770" i="1" s="1"/>
  <c r="AD1762" i="1"/>
  <c r="AQ1762" i="1" s="1"/>
  <c r="AD1754" i="1"/>
  <c r="AQ1754" i="1" s="1"/>
  <c r="AD1746" i="1"/>
  <c r="AQ1746" i="1" s="1"/>
  <c r="AD1738" i="1"/>
  <c r="AQ1738" i="1" s="1"/>
  <c r="AD1731" i="1"/>
  <c r="AQ1731" i="1" s="1"/>
  <c r="AD1720" i="1"/>
  <c r="AQ1720" i="1" s="1"/>
  <c r="AD1712" i="1"/>
  <c r="AQ1712" i="1" s="1"/>
  <c r="AD1704" i="1"/>
  <c r="AQ1704" i="1" s="1"/>
  <c r="AD1696" i="1"/>
  <c r="AQ1696" i="1" s="1"/>
  <c r="AD1688" i="1"/>
  <c r="AQ1688" i="1" s="1"/>
  <c r="AD1680" i="1"/>
  <c r="AQ1680" i="1" s="1"/>
  <c r="AD1672" i="1"/>
  <c r="AQ1672" i="1" s="1"/>
  <c r="AD1664" i="1"/>
  <c r="AQ1664" i="1" s="1"/>
  <c r="AD1660" i="1"/>
  <c r="AQ1660" i="1" s="1"/>
  <c r="AD1652" i="1"/>
  <c r="AQ1652" i="1" s="1"/>
  <c r="AD1645" i="1"/>
  <c r="AQ1645" i="1" s="1"/>
  <c r="AD1637" i="1"/>
  <c r="AQ1637" i="1" s="1"/>
  <c r="AD1632" i="1"/>
  <c r="AQ1632" i="1" s="1"/>
  <c r="AD1625" i="1"/>
  <c r="AQ1625" i="1" s="1"/>
  <c r="AD1621" i="1"/>
  <c r="AQ1621" i="1" s="1"/>
  <c r="AD1613" i="1"/>
  <c r="AQ1613" i="1" s="1"/>
  <c r="AD1605" i="1"/>
  <c r="AQ1605" i="1" s="1"/>
  <c r="AD1597" i="1"/>
  <c r="AQ1597" i="1" s="1"/>
  <c r="AD1590" i="1"/>
  <c r="AQ1590" i="1" s="1"/>
  <c r="AD1582" i="1"/>
  <c r="AQ1582" i="1" s="1"/>
  <c r="AD1574" i="1"/>
  <c r="AQ1574" i="1" s="1"/>
  <c r="AD1567" i="1"/>
  <c r="AQ1567" i="1" s="1"/>
  <c r="AD1560" i="1"/>
  <c r="AQ1560" i="1" s="1"/>
  <c r="AD1553" i="1"/>
  <c r="AQ1553" i="1" s="1"/>
  <c r="AD1546" i="1"/>
  <c r="AQ1546" i="1" s="1"/>
  <c r="AD1538" i="1"/>
  <c r="AQ1538" i="1" s="1"/>
  <c r="AD1530" i="1"/>
  <c r="AQ1530" i="1" s="1"/>
  <c r="AD1522" i="1"/>
  <c r="AQ1522" i="1" s="1"/>
  <c r="AD1514" i="1"/>
  <c r="AQ1514" i="1" s="1"/>
  <c r="AD1506" i="1"/>
  <c r="AQ1506" i="1" s="1"/>
  <c r="AD1502" i="1"/>
  <c r="AQ1502" i="1" s="1"/>
  <c r="AD1496" i="1"/>
  <c r="AQ1496" i="1" s="1"/>
  <c r="AD1488" i="1"/>
  <c r="AQ1488" i="1" s="1"/>
  <c r="AD1481" i="1"/>
  <c r="AQ1481" i="1" s="1"/>
  <c r="AD1474" i="1"/>
  <c r="AQ1474" i="1" s="1"/>
  <c r="AD1459" i="1"/>
  <c r="AQ1459" i="1" s="1"/>
  <c r="AD1451" i="1"/>
  <c r="AQ1451" i="1" s="1"/>
  <c r="AD1438" i="1"/>
  <c r="AQ1438" i="1" s="1"/>
  <c r="AD1432" i="1"/>
  <c r="AQ1432" i="1" s="1"/>
  <c r="AD1424" i="1"/>
  <c r="AQ1424" i="1" s="1"/>
  <c r="AD1416" i="1"/>
  <c r="AQ1416" i="1" s="1"/>
  <c r="AD1408" i="1"/>
  <c r="AQ1408" i="1" s="1"/>
  <c r="AD1401" i="1"/>
  <c r="AQ1401" i="1" s="1"/>
  <c r="AD1394" i="1"/>
  <c r="AQ1394" i="1" s="1"/>
  <c r="AD1386" i="1"/>
  <c r="AQ1386" i="1" s="1"/>
  <c r="AD1378" i="1"/>
  <c r="AQ1378" i="1" s="1"/>
  <c r="AD1370" i="1"/>
  <c r="AQ1370" i="1" s="1"/>
  <c r="AD1362" i="1"/>
  <c r="AQ1362" i="1" s="1"/>
  <c r="AD1352" i="1"/>
  <c r="AQ1352" i="1" s="1"/>
  <c r="AD1344" i="1"/>
  <c r="AQ1344" i="1" s="1"/>
  <c r="AD1336" i="1"/>
  <c r="AQ1336" i="1" s="1"/>
  <c r="AD1328" i="1"/>
  <c r="AQ1328" i="1" s="1"/>
  <c r="AD1321" i="1"/>
  <c r="AQ1321" i="1" s="1"/>
  <c r="AD1313" i="1"/>
  <c r="AQ1313" i="1" s="1"/>
  <c r="AD1305" i="1"/>
  <c r="AQ1305" i="1" s="1"/>
  <c r="AD1286" i="1"/>
  <c r="AQ1286" i="1" s="1"/>
  <c r="AD1280" i="1"/>
  <c r="AQ1280" i="1" s="1"/>
  <c r="AD1199" i="1"/>
  <c r="AQ1199" i="1" s="1"/>
  <c r="AD1191" i="1"/>
  <c r="AQ1191" i="1" s="1"/>
  <c r="AD1177" i="1"/>
  <c r="AQ1177" i="1" s="1"/>
  <c r="AD1169" i="1"/>
  <c r="AQ1169" i="1" s="1"/>
  <c r="AD1162" i="1"/>
  <c r="AQ1162" i="1" s="1"/>
  <c r="AD1154" i="1"/>
  <c r="AQ1154" i="1" s="1"/>
  <c r="AD1146" i="1"/>
  <c r="AQ1146" i="1" s="1"/>
  <c r="AD1138" i="1"/>
  <c r="AQ1138" i="1" s="1"/>
  <c r="AD1130" i="1"/>
  <c r="AQ1130" i="1" s="1"/>
  <c r="AD1122" i="1"/>
  <c r="AQ1122" i="1" s="1"/>
  <c r="AD1117" i="1"/>
  <c r="AQ1117" i="1" s="1"/>
  <c r="AD1111" i="1"/>
  <c r="AQ1111" i="1" s="1"/>
  <c r="AD1101" i="1"/>
  <c r="AQ1101" i="1" s="1"/>
  <c r="AD1093" i="1"/>
  <c r="AQ1093" i="1" s="1"/>
  <c r="AD1085" i="1"/>
  <c r="AQ1085" i="1" s="1"/>
  <c r="AD1078" i="1"/>
  <c r="AQ1078" i="1" s="1"/>
  <c r="AD1071" i="1"/>
  <c r="AQ1071" i="1" s="1"/>
  <c r="AD1064" i="1"/>
  <c r="AQ1064" i="1" s="1"/>
  <c r="AD1057" i="1"/>
  <c r="AQ1057" i="1" s="1"/>
  <c r="AD1049" i="1"/>
  <c r="AQ1049" i="1" s="1"/>
  <c r="AD1041" i="1"/>
  <c r="AQ1041" i="1" s="1"/>
  <c r="AD1033" i="1"/>
  <c r="AQ1033" i="1" s="1"/>
  <c r="AD1020" i="1"/>
  <c r="AQ1020" i="1" s="1"/>
  <c r="AD1014" i="1"/>
  <c r="AQ1014" i="1" s="1"/>
  <c r="AD1006" i="1"/>
  <c r="AQ1006" i="1" s="1"/>
  <c r="AD1000" i="1"/>
  <c r="AQ1000" i="1" s="1"/>
  <c r="AD992" i="1"/>
  <c r="AQ992" i="1" s="1"/>
  <c r="AD978" i="1"/>
  <c r="AQ978" i="1" s="1"/>
  <c r="AD970" i="1"/>
  <c r="AQ970" i="1" s="1"/>
  <c r="AD956" i="1"/>
  <c r="AQ956" i="1" s="1"/>
  <c r="AD948" i="1"/>
  <c r="AQ948" i="1" s="1"/>
  <c r="AD934" i="1"/>
  <c r="AQ934" i="1" s="1"/>
  <c r="AD927" i="1"/>
  <c r="AQ927" i="1" s="1"/>
  <c r="AD919" i="1"/>
  <c r="AQ919" i="1" s="1"/>
  <c r="AD911" i="1"/>
  <c r="AQ911" i="1" s="1"/>
  <c r="AD903" i="1"/>
  <c r="AQ903" i="1" s="1"/>
  <c r="AD895" i="1"/>
  <c r="AQ895" i="1" s="1"/>
  <c r="AD887" i="1"/>
  <c r="AQ887" i="1" s="1"/>
  <c r="AD880" i="1"/>
  <c r="AQ880" i="1" s="1"/>
  <c r="AD872" i="1"/>
  <c r="AQ872" i="1" s="1"/>
  <c r="AD865" i="1"/>
  <c r="AQ865" i="1" s="1"/>
  <c r="AD858" i="1"/>
  <c r="AQ858" i="1" s="1"/>
  <c r="AD851" i="1"/>
  <c r="AQ851" i="1" s="1"/>
  <c r="AD844" i="1"/>
  <c r="AQ844" i="1" s="1"/>
  <c r="AD836" i="1"/>
  <c r="AQ836" i="1" s="1"/>
  <c r="AD830" i="1"/>
  <c r="AQ830" i="1" s="1"/>
  <c r="AD826" i="1"/>
  <c r="AQ826" i="1" s="1"/>
  <c r="AD818" i="1"/>
  <c r="AQ818" i="1" s="1"/>
  <c r="AD810" i="1"/>
  <c r="AQ810" i="1" s="1"/>
  <c r="AD804" i="1"/>
  <c r="AQ804" i="1" s="1"/>
  <c r="AD796" i="1"/>
  <c r="AQ796" i="1" s="1"/>
  <c r="AD788" i="1"/>
  <c r="AQ788" i="1" s="1"/>
  <c r="AD780" i="1"/>
  <c r="AQ780" i="1" s="1"/>
  <c r="AD773" i="1"/>
  <c r="AQ773" i="1" s="1"/>
  <c r="AD765" i="1"/>
  <c r="AQ765" i="1" s="1"/>
  <c r="AD758" i="1"/>
  <c r="AQ758" i="1" s="1"/>
  <c r="AD751" i="1"/>
  <c r="AQ751" i="1" s="1"/>
  <c r="AD737" i="1"/>
  <c r="AQ737" i="1" s="1"/>
  <c r="AD726" i="1"/>
  <c r="AQ726" i="1" s="1"/>
  <c r="AD718" i="1"/>
  <c r="AQ718" i="1" s="1"/>
  <c r="AD710" i="1"/>
  <c r="AQ710" i="1" s="1"/>
  <c r="AD703" i="1"/>
  <c r="AQ703" i="1" s="1"/>
  <c r="AD695" i="1"/>
  <c r="AQ695" i="1" s="1"/>
  <c r="AD687" i="1"/>
  <c r="AQ687" i="1" s="1"/>
  <c r="AD679" i="1"/>
  <c r="AQ679" i="1" s="1"/>
  <c r="AD671" i="1"/>
  <c r="AQ671" i="1" s="1"/>
  <c r="AD666" i="1"/>
  <c r="AQ666" i="1" s="1"/>
  <c r="AD659" i="1"/>
  <c r="AQ659" i="1" s="1"/>
  <c r="AD652" i="1"/>
  <c r="AQ652" i="1" s="1"/>
  <c r="AD634" i="1"/>
  <c r="AQ634" i="1" s="1"/>
  <c r="AD626" i="1"/>
  <c r="AQ626" i="1" s="1"/>
  <c r="AD619" i="1"/>
  <c r="AQ619" i="1" s="1"/>
  <c r="AD613" i="1"/>
  <c r="AQ613" i="1" s="1"/>
  <c r="AD605" i="1"/>
  <c r="AQ605" i="1" s="1"/>
  <c r="AD597" i="1"/>
  <c r="AQ597" i="1" s="1"/>
  <c r="AD589" i="1"/>
  <c r="AQ589" i="1" s="1"/>
  <c r="AD581" i="1"/>
  <c r="AQ581" i="1" s="1"/>
  <c r="AD573" i="1"/>
  <c r="AQ573" i="1" s="1"/>
  <c r="AD566" i="1"/>
  <c r="AQ566" i="1" s="1"/>
  <c r="AD559" i="1"/>
  <c r="AQ559" i="1" s="1"/>
  <c r="AD551" i="1"/>
  <c r="AQ551" i="1" s="1"/>
  <c r="AD543" i="1"/>
  <c r="AQ543" i="1" s="1"/>
  <c r="AD536" i="1"/>
  <c r="AQ536" i="1" s="1"/>
  <c r="AD529" i="1"/>
  <c r="AQ529" i="1" s="1"/>
  <c r="AD525" i="1"/>
  <c r="AQ525" i="1" s="1"/>
  <c r="AD518" i="1"/>
  <c r="AQ518" i="1" s="1"/>
  <c r="AD511" i="1"/>
  <c r="AQ511" i="1" s="1"/>
  <c r="AD499" i="1"/>
  <c r="AQ499" i="1" s="1"/>
  <c r="AD491" i="1"/>
  <c r="AQ491" i="1" s="1"/>
  <c r="AD483" i="1"/>
  <c r="AQ483" i="1" s="1"/>
  <c r="AD475" i="1"/>
  <c r="AQ475" i="1" s="1"/>
  <c r="AD467" i="1"/>
  <c r="AQ467" i="1" s="1"/>
  <c r="AD453" i="1"/>
  <c r="AQ453" i="1" s="1"/>
  <c r="AD446" i="1"/>
  <c r="AQ446" i="1" s="1"/>
  <c r="AD439" i="1"/>
  <c r="AQ439" i="1" s="1"/>
  <c r="AD431" i="1"/>
  <c r="AQ431" i="1" s="1"/>
  <c r="AD423" i="1"/>
  <c r="AQ423" i="1" s="1"/>
  <c r="AD415" i="1"/>
  <c r="AQ415" i="1" s="1"/>
  <c r="AD400" i="1"/>
  <c r="AQ400" i="1" s="1"/>
  <c r="AD394" i="1"/>
  <c r="AQ394" i="1" s="1"/>
  <c r="AD388" i="1"/>
  <c r="AQ388" i="1" s="1"/>
  <c r="AD380" i="1"/>
  <c r="AQ380" i="1" s="1"/>
  <c r="AD372" i="1"/>
  <c r="AQ372" i="1" s="1"/>
  <c r="AD365" i="1"/>
  <c r="AQ365" i="1" s="1"/>
  <c r="AD358" i="1"/>
  <c r="AQ358" i="1" s="1"/>
  <c r="AD351" i="1"/>
  <c r="AQ351" i="1" s="1"/>
  <c r="AD345" i="1"/>
  <c r="AQ345" i="1" s="1"/>
  <c r="AD333" i="1"/>
  <c r="AQ333" i="1" s="1"/>
  <c r="AD325" i="1"/>
  <c r="AQ325" i="1" s="1"/>
  <c r="AD317" i="1"/>
  <c r="AQ317" i="1" s="1"/>
  <c r="AD309" i="1"/>
  <c r="AQ309" i="1" s="1"/>
  <c r="AD301" i="1"/>
  <c r="AQ301" i="1" s="1"/>
  <c r="AD293" i="1"/>
  <c r="AQ293" i="1" s="1"/>
  <c r="AD285" i="1"/>
  <c r="AQ285" i="1" s="1"/>
  <c r="AD271" i="1"/>
  <c r="AQ271" i="1" s="1"/>
  <c r="AD263" i="1"/>
  <c r="AQ263" i="1" s="1"/>
  <c r="AD256" i="1"/>
  <c r="AQ256" i="1" s="1"/>
  <c r="AD250" i="1"/>
  <c r="AQ250" i="1" s="1"/>
  <c r="AD242" i="1"/>
  <c r="AQ242" i="1" s="1"/>
  <c r="AD234" i="1"/>
  <c r="AQ234" i="1" s="1"/>
  <c r="AD226" i="1"/>
  <c r="AQ226" i="1" s="1"/>
  <c r="AD206" i="1"/>
  <c r="AQ206" i="1" s="1"/>
  <c r="AD199" i="1"/>
  <c r="AQ199" i="1" s="1"/>
  <c r="AD191" i="1"/>
  <c r="AQ191" i="1" s="1"/>
  <c r="AD183" i="1"/>
  <c r="AQ183" i="1" s="1"/>
  <c r="AD175" i="1"/>
  <c r="AQ175" i="1" s="1"/>
  <c r="AD167" i="1"/>
  <c r="AQ167" i="1" s="1"/>
  <c r="AD160" i="1"/>
  <c r="AQ160" i="1" s="1"/>
  <c r="AD152" i="1"/>
  <c r="AQ152" i="1" s="1"/>
  <c r="AD146" i="1"/>
  <c r="AQ146" i="1" s="1"/>
  <c r="AD138" i="1"/>
  <c r="AQ138" i="1" s="1"/>
  <c r="AD130" i="1"/>
  <c r="AQ130" i="1" s="1"/>
  <c r="AD123" i="1"/>
  <c r="AQ123" i="1" s="1"/>
  <c r="AD116" i="1"/>
  <c r="AQ116" i="1" s="1"/>
  <c r="AD111" i="1"/>
  <c r="AQ111" i="1" s="1"/>
  <c r="AD105" i="1"/>
  <c r="AQ105" i="1" s="1"/>
  <c r="AD99" i="1"/>
  <c r="AQ99" i="1" s="1"/>
  <c r="AD95" i="1"/>
  <c r="AQ95" i="1" s="1"/>
  <c r="AD89" i="1"/>
  <c r="AQ89" i="1" s="1"/>
  <c r="AD81" i="1"/>
  <c r="AQ81" i="1" s="1"/>
  <c r="AD73" i="1"/>
  <c r="AQ73" i="1" s="1"/>
  <c r="AD66" i="1"/>
  <c r="AQ66" i="1" s="1"/>
  <c r="AD58" i="1"/>
  <c r="AQ58" i="1" s="1"/>
  <c r="AD50" i="1"/>
  <c r="AQ50" i="1" s="1"/>
  <c r="AD42" i="1"/>
  <c r="AQ42" i="1" s="1"/>
  <c r="AD34" i="1"/>
  <c r="AQ34" i="1" s="1"/>
  <c r="AD26" i="1"/>
  <c r="AQ26" i="1" s="1"/>
  <c r="AD20" i="1"/>
  <c r="AQ20" i="1" s="1"/>
  <c r="AD13" i="1"/>
  <c r="AQ13" i="1" s="1"/>
  <c r="AD5" i="1"/>
  <c r="AQ5" i="1" s="1"/>
  <c r="AD1851" i="1"/>
  <c r="AQ1851" i="1" s="1"/>
  <c r="AD1820" i="1"/>
  <c r="AQ1820" i="1" s="1"/>
  <c r="AD1805" i="1"/>
  <c r="AQ1805" i="1" s="1"/>
  <c r="AD1858" i="1"/>
  <c r="AQ1858" i="1" s="1"/>
  <c r="AD1834" i="1"/>
  <c r="AQ1834" i="1" s="1"/>
  <c r="AD1812" i="1"/>
  <c r="AQ1812" i="1" s="1"/>
  <c r="AD1789" i="1"/>
  <c r="AQ1789" i="1" s="1"/>
  <c r="AD1776" i="1"/>
  <c r="AQ1776" i="1" s="1"/>
  <c r="AD1755" i="1"/>
  <c r="AQ1755" i="1" s="1"/>
  <c r="AD1705" i="1"/>
  <c r="AQ1705" i="1" s="1"/>
  <c r="AD1681" i="1"/>
  <c r="AQ1681" i="1" s="1"/>
  <c r="AD1646" i="1"/>
  <c r="AQ1646" i="1" s="1"/>
  <c r="AD1633" i="1"/>
  <c r="AQ1633" i="1" s="1"/>
  <c r="AD1857" i="1"/>
  <c r="AQ1857" i="1" s="1"/>
  <c r="AD1856" i="1"/>
  <c r="AQ1856" i="1" s="1"/>
  <c r="AD1848" i="1"/>
  <c r="AQ1848" i="1" s="1"/>
  <c r="AD1840" i="1"/>
  <c r="AQ1840" i="1" s="1"/>
  <c r="AD1832" i="1"/>
  <c r="AQ1832" i="1" s="1"/>
  <c r="AD1825" i="1"/>
  <c r="AQ1825" i="1" s="1"/>
  <c r="AD1810" i="1"/>
  <c r="AQ1810" i="1" s="1"/>
  <c r="AD1802" i="1"/>
  <c r="AQ1802" i="1" s="1"/>
  <c r="AD1795" i="1"/>
  <c r="AQ1795" i="1" s="1"/>
  <c r="AD1788" i="1"/>
  <c r="AQ1788" i="1" s="1"/>
  <c r="AD1782" i="1"/>
  <c r="AQ1782" i="1" s="1"/>
  <c r="AD1774" i="1"/>
  <c r="AQ1774" i="1" s="1"/>
  <c r="AD1769" i="1"/>
  <c r="AQ1769" i="1" s="1"/>
  <c r="AD1761" i="1"/>
  <c r="AQ1761" i="1" s="1"/>
  <c r="AD1753" i="1"/>
  <c r="AQ1753" i="1" s="1"/>
  <c r="AD1745" i="1"/>
  <c r="AQ1745" i="1" s="1"/>
  <c r="AD1737" i="1"/>
  <c r="AQ1737" i="1" s="1"/>
  <c r="AD1730" i="1"/>
  <c r="AQ1730" i="1" s="1"/>
  <c r="AD1719" i="1"/>
  <c r="AQ1719" i="1" s="1"/>
  <c r="AD1711" i="1"/>
  <c r="AQ1711" i="1" s="1"/>
  <c r="AD1703" i="1"/>
  <c r="AQ1703" i="1" s="1"/>
  <c r="AD1695" i="1"/>
  <c r="AQ1695" i="1" s="1"/>
  <c r="AD1687" i="1"/>
  <c r="AQ1687" i="1" s="1"/>
  <c r="AD1679" i="1"/>
  <c r="AQ1679" i="1" s="1"/>
  <c r="AD1671" i="1"/>
  <c r="AQ1671" i="1" s="1"/>
  <c r="AD1663" i="1"/>
  <c r="AQ1663" i="1" s="1"/>
  <c r="AD1659" i="1"/>
  <c r="AQ1659" i="1" s="1"/>
  <c r="AD1651" i="1"/>
  <c r="AQ1651" i="1" s="1"/>
  <c r="AD1644" i="1"/>
  <c r="AQ1644" i="1" s="1"/>
  <c r="AD1636" i="1"/>
  <c r="AQ1636" i="1" s="1"/>
  <c r="AD1624" i="1"/>
  <c r="AQ1624" i="1" s="1"/>
  <c r="AD1620" i="1"/>
  <c r="AQ1620" i="1" s="1"/>
  <c r="AD1612" i="1"/>
  <c r="AQ1612" i="1" s="1"/>
  <c r="AD1604" i="1"/>
  <c r="AQ1604" i="1" s="1"/>
  <c r="AD1589" i="1"/>
  <c r="AQ1589" i="1" s="1"/>
  <c r="AD1581" i="1"/>
  <c r="AQ1581" i="1" s="1"/>
  <c r="AD1573" i="1"/>
  <c r="AQ1573" i="1" s="1"/>
  <c r="AD1566" i="1"/>
  <c r="AQ1566" i="1" s="1"/>
  <c r="AD1559" i="1"/>
  <c r="AQ1559" i="1" s="1"/>
  <c r="AD1552" i="1"/>
  <c r="AQ1552" i="1" s="1"/>
  <c r="AD1545" i="1"/>
  <c r="AQ1545" i="1" s="1"/>
  <c r="AD1537" i="1"/>
  <c r="AQ1537" i="1" s="1"/>
  <c r="AD1529" i="1"/>
  <c r="AQ1529" i="1" s="1"/>
  <c r="AD1521" i="1"/>
  <c r="AQ1521" i="1" s="1"/>
  <c r="AD1513" i="1"/>
  <c r="AQ1513" i="1" s="1"/>
  <c r="AD1505" i="1"/>
  <c r="AQ1505" i="1" s="1"/>
  <c r="AD1501" i="1"/>
  <c r="AQ1501" i="1" s="1"/>
  <c r="AD1495" i="1"/>
  <c r="AQ1495" i="1" s="1"/>
  <c r="AD1487" i="1"/>
  <c r="AQ1487" i="1" s="1"/>
  <c r="AD1480" i="1"/>
  <c r="AQ1480" i="1" s="1"/>
  <c r="AD1473" i="1"/>
  <c r="AQ1473" i="1" s="1"/>
  <c r="AD1466" i="1"/>
  <c r="AQ1466" i="1" s="1"/>
  <c r="AD1458" i="1"/>
  <c r="AQ1458" i="1" s="1"/>
  <c r="AD1450" i="1"/>
  <c r="AQ1450" i="1" s="1"/>
  <c r="AD1444" i="1"/>
  <c r="AQ1444" i="1" s="1"/>
  <c r="AD1431" i="1"/>
  <c r="AQ1431" i="1" s="1"/>
  <c r="AD1423" i="1"/>
  <c r="AQ1423" i="1" s="1"/>
  <c r="AD1415" i="1"/>
  <c r="AQ1415" i="1" s="1"/>
  <c r="AD1407" i="1"/>
  <c r="AQ1407" i="1" s="1"/>
  <c r="AD1393" i="1"/>
  <c r="AQ1393" i="1" s="1"/>
  <c r="AD1385" i="1"/>
  <c r="AQ1385" i="1" s="1"/>
  <c r="AD1377" i="1"/>
  <c r="AQ1377" i="1" s="1"/>
  <c r="AD1369" i="1"/>
  <c r="AQ1369" i="1" s="1"/>
  <c r="AD1361" i="1"/>
  <c r="AQ1361" i="1" s="1"/>
  <c r="AD1351" i="1"/>
  <c r="AQ1351" i="1" s="1"/>
  <c r="AD1343" i="1"/>
  <c r="AQ1343" i="1" s="1"/>
  <c r="AD1335" i="1"/>
  <c r="AQ1335" i="1" s="1"/>
  <c r="AD1327" i="1"/>
  <c r="AQ1327" i="1" s="1"/>
  <c r="AD1320" i="1"/>
  <c r="AQ1320" i="1" s="1"/>
  <c r="AD1312" i="1"/>
  <c r="AQ1312" i="1" s="1"/>
  <c r="AD1304" i="1"/>
  <c r="AQ1304" i="1" s="1"/>
  <c r="AD1293" i="1"/>
  <c r="AQ1293" i="1" s="1"/>
  <c r="AD1206" i="1"/>
  <c r="AQ1206" i="1" s="1"/>
  <c r="AD1198" i="1"/>
  <c r="AQ1198" i="1" s="1"/>
  <c r="AD1190" i="1"/>
  <c r="AQ1190" i="1" s="1"/>
  <c r="AD1183" i="1"/>
  <c r="AQ1183" i="1" s="1"/>
  <c r="AD1176" i="1"/>
  <c r="AQ1176" i="1" s="1"/>
  <c r="AD1168" i="1"/>
  <c r="AQ1168" i="1" s="1"/>
  <c r="AD1161" i="1"/>
  <c r="AQ1161" i="1" s="1"/>
  <c r="AD1153" i="1"/>
  <c r="AQ1153" i="1" s="1"/>
  <c r="AD1145" i="1"/>
  <c r="AQ1145" i="1" s="1"/>
  <c r="AD1137" i="1"/>
  <c r="AQ1137" i="1" s="1"/>
  <c r="AD1129" i="1"/>
  <c r="AQ1129" i="1" s="1"/>
  <c r="AD1110" i="1"/>
  <c r="AQ1110" i="1" s="1"/>
  <c r="AD1106" i="1"/>
  <c r="AQ1106" i="1" s="1"/>
  <c r="AD1100" i="1"/>
  <c r="AQ1100" i="1" s="1"/>
  <c r="AD1092" i="1"/>
  <c r="AQ1092" i="1" s="1"/>
  <c r="AD1077" i="1"/>
  <c r="AQ1077" i="1" s="1"/>
  <c r="AD1070" i="1"/>
  <c r="AQ1070" i="1" s="1"/>
  <c r="AD1056" i="1"/>
  <c r="AQ1056" i="1" s="1"/>
  <c r="AD1048" i="1"/>
  <c r="AQ1048" i="1" s="1"/>
  <c r="AD1040" i="1"/>
  <c r="AQ1040" i="1" s="1"/>
  <c r="AD1026" i="1"/>
  <c r="AQ1026" i="1" s="1"/>
  <c r="AD1019" i="1"/>
  <c r="AQ1019" i="1" s="1"/>
  <c r="AD1013" i="1"/>
  <c r="AQ1013" i="1" s="1"/>
  <c r="AD1005" i="1"/>
  <c r="AQ1005" i="1" s="1"/>
  <c r="AD999" i="1"/>
  <c r="AQ999" i="1" s="1"/>
  <c r="AD985" i="1"/>
  <c r="AQ985" i="1" s="1"/>
  <c r="AD977" i="1"/>
  <c r="AQ977" i="1" s="1"/>
  <c r="AD969" i="1"/>
  <c r="AQ969" i="1" s="1"/>
  <c r="AD963" i="1"/>
  <c r="AQ963" i="1" s="1"/>
  <c r="AD955" i="1"/>
  <c r="AQ955" i="1" s="1"/>
  <c r="AD947" i="1"/>
  <c r="AQ947" i="1" s="1"/>
  <c r="AD940" i="1"/>
  <c r="AQ940" i="1" s="1"/>
  <c r="AD933" i="1"/>
  <c r="AQ933" i="1" s="1"/>
  <c r="AD926" i="1"/>
  <c r="AQ926" i="1" s="1"/>
  <c r="AD918" i="1"/>
  <c r="AQ918" i="1" s="1"/>
  <c r="AD910" i="1"/>
  <c r="AQ910" i="1" s="1"/>
  <c r="AD902" i="1"/>
  <c r="AQ902" i="1" s="1"/>
  <c r="AD894" i="1"/>
  <c r="AQ894" i="1" s="1"/>
  <c r="AD886" i="1"/>
  <c r="AQ886" i="1" s="1"/>
  <c r="AD879" i="1"/>
  <c r="AQ879" i="1" s="1"/>
  <c r="AD871" i="1"/>
  <c r="AQ871" i="1" s="1"/>
  <c r="AD864" i="1"/>
  <c r="AQ864" i="1" s="1"/>
  <c r="AD857" i="1"/>
  <c r="AQ857" i="1" s="1"/>
  <c r="AD850" i="1"/>
  <c r="AQ850" i="1" s="1"/>
  <c r="AD843" i="1"/>
  <c r="AQ843" i="1" s="1"/>
  <c r="AD829" i="1"/>
  <c r="AQ829" i="1" s="1"/>
  <c r="AD825" i="1"/>
  <c r="AQ825" i="1" s="1"/>
  <c r="AD817" i="1"/>
  <c r="AQ817" i="1" s="1"/>
  <c r="AD809" i="1"/>
  <c r="AQ809" i="1" s="1"/>
  <c r="AD803" i="1"/>
  <c r="AQ803" i="1" s="1"/>
  <c r="AD795" i="1"/>
  <c r="AQ795" i="1" s="1"/>
  <c r="AD787" i="1"/>
  <c r="AQ787" i="1" s="1"/>
  <c r="AD779" i="1"/>
  <c r="AQ779" i="1" s="1"/>
  <c r="AD772" i="1"/>
  <c r="AQ772" i="1" s="1"/>
  <c r="AD764" i="1"/>
  <c r="AQ764" i="1" s="1"/>
  <c r="AD750" i="1"/>
  <c r="AQ750" i="1" s="1"/>
  <c r="AD743" i="1"/>
  <c r="AQ743" i="1" s="1"/>
  <c r="AD736" i="1"/>
  <c r="AQ736" i="1" s="1"/>
  <c r="AD732" i="1"/>
  <c r="AQ732" i="1" s="1"/>
  <c r="AD725" i="1"/>
  <c r="AQ725" i="1" s="1"/>
  <c r="AD717" i="1"/>
  <c r="AQ717" i="1" s="1"/>
  <c r="AD709" i="1"/>
  <c r="AQ709" i="1" s="1"/>
  <c r="AD702" i="1"/>
  <c r="AQ702" i="1" s="1"/>
  <c r="AD694" i="1"/>
  <c r="AQ694" i="1" s="1"/>
  <c r="AD686" i="1"/>
  <c r="AQ686" i="1" s="1"/>
  <c r="AD678" i="1"/>
  <c r="AQ678" i="1" s="1"/>
  <c r="AD665" i="1"/>
  <c r="AQ665" i="1" s="1"/>
  <c r="AD658" i="1"/>
  <c r="AQ658" i="1" s="1"/>
  <c r="AD647" i="1"/>
  <c r="AQ647" i="1" s="1"/>
  <c r="AD640" i="1"/>
  <c r="AQ640" i="1" s="1"/>
  <c r="AD633" i="1"/>
  <c r="AQ633" i="1" s="1"/>
  <c r="AD625" i="1"/>
  <c r="AQ625" i="1" s="1"/>
  <c r="AD612" i="1"/>
  <c r="AQ612" i="1" s="1"/>
  <c r="AD604" i="1"/>
  <c r="AQ604" i="1" s="1"/>
  <c r="AD596" i="1"/>
  <c r="AQ596" i="1" s="1"/>
  <c r="AD588" i="1"/>
  <c r="AQ588" i="1" s="1"/>
  <c r="AD580" i="1"/>
  <c r="AQ580" i="1" s="1"/>
  <c r="AD572" i="1"/>
  <c r="AQ572" i="1" s="1"/>
  <c r="AD565" i="1"/>
  <c r="AQ565" i="1" s="1"/>
  <c r="AD558" i="1"/>
  <c r="AQ558" i="1" s="1"/>
  <c r="AD550" i="1"/>
  <c r="AQ550" i="1" s="1"/>
  <c r="AD542" i="1"/>
  <c r="AQ542" i="1" s="1"/>
  <c r="AD535" i="1"/>
  <c r="AQ535" i="1" s="1"/>
  <c r="AD517" i="1"/>
  <c r="AQ517" i="1" s="1"/>
  <c r="AD510" i="1"/>
  <c r="AQ510" i="1" s="1"/>
  <c r="AD503" i="1"/>
  <c r="AQ503" i="1" s="1"/>
  <c r="AD498" i="1"/>
  <c r="AQ498" i="1" s="1"/>
  <c r="AD490" i="1"/>
  <c r="AQ490" i="1" s="1"/>
  <c r="AD482" i="1"/>
  <c r="AQ482" i="1" s="1"/>
  <c r="AD474" i="1"/>
  <c r="AQ474" i="1" s="1"/>
  <c r="AD466" i="1"/>
  <c r="AQ466" i="1" s="1"/>
  <c r="AD459" i="1"/>
  <c r="AQ459" i="1" s="1"/>
  <c r="AD445" i="1"/>
  <c r="AQ445" i="1" s="1"/>
  <c r="AD438" i="1"/>
  <c r="AQ438" i="1" s="1"/>
  <c r="AD430" i="1"/>
  <c r="AQ430" i="1" s="1"/>
  <c r="AD422" i="1"/>
  <c r="AQ422" i="1" s="1"/>
  <c r="AD414" i="1"/>
  <c r="AQ414" i="1" s="1"/>
  <c r="AD407" i="1"/>
  <c r="AQ407" i="1" s="1"/>
  <c r="AD399" i="1"/>
  <c r="AQ399" i="1" s="1"/>
  <c r="AD393" i="1"/>
  <c r="AQ393" i="1" s="1"/>
  <c r="AD387" i="1"/>
  <c r="AQ387" i="1" s="1"/>
  <c r="AD379" i="1"/>
  <c r="AQ379" i="1" s="1"/>
  <c r="AD371" i="1"/>
  <c r="AQ371" i="1" s="1"/>
  <c r="AD364" i="1"/>
  <c r="AQ364" i="1" s="1"/>
  <c r="AD357" i="1"/>
  <c r="AQ357" i="1" s="1"/>
  <c r="AD350" i="1"/>
  <c r="AQ350" i="1" s="1"/>
  <c r="AD344" i="1"/>
  <c r="AQ344" i="1" s="1"/>
  <c r="AD339" i="1"/>
  <c r="AQ339" i="1" s="1"/>
  <c r="AD332" i="1"/>
  <c r="AQ332" i="1" s="1"/>
  <c r="AD324" i="1"/>
  <c r="AQ324" i="1" s="1"/>
  <c r="AD316" i="1"/>
  <c r="AQ316" i="1" s="1"/>
  <c r="AD308" i="1"/>
  <c r="AQ308" i="1" s="1"/>
  <c r="AD300" i="1"/>
  <c r="AQ300" i="1" s="1"/>
  <c r="AD292" i="1"/>
  <c r="AQ292" i="1" s="1"/>
  <c r="AD284" i="1"/>
  <c r="AQ284" i="1" s="1"/>
  <c r="AD278" i="1"/>
  <c r="AQ278" i="1" s="1"/>
  <c r="AD270" i="1"/>
  <c r="AQ270" i="1" s="1"/>
  <c r="AD262" i="1"/>
  <c r="AQ262" i="1" s="1"/>
  <c r="AD255" i="1"/>
  <c r="AQ255" i="1" s="1"/>
  <c r="AD249" i="1"/>
  <c r="AQ249" i="1" s="1"/>
  <c r="AD241" i="1"/>
  <c r="AQ241" i="1" s="1"/>
  <c r="AD233" i="1"/>
  <c r="AQ233" i="1" s="1"/>
  <c r="AD225" i="1"/>
  <c r="AQ225" i="1" s="1"/>
  <c r="AD219" i="1"/>
  <c r="AQ219" i="1" s="1"/>
  <c r="AD205" i="1"/>
  <c r="AQ205" i="1" s="1"/>
  <c r="AD198" i="1"/>
  <c r="AQ198" i="1" s="1"/>
  <c r="AD190" i="1"/>
  <c r="AQ190" i="1" s="1"/>
  <c r="AD182" i="1"/>
  <c r="AQ182" i="1" s="1"/>
  <c r="AD174" i="1"/>
  <c r="AQ174" i="1" s="1"/>
  <c r="AD166" i="1"/>
  <c r="AQ166" i="1" s="1"/>
  <c r="AD159" i="1"/>
  <c r="AQ159" i="1" s="1"/>
  <c r="AD151" i="1"/>
  <c r="AQ151" i="1" s="1"/>
  <c r="AD145" i="1"/>
  <c r="AQ145" i="1" s="1"/>
  <c r="AD137" i="1"/>
  <c r="AQ137" i="1" s="1"/>
  <c r="AD129" i="1"/>
  <c r="AQ129" i="1" s="1"/>
  <c r="AD115" i="1"/>
  <c r="AQ115" i="1" s="1"/>
  <c r="AD110" i="1"/>
  <c r="AQ110" i="1" s="1"/>
  <c r="AD104" i="1"/>
  <c r="AQ104" i="1" s="1"/>
  <c r="AD98" i="1"/>
  <c r="AQ98" i="1" s="1"/>
  <c r="AD94" i="1"/>
  <c r="AQ94" i="1" s="1"/>
  <c r="AD88" i="1"/>
  <c r="AQ88" i="1" s="1"/>
  <c r="AD80" i="1"/>
  <c r="AQ80" i="1" s="1"/>
  <c r="AD72" i="1"/>
  <c r="AQ72" i="1" s="1"/>
  <c r="AD65" i="1"/>
  <c r="AQ65" i="1" s="1"/>
  <c r="AD57" i="1"/>
  <c r="AQ57" i="1" s="1"/>
  <c r="AD49" i="1"/>
  <c r="AQ49" i="1" s="1"/>
  <c r="AD41" i="1"/>
  <c r="AQ41" i="1" s="1"/>
  <c r="AD33" i="1"/>
  <c r="AQ33" i="1" s="1"/>
  <c r="AD25" i="1"/>
  <c r="AQ25" i="1" s="1"/>
  <c r="AD19" i="1"/>
  <c r="AQ19" i="1" s="1"/>
  <c r="AD12" i="1"/>
  <c r="AQ12" i="1" s="1"/>
  <c r="AD4" i="1"/>
  <c r="AQ4" i="1" s="1"/>
</calcChain>
</file>

<file path=xl/sharedStrings.xml><?xml version="1.0" encoding="utf-8"?>
<sst xmlns="http://schemas.openxmlformats.org/spreadsheetml/2006/main" count="5800" uniqueCount="2954">
  <si>
    <t>name</t>
  </si>
  <si>
    <t>Date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</si>
  <si>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</si>
  <si>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</si>
  <si>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</si>
  <si>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</si>
  <si>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</si>
  <si>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</si>
  <si>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</si>
  <si>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</si>
  <si>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</si>
  <si>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</si>
  <si>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</si>
  <si>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</si>
  <si>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</si>
  <si>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</si>
  <si>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</si>
  <si>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</si>
  <si>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</si>
  <si>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</si>
  <si>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</si>
  <si>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</si>
  <si>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</si>
  <si>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</si>
  <si>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</si>
  <si>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</si>
  <si>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</si>
  <si>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Attiki Athens</t>
  </si>
  <si>
    <t>19:23:00</t>
  </si>
  <si>
    <t>08/05/2000 19:23</t>
  </si>
  <si>
    <t>15:15:00</t>
  </si>
  <si>
    <t>08/05/2000 15:15</t>
  </si>
  <si>
    <t>14:39:00</t>
  </si>
  <si>
    <t>10/05/2000 14:39</t>
  </si>
  <si>
    <t>09:30:00</t>
  </si>
  <si>
    <t>10/05/2000 09:30</t>
  </si>
  <si>
    <t>23:50:00</t>
  </si>
  <si>
    <t>14/05/2000 23:50</t>
  </si>
  <si>
    <t>13:59:00</t>
  </si>
  <si>
    <t>16/05/2000 13:59</t>
  </si>
  <si>
    <t>14:50:00</t>
  </si>
  <si>
    <t>19/05/2000 14:50</t>
  </si>
  <si>
    <t>14:30:00</t>
  </si>
  <si>
    <t>24/05/2000 14:30</t>
  </si>
  <si>
    <t>13:25:00</t>
  </si>
  <si>
    <t>26/05/2000 13:25</t>
  </si>
  <si>
    <t>11:24:00</t>
  </si>
  <si>
    <t>27/05/2000 11:24</t>
  </si>
  <si>
    <t>23:54:00</t>
  </si>
  <si>
    <t>29/05/2000 23:54</t>
  </si>
  <si>
    <t>10:44:00</t>
  </si>
  <si>
    <t>31/05/2000 10:44</t>
  </si>
  <si>
    <t>18:19:00</t>
  </si>
  <si>
    <t>01/06/2000 18:19</t>
  </si>
  <si>
    <t>19:30:00</t>
  </si>
  <si>
    <t>17:20:00</t>
  </si>
  <si>
    <t>03/06/2000 17:20</t>
  </si>
  <si>
    <t>00:14:00</t>
  </si>
  <si>
    <t>04/06/2000 00:14</t>
  </si>
  <si>
    <t>12:55:00</t>
  </si>
  <si>
    <t>04/06/2000 12:55</t>
  </si>
  <si>
    <t>15:10:00</t>
  </si>
  <si>
    <t>05/06/2000 15:10</t>
  </si>
  <si>
    <t>12:39:00</t>
  </si>
  <si>
    <t>06/06/2000 12:39</t>
  </si>
  <si>
    <t>11:35:00</t>
  </si>
  <si>
    <t>07/06/2000 11:35</t>
  </si>
  <si>
    <t>13:30:00</t>
  </si>
  <si>
    <t>08/06/2000 13:30</t>
  </si>
  <si>
    <t>13:39:00</t>
  </si>
  <si>
    <t>12:20:00</t>
  </si>
  <si>
    <t>13/06/2000 15:10</t>
  </si>
  <si>
    <t>10:25:00</t>
  </si>
  <si>
    <t>14/06/2000 10:25</t>
  </si>
  <si>
    <t>13:52:00</t>
  </si>
  <si>
    <t>14/06/2000 13:52</t>
  </si>
  <si>
    <t>11:29:00</t>
  </si>
  <si>
    <t>15/06/2000 11:29</t>
  </si>
  <si>
    <t>11:10:00</t>
  </si>
  <si>
    <t>15/06/2000 11:10</t>
  </si>
  <si>
    <t>13:50:00</t>
  </si>
  <si>
    <t>15/06/2000 13:50</t>
  </si>
  <si>
    <t>18:53:00</t>
  </si>
  <si>
    <t>16/06/2000 18:53</t>
  </si>
  <si>
    <t>16/06/2000 11:29</t>
  </si>
  <si>
    <t>22:30:00</t>
  </si>
  <si>
    <t>16/06/2000 22:30</t>
  </si>
  <si>
    <t>rain</t>
  </si>
  <si>
    <t>14:34:00</t>
  </si>
  <si>
    <t>17/06/2000 14:34</t>
  </si>
  <si>
    <t>21:10:00</t>
  </si>
  <si>
    <t>17/06/2000 21:10</t>
  </si>
  <si>
    <t>15:30:00</t>
  </si>
  <si>
    <t>18/06/2000 15:30</t>
  </si>
  <si>
    <t>09:35:00</t>
  </si>
  <si>
    <t>19/06/2000 09:35</t>
  </si>
  <si>
    <t>13:44:00</t>
  </si>
  <si>
    <t>19/06/2000 13:44</t>
  </si>
  <si>
    <t>15:12:00</t>
  </si>
  <si>
    <t>20/06/2000 15:12</t>
  </si>
  <si>
    <t>21/06/2000 13:39</t>
  </si>
  <si>
    <t>20:27:00</t>
  </si>
  <si>
    <t>22/06/2000 20:27</t>
  </si>
  <si>
    <t>18:00:00</t>
  </si>
  <si>
    <t>25/06/2000 18:00</t>
  </si>
  <si>
    <t>18:31:00</t>
  </si>
  <si>
    <t>26/06/2000 18:31</t>
  </si>
  <si>
    <t>15:40:00</t>
  </si>
  <si>
    <t>26/06/2000 15:40</t>
  </si>
  <si>
    <t>19:05:00</t>
  </si>
  <si>
    <t>29/06/2000 19:05</t>
  </si>
  <si>
    <t>16:35:00</t>
  </si>
  <si>
    <t>30/06/2000 16:35</t>
  </si>
  <si>
    <t>16:40:00</t>
  </si>
  <si>
    <t>01/07/2000 16:40</t>
  </si>
  <si>
    <t>17:14:00</t>
  </si>
  <si>
    <t>02/07/2000 17:14</t>
  </si>
  <si>
    <t>15:29:00</t>
  </si>
  <si>
    <t>06/07/2000 15:29</t>
  </si>
  <si>
    <t>11:30:00</t>
  </si>
  <si>
    <t>07/07/2000 11:30</t>
  </si>
  <si>
    <t>19:18:00</t>
  </si>
  <si>
    <t>09/07/2000 19:18</t>
  </si>
  <si>
    <t>14:00:00</t>
  </si>
  <si>
    <t>13/07/2000 14:00</t>
  </si>
  <si>
    <t>15:05:00</t>
  </si>
  <si>
    <t>16/07/2000 15:05</t>
  </si>
  <si>
    <t>02:09:00</t>
  </si>
  <si>
    <t>18/07/2000 02:09</t>
  </si>
  <si>
    <t>14:26:00</t>
  </si>
  <si>
    <t>20/07/2000 14:26</t>
  </si>
  <si>
    <t>23/07/2000 11:10</t>
  </si>
  <si>
    <t>10:47:00</t>
  </si>
  <si>
    <t>28/07/2000 10:47</t>
  </si>
  <si>
    <t>05:44:00</t>
  </si>
  <si>
    <t>28/07/2000 05:44</t>
  </si>
  <si>
    <t>13:00:00</t>
  </si>
  <si>
    <t>29/07/2000 13:00</t>
  </si>
  <si>
    <t>16:05:00</t>
  </si>
  <si>
    <t>29/07/2000 16:05</t>
  </si>
  <si>
    <t>02:15:00</t>
  </si>
  <si>
    <t>05/08/2000 02:15</t>
  </si>
  <si>
    <t>09:15:00</t>
  </si>
  <si>
    <t>06/08/2000 09:15</t>
  </si>
  <si>
    <t>14:44:00</t>
  </si>
  <si>
    <t>09/08/2000 14:44</t>
  </si>
  <si>
    <t>00:28:00</t>
  </si>
  <si>
    <t>14/08/2000 00:28</t>
  </si>
  <si>
    <t>12:10:00</t>
  </si>
  <si>
    <t>15/08/2000 12:10</t>
  </si>
  <si>
    <t>12:14:00</t>
  </si>
  <si>
    <t>20/08/2000 12:14</t>
  </si>
  <si>
    <t>23:15:00</t>
  </si>
  <si>
    <t>20/08/2000 23:15</t>
  </si>
  <si>
    <t>15:41:00</t>
  </si>
  <si>
    <t>22/08/2000 15:41</t>
  </si>
  <si>
    <t>13:53:00</t>
  </si>
  <si>
    <t>23/08/2000 13:53</t>
  </si>
  <si>
    <t>15:52:00</t>
  </si>
  <si>
    <t>24/08/2000 15:52</t>
  </si>
  <si>
    <t>04:24:00</t>
  </si>
  <si>
    <t>25/08/2000 04:24</t>
  </si>
  <si>
    <t>12:46:00</t>
  </si>
  <si>
    <t>26/08/2000 12:46</t>
  </si>
  <si>
    <t>13:51:00</t>
  </si>
  <si>
    <t>26/08/2000 13:51</t>
  </si>
  <si>
    <t>23:31:00</t>
  </si>
  <si>
    <t>26/08/2000 23:31</t>
  </si>
  <si>
    <t>13:04:00</t>
  </si>
  <si>
    <t>04/09/2000 13:04</t>
  </si>
  <si>
    <t>17:19:00</t>
  </si>
  <si>
    <t>15/09/2000 17:19</t>
  </si>
  <si>
    <t>16:19:00</t>
  </si>
  <si>
    <t>15/09/2000 16:19</t>
  </si>
  <si>
    <t>19:40:00</t>
  </si>
  <si>
    <t>19/09/2000 19:40</t>
  </si>
  <si>
    <t>23:30:00</t>
  </si>
  <si>
    <t>22/09/2000 23:30</t>
  </si>
  <si>
    <t>19:50:00</t>
  </si>
  <si>
    <t>24/09/2000 19:50</t>
  </si>
  <si>
    <t>02:44:00</t>
  </si>
  <si>
    <t>26/09/2000 02:44</t>
  </si>
  <si>
    <t>11:55:00</t>
  </si>
  <si>
    <t>27/09/2000 11:55</t>
  </si>
  <si>
    <t>04:50:00</t>
  </si>
  <si>
    <t>28/09/2000 04:50</t>
  </si>
  <si>
    <t>14:40:00</t>
  </si>
  <si>
    <t>04/10/2000 14:40</t>
  </si>
  <si>
    <t>03:50:00</t>
  </si>
  <si>
    <t>04/10/2000 03:50</t>
  </si>
  <si>
    <t>07/10/2000 15:30</t>
  </si>
  <si>
    <t>19:49:00</t>
  </si>
  <si>
    <t>11/10/2000 19:49</t>
  </si>
  <si>
    <t>15:00:00</t>
  </si>
  <si>
    <t>20/10/2000 15:00</t>
  </si>
  <si>
    <t>18:24:00</t>
  </si>
  <si>
    <t>28/10/2000 18:24</t>
  </si>
  <si>
    <t>14:15:00</t>
  </si>
  <si>
    <t>01/11/2000 14:15</t>
  </si>
  <si>
    <t>14:04:00</t>
  </si>
  <si>
    <t>08/11/2000 14:04</t>
  </si>
  <si>
    <t>19:20:00</t>
  </si>
  <si>
    <t>11/11/2000 19:20</t>
  </si>
  <si>
    <t>17/11/2000 13:30</t>
  </si>
  <si>
    <t>08:44:00</t>
  </si>
  <si>
    <t>21/12/2000 08:44</t>
  </si>
  <si>
    <t>11:09:00</t>
  </si>
  <si>
    <t>09/01/2001 11:09</t>
  </si>
  <si>
    <t>18:29:00</t>
  </si>
  <si>
    <t>11:54:00</t>
  </si>
  <si>
    <t>15/01/2001 11:54</t>
  </si>
  <si>
    <t>14:55:00</t>
  </si>
  <si>
    <t>21/01/2001 14:55</t>
  </si>
  <si>
    <t>12:30:00</t>
  </si>
  <si>
    <t>21/01/2001 12:30</t>
  </si>
  <si>
    <t>11:40:00</t>
  </si>
  <si>
    <t>21/01/2001 11:40</t>
  </si>
  <si>
    <t>23:49:00</t>
  </si>
  <si>
    <t>15:25:00</t>
  </si>
  <si>
    <t>12:54:00</t>
  </si>
  <si>
    <t>04/02/2001 12:54</t>
  </si>
  <si>
    <t>14:14:00</t>
  </si>
  <si>
    <t>15/02/2001 16:40</t>
  </si>
  <si>
    <t>21/02/2001 16:40</t>
  </si>
  <si>
    <t>18:54:00</t>
  </si>
  <si>
    <t>23/02/2001 18:54</t>
  </si>
  <si>
    <t>15:54:00</t>
  </si>
  <si>
    <t>25/02/2001 15:54</t>
  </si>
  <si>
    <t>15:59:00</t>
  </si>
  <si>
    <t>26/02/2001 15:59</t>
  </si>
  <si>
    <t>10:14:00</t>
  </si>
  <si>
    <t>14:10:00</t>
  </si>
  <si>
    <t>08/03/2001 14:10</t>
  </si>
  <si>
    <t>10:59:00</t>
  </si>
  <si>
    <t>18/03/2001 10:59</t>
  </si>
  <si>
    <t>24/03/2001 13:50</t>
  </si>
  <si>
    <t>17:35:00</t>
  </si>
  <si>
    <t>16:06:00</t>
  </si>
  <si>
    <t>14/04/2001 16:06</t>
  </si>
  <si>
    <t>01/05/2001 14:30</t>
  </si>
  <si>
    <t>14:35:00</t>
  </si>
  <si>
    <t>04/05/2001 14:35</t>
  </si>
  <si>
    <t>20:00:00</t>
  </si>
  <si>
    <t>11/05/2001 20:00</t>
  </si>
  <si>
    <t>15:35:00</t>
  </si>
  <si>
    <t>20/05/2001 15:35</t>
  </si>
  <si>
    <t>21/05/2001 19:20</t>
  </si>
  <si>
    <t>23:24:00</t>
  </si>
  <si>
    <t>22/05/2001 23:24</t>
  </si>
  <si>
    <t>29/05/2001 17:20</t>
  </si>
  <si>
    <t>12:29:00</t>
  </si>
  <si>
    <t>19:10:00</t>
  </si>
  <si>
    <t>03/06/2001 19:10</t>
  </si>
  <si>
    <t>13:45:00</t>
  </si>
  <si>
    <t>03/06/2001 13:45</t>
  </si>
  <si>
    <t>12:38:00</t>
  </si>
  <si>
    <t>13/06/2001 12:38</t>
  </si>
  <si>
    <t>15/06/2001 23:49</t>
  </si>
  <si>
    <t>15/06/2001 11:40</t>
  </si>
  <si>
    <t>16:14:00</t>
  </si>
  <si>
    <t>20/06/2001 16:14</t>
  </si>
  <si>
    <t>17:40:00</t>
  </si>
  <si>
    <t>20/06/2001 17:40</t>
  </si>
  <si>
    <t>17:38:00</t>
  </si>
  <si>
    <t>20/06/2001 17:38</t>
  </si>
  <si>
    <t>16:00:00</t>
  </si>
  <si>
    <t>20/06/2001 16:00</t>
  </si>
  <si>
    <t>12:00:00</t>
  </si>
  <si>
    <t>23:11:00</t>
  </si>
  <si>
    <t>23/06/2001 23:11</t>
  </si>
  <si>
    <t>16:51:00</t>
  </si>
  <si>
    <t>26/06/2001 16:51</t>
  </si>
  <si>
    <t>13:29:00</t>
  </si>
  <si>
    <t>27/06/2001 13:29</t>
  </si>
  <si>
    <t>18:35:00</t>
  </si>
  <si>
    <t>29/06/2001 18:35</t>
  </si>
  <si>
    <t>12:59:00</t>
  </si>
  <si>
    <t>30/06/2001 12:59</t>
  </si>
  <si>
    <t>11:59:00</t>
  </si>
  <si>
    <t>01/07/2001 11:59</t>
  </si>
  <si>
    <t>13:49:00</t>
  </si>
  <si>
    <t>01/07/2001 13:49</t>
  </si>
  <si>
    <t>19:15:00</t>
  </si>
  <si>
    <t>02/07/2001 19:15</t>
  </si>
  <si>
    <t>10:28:00</t>
  </si>
  <si>
    <t>03/07/2001 10:28</t>
  </si>
  <si>
    <t>14:02:00</t>
  </si>
  <si>
    <t>04/07/2001 14:02</t>
  </si>
  <si>
    <t>12:05:00</t>
  </si>
  <si>
    <t>04/07/2001 12:05</t>
  </si>
  <si>
    <t>22:43:00</t>
  </si>
  <si>
    <t>05/07/2001 22:43</t>
  </si>
  <si>
    <t>16:20:00</t>
  </si>
  <si>
    <t>06/07/2001 16:20</t>
  </si>
  <si>
    <t>13:35:00</t>
  </si>
  <si>
    <t>11/07/2001 13:35</t>
  </si>
  <si>
    <t>16:10:00</t>
  </si>
  <si>
    <t>11/07/2001 16:10</t>
  </si>
  <si>
    <t>16:45:00</t>
  </si>
  <si>
    <t>11/07/2001 16:45</t>
  </si>
  <si>
    <t>16:44:00</t>
  </si>
  <si>
    <t>11/07/2001 16:44</t>
  </si>
  <si>
    <t>12/07/2001 15:35</t>
  </si>
  <si>
    <t>15/07/2001 19:50</t>
  </si>
  <si>
    <t>08:25:00</t>
  </si>
  <si>
    <t>15/07/2001 08:25</t>
  </si>
  <si>
    <t>11:27:00</t>
  </si>
  <si>
    <t>15/07/2001 11:27</t>
  </si>
  <si>
    <t>09:49:00</t>
  </si>
  <si>
    <t>16/07/2001 09:49</t>
  </si>
  <si>
    <t>00:30:00</t>
  </si>
  <si>
    <t>18/07/2001 00:30</t>
  </si>
  <si>
    <t>12:19:00</t>
  </si>
  <si>
    <t>18/07/2001 12:19</t>
  </si>
  <si>
    <t>20/07/2001 14:34</t>
  </si>
  <si>
    <t>16:55:00</t>
  </si>
  <si>
    <t>20/07/2001 16:55</t>
  </si>
  <si>
    <t>09:24:00</t>
  </si>
  <si>
    <t>21/07/2001 09:24</t>
  </si>
  <si>
    <t>23:25:00</t>
  </si>
  <si>
    <t>22/07/2001 23:25</t>
  </si>
  <si>
    <t>02:40:00</t>
  </si>
  <si>
    <t>16:21:00</t>
  </si>
  <si>
    <t>23/07/2001 16:21</t>
  </si>
  <si>
    <t>12:28:00</t>
  </si>
  <si>
    <t>25/07/2001 12:28</t>
  </si>
  <si>
    <t>02:30:00</t>
  </si>
  <si>
    <t>26/07/2001 02:30</t>
  </si>
  <si>
    <t>07:29:00</t>
  </si>
  <si>
    <t>26/07/2001 07:29</t>
  </si>
  <si>
    <t>15:45:00</t>
  </si>
  <si>
    <t>28/07/2001 15:45</t>
  </si>
  <si>
    <t>13:43:00</t>
  </si>
  <si>
    <t>29/07/2001 13:43</t>
  </si>
  <si>
    <t>00:44:00</t>
  </si>
  <si>
    <t>29/07/2001 00:44</t>
  </si>
  <si>
    <t>01:15:00</t>
  </si>
  <si>
    <t>30/07/2001 01:15</t>
  </si>
  <si>
    <t>12:35:00</t>
  </si>
  <si>
    <t>31/07/2001 12:35</t>
  </si>
  <si>
    <t>19:24:00</t>
  </si>
  <si>
    <t>31/07/2001 19:24</t>
  </si>
  <si>
    <t>17:27:00</t>
  </si>
  <si>
    <t>01/08/2001 17:27</t>
  </si>
  <si>
    <t>01/08/2001 15:30</t>
  </si>
  <si>
    <t>17:00:00</t>
  </si>
  <si>
    <t>02/08/2001 17:00</t>
  </si>
  <si>
    <t>16:25:00</t>
  </si>
  <si>
    <t>02/08/2001 16:25</t>
  </si>
  <si>
    <t>00:04:00</t>
  </si>
  <si>
    <t>02/08/2001 00:04</t>
  </si>
  <si>
    <t>05/08/2001 15:15</t>
  </si>
  <si>
    <t>18:25:00</t>
  </si>
  <si>
    <t>06/08/2001 18:25</t>
  </si>
  <si>
    <t>18:07:00</t>
  </si>
  <si>
    <t>06/08/2001 18:07</t>
  </si>
  <si>
    <t>08/08/2001 08:25</t>
  </si>
  <si>
    <t>10:30:00</t>
  </si>
  <si>
    <t>09/08/2001 10:30</t>
  </si>
  <si>
    <t>17:05:00</t>
  </si>
  <si>
    <t>09/08/2001 17:05</t>
  </si>
  <si>
    <t>19:00:00</t>
  </si>
  <si>
    <t>09/08/2001 19:00</t>
  </si>
  <si>
    <t>17:24:00</t>
  </si>
  <si>
    <t>10/08/2001 17:24</t>
  </si>
  <si>
    <t>19:25:00</t>
  </si>
  <si>
    <t>14/08/2001 19:25</t>
  </si>
  <si>
    <t>14:17:00</t>
  </si>
  <si>
    <t>17/08/2001 14:17</t>
  </si>
  <si>
    <t>17/08/2001 15:30</t>
  </si>
  <si>
    <t>20:40:00</t>
  </si>
  <si>
    <t>17/08/2001 20:40</t>
  </si>
  <si>
    <t>18:20:00</t>
  </si>
  <si>
    <t>18/08/2001 18:20</t>
  </si>
  <si>
    <t>14:20:00</t>
  </si>
  <si>
    <t>18/08/2001 14:20</t>
  </si>
  <si>
    <t>19/08/2001 14:14</t>
  </si>
  <si>
    <t>20/08/2001 16:06</t>
  </si>
  <si>
    <t>20:48:00</t>
  </si>
  <si>
    <t>22/08/2001 20:48</t>
  </si>
  <si>
    <t>22/08/2001 12:00</t>
  </si>
  <si>
    <t>23/08/2001 16:00</t>
  </si>
  <si>
    <t>23/08/2001 15:29</t>
  </si>
  <si>
    <t>23/08/2001 15:30</t>
  </si>
  <si>
    <t>24/08/2001 18:19</t>
  </si>
  <si>
    <t>14:45:00</t>
  </si>
  <si>
    <t>26/08/2001 14:45</t>
  </si>
  <si>
    <t>09:50:00</t>
  </si>
  <si>
    <t>04/09/2001 09:50</t>
  </si>
  <si>
    <t>05/09/2001 09:50</t>
  </si>
  <si>
    <t>12:41:00</t>
  </si>
  <si>
    <t>06/09/2001 12:41</t>
  </si>
  <si>
    <t>20:14:00</t>
  </si>
  <si>
    <t>06/09/2001 20:14</t>
  </si>
  <si>
    <t>00:12:00</t>
  </si>
  <si>
    <t>07/09/2001 00:12</t>
  </si>
  <si>
    <t>04:52:00</t>
  </si>
  <si>
    <t>07/09/2001 04:52</t>
  </si>
  <si>
    <t>00:39:00</t>
  </si>
  <si>
    <t>07/09/2001 00:39</t>
  </si>
  <si>
    <t>11:14:00</t>
  </si>
  <si>
    <t>09/09/2001 11:14</t>
  </si>
  <si>
    <t>18:30:00</t>
  </si>
  <si>
    <t>23/09/2001 18:30</t>
  </si>
  <si>
    <t>17:09:00</t>
  </si>
  <si>
    <t>25/09/2001 17:09</t>
  </si>
  <si>
    <t>00:15:00</t>
  </si>
  <si>
    <t>28/09/2001 00:15</t>
  </si>
  <si>
    <t>09:44:00</t>
  </si>
  <si>
    <t>15/10/2001 09:44</t>
  </si>
  <si>
    <t>05:50:00</t>
  </si>
  <si>
    <t>17/10/2001 05:50</t>
  </si>
  <si>
    <t>05:15:00</t>
  </si>
  <si>
    <t>26/10/2001 05:15</t>
  </si>
  <si>
    <t>00:40:00</t>
  </si>
  <si>
    <t>26/10/2001 00:40</t>
  </si>
  <si>
    <t>11:45:00</t>
  </si>
  <si>
    <t>29/10/2001 11:45</t>
  </si>
  <si>
    <t>02/11/2001 17:40</t>
  </si>
  <si>
    <t>13/11/2001 12:00</t>
  </si>
  <si>
    <t>18:44:00</t>
  </si>
  <si>
    <t>18/12/2001 18:44</t>
  </si>
  <si>
    <t>03/01/2002 12:00</t>
  </si>
  <si>
    <t>11:20:00</t>
  </si>
  <si>
    <t>10/01/2002 11:20</t>
  </si>
  <si>
    <t>04/02/2002 15:30</t>
  </si>
  <si>
    <t>18:45:00</t>
  </si>
  <si>
    <t>09/02/2002 18:45</t>
  </si>
  <si>
    <t>12:56:00</t>
  </si>
  <si>
    <t>14/02/2002 12:56</t>
  </si>
  <si>
    <t>20:44:00</t>
  </si>
  <si>
    <t>22/02/2002 20:44</t>
  </si>
  <si>
    <t>07/03/2002 12:59</t>
  </si>
  <si>
    <t>12:50:00</t>
  </si>
  <si>
    <t>10/03/2002 12:50</t>
  </si>
  <si>
    <t>16/03/2002 15:15</t>
  </si>
  <si>
    <t>11:39:00</t>
  </si>
  <si>
    <t>26/03/2002 11:39</t>
  </si>
  <si>
    <t>23:02:00</t>
  </si>
  <si>
    <t>04/05/2002 23:02</t>
  </si>
  <si>
    <t>21:40:00</t>
  </si>
  <si>
    <t>04/05/2002 21:40</t>
  </si>
  <si>
    <t>17:49:00</t>
  </si>
  <si>
    <t>10/05/2002 17:49</t>
  </si>
  <si>
    <t>21/05/2002 15:10</t>
  </si>
  <si>
    <t>13:14:00</t>
  </si>
  <si>
    <t>21/05/2002 13:14</t>
  </si>
  <si>
    <t>23:16:00</t>
  </si>
  <si>
    <t>31/05/2002 23:16</t>
  </si>
  <si>
    <t>03/06/2002 12:39</t>
  </si>
  <si>
    <t>01:40:00</t>
  </si>
  <si>
    <t>11/06/2002 01:40</t>
  </si>
  <si>
    <t>13:05:00</t>
  </si>
  <si>
    <t>11/06/2002 13:05</t>
  </si>
  <si>
    <t>19:59:00</t>
  </si>
  <si>
    <t>14/06/2002 19:59</t>
  </si>
  <si>
    <t>15:55:00</t>
  </si>
  <si>
    <t>14/06/2002 15:55</t>
  </si>
  <si>
    <t>05:59:00</t>
  </si>
  <si>
    <t>16/06/2002 05:59</t>
  </si>
  <si>
    <t>04:19:00</t>
  </si>
  <si>
    <t>16/06/2002 04:19</t>
  </si>
  <si>
    <t>16:39:00</t>
  </si>
  <si>
    <t>20/06/2002 16:39</t>
  </si>
  <si>
    <t>01:16:00</t>
  </si>
  <si>
    <t>20/06/2002 01:16</t>
  </si>
  <si>
    <t>12:49:00</t>
  </si>
  <si>
    <t>20/06/2002 12:49</t>
  </si>
  <si>
    <t>22/06/2002 13:05</t>
  </si>
  <si>
    <t>14:29:00</t>
  </si>
  <si>
    <t>22/06/2002 14:29</t>
  </si>
  <si>
    <t>08:55:00</t>
  </si>
  <si>
    <t>22/06/2002 08:55</t>
  </si>
  <si>
    <t>23/06/2002 16:44</t>
  </si>
  <si>
    <t>24/06/2002 18:20</t>
  </si>
  <si>
    <t>20:16:00</t>
  </si>
  <si>
    <t>25/06/2002 20:16</t>
  </si>
  <si>
    <t>27/06/2002 12:20</t>
  </si>
  <si>
    <t>02/07/2002 16:19</t>
  </si>
  <si>
    <t>22:15:00</t>
  </si>
  <si>
    <t>04/07/2002 22:15</t>
  </si>
  <si>
    <t>03:40:00</t>
  </si>
  <si>
    <t>07/07/2002 03:40</t>
  </si>
  <si>
    <t>14/07/2002 17:20</t>
  </si>
  <si>
    <t>14/07/2002 12:30</t>
  </si>
  <si>
    <t>23:20:00</t>
  </si>
  <si>
    <t>17/07/2002 23:20</t>
  </si>
  <si>
    <t>04:06:00</t>
  </si>
  <si>
    <t>17/07/2002 04:06</t>
  </si>
  <si>
    <t>11:00:00</t>
  </si>
  <si>
    <t>17/07/2002 11:00</t>
  </si>
  <si>
    <t>02:05:00</t>
  </si>
  <si>
    <t>18/07/2002 02:05</t>
  </si>
  <si>
    <t>18/07/2002 14:30</t>
  </si>
  <si>
    <t>12:34:00</t>
  </si>
  <si>
    <t>18/07/2002 12:34</t>
  </si>
  <si>
    <t>17:22:00</t>
  </si>
  <si>
    <t>23/07/2002 17:22</t>
  </si>
  <si>
    <t>17:25:00</t>
  </si>
  <si>
    <t>23/07/2002 17:25</t>
  </si>
  <si>
    <t>25/07/2002 19:24</t>
  </si>
  <si>
    <t>27/07/2002 17:25</t>
  </si>
  <si>
    <t>21:50:00</t>
  </si>
  <si>
    <t>30/07/2002 21:50</t>
  </si>
  <si>
    <t>23:00:00</t>
  </si>
  <si>
    <t>31/07/2002 23:00</t>
  </si>
  <si>
    <t>00:59:00</t>
  </si>
  <si>
    <t>02/08/2002 00:59</t>
  </si>
  <si>
    <t>13:19:00</t>
  </si>
  <si>
    <t>06/08/2002 13:19</t>
  </si>
  <si>
    <t>12:31:00</t>
  </si>
  <si>
    <t>17/08/2002 12:31</t>
  </si>
  <si>
    <t>18/08/2002 14:30</t>
  </si>
  <si>
    <t>07:35:00</t>
  </si>
  <si>
    <t>21/08/2002 07:35</t>
  </si>
  <si>
    <t>23/08/2002 12:14</t>
  </si>
  <si>
    <t>18:14:00</t>
  </si>
  <si>
    <t>25/08/2002 18:14</t>
  </si>
  <si>
    <t>17:39:00</t>
  </si>
  <si>
    <t>26/08/2002 17:39</t>
  </si>
  <si>
    <t>02:31:00</t>
  </si>
  <si>
    <t>26/08/2002 02:31</t>
  </si>
  <si>
    <t>16:53:00</t>
  </si>
  <si>
    <t>27/08/2002 16:53</t>
  </si>
  <si>
    <t>03:30:00</t>
  </si>
  <si>
    <t>28/08/2002 03:30</t>
  </si>
  <si>
    <t>16:04:00</t>
  </si>
  <si>
    <t>01/09/2002 16:04</t>
  </si>
  <si>
    <t>22:14:00</t>
  </si>
  <si>
    <t>06/09/2002 22:14</t>
  </si>
  <si>
    <t>12/09/2002 16:10</t>
  </si>
  <si>
    <t>12/09/2002 14:39</t>
  </si>
  <si>
    <t>17:15:00</t>
  </si>
  <si>
    <t>25/09/2002 17:15</t>
  </si>
  <si>
    <t>26/09/2002 13:30</t>
  </si>
  <si>
    <t>17:56:00</t>
  </si>
  <si>
    <t>04/10/2002 17:56</t>
  </si>
  <si>
    <t>11/10/2002 12:50</t>
  </si>
  <si>
    <t>23/10/2002 13:49</t>
  </si>
  <si>
    <t>24/10/2002 12:29</t>
  </si>
  <si>
    <t>30/10/2002 04:19</t>
  </si>
  <si>
    <t>13:10:00</t>
  </si>
  <si>
    <t>01/11/2002 13:10</t>
  </si>
  <si>
    <t>12:08:00</t>
  </si>
  <si>
    <t>27/03/2003 12:08</t>
  </si>
  <si>
    <t>27/04/2003 14:00</t>
  </si>
  <si>
    <t>20/05/2003 17:19</t>
  </si>
  <si>
    <t>04/06/2003 12:30</t>
  </si>
  <si>
    <t>16:30:00</t>
  </si>
  <si>
    <t>05/06/2003 16:30</t>
  </si>
  <si>
    <t>18:50:00</t>
  </si>
  <si>
    <t>11/06/2003 18:50</t>
  </si>
  <si>
    <t>06:43:00</t>
  </si>
  <si>
    <t>11/06/2003 06:43</t>
  </si>
  <si>
    <t>12/06/2003 13:45</t>
  </si>
  <si>
    <t>12/06/2003 19:10</t>
  </si>
  <si>
    <t>12/06/2003 16:05</t>
  </si>
  <si>
    <t>11:01:00</t>
  </si>
  <si>
    <t>13/06/2003 11:01</t>
  </si>
  <si>
    <t>14/06/2003 15:30</t>
  </si>
  <si>
    <t>17/06/2003 13:30</t>
  </si>
  <si>
    <t>15:20:00</t>
  </si>
  <si>
    <t>19/06/2003 15:20</t>
  </si>
  <si>
    <t>19/06/2003 09:50</t>
  </si>
  <si>
    <t>18:23:00</t>
  </si>
  <si>
    <t>19/06/2003 18:23</t>
  </si>
  <si>
    <t>18:05:00</t>
  </si>
  <si>
    <t>22/06/2003 18:05</t>
  </si>
  <si>
    <t>03/07/2003 16:00</t>
  </si>
  <si>
    <t>17:57:00</t>
  </si>
  <si>
    <t>04/07/2003 17:57</t>
  </si>
  <si>
    <t>03:28:00</t>
  </si>
  <si>
    <t>06/07/2003 03:28</t>
  </si>
  <si>
    <t>21:13:00</t>
  </si>
  <si>
    <t>06/07/2003 21:13</t>
  </si>
  <si>
    <t>16:54:00</t>
  </si>
  <si>
    <t>06/07/2003 16:54</t>
  </si>
  <si>
    <t>06/07/2003 15:40</t>
  </si>
  <si>
    <t>08/07/2003 11:00</t>
  </si>
  <si>
    <t>10/07/2003 12:30</t>
  </si>
  <si>
    <t>20:54:00</t>
  </si>
  <si>
    <t>12/07/2003 20:54</t>
  </si>
  <si>
    <t>10:00:00</t>
  </si>
  <si>
    <t>13/07/2003 10:00</t>
  </si>
  <si>
    <t>04:25:00</t>
  </si>
  <si>
    <t>13/07/2003 04:25</t>
  </si>
  <si>
    <t>06:00:00</t>
  </si>
  <si>
    <t>14/07/2003 06:00</t>
  </si>
  <si>
    <t>06:05:00</t>
  </si>
  <si>
    <t>14/07/2003 06:05</t>
  </si>
  <si>
    <t>15/07/2003 11:40</t>
  </si>
  <si>
    <t>16/07/2003 17:09</t>
  </si>
  <si>
    <t>17:50:00</t>
  </si>
  <si>
    <t>17/07/2003 17:50</t>
  </si>
  <si>
    <t>17/07/2003 14:02</t>
  </si>
  <si>
    <t>15:18:00</t>
  </si>
  <si>
    <t>23/07/2003 15:18</t>
  </si>
  <si>
    <t>27/07/2003 16:10</t>
  </si>
  <si>
    <t>28/07/2003 14:35</t>
  </si>
  <si>
    <t>03:20:00</t>
  </si>
  <si>
    <t>30/07/2003 03:20</t>
  </si>
  <si>
    <t>17:30:00</t>
  </si>
  <si>
    <t>04/08/2003 17:30</t>
  </si>
  <si>
    <t>04/08/2003 14:45</t>
  </si>
  <si>
    <t>04/08/2003 19:05</t>
  </si>
  <si>
    <t>07:00:00</t>
  </si>
  <si>
    <t>09/08/2003 07:00</t>
  </si>
  <si>
    <t>14:05:00</t>
  </si>
  <si>
    <t>11/08/2003 14:05</t>
  </si>
  <si>
    <t>15:04:00</t>
  </si>
  <si>
    <t>12/08/2003 15:04</t>
  </si>
  <si>
    <t>14:25:00</t>
  </si>
  <si>
    <t>17/08/2003 14:25</t>
  </si>
  <si>
    <t>28/08/2003 19:25</t>
  </si>
  <si>
    <t>19:29:00</t>
  </si>
  <si>
    <t>01/09/2003 19:29</t>
  </si>
  <si>
    <t>03/09/2003 00:04</t>
  </si>
  <si>
    <t>17:01:00</t>
  </si>
  <si>
    <t>12/09/2003 17:01</t>
  </si>
  <si>
    <t>15:06:00</t>
  </si>
  <si>
    <t>19/09/2003 15:06</t>
  </si>
  <si>
    <t>23/09/2003 13:05</t>
  </si>
  <si>
    <t>04:55:00</t>
  </si>
  <si>
    <t>28/09/2003 04:55</t>
  </si>
  <si>
    <t>12:44:00</t>
  </si>
  <si>
    <t>11/10/2003 12:44</t>
  </si>
  <si>
    <t>14:54:00</t>
  </si>
  <si>
    <t>18/01/2004 14:54</t>
  </si>
  <si>
    <t>07/02/2004 17:20</t>
  </si>
  <si>
    <t>11/02/2004 14:00</t>
  </si>
  <si>
    <t>13:15:00</t>
  </si>
  <si>
    <t>11/02/2004 13:15</t>
  </si>
  <si>
    <t>24/02/2004 17:35</t>
  </si>
  <si>
    <t>29/02/2004 15:30</t>
  </si>
  <si>
    <t>07:05:00</t>
  </si>
  <si>
    <t>26/03/2004 07:05</t>
  </si>
  <si>
    <t>17:16:00</t>
  </si>
  <si>
    <t>09/04/2004 17:16</t>
  </si>
  <si>
    <t>20:39:00</t>
  </si>
  <si>
    <t>10/04/2004 20:39</t>
  </si>
  <si>
    <t>00:09:00</t>
  </si>
  <si>
    <t>11/04/2004 00:09</t>
  </si>
  <si>
    <t>11/04/2004 20:54</t>
  </si>
  <si>
    <t>14:09:00</t>
  </si>
  <si>
    <t>11/04/2004 14:09</t>
  </si>
  <si>
    <t>16:09:00</t>
  </si>
  <si>
    <t>13/05/2004 16:09</t>
  </si>
  <si>
    <t>18/05/2004 17:30</t>
  </si>
  <si>
    <t>10:24:00</t>
  </si>
  <si>
    <t>19/05/2004 10:24</t>
  </si>
  <si>
    <t>12:36:00</t>
  </si>
  <si>
    <t>21/05/2004 12:36</t>
  </si>
  <si>
    <t>23/05/2004 13:49</t>
  </si>
  <si>
    <t>18:15:00</t>
  </si>
  <si>
    <t>27/05/2004 18:15</t>
  </si>
  <si>
    <t>17:59:00</t>
  </si>
  <si>
    <t>27/05/2004 17:59</t>
  </si>
  <si>
    <t>27/05/2004 12:34</t>
  </si>
  <si>
    <t>12:47:00</t>
  </si>
  <si>
    <t>27/05/2004 12:47</t>
  </si>
  <si>
    <t>01/06/2004 17:30</t>
  </si>
  <si>
    <t>03/06/2004 19:49</t>
  </si>
  <si>
    <t>17:43:00</t>
  </si>
  <si>
    <t>13:42:00</t>
  </si>
  <si>
    <t>08/06/2004 13:42</t>
  </si>
  <si>
    <t>15:44:00</t>
  </si>
  <si>
    <t>08/06/2004 15:44</t>
  </si>
  <si>
    <t>10/06/2004 10:44</t>
  </si>
  <si>
    <t>13:37:00</t>
  </si>
  <si>
    <t>13/06/2004 13:37</t>
  </si>
  <si>
    <t>16/06/2004 18:00</t>
  </si>
  <si>
    <t>17/06/2004 19:10</t>
  </si>
  <si>
    <t>23/06/2004 16:06</t>
  </si>
  <si>
    <t>23/06/2004 11:35</t>
  </si>
  <si>
    <t>21:45:00</t>
  </si>
  <si>
    <t>25/06/2004 21:45</t>
  </si>
  <si>
    <t>10:20:00</t>
  </si>
  <si>
    <t>28/06/2004 10:20</t>
  </si>
  <si>
    <t>04/07/2004 11:45</t>
  </si>
  <si>
    <t>05/07/2004 03:40</t>
  </si>
  <si>
    <t>11:17:00</t>
  </si>
  <si>
    <t>05/07/2004 11:17</t>
  </si>
  <si>
    <t>06/07/2004 11:29</t>
  </si>
  <si>
    <t>07/07/2004 12:46</t>
  </si>
  <si>
    <t>07/07/2004 16:55</t>
  </si>
  <si>
    <t>10:26:00</t>
  </si>
  <si>
    <t>08/07/2004 10:26</t>
  </si>
  <si>
    <t>08/07/2004 12:10</t>
  </si>
  <si>
    <t>17:18:00</t>
  </si>
  <si>
    <t>08/07/2004 17:18</t>
  </si>
  <si>
    <t>09/07/2004 16:05</t>
  </si>
  <si>
    <t>10/07/2004 16:14</t>
  </si>
  <si>
    <t>01:50:00</t>
  </si>
  <si>
    <t>14/07/2004 01:50</t>
  </si>
  <si>
    <t>16:22:00</t>
  </si>
  <si>
    <t>14/07/2004 16:22</t>
  </si>
  <si>
    <t>00:35:00</t>
  </si>
  <si>
    <t>15/07/2004 00:35</t>
  </si>
  <si>
    <t>13:55:00</t>
  </si>
  <si>
    <t>18/07/2004 13:55</t>
  </si>
  <si>
    <t>07:10:00</t>
  </si>
  <si>
    <t>20/07/2004 07:10</t>
  </si>
  <si>
    <t>12:04:00</t>
  </si>
  <si>
    <t>21/07/2004 12:04</t>
  </si>
  <si>
    <t>21:55:00</t>
  </si>
  <si>
    <t>21/07/2004 21:55</t>
  </si>
  <si>
    <t>11:52:00</t>
  </si>
  <si>
    <t>22/07/2004 11:52</t>
  </si>
  <si>
    <t>22/07/2004 17:14</t>
  </si>
  <si>
    <t>19:41:00</t>
  </si>
  <si>
    <t>24/07/2004 19:41</t>
  </si>
  <si>
    <t>14:12:00</t>
  </si>
  <si>
    <t>24/07/2004 14:12</t>
  </si>
  <si>
    <t>25/07/2004 19:20</t>
  </si>
  <si>
    <t>11:07:00</t>
  </si>
  <si>
    <t>26/07/2004 11:07</t>
  </si>
  <si>
    <t>17:17:00</t>
  </si>
  <si>
    <t>02/08/2004 17:17</t>
  </si>
  <si>
    <t>17:04:00</t>
  </si>
  <si>
    <t>02/08/2004 17:04</t>
  </si>
  <si>
    <t>04/08/2004 16:21</t>
  </si>
  <si>
    <t>12:45:00</t>
  </si>
  <si>
    <t>06/08/2004 12:45</t>
  </si>
  <si>
    <t>08/08/2004 11:54</t>
  </si>
  <si>
    <t>11/08/2004 17:49</t>
  </si>
  <si>
    <t>02:26:00</t>
  </si>
  <si>
    <t>13/08/2004 02:26</t>
  </si>
  <si>
    <t>20:09:00</t>
  </si>
  <si>
    <t>13/08/2004 20:09</t>
  </si>
  <si>
    <t>19:04:00</t>
  </si>
  <si>
    <t>14/08/2004 19:04</t>
  </si>
  <si>
    <t>16/08/2004 03:20</t>
  </si>
  <si>
    <t>20/08/2004 15:40</t>
  </si>
  <si>
    <t>23/08/2004 14:34</t>
  </si>
  <si>
    <t>14:07:00</t>
  </si>
  <si>
    <t>23/08/2004 14:07</t>
  </si>
  <si>
    <t>24/08/2004 14:45</t>
  </si>
  <si>
    <t>25/08/2004 20:27</t>
  </si>
  <si>
    <t>29/08/2004 13:15</t>
  </si>
  <si>
    <t>03/09/2004 14:07</t>
  </si>
  <si>
    <t>04/09/2004 12:55</t>
  </si>
  <si>
    <t>08:05:00</t>
  </si>
  <si>
    <t>05/09/2004 08:05</t>
  </si>
  <si>
    <t>21:30:00</t>
  </si>
  <si>
    <t>06/09/2004 21:30</t>
  </si>
  <si>
    <t>15:53:00</t>
  </si>
  <si>
    <t>06/09/2004 15:53</t>
  </si>
  <si>
    <t>11:04:00</t>
  </si>
  <si>
    <t>09/09/2004 11:04</t>
  </si>
  <si>
    <t>10/09/2004 23:24</t>
  </si>
  <si>
    <t>19:55:00</t>
  </si>
  <si>
    <t>11/09/2004 19:55</t>
  </si>
  <si>
    <t>04:26:00</t>
  </si>
  <si>
    <t>11/09/2004 04:26</t>
  </si>
  <si>
    <t>12/09/2004 10:28</t>
  </si>
  <si>
    <t>13/09/2004 16:00</t>
  </si>
  <si>
    <t>23:35:00</t>
  </si>
  <si>
    <t>23/09/2004 23:35</t>
  </si>
  <si>
    <t>16:17:00</t>
  </si>
  <si>
    <t>23/09/2004 16:17</t>
  </si>
  <si>
    <t>17:45:00</t>
  </si>
  <si>
    <t>26/09/2004 17:45</t>
  </si>
  <si>
    <t>28/09/2004 11:10</t>
  </si>
  <si>
    <t>07:32:00</t>
  </si>
  <si>
    <t>05/10/2004 07:32</t>
  </si>
  <si>
    <t>05/10/2004 14:44</t>
  </si>
  <si>
    <t>15:57:00</t>
  </si>
  <si>
    <t>06/10/2004 15:57</t>
  </si>
  <si>
    <t>21:02:00</t>
  </si>
  <si>
    <t>06/10/2004 21:02</t>
  </si>
  <si>
    <t>12/10/2004 13:55</t>
  </si>
  <si>
    <t>23:45:00</t>
  </si>
  <si>
    <t>12/10/2004 23:45</t>
  </si>
  <si>
    <t>11:38:00</t>
  </si>
  <si>
    <t>14/10/2004 11:38</t>
  </si>
  <si>
    <t>17:28:00</t>
  </si>
  <si>
    <t>16/10/2004 17:28</t>
  </si>
  <si>
    <t>20/10/2004 12:28</t>
  </si>
  <si>
    <t>23/10/2004 18:25</t>
  </si>
  <si>
    <t>08:30:00</t>
  </si>
  <si>
    <t>04/11/2004 08:30</t>
  </si>
  <si>
    <t>20/11/2004 12:04</t>
  </si>
  <si>
    <t>21/11/2004 18:50</t>
  </si>
  <si>
    <t>17/12/2004 15:30</t>
  </si>
  <si>
    <t>11:49:00</t>
  </si>
  <si>
    <t>26/12/2004 11:49</t>
  </si>
  <si>
    <t>26/12/2004 13:05</t>
  </si>
  <si>
    <t>27/12/2004 17:59</t>
  </si>
  <si>
    <t>27/12/2004 14:54</t>
  </si>
  <si>
    <t>05/01/2005 19:29</t>
  </si>
  <si>
    <t>09:19:00</t>
  </si>
  <si>
    <t>10/02/2005 09:19</t>
  </si>
  <si>
    <t>04:46:00</t>
  </si>
  <si>
    <t>15/02/2005 04:46</t>
  </si>
  <si>
    <t>20/02/2005 17:39</t>
  </si>
  <si>
    <t>13:18:00</t>
  </si>
  <si>
    <t>19/03/2005 13:18</t>
  </si>
  <si>
    <t>12:25:00</t>
  </si>
  <si>
    <t>19/03/2005 12:25</t>
  </si>
  <si>
    <t>10:37:00</t>
  </si>
  <si>
    <t>20/03/2005 10:37</t>
  </si>
  <si>
    <t>09:54:00</t>
  </si>
  <si>
    <t>22/03/2005 09:54</t>
  </si>
  <si>
    <t>09:45:00</t>
  </si>
  <si>
    <t>26/03/2005 09:45</t>
  </si>
  <si>
    <t>20:35:00</t>
  </si>
  <si>
    <t>27/03/2005 20:35</t>
  </si>
  <si>
    <t>06:36:00</t>
  </si>
  <si>
    <t>30/03/2005 06:36</t>
  </si>
  <si>
    <t>20:23:00</t>
  </si>
  <si>
    <t>31/03/2005 20:23</t>
  </si>
  <si>
    <t>18:17:00</t>
  </si>
  <si>
    <t>01/04/2005 18:17</t>
  </si>
  <si>
    <t>13:40:00</t>
  </si>
  <si>
    <t>07/04/2005 13:40</t>
  </si>
  <si>
    <t>10/04/2005 12:04</t>
  </si>
  <si>
    <t>09:10:00</t>
  </si>
  <si>
    <t>10/04/2005 09:10</t>
  </si>
  <si>
    <t>17:44:00</t>
  </si>
  <si>
    <t>12/04/2005 16:04</t>
  </si>
  <si>
    <t>29/04/2005 17:04</t>
  </si>
  <si>
    <t>19:43:00</t>
  </si>
  <si>
    <t>01/05/2005 19:43</t>
  </si>
  <si>
    <t>12:40:00</t>
  </si>
  <si>
    <t>01/05/2005 12:40</t>
  </si>
  <si>
    <t>16:57:00</t>
  </si>
  <si>
    <t>02/05/2005 16:57</t>
  </si>
  <si>
    <t>21:00:00</t>
  </si>
  <si>
    <t>05/05/2005 21:00</t>
  </si>
  <si>
    <t>08/05/2005 18:23</t>
  </si>
  <si>
    <t>10/05/2005 00:44</t>
  </si>
  <si>
    <t>15:08:00</t>
  </si>
  <si>
    <t>16/05/2005 15:08</t>
  </si>
  <si>
    <t>01:42:00</t>
  </si>
  <si>
    <t>18/05/2005 01:42</t>
  </si>
  <si>
    <t>03/06/2005 15:05</t>
  </si>
  <si>
    <t>18:04:00</t>
  </si>
  <si>
    <t>04/06/2005 18:04</t>
  </si>
  <si>
    <t>19:27:00</t>
  </si>
  <si>
    <t>06/06/2005 19:27</t>
  </si>
  <si>
    <t>17:32:00</t>
  </si>
  <si>
    <t>06/06/2005 17:32</t>
  </si>
  <si>
    <t>09/06/2005 11:00</t>
  </si>
  <si>
    <t>09/06/2005 12:45</t>
  </si>
  <si>
    <t>23:41:00</t>
  </si>
  <si>
    <t>10/06/2005 23:41</t>
  </si>
  <si>
    <t>14:57:00</t>
  </si>
  <si>
    <t>10/06/2005 14:57</t>
  </si>
  <si>
    <t>12/06/2005 16:05</t>
  </si>
  <si>
    <t>14/06/2005 13:52</t>
  </si>
  <si>
    <t>16/06/2005 15:29</t>
  </si>
  <si>
    <t>17/06/2005 19:18</t>
  </si>
  <si>
    <t>20:55:00</t>
  </si>
  <si>
    <t>21/06/2005 20:55</t>
  </si>
  <si>
    <t>22/06/2005 14:50</t>
  </si>
  <si>
    <t>24/06/2005 12:44</t>
  </si>
  <si>
    <t>21:05:00</t>
  </si>
  <si>
    <t>26/06/2005 21:05</t>
  </si>
  <si>
    <t>26/06/2005 17:40</t>
  </si>
  <si>
    <t>13:57:00</t>
  </si>
  <si>
    <t>26/06/2005 13:57</t>
  </si>
  <si>
    <t>29/06/2005 13:10</t>
  </si>
  <si>
    <t>16:15:00</t>
  </si>
  <si>
    <t>03/07/2005 16:15</t>
  </si>
  <si>
    <t>09:47:00</t>
  </si>
  <si>
    <t>06/07/2005 09:47</t>
  </si>
  <si>
    <t>14:22:00</t>
  </si>
  <si>
    <t>09/07/2005 14:22</t>
  </si>
  <si>
    <t>11:50:00</t>
  </si>
  <si>
    <t>15/07/2005 11:50</t>
  </si>
  <si>
    <t>17/07/2005 19:20</t>
  </si>
  <si>
    <t>18/07/2005 11:50</t>
  </si>
  <si>
    <t>18/07/2005 07:00</t>
  </si>
  <si>
    <t>22/07/2005 16:30</t>
  </si>
  <si>
    <t>27/07/2005 18:24</t>
  </si>
  <si>
    <t>10:40:00</t>
  </si>
  <si>
    <t>28/07/2005 10:40</t>
  </si>
  <si>
    <t>12:51:00</t>
  </si>
  <si>
    <t>28/07/2005 12:51</t>
  </si>
  <si>
    <t>29/07/2005 17:00</t>
  </si>
  <si>
    <t>10:35:00</t>
  </si>
  <si>
    <t>29/07/2005 10:35</t>
  </si>
  <si>
    <t>14:13:00</t>
  </si>
  <si>
    <t>30/07/2005 14:13</t>
  </si>
  <si>
    <t>16:08:00</t>
  </si>
  <si>
    <t>02/08/2005 16:08</t>
  </si>
  <si>
    <t>10:15:00</t>
  </si>
  <si>
    <t>04/08/2005 10:15</t>
  </si>
  <si>
    <t>04/08/2005 15:18</t>
  </si>
  <si>
    <t>16:31:00</t>
  </si>
  <si>
    <t>06/08/2005 16:31</t>
  </si>
  <si>
    <t>17:10:00</t>
  </si>
  <si>
    <t>22:10:00</t>
  </si>
  <si>
    <t>08/08/2005 22:10</t>
  </si>
  <si>
    <t>13:02:00</t>
  </si>
  <si>
    <t>10/08/2005 13:02</t>
  </si>
  <si>
    <t>14/08/2005 12:04</t>
  </si>
  <si>
    <t>14:52:00</t>
  </si>
  <si>
    <t>26/08/2005 14:52</t>
  </si>
  <si>
    <t>26/08/2005 11:54</t>
  </si>
  <si>
    <t>20:56:00</t>
  </si>
  <si>
    <t>30/08/2005 20:56</t>
  </si>
  <si>
    <t>31/08/2005 16:30</t>
  </si>
  <si>
    <t>10:45:00</t>
  </si>
  <si>
    <t>31/08/2005 10:45</t>
  </si>
  <si>
    <t>02/09/2005 16:40</t>
  </si>
  <si>
    <t>18:43:00</t>
  </si>
  <si>
    <t>08/09/2005 18:43</t>
  </si>
  <si>
    <t>14/09/2005 11:55</t>
  </si>
  <si>
    <t>17/09/2005 23:02</t>
  </si>
  <si>
    <t>23/09/2005 13:49</t>
  </si>
  <si>
    <t>30/09/2005 07:29</t>
  </si>
  <si>
    <t>15/10/2005 23:20</t>
  </si>
  <si>
    <t>22/10/2005 11:50</t>
  </si>
  <si>
    <t>11:15:00</t>
  </si>
  <si>
    <t>29/10/2005 11:15</t>
  </si>
  <si>
    <t>12/11/2005 12:40</t>
  </si>
  <si>
    <t>23:37:00</t>
  </si>
  <si>
    <t>14/11/2005 23:37</t>
  </si>
  <si>
    <t>20:45:00</t>
  </si>
  <si>
    <t>16/11/2005 20:45</t>
  </si>
  <si>
    <t>03/12/2005 17:10</t>
  </si>
  <si>
    <t>20/01/2006 14:30</t>
  </si>
  <si>
    <t>rain,snow</t>
  </si>
  <si>
    <t>25/01/2006 18:05</t>
  </si>
  <si>
    <t>13/02/2006 11:50</t>
  </si>
  <si>
    <t>05/03/2006 10:15</t>
  </si>
  <si>
    <t>16:50:00</t>
  </si>
  <si>
    <t>25/04/2006 16:04</t>
  </si>
  <si>
    <t>26/04/2006 10:15</t>
  </si>
  <si>
    <t>02:04:00</t>
  </si>
  <si>
    <t>08/05/2006 02:04</t>
  </si>
  <si>
    <t>24/05/2006 13:10</t>
  </si>
  <si>
    <t>28/05/2006 19:15</t>
  </si>
  <si>
    <t>08/06/2006 17:19</t>
  </si>
  <si>
    <t>09/06/2006 14:05</t>
  </si>
  <si>
    <t>11/06/2006 17:44</t>
  </si>
  <si>
    <t>18:10:00</t>
  </si>
  <si>
    <t>17/06/2006 17:50</t>
  </si>
  <si>
    <t>07:30:00</t>
  </si>
  <si>
    <t>20/06/2006 07:30</t>
  </si>
  <si>
    <t>22:00:00</t>
  </si>
  <si>
    <t>27/06/2006 22:00</t>
  </si>
  <si>
    <t>07:57:00</t>
  </si>
  <si>
    <t>30/06/2006 07:57</t>
  </si>
  <si>
    <t>15:42:00</t>
  </si>
  <si>
    <t>30/06/2006 15:42</t>
  </si>
  <si>
    <t>02/07/2006 18:30</t>
  </si>
  <si>
    <t>02/07/2006 18:50</t>
  </si>
  <si>
    <t>03/07/2006 21:10</t>
  </si>
  <si>
    <t>09:58:00</t>
  </si>
  <si>
    <t>06/07/2006 09:58</t>
  </si>
  <si>
    <t>06/07/2006 14:22</t>
  </si>
  <si>
    <t>10/07/2006 10:00</t>
  </si>
  <si>
    <t>10/07/2006 14:14</t>
  </si>
  <si>
    <t>11/07/2006 11:20</t>
  </si>
  <si>
    <t>14/07/2006 15:00</t>
  </si>
  <si>
    <t>15/07/2006 12:35</t>
  </si>
  <si>
    <t>19/07/2006 13:00</t>
  </si>
  <si>
    <t>18:58:00</t>
  </si>
  <si>
    <t>20/07/2006 18:58</t>
  </si>
  <si>
    <t>20/07/2006 13:00</t>
  </si>
  <si>
    <t>20/07/2006 18:10</t>
  </si>
  <si>
    <t>10:18:00</t>
  </si>
  <si>
    <t>21/07/2006 10:18</t>
  </si>
  <si>
    <t>15:19:00</t>
  </si>
  <si>
    <t>21/07/2006 15:19</t>
  </si>
  <si>
    <t>00:41:00</t>
  </si>
  <si>
    <t>22/07/2006 00:41</t>
  </si>
  <si>
    <t>24/07/2006 18:20</t>
  </si>
  <si>
    <t>22:25:00</t>
  </si>
  <si>
    <t>24/07/2006 22:25</t>
  </si>
  <si>
    <t>05:38:00</t>
  </si>
  <si>
    <t>26/07/2006 05:38</t>
  </si>
  <si>
    <t>27/07/2006 17:40</t>
  </si>
  <si>
    <t>20:50:00</t>
  </si>
  <si>
    <t>29/07/2006 20:50</t>
  </si>
  <si>
    <t>29/07/2006 16:20</t>
  </si>
  <si>
    <t>22:05:00</t>
  </si>
  <si>
    <t>30/07/2006 22:05</t>
  </si>
  <si>
    <t>31/07/2006 18:58</t>
  </si>
  <si>
    <t>31/07/2006 13:30</t>
  </si>
  <si>
    <t>10:16:00</t>
  </si>
  <si>
    <t>03/08/2006 10:16</t>
  </si>
  <si>
    <t>08/08/2006 13:25</t>
  </si>
  <si>
    <t>02:45:00</t>
  </si>
  <si>
    <t>10/08/2006 02:45</t>
  </si>
  <si>
    <t>13/08/2006 17:43</t>
  </si>
  <si>
    <t>15/08/2006 16:55</t>
  </si>
  <si>
    <t>14:37:00</t>
  </si>
  <si>
    <t>16/08/2006 14:37</t>
  </si>
  <si>
    <t>00:01:00</t>
  </si>
  <si>
    <t>19/08/2006 00:01</t>
  </si>
  <si>
    <t>13:24:00</t>
  </si>
  <si>
    <t>25/08/2006 13:24</t>
  </si>
  <si>
    <t>14:48:00</t>
  </si>
  <si>
    <t>27/08/2006 14:48</t>
  </si>
  <si>
    <t>29/08/2006 14:00</t>
  </si>
  <si>
    <t>13:20:00</t>
  </si>
  <si>
    <t>30/08/2006 13:20</t>
  </si>
  <si>
    <t>15:27:00</t>
  </si>
  <si>
    <t>31/08/2006 15:27</t>
  </si>
  <si>
    <t>11:28:00</t>
  </si>
  <si>
    <t>01/09/2006 11:28</t>
  </si>
  <si>
    <t>10:50:00</t>
  </si>
  <si>
    <t>04/09/2006 10:50</t>
  </si>
  <si>
    <t>09/09/2006 16:55</t>
  </si>
  <si>
    <t>13:09:00</t>
  </si>
  <si>
    <t>11/09/2006 13:09</t>
  </si>
  <si>
    <t>13:34:00</t>
  </si>
  <si>
    <t>14/09/2006 13:34</t>
  </si>
  <si>
    <t>09:00:00</t>
  </si>
  <si>
    <t>19/09/2006 09:00</t>
  </si>
  <si>
    <t>09:03:00</t>
  </si>
  <si>
    <t>21/09/2006 09:03</t>
  </si>
  <si>
    <t>01/10/2006 19:20</t>
  </si>
  <si>
    <t>21:04:00</t>
  </si>
  <si>
    <t>02/10/2006 21:04</t>
  </si>
  <si>
    <t>06/10/2006 02:30</t>
  </si>
  <si>
    <t>06:15:00</t>
  </si>
  <si>
    <t>06/10/2006 06:15</t>
  </si>
  <si>
    <t>28/10/2006 16:50</t>
  </si>
  <si>
    <t>29/11/2006 18:50</t>
  </si>
  <si>
    <t>26/12/2006 18:45</t>
  </si>
  <si>
    <t>23:55:00</t>
  </si>
  <si>
    <t>26/12/2006 23:55</t>
  </si>
  <si>
    <t>30/12/2006 15:10</t>
  </si>
  <si>
    <t>30/12/2006 14:15</t>
  </si>
  <si>
    <t>22:30</t>
  </si>
  <si>
    <t>01/01/2007 22:30</t>
  </si>
  <si>
    <t>16:40</t>
  </si>
  <si>
    <t>05/01/2007 16:40</t>
  </si>
  <si>
    <t>16:04</t>
  </si>
  <si>
    <t>06/01/2007 16:04</t>
  </si>
  <si>
    <t>13:15</t>
  </si>
  <si>
    <t>14/01/2007 13:15</t>
  </si>
  <si>
    <t>11:00</t>
  </si>
  <si>
    <t>14/01/2007 11:00</t>
  </si>
  <si>
    <t>11:59</t>
  </si>
  <si>
    <t>15/01/2007 11:59</t>
  </si>
  <si>
    <t>12:30</t>
  </si>
  <si>
    <t>17/01/2007 12:30</t>
  </si>
  <si>
    <t>19:15</t>
  </si>
  <si>
    <t>19/01/2007 19:15</t>
  </si>
  <si>
    <t>13:18</t>
  </si>
  <si>
    <t>20/01/2007 13:18</t>
  </si>
  <si>
    <t>23:55</t>
  </si>
  <si>
    <t>23/01/2007 23:55</t>
  </si>
  <si>
    <t>17:05</t>
  </si>
  <si>
    <t>24/01/2007 17:05</t>
  </si>
  <si>
    <t>19:44</t>
  </si>
  <si>
    <t>25/01/2007 19:44</t>
  </si>
  <si>
    <t>20:40</t>
  </si>
  <si>
    <t>26/01/2007 20:40</t>
  </si>
  <si>
    <t>20:45</t>
  </si>
  <si>
    <t>26/01/2007 20:45</t>
  </si>
  <si>
    <t>13:55</t>
  </si>
  <si>
    <t>28/01/2007 13:55</t>
  </si>
  <si>
    <t>13:45</t>
  </si>
  <si>
    <t>09/02/2007 13:45</t>
  </si>
  <si>
    <t>14:39</t>
  </si>
  <si>
    <t>13/02/2007 14:39</t>
  </si>
  <si>
    <t>03:36</t>
  </si>
  <si>
    <t>27/02/2007 03:36</t>
  </si>
  <si>
    <t>16:30</t>
  </si>
  <si>
    <t>03/03/2007 16:30</t>
  </si>
  <si>
    <t>11:40</t>
  </si>
  <si>
    <t>08:00</t>
  </si>
  <si>
    <t>10/03/2007 08:00</t>
  </si>
  <si>
    <t>18:10</t>
  </si>
  <si>
    <t>12/03/2007 18:10</t>
  </si>
  <si>
    <t>14:15</t>
  </si>
  <si>
    <t>13:28</t>
  </si>
  <si>
    <t>15/03/2007 13:28</t>
  </si>
  <si>
    <t>15:30</t>
  </si>
  <si>
    <t>08:55</t>
  </si>
  <si>
    <t>28/03/2007 08:55</t>
  </si>
  <si>
    <t>16:48</t>
  </si>
  <si>
    <t>08/04/2007 16:48</t>
  </si>
  <si>
    <t>15:52</t>
  </si>
  <si>
    <t>11/04/2007 15:52</t>
  </si>
  <si>
    <t>14/04/2007 16:48</t>
  </si>
  <si>
    <t>12:35</t>
  </si>
  <si>
    <t>21/04/2007 12:35</t>
  </si>
  <si>
    <t>11:30</t>
  </si>
  <si>
    <t>02/05/2007 11:30</t>
  </si>
  <si>
    <t>11:45</t>
  </si>
  <si>
    <t>06/05/2007 11:45</t>
  </si>
  <si>
    <t>07:58</t>
  </si>
  <si>
    <t>06/05/2007 07:58</t>
  </si>
  <si>
    <t>03:40</t>
  </si>
  <si>
    <t>11/05/2007 03:40</t>
  </si>
  <si>
    <t>11/05/2007 11:59</t>
  </si>
  <si>
    <t>07:33</t>
  </si>
  <si>
    <t>12/05/2007 07:33</t>
  </si>
  <si>
    <t>15:28</t>
  </si>
  <si>
    <t>12/05/2007 15:28</t>
  </si>
  <si>
    <t>11:38</t>
  </si>
  <si>
    <t>16/05/2007 11:38</t>
  </si>
  <si>
    <t>05:25</t>
  </si>
  <si>
    <t>18/05/2007 05:25</t>
  </si>
  <si>
    <t>16:24</t>
  </si>
  <si>
    <t>31/05/2007 16:24</t>
  </si>
  <si>
    <t>07:34</t>
  </si>
  <si>
    <t>05/06/2007 07:34</t>
  </si>
  <si>
    <t>15:50</t>
  </si>
  <si>
    <t>08/06/2007 15:50</t>
  </si>
  <si>
    <t>14:48</t>
  </si>
  <si>
    <t>11/06/2007 14:48</t>
  </si>
  <si>
    <t>09:29</t>
  </si>
  <si>
    <t>14/06/2007 09:29</t>
  </si>
  <si>
    <t>15:24</t>
  </si>
  <si>
    <t>18:35</t>
  </si>
  <si>
    <t>19/06/2007 18:35</t>
  </si>
  <si>
    <t>11:08</t>
  </si>
  <si>
    <t>22/06/2007 11:08</t>
  </si>
  <si>
    <t>14:50</t>
  </si>
  <si>
    <t>22/06/2007 14:50</t>
  </si>
  <si>
    <t>14:10</t>
  </si>
  <si>
    <t>21:34</t>
  </si>
  <si>
    <t>23/06/2007 21:34</t>
  </si>
  <si>
    <t>19:10</t>
  </si>
  <si>
    <t>23/06/2007 19:10</t>
  </si>
  <si>
    <t>15:40</t>
  </si>
  <si>
    <t>24/06/2007 15:40</t>
  </si>
  <si>
    <t>09:15</t>
  </si>
  <si>
    <t>24/06/2007 09:15</t>
  </si>
  <si>
    <t>16:45</t>
  </si>
  <si>
    <t>24/06/2007 16:45</t>
  </si>
  <si>
    <t>05:45</t>
  </si>
  <si>
    <t>24/06/2007 05:45</t>
  </si>
  <si>
    <t>15:44</t>
  </si>
  <si>
    <t>26/06/2007 15:44</t>
  </si>
  <si>
    <t>17:35</t>
  </si>
  <si>
    <t>16:01</t>
  </si>
  <si>
    <t>23:49</t>
  </si>
  <si>
    <t>28/06/2007 23:49</t>
  </si>
  <si>
    <t>00:18</t>
  </si>
  <si>
    <t>29/06/2007 00:18</t>
  </si>
  <si>
    <t>11:25</t>
  </si>
  <si>
    <t>29/06/2007 11:25</t>
  </si>
  <si>
    <t>16:00</t>
  </si>
  <si>
    <t>30/06/2007 15:30</t>
  </si>
  <si>
    <t>17:15</t>
  </si>
  <si>
    <t>00:29</t>
  </si>
  <si>
    <t>04/07/2007 00:29</t>
  </si>
  <si>
    <t>15:20</t>
  </si>
  <si>
    <t>04/07/2007 15:20</t>
  </si>
  <si>
    <t>12:15</t>
  </si>
  <si>
    <t>07/07/2007 12:15</t>
  </si>
  <si>
    <t>10:46</t>
  </si>
  <si>
    <t>08/07/2007 10:46</t>
  </si>
  <si>
    <t>14:19</t>
  </si>
  <si>
    <t>08/07/2007 14:19</t>
  </si>
  <si>
    <t>14:32</t>
  </si>
  <si>
    <t>14/07/2007 14:32</t>
  </si>
  <si>
    <t>20:17</t>
  </si>
  <si>
    <t>15/07/2007 20:17</t>
  </si>
  <si>
    <t>16:15</t>
  </si>
  <si>
    <t>15/07/2007 16:15</t>
  </si>
  <si>
    <t>15/07/2007 11:40</t>
  </si>
  <si>
    <t>15:00</t>
  </si>
  <si>
    <t>16/07/2007 15:00</t>
  </si>
  <si>
    <t>14:45</t>
  </si>
  <si>
    <t>17/07/2007 14:45</t>
  </si>
  <si>
    <t>17/07/2007 14:15</t>
  </si>
  <si>
    <t>16:50</t>
  </si>
  <si>
    <t>12:18</t>
  </si>
  <si>
    <t>18/07/2007 12:18</t>
  </si>
  <si>
    <t>12:20</t>
  </si>
  <si>
    <t>18/07/2007 12:20</t>
  </si>
  <si>
    <t>19:40</t>
  </si>
  <si>
    <t>18/07/2007 19:40</t>
  </si>
  <si>
    <t>19:30</t>
  </si>
  <si>
    <t>23:33</t>
  </si>
  <si>
    <t>20/07/2007 23:33</t>
  </si>
  <si>
    <t>01:30</t>
  </si>
  <si>
    <t>20/07/2007 01:30</t>
  </si>
  <si>
    <t>22/07/2007 11:08</t>
  </si>
  <si>
    <t>22:38</t>
  </si>
  <si>
    <t>24/07/2007 22:38</t>
  </si>
  <si>
    <t>11:50</t>
  </si>
  <si>
    <t>14:58</t>
  </si>
  <si>
    <t>28/07/2007 14:58</t>
  </si>
  <si>
    <t>11:39</t>
  </si>
  <si>
    <t>28/07/2007 11:39</t>
  </si>
  <si>
    <t>14:25</t>
  </si>
  <si>
    <t>28/07/2007 14:25</t>
  </si>
  <si>
    <t>15:42</t>
  </si>
  <si>
    <t>29/07/2007 15:42</t>
  </si>
  <si>
    <t>12:26</t>
  </si>
  <si>
    <t>30/07/2007 12:26</t>
  </si>
  <si>
    <t>14:26</t>
  </si>
  <si>
    <t>30/07/2007 14:26</t>
  </si>
  <si>
    <t>17:45</t>
  </si>
  <si>
    <t>02/08/2007 17:45</t>
  </si>
  <si>
    <t>12:05</t>
  </si>
  <si>
    <t>03/08/2007 12:05</t>
  </si>
  <si>
    <t>03:30</t>
  </si>
  <si>
    <t>03/08/2007 03:30</t>
  </si>
  <si>
    <t>12:17</t>
  </si>
  <si>
    <t>06/08/2007 12:17</t>
  </si>
  <si>
    <t>15:06</t>
  </si>
  <si>
    <t>06/08/2007 15:06</t>
  </si>
  <si>
    <t>12:49</t>
  </si>
  <si>
    <t>08/08/2007 12:49</t>
  </si>
  <si>
    <t>09/08/2007 16:24</t>
  </si>
  <si>
    <t>11:55</t>
  </si>
  <si>
    <t>09/08/2007 11:55</t>
  </si>
  <si>
    <t>19:29</t>
  </si>
  <si>
    <t>10/08/2007 19:29</t>
  </si>
  <si>
    <t>19:07</t>
  </si>
  <si>
    <t>11/08/2007 19:07</t>
  </si>
  <si>
    <t>10:30</t>
  </si>
  <si>
    <t>16/08/2007 10:30</t>
  </si>
  <si>
    <t>21:44</t>
  </si>
  <si>
    <t>16/08/2007 21:44</t>
  </si>
  <si>
    <t>07:00</t>
  </si>
  <si>
    <t>17/08/2007 07:00</t>
  </si>
  <si>
    <t>15:53</t>
  </si>
  <si>
    <t>18/08/2007 15:53</t>
  </si>
  <si>
    <t>18:26</t>
  </si>
  <si>
    <t>20/08/2007 18:26</t>
  </si>
  <si>
    <t>20/08/2007 03:30</t>
  </si>
  <si>
    <t>16:20</t>
  </si>
  <si>
    <t>23/08/2007 16:20</t>
  </si>
  <si>
    <t>24/08/2007 16:50</t>
  </si>
  <si>
    <t>12:55</t>
  </si>
  <si>
    <t>24/08/2007 12:55</t>
  </si>
  <si>
    <t>25/08/2007 12:20</t>
  </si>
  <si>
    <t>25/08/2007 14:50</t>
  </si>
  <si>
    <t>21:29</t>
  </si>
  <si>
    <t>25/08/2007 21:29</t>
  </si>
  <si>
    <t>14:52</t>
  </si>
  <si>
    <t>25/08/2007 14:52</t>
  </si>
  <si>
    <t>17:19</t>
  </si>
  <si>
    <t>25/08/2007 17:19</t>
  </si>
  <si>
    <t>14:30</t>
  </si>
  <si>
    <t>06/09/2007 14:30</t>
  </si>
  <si>
    <t>23:47</t>
  </si>
  <si>
    <t>10/09/2007 23:47</t>
  </si>
  <si>
    <t>12:43</t>
  </si>
  <si>
    <t>10/09/2007 12:43</t>
  </si>
  <si>
    <t>10:27</t>
  </si>
  <si>
    <t>12/09/2007 10:27</t>
  </si>
  <si>
    <t>06:47</t>
  </si>
  <si>
    <t>16/09/2007 06:47</t>
  </si>
  <si>
    <t>15:08</t>
  </si>
  <si>
    <t>21/09/2007 15:08</t>
  </si>
  <si>
    <t>18:59</t>
  </si>
  <si>
    <t>21/09/2007 18:59</t>
  </si>
  <si>
    <t>10:32</t>
  </si>
  <si>
    <t>22/09/2007 10:32</t>
  </si>
  <si>
    <t>16:23</t>
  </si>
  <si>
    <t>22/09/2007 16:23</t>
  </si>
  <si>
    <t>12:25</t>
  </si>
  <si>
    <t>23/09/2007 12:25</t>
  </si>
  <si>
    <t>20:10</t>
  </si>
  <si>
    <t>23/09/2007 20:10</t>
  </si>
  <si>
    <t>17:40</t>
  </si>
  <si>
    <t>24/09/2007 17:40</t>
  </si>
  <si>
    <t>24/09/2007 18:10</t>
  </si>
  <si>
    <t>18:09</t>
  </si>
  <si>
    <t>03/10/2007 18:09</t>
  </si>
  <si>
    <t>18:12</t>
  </si>
  <si>
    <t>03/10/2007 18:12</t>
  </si>
  <si>
    <t>19:00</t>
  </si>
  <si>
    <t>04/10/2007 19:00</t>
  </si>
  <si>
    <t>05:15</t>
  </si>
  <si>
    <t>05/10/2007 05:15</t>
  </si>
  <si>
    <t>11:15</t>
  </si>
  <si>
    <t>05/10/2007 11:15</t>
  </si>
  <si>
    <t>11/10/2007 15:40</t>
  </si>
  <si>
    <t>13/10/2007 13:15</t>
  </si>
  <si>
    <t>22:18</t>
  </si>
  <si>
    <t>15/10/2007 22:18</t>
  </si>
  <si>
    <t>23/10/2007 14:10</t>
  </si>
  <si>
    <t>16/11/2007 12:25</t>
  </si>
  <si>
    <t>11:20</t>
  </si>
  <si>
    <t>25/11/2007 11:20</t>
  </si>
  <si>
    <t>29/11/2007 11:20</t>
  </si>
  <si>
    <t>15:19</t>
  </si>
  <si>
    <t>22/12/2007 15:19</t>
  </si>
  <si>
    <t>25/12/2007 14:15</t>
  </si>
  <si>
    <t>11:48</t>
  </si>
  <si>
    <t>28/12/2007 11:48</t>
  </si>
  <si>
    <t>11:19</t>
  </si>
  <si>
    <t>30/12/2007 11:19</t>
  </si>
  <si>
    <t>08:40:00</t>
  </si>
  <si>
    <t>25/01/2008 08:40</t>
  </si>
  <si>
    <t>26/01/2008 16:45</t>
  </si>
  <si>
    <t>19:01:00</t>
  </si>
  <si>
    <t>30/01/2008 19:01</t>
  </si>
  <si>
    <t>22/02/2008 12:00</t>
  </si>
  <si>
    <t>01:30:00</t>
  </si>
  <si>
    <t>06/03/2008 01:30</t>
  </si>
  <si>
    <t>10/03/2008 18:50</t>
  </si>
  <si>
    <t>15:24:00</t>
  </si>
  <si>
    <t>14/03/2008 15:24</t>
  </si>
  <si>
    <t>19:09:00</t>
  </si>
  <si>
    <t>23/03/2008 19:09</t>
  </si>
  <si>
    <t>08/04/2008 09:24</t>
  </si>
  <si>
    <t>09/04/2008 14:02</t>
  </si>
  <si>
    <t>21:32:00</t>
  </si>
  <si>
    <t>17/04/2008 21:32</t>
  </si>
  <si>
    <t>06:40:00</t>
  </si>
  <si>
    <t>24/04/2008 06:40</t>
  </si>
  <si>
    <t>19:48:00</t>
  </si>
  <si>
    <t>22/05/2008 19:48</t>
  </si>
  <si>
    <t>14:36:00</t>
  </si>
  <si>
    <t>05/06/2008 14:36</t>
  </si>
  <si>
    <t>21:44:00</t>
  </si>
  <si>
    <t>10/06/2008 21:44</t>
  </si>
  <si>
    <t>11/06/2008 16:54</t>
  </si>
  <si>
    <t>12/06/2008 18:30</t>
  </si>
  <si>
    <t>13:56:00</t>
  </si>
  <si>
    <t>15/06/2008 13:56</t>
  </si>
  <si>
    <t>12:27:00</t>
  </si>
  <si>
    <t>17/06/2008 12:27</t>
  </si>
  <si>
    <t>12:22:00</t>
  </si>
  <si>
    <t>18/06/2008 12:22</t>
  </si>
  <si>
    <t>19/06/2008 12:50</t>
  </si>
  <si>
    <t>12:53:00</t>
  </si>
  <si>
    <t>19/06/2008 12:53</t>
  </si>
  <si>
    <t>08:45:00</t>
  </si>
  <si>
    <t>19/06/2008 08:45</t>
  </si>
  <si>
    <t>14:32:00</t>
  </si>
  <si>
    <t>20/06/2008 14:32</t>
  </si>
  <si>
    <t>19:37:00</t>
  </si>
  <si>
    <t>20/06/2008 19:37</t>
  </si>
  <si>
    <t>23:13:00</t>
  </si>
  <si>
    <t>20/06/2008 23:13</t>
  </si>
  <si>
    <t>23/06/2008 12:50</t>
  </si>
  <si>
    <t>23/06/2008 14:57</t>
  </si>
  <si>
    <t>24/06/2008 17:05</t>
  </si>
  <si>
    <t>25/06/2008 13:40</t>
  </si>
  <si>
    <t>26/06/2008 12:00</t>
  </si>
  <si>
    <t>18:33:00</t>
  </si>
  <si>
    <t>28/06/2008 18:33</t>
  </si>
  <si>
    <t>29/06/2008 18:14</t>
  </si>
  <si>
    <t>29/06/2008 13:15</t>
  </si>
  <si>
    <t>29/06/2008 13:20</t>
  </si>
  <si>
    <t>16:59:00</t>
  </si>
  <si>
    <t>01/07/2008 16:59</t>
  </si>
  <si>
    <t>01/07/2008 10:14</t>
  </si>
  <si>
    <t>03/07/2008 17:24</t>
  </si>
  <si>
    <t>08/07/2008 11:55</t>
  </si>
  <si>
    <t>01:55:00</t>
  </si>
  <si>
    <t>08/07/2008 01:55</t>
  </si>
  <si>
    <t>01:00:00</t>
  </si>
  <si>
    <t>08/07/2008 01:00</t>
  </si>
  <si>
    <t>08/07/2008 02:40</t>
  </si>
  <si>
    <t>10/07/2008 14:13</t>
  </si>
  <si>
    <t>11:48:00</t>
  </si>
  <si>
    <t>11/07/2008 11:48</t>
  </si>
  <si>
    <t>00:20:00</t>
  </si>
  <si>
    <t>12/07/2008 00:20</t>
  </si>
  <si>
    <t>13/07/2008 16:10</t>
  </si>
  <si>
    <t>13/07/2008 18:29</t>
  </si>
  <si>
    <t>13/07/2008 12:05</t>
  </si>
  <si>
    <t>04:11:00</t>
  </si>
  <si>
    <t>16/07/2008 04:11</t>
  </si>
  <si>
    <t>08:59:00</t>
  </si>
  <si>
    <t>20/07/2008 08:59</t>
  </si>
  <si>
    <t>20/07/2008 17:09</t>
  </si>
  <si>
    <t>21/07/2008 12:20</t>
  </si>
  <si>
    <t>05:34:00</t>
  </si>
  <si>
    <t>22/07/2008 05:34</t>
  </si>
  <si>
    <t>23/07/2008 11:30</t>
  </si>
  <si>
    <t>23/07/2008 12:56</t>
  </si>
  <si>
    <t>07:28:00</t>
  </si>
  <si>
    <t>23/07/2008 07:28</t>
  </si>
  <si>
    <t>24/07/2008 13:45</t>
  </si>
  <si>
    <t>25/07/2008 17:09</t>
  </si>
  <si>
    <t>26/07/2008 13:25</t>
  </si>
  <si>
    <t>27/07/2008 14:45</t>
  </si>
  <si>
    <t>28/07/2008 14:29</t>
  </si>
  <si>
    <t>06:31:00</t>
  </si>
  <si>
    <t>31/07/2008 06:31</t>
  </si>
  <si>
    <t>31/07/2008 21:40</t>
  </si>
  <si>
    <t>09:06:00</t>
  </si>
  <si>
    <t>31/07/2008 09:06</t>
  </si>
  <si>
    <t>01/08/2008 13:20</t>
  </si>
  <si>
    <t>01/08/2008 19:00</t>
  </si>
  <si>
    <t>18:18:00</t>
  </si>
  <si>
    <t>02/08/2008 18:18</t>
  </si>
  <si>
    <t>04/08/2008 15:35</t>
  </si>
  <si>
    <t>05/08/2008 15:10</t>
  </si>
  <si>
    <t>20:58:00</t>
  </si>
  <si>
    <t>06/08/2008 20:58</t>
  </si>
  <si>
    <t>06/08/2008 14:00</t>
  </si>
  <si>
    <t>10/08/2008 19:30</t>
  </si>
  <si>
    <t>10/08/2008 18:44</t>
  </si>
  <si>
    <t>10/08/2008 20:00</t>
  </si>
  <si>
    <t>13:23:00</t>
  </si>
  <si>
    <t>11/08/2008 13:23</t>
  </si>
  <si>
    <t>13/08/2008 17:10</t>
  </si>
  <si>
    <t>13/08/2008 18:04</t>
  </si>
  <si>
    <t>14/08/2008 13:30</t>
  </si>
  <si>
    <t>18/08/2008 18:00</t>
  </si>
  <si>
    <t>20/08/2008 16:15</t>
  </si>
  <si>
    <t>25/08/2008 19:15</t>
  </si>
  <si>
    <t>26/08/2008 11:00</t>
  </si>
  <si>
    <t>13:27:00</t>
  </si>
  <si>
    <t>29/08/2008 13:27</t>
  </si>
  <si>
    <t>30/08/2008 15:30</t>
  </si>
  <si>
    <t>31/08/2008 11:29</t>
  </si>
  <si>
    <t>31/08/2008 15:00</t>
  </si>
  <si>
    <t>31/08/2008 13:56</t>
  </si>
  <si>
    <t>01/09/2008 16:54</t>
  </si>
  <si>
    <t>08:56:00</t>
  </si>
  <si>
    <t>13/09/2008 08:56</t>
  </si>
  <si>
    <t>15/09/2008 15:40</t>
  </si>
  <si>
    <t>29/09/2008 14:25</t>
  </si>
  <si>
    <t>05/10/2008 15:06</t>
  </si>
  <si>
    <t>11/10/2008 13:00</t>
  </si>
  <si>
    <t>12:42:00</t>
  </si>
  <si>
    <t>12/10/2008 12:42</t>
  </si>
  <si>
    <t>18/10/2008 19:15</t>
  </si>
  <si>
    <t>21/10/2008 14:40</t>
  </si>
  <si>
    <t>03:49:00</t>
  </si>
  <si>
    <t>26/10/2008 03:49</t>
  </si>
  <si>
    <t>14:24:00</t>
  </si>
  <si>
    <t>09/11/2008 08:30</t>
  </si>
  <si>
    <t>13/11/2008 09:24</t>
  </si>
  <si>
    <t>27/11/2008 14:12</t>
  </si>
  <si>
    <t>24/12/2008 12:40</t>
  </si>
  <si>
    <t>11/03/2009 12:50</t>
  </si>
  <si>
    <t>13/03/2009 14:17</t>
  </si>
  <si>
    <t>14:23:00</t>
  </si>
  <si>
    <t>15/03/2009 14:23</t>
  </si>
  <si>
    <t>21:18:00</t>
  </si>
  <si>
    <t>20/03/2009 21:18</t>
  </si>
  <si>
    <t>25/03/2009 10:40</t>
  </si>
  <si>
    <t>31/03/2009 13:29</t>
  </si>
  <si>
    <t>16:26:00</t>
  </si>
  <si>
    <t>19/04/2009 16:26</t>
  </si>
  <si>
    <t>26/04/2009 15:40</t>
  </si>
  <si>
    <t>28/04/2009 09:45</t>
  </si>
  <si>
    <t>10/05/2009 20:40</t>
  </si>
  <si>
    <t>13:33:00</t>
  </si>
  <si>
    <t>24/05/2009 13:33</t>
  </si>
  <si>
    <t>26/05/2009 15:30</t>
  </si>
  <si>
    <t>27/05/2009 16:50</t>
  </si>
  <si>
    <t>03/06/2009 17:20</t>
  </si>
  <si>
    <t>03/06/2009 09:10</t>
  </si>
  <si>
    <t>06/06/2009 12:45</t>
  </si>
  <si>
    <t>13:11:00</t>
  </si>
  <si>
    <t>09/06/2009 13:11</t>
  </si>
  <si>
    <t>09:02:00</t>
  </si>
  <si>
    <t>10/06/2009 09:02</t>
  </si>
  <si>
    <t>11/06/2009 12:05</t>
  </si>
  <si>
    <t>18:09:00</t>
  </si>
  <si>
    <t>11/06/2009 18:09</t>
  </si>
  <si>
    <t>12/06/2009 17:25</t>
  </si>
  <si>
    <t>13/06/2009 18:00</t>
  </si>
  <si>
    <t>15:28:00</t>
  </si>
  <si>
    <t>15/06/2009 15:28</t>
  </si>
  <si>
    <t>15/06/2009 18:35</t>
  </si>
  <si>
    <t>16/06/2009 13:14</t>
  </si>
  <si>
    <t>15:50:00</t>
  </si>
  <si>
    <t>16/06/2009 15:50</t>
  </si>
  <si>
    <t>17/06/2009 13:56</t>
  </si>
  <si>
    <t>18/06/2009 09:50</t>
  </si>
  <si>
    <t>19/06/2009 18:30</t>
  </si>
  <si>
    <t>21/06/2009 13:59</t>
  </si>
  <si>
    <t>24/06/2009 14:57</t>
  </si>
  <si>
    <t>28/06/2009 13:50</t>
  </si>
  <si>
    <t>28/06/2009 14:24</t>
  </si>
  <si>
    <t>30/06/2009 14:39</t>
  </si>
  <si>
    <t>12:17:00</t>
  </si>
  <si>
    <t>30/06/2009 12:17</t>
  </si>
  <si>
    <t>13:26:00</t>
  </si>
  <si>
    <t>03/07/2009 13:26</t>
  </si>
  <si>
    <t>14:51:00</t>
  </si>
  <si>
    <t>04/07/2009 14:51</t>
  </si>
  <si>
    <t>06/07/2009 18:10</t>
  </si>
  <si>
    <t>17:03:00</t>
  </si>
  <si>
    <t>06/07/2009 17:03</t>
  </si>
  <si>
    <t>21:39:00</t>
  </si>
  <si>
    <t>10/07/2009 21:39</t>
  </si>
  <si>
    <t>14/07/2009 13:27</t>
  </si>
  <si>
    <t>15/07/2009 13:49</t>
  </si>
  <si>
    <t>15/07/2009 18:30</t>
  </si>
  <si>
    <t>19:36:00</t>
  </si>
  <si>
    <t>15/07/2009 19:36</t>
  </si>
  <si>
    <t>15/07/2009 12:00</t>
  </si>
  <si>
    <t>15/07/2009 23:31</t>
  </si>
  <si>
    <t>17/07/2009 19:18</t>
  </si>
  <si>
    <t>14:19:00</t>
  </si>
  <si>
    <t>17/07/2009 14:19</t>
  </si>
  <si>
    <t>21/07/2009 10:50</t>
  </si>
  <si>
    <t>22/07/2009 14:00</t>
  </si>
  <si>
    <t>12:21:00</t>
  </si>
  <si>
    <t>22/07/2009 12:21</t>
  </si>
  <si>
    <t>22/07/2009 16:55</t>
  </si>
  <si>
    <t>23/07/2009 17:03</t>
  </si>
  <si>
    <t>09:48:00</t>
  </si>
  <si>
    <t>26/07/2009 09:48</t>
  </si>
  <si>
    <t>26/07/2009 14:48</t>
  </si>
  <si>
    <t>14:16:00</t>
  </si>
  <si>
    <t>28/07/2009 14:16</t>
  </si>
  <si>
    <t>29/07/2009 14:48</t>
  </si>
  <si>
    <t>30/07/2009 17:25</t>
  </si>
  <si>
    <t>02/08/2009 15:00</t>
  </si>
  <si>
    <t>09/08/2009 14:35</t>
  </si>
  <si>
    <t>14:28:00</t>
  </si>
  <si>
    <t>09/08/2009 14:28</t>
  </si>
  <si>
    <t>16:46:00</t>
  </si>
  <si>
    <t>10/08/2009 16:46</t>
  </si>
  <si>
    <t>10/08/2009 16:45</t>
  </si>
  <si>
    <t>19:45:00</t>
  </si>
  <si>
    <t>12/08/2009 19:45</t>
  </si>
  <si>
    <t>14/08/2009 16:15</t>
  </si>
  <si>
    <t>16/08/2009 13:45</t>
  </si>
  <si>
    <t>16/08/2009 13:15</t>
  </si>
  <si>
    <t>18/08/2009 13:45</t>
  </si>
  <si>
    <t>20/08/2009 12:55</t>
  </si>
  <si>
    <t>21/08/2009 12:46</t>
  </si>
  <si>
    <t>20:46:00</t>
  </si>
  <si>
    <t>21/08/2009 20:46</t>
  </si>
  <si>
    <t>17:55:00</t>
  </si>
  <si>
    <t>22/08/2009 17:55</t>
  </si>
  <si>
    <t>22/08/2009 10:35</t>
  </si>
  <si>
    <t>22/08/2009 16:30</t>
  </si>
  <si>
    <t>23/08/2009 18:20</t>
  </si>
  <si>
    <t>21:28:00</t>
  </si>
  <si>
    <t>24/08/2009 21:28</t>
  </si>
  <si>
    <t>24/08/2009 13:45</t>
  </si>
  <si>
    <t>26/08/2009 12:31</t>
  </si>
  <si>
    <t>27/08/2009 17:00</t>
  </si>
  <si>
    <t>10:02:00</t>
  </si>
  <si>
    <t>30/08/2009 10:02</t>
  </si>
  <si>
    <t>31/08/2009 17:05</t>
  </si>
  <si>
    <t>31/08/2009 18:10</t>
  </si>
  <si>
    <t>31/08/2009 20:14</t>
  </si>
  <si>
    <t>31/08/2009 19:48</t>
  </si>
  <si>
    <t>31/08/2009 19:00</t>
  </si>
  <si>
    <t>31/08/2009 18:44</t>
  </si>
  <si>
    <t>02:20:00</t>
  </si>
  <si>
    <t>01/09/2009 02:20</t>
  </si>
  <si>
    <t>03/09/2009 16:45</t>
  </si>
  <si>
    <t>06/09/2009 23:13</t>
  </si>
  <si>
    <t>06/09/2009 14:55</t>
  </si>
  <si>
    <t>19/09/2009 17:40</t>
  </si>
  <si>
    <t>20/09/2009 11:35</t>
  </si>
  <si>
    <t>23/09/2009 00:01</t>
  </si>
  <si>
    <t>03/10/2009 08:25</t>
  </si>
  <si>
    <t>12/10/2009 15:25</t>
  </si>
  <si>
    <t>12:12:00</t>
  </si>
  <si>
    <t>13/10/2009 12:12</t>
  </si>
  <si>
    <t>31/12/2009 15:55</t>
  </si>
  <si>
    <t>00:26:00</t>
  </si>
  <si>
    <t>03/01/2010 00:26</t>
  </si>
  <si>
    <t>08:20:00</t>
  </si>
  <si>
    <t>04/02/2010 08:20</t>
  </si>
  <si>
    <t>05/02/2010 18:17</t>
  </si>
  <si>
    <t>18:02:00</t>
  </si>
  <si>
    <t>09/02/2010 18:02</t>
  </si>
  <si>
    <t>23/02/2010 13:51</t>
  </si>
  <si>
    <t>15:32:00</t>
  </si>
  <si>
    <t>12/03/2010 15:32</t>
  </si>
  <si>
    <t>17/03/2010 19:20</t>
  </si>
  <si>
    <t>21/03/2010 13:52</t>
  </si>
  <si>
    <t>28/03/2010 13:19</t>
  </si>
  <si>
    <t>13:48:00</t>
  </si>
  <si>
    <t>29/03/2010 13:48</t>
  </si>
  <si>
    <t>09/04/2010 11:30</t>
  </si>
  <si>
    <t>26/04/2010 15:45</t>
  </si>
  <si>
    <t>16:18:00</t>
  </si>
  <si>
    <t>26/04/2010 16:18</t>
  </si>
  <si>
    <t>18:01:00</t>
  </si>
  <si>
    <t>01/05/2010 18:01</t>
  </si>
  <si>
    <t>17:13:00</t>
  </si>
  <si>
    <t>01/05/2010 17:13</t>
  </si>
  <si>
    <t>02/05/2010 11:09</t>
  </si>
  <si>
    <t>06/05/2010 18:02</t>
  </si>
  <si>
    <t>07/05/2010 13:20</t>
  </si>
  <si>
    <t>08/05/2010 10:30</t>
  </si>
  <si>
    <t>17/05/2010 11:30</t>
  </si>
  <si>
    <t>17/05/2010 15:08</t>
  </si>
  <si>
    <t>08:18:00</t>
  </si>
  <si>
    <t>19/05/2010 08:18</t>
  </si>
  <si>
    <t>23/05/2010 15:15</t>
  </si>
  <si>
    <t>12:15:00</t>
  </si>
  <si>
    <t>24/05/2010 12:15</t>
  </si>
  <si>
    <t>25/05/2010 13:43</t>
  </si>
  <si>
    <t>25/05/2010 14:50</t>
  </si>
  <si>
    <t>16:28:00</t>
  </si>
  <si>
    <t>27/05/2010 16:28</t>
  </si>
  <si>
    <t>28/05/2010 13:35</t>
  </si>
  <si>
    <t>30/05/2010 12:54</t>
  </si>
  <si>
    <t>30/05/2010 13:45</t>
  </si>
  <si>
    <t>31/05/2010 12:25</t>
  </si>
  <si>
    <t>02/06/2010 13:25</t>
  </si>
  <si>
    <t>03/06/2010 17:15</t>
  </si>
  <si>
    <t>21:12:00</t>
  </si>
  <si>
    <t>10/06/2010 21:12</t>
  </si>
  <si>
    <t>10/06/2010 14:15</t>
  </si>
  <si>
    <t>10/06/2010 13:52</t>
  </si>
  <si>
    <t>12/06/2010 17:44</t>
  </si>
  <si>
    <t>13/06/2010 11:27</t>
  </si>
  <si>
    <t>17:08:00</t>
  </si>
  <si>
    <t>14/06/2010 17:08</t>
  </si>
  <si>
    <t>16/06/2010 11:30</t>
  </si>
  <si>
    <t>23/06/2010 16:28</t>
  </si>
  <si>
    <t>23/06/2010 01:50</t>
  </si>
  <si>
    <t>26/06/2010 14:23</t>
  </si>
  <si>
    <t>27/06/2010 12:29</t>
  </si>
  <si>
    <t>14:03:00</t>
  </si>
  <si>
    <t>27/06/2010 14:03</t>
  </si>
  <si>
    <t>27/06/2010 13:33</t>
  </si>
  <si>
    <t>27/06/2010 17:00</t>
  </si>
  <si>
    <t>28/06/2010 13:37</t>
  </si>
  <si>
    <t>29/06/2010 12:08</t>
  </si>
  <si>
    <t>04/07/2010 16:22</t>
  </si>
  <si>
    <t>01:09:00</t>
  </si>
  <si>
    <t>06/07/2010 01:09</t>
  </si>
  <si>
    <t>06/07/2010 13:29</t>
  </si>
  <si>
    <t>17:52:00</t>
  </si>
  <si>
    <t>07/07/2010 17:52</t>
  </si>
  <si>
    <t>08/07/2010 13:29</t>
  </si>
  <si>
    <t>09/07/2010 17:05</t>
  </si>
  <si>
    <t>10/07/2010 10:18</t>
  </si>
  <si>
    <t>20:51:00</t>
  </si>
  <si>
    <t>11/07/2010 20:51</t>
  </si>
  <si>
    <t>15/07/2010 00:40</t>
  </si>
  <si>
    <t>12:37:00</t>
  </si>
  <si>
    <t>17/07/2010 12:37</t>
  </si>
  <si>
    <t>17/07/2010 11:45</t>
  </si>
  <si>
    <t>17/07/2010 11:40</t>
  </si>
  <si>
    <t>18/07/2010 15:25</t>
  </si>
  <si>
    <t>18/07/2010 14:55</t>
  </si>
  <si>
    <t>17:33:00</t>
  </si>
  <si>
    <t>24/07/2010 17:33</t>
  </si>
  <si>
    <t>28/07/2010 11:00</t>
  </si>
  <si>
    <t>28/07/2010 17:55</t>
  </si>
  <si>
    <t>30/07/2010 15:20</t>
  </si>
  <si>
    <t>02/08/2010 18:00</t>
  </si>
  <si>
    <t>02/08/2010 13:20</t>
  </si>
  <si>
    <t>02/08/2010 16:57</t>
  </si>
  <si>
    <t>03/08/2010 18:01</t>
  </si>
  <si>
    <t>08/08/2010 16:20</t>
  </si>
  <si>
    <t>09/08/2010 17:55</t>
  </si>
  <si>
    <t>12/08/2010 17:20</t>
  </si>
  <si>
    <t>15/08/2010 14:24</t>
  </si>
  <si>
    <t>17/08/2010 19:50</t>
  </si>
  <si>
    <t>15:26:00</t>
  </si>
  <si>
    <t>19/08/2010 15:26</t>
  </si>
  <si>
    <t>19/08/2010 16:45</t>
  </si>
  <si>
    <t>17:21:00</t>
  </si>
  <si>
    <t>22/08/2010 17:21</t>
  </si>
  <si>
    <t>22/08/2010 17:15</t>
  </si>
  <si>
    <t>20:12:00</t>
  </si>
  <si>
    <t>24/08/2010 20:12</t>
  </si>
  <si>
    <t>15:38:00</t>
  </si>
  <si>
    <t>25/08/2010 15:38</t>
  </si>
  <si>
    <t>01:35:00</t>
  </si>
  <si>
    <t>26/08/2010 01:35</t>
  </si>
  <si>
    <t>27/08/2010 09:00</t>
  </si>
  <si>
    <t>17:26:00</t>
  </si>
  <si>
    <t>31/08/2010 17:26</t>
  </si>
  <si>
    <t>01/09/2010 15:20</t>
  </si>
  <si>
    <t>01/09/2010 10:30</t>
  </si>
  <si>
    <t>12:18:00</t>
  </si>
  <si>
    <t>07/09/2010 12:18</t>
  </si>
  <si>
    <t>16:36:00</t>
  </si>
  <si>
    <t>10/09/2010 16:36</t>
  </si>
  <si>
    <t>18:13:00</t>
  </si>
  <si>
    <t>16/09/2010 18:13</t>
  </si>
  <si>
    <t>27/09/2010 18:58</t>
  </si>
  <si>
    <t>27/09/2010 15:30</t>
  </si>
  <si>
    <t>04/10/2010 14:35</t>
  </si>
  <si>
    <t>17:54:00</t>
  </si>
  <si>
    <t>15/10/2010 17:54</t>
  </si>
  <si>
    <t>11:25:00</t>
  </si>
  <si>
    <t>11/11/2010 11:25</t>
  </si>
  <si>
    <t>25/11/2010 15:20</t>
  </si>
  <si>
    <t>25/11/2010 14:14</t>
  </si>
  <si>
    <t>28/11/2010 00:30</t>
  </si>
  <si>
    <t>05/12/2010 11:50</t>
  </si>
  <si>
    <t>10/12/2010 17:00</t>
  </si>
  <si>
    <t>11/12/2010 08:59</t>
  </si>
  <si>
    <t>25/12/2010 17:01</t>
  </si>
  <si>
    <t>26/12/2010 12:30</t>
  </si>
  <si>
    <t>27/12/2010 12:25</t>
  </si>
  <si>
    <t>13:21</t>
  </si>
  <si>
    <t>11:14</t>
  </si>
  <si>
    <t>13/02/2011 11:14</t>
  </si>
  <si>
    <t>16:08</t>
  </si>
  <si>
    <t>22/03/2011 16:08</t>
  </si>
  <si>
    <t>14:12</t>
  </si>
  <si>
    <t>27/03/2011 14:12</t>
  </si>
  <si>
    <t>19:51</t>
  </si>
  <si>
    <t>09/04/2011 19:51</t>
  </si>
  <si>
    <t>10:34</t>
  </si>
  <si>
    <t>12/04/2011 10:34</t>
  </si>
  <si>
    <t>15/04/2011 16:40</t>
  </si>
  <si>
    <t>17:48</t>
  </si>
  <si>
    <t>23/04/2011 17:48</t>
  </si>
  <si>
    <t>12:10</t>
  </si>
  <si>
    <t>24/04/2011 12:10</t>
  </si>
  <si>
    <t>00:09</t>
  </si>
  <si>
    <t>24/04/2011 00:09</t>
  </si>
  <si>
    <t>14:55</t>
  </si>
  <si>
    <t>03/05/2011 14:55</t>
  </si>
  <si>
    <t>17:02</t>
  </si>
  <si>
    <t>15/05/2011 17:02</t>
  </si>
  <si>
    <t>18:38</t>
  </si>
  <si>
    <t>15/05/2011 18:38</t>
  </si>
  <si>
    <t>02:10</t>
  </si>
  <si>
    <t>06/06/2011 02:10</t>
  </si>
  <si>
    <t>11:58</t>
  </si>
  <si>
    <t>14/06/2011 11:58</t>
  </si>
  <si>
    <t>12:01</t>
  </si>
  <si>
    <t>20/06/2011 12:01</t>
  </si>
  <si>
    <t>22/06/2011 14:52</t>
  </si>
  <si>
    <t>18:27</t>
  </si>
  <si>
    <t>23/06/2011 18:27</t>
  </si>
  <si>
    <t>24/06/2011 14:25</t>
  </si>
  <si>
    <t>08:30</t>
  </si>
  <si>
    <t>24/06/2011 08:30</t>
  </si>
  <si>
    <t>25/06/2011 23:49</t>
  </si>
  <si>
    <t>13:43</t>
  </si>
  <si>
    <t>26/06/2011 13:43</t>
  </si>
  <si>
    <t>26/06/2011 12:35</t>
  </si>
  <si>
    <t>15:37</t>
  </si>
  <si>
    <t>26/06/2011 15:37</t>
  </si>
  <si>
    <t>10:00</t>
  </si>
  <si>
    <t>26/06/2011 10:00</t>
  </si>
  <si>
    <t>20:54</t>
  </si>
  <si>
    <t>27/06/2011 20:54</t>
  </si>
  <si>
    <t>01/07/2011 12:10</t>
  </si>
  <si>
    <t>17:50</t>
  </si>
  <si>
    <t>11/07/2011 17:50</t>
  </si>
  <si>
    <t>16:37</t>
  </si>
  <si>
    <t>12/07/2011 16:37</t>
  </si>
  <si>
    <t>00:13</t>
  </si>
  <si>
    <t>13/07/2011 00:13</t>
  </si>
  <si>
    <t>20:53</t>
  </si>
  <si>
    <t>13/07/2011 20:53</t>
  </si>
  <si>
    <t>13:29</t>
  </si>
  <si>
    <t>24/07/2011 09:15</t>
  </si>
  <si>
    <t>09:20</t>
  </si>
  <si>
    <t>24/07/2011 09:20</t>
  </si>
  <si>
    <t>12:03</t>
  </si>
  <si>
    <t>28/07/2011 12:03</t>
  </si>
  <si>
    <t>09:09</t>
  </si>
  <si>
    <t>01/08/2011 09:09</t>
  </si>
  <si>
    <t>12:53</t>
  </si>
  <si>
    <t>02/08/2011 12:53</t>
  </si>
  <si>
    <t>14:09</t>
  </si>
  <si>
    <t>02/08/2011 14:09</t>
  </si>
  <si>
    <t>13:40</t>
  </si>
  <si>
    <t>03/08/2011 13:40</t>
  </si>
  <si>
    <t>18:40</t>
  </si>
  <si>
    <t>04/08/2011 18:40</t>
  </si>
  <si>
    <t>18:45</t>
  </si>
  <si>
    <t>04/08/2011 18:45</t>
  </si>
  <si>
    <t>10/08/2011 05:15</t>
  </si>
  <si>
    <t>15:07</t>
  </si>
  <si>
    <t>19/08/2011 15:07</t>
  </si>
  <si>
    <t>13:25</t>
  </si>
  <si>
    <t>21/08/2011 13:25</t>
  </si>
  <si>
    <t>21/08/2011 13:45</t>
  </si>
  <si>
    <t>16:11</t>
  </si>
  <si>
    <t>24/08/2011 16:11</t>
  </si>
  <si>
    <t>22:10</t>
  </si>
  <si>
    <t>24/08/2011 22:10</t>
  </si>
  <si>
    <t>25/08/2011 23:49</t>
  </si>
  <si>
    <t>02:53</t>
  </si>
  <si>
    <t>26/08/2011 02:53</t>
  </si>
  <si>
    <t>04:30</t>
  </si>
  <si>
    <t>26/08/2011 04:30</t>
  </si>
  <si>
    <t>14:40</t>
  </si>
  <si>
    <t>26/08/2011 14:40</t>
  </si>
  <si>
    <t>09:50</t>
  </si>
  <si>
    <t>31/08/2011 09:50</t>
  </si>
  <si>
    <t>15:45</t>
  </si>
  <si>
    <t>02/09/2011 15:45</t>
  </si>
  <si>
    <t>14:20</t>
  </si>
  <si>
    <t>11:43</t>
  </si>
  <si>
    <t>13/09/2011 11:43</t>
  </si>
  <si>
    <t>09:00</t>
  </si>
  <si>
    <t>14/09/2011 09:00</t>
  </si>
  <si>
    <t>14:00</t>
  </si>
  <si>
    <t>18/09/2011 14:00</t>
  </si>
  <si>
    <t>22:35</t>
  </si>
  <si>
    <t>20/09/2011 22:35</t>
  </si>
  <si>
    <t>21/09/2011 16:01</t>
  </si>
  <si>
    <t>08:43</t>
  </si>
  <si>
    <t>24/09/2011 08:43</t>
  </si>
  <si>
    <t>22:00</t>
  </si>
  <si>
    <t>26/09/2011 22:00</t>
  </si>
  <si>
    <t>27/09/2011 10:27</t>
  </si>
  <si>
    <t>23:50</t>
  </si>
  <si>
    <t>27/09/2011 23:50</t>
  </si>
  <si>
    <t>21:20</t>
  </si>
  <si>
    <t>27/09/2011 21:20</t>
  </si>
  <si>
    <t>23:40</t>
  </si>
  <si>
    <t>27/09/2011 23:40</t>
  </si>
  <si>
    <t>12:31</t>
  </si>
  <si>
    <t>01/10/2011 12:31</t>
  </si>
  <si>
    <t>11:53</t>
  </si>
  <si>
    <t>04/10/2011 11:53</t>
  </si>
  <si>
    <t>07/10/2011 11:14</t>
  </si>
  <si>
    <t>21:35</t>
  </si>
  <si>
    <t>08/10/2011 21:35</t>
  </si>
  <si>
    <t>02:13</t>
  </si>
  <si>
    <t>09/10/2011 02:13</t>
  </si>
  <si>
    <t>12:13</t>
  </si>
  <si>
    <t>19/10/2011 12:13</t>
  </si>
  <si>
    <t>13:30</t>
  </si>
  <si>
    <t>19/11/2011 11:25</t>
  </si>
  <si>
    <t>10:29</t>
  </si>
  <si>
    <t>23/11/2011 10:29</t>
  </si>
  <si>
    <t>05/12/2011 12:55</t>
  </si>
  <si>
    <t>13:10</t>
  </si>
  <si>
    <t>07/12/2011 13:10</t>
  </si>
  <si>
    <t>16:10</t>
  </si>
  <si>
    <t>11/12/2011 16:10</t>
  </si>
  <si>
    <t>10:45</t>
  </si>
  <si>
    <t>15/12/2011 16:20</t>
  </si>
  <si>
    <t>17:07</t>
  </si>
  <si>
    <t>31/01/2012 17:07</t>
  </si>
  <si>
    <t>19/02/2012 12:25</t>
  </si>
  <si>
    <t>19/02/2012 13:15</t>
  </si>
  <si>
    <t>04/03/2012 15:20</t>
  </si>
  <si>
    <t>24/03/2012 14:25</t>
  </si>
  <si>
    <t>10:50</t>
  </si>
  <si>
    <t>24/03/2012 10:50</t>
  </si>
  <si>
    <t>17:30</t>
  </si>
  <si>
    <t>29/03/2012 17:30</t>
  </si>
  <si>
    <t>18:20</t>
  </si>
  <si>
    <t>30/03/2012 18:20</t>
  </si>
  <si>
    <t>12:47</t>
  </si>
  <si>
    <t>01/04/2012 12:47</t>
  </si>
  <si>
    <t>12:50</t>
  </si>
  <si>
    <t>19/04/2012 17:35</t>
  </si>
  <si>
    <t>23/04/2012 13:25</t>
  </si>
  <si>
    <t>29/04/2012 10:45</t>
  </si>
  <si>
    <t>07/05/2012 22:35</t>
  </si>
  <si>
    <t>11:51</t>
  </si>
  <si>
    <t>13/05/2012 11:51</t>
  </si>
  <si>
    <t>17:49</t>
  </si>
  <si>
    <t>17:22</t>
  </si>
  <si>
    <t>02/06/2012 17:22</t>
  </si>
  <si>
    <t>13:33</t>
  </si>
  <si>
    <t>07/06/2012 13:33</t>
  </si>
  <si>
    <t>14:35</t>
  </si>
  <si>
    <t>07/06/2012 14:35</t>
  </si>
  <si>
    <t>13:49</t>
  </si>
  <si>
    <t>09/06/2012 13:49</t>
  </si>
  <si>
    <t>11/06/2012 12:01</t>
  </si>
  <si>
    <t>11/06/2012 14:20</t>
  </si>
  <si>
    <t>15:12</t>
  </si>
  <si>
    <t>12/06/2012 15:12</t>
  </si>
  <si>
    <t>15:23</t>
  </si>
  <si>
    <t>12/06/2012 15:23</t>
  </si>
  <si>
    <t>14/06/2012 13:10</t>
  </si>
  <si>
    <t>16/06/2012 12:30</t>
  </si>
  <si>
    <t>19:43</t>
  </si>
  <si>
    <t>17/06/2012 19:43</t>
  </si>
  <si>
    <t>17/06/2012 15:37</t>
  </si>
  <si>
    <t>09:30</t>
  </si>
  <si>
    <t>17/06/2012 09:30</t>
  </si>
  <si>
    <t>21:17</t>
  </si>
  <si>
    <t>18/06/2012 21:17</t>
  </si>
  <si>
    <t>18/06/2012 13:45</t>
  </si>
  <si>
    <t>19/06/2012 11:40</t>
  </si>
  <si>
    <t>15:01</t>
  </si>
  <si>
    <t>20/06/2012 15:01</t>
  </si>
  <si>
    <t>03:25</t>
  </si>
  <si>
    <t>23/06/2012 03:25</t>
  </si>
  <si>
    <t>10:20</t>
  </si>
  <si>
    <t>24/06/2012 10:20</t>
  </si>
  <si>
    <t>13:26</t>
  </si>
  <si>
    <t>25/06/2012 13:26</t>
  </si>
  <si>
    <t>26/06/2012 11:30</t>
  </si>
  <si>
    <t>03:53</t>
  </si>
  <si>
    <t>01/07/2012 03:53</t>
  </si>
  <si>
    <t>21:00</t>
  </si>
  <si>
    <t>02/07/2012 21:00</t>
  </si>
  <si>
    <t>06/07/2012 15:24</t>
  </si>
  <si>
    <t>11:33</t>
  </si>
  <si>
    <t>08/07/2012 11:33</t>
  </si>
  <si>
    <t>09/07/2012 12:50</t>
  </si>
  <si>
    <t>15:15</t>
  </si>
  <si>
    <t>10/07/2012 15:15</t>
  </si>
  <si>
    <t>20:58</t>
  </si>
  <si>
    <t>11/07/2012 20:58</t>
  </si>
  <si>
    <t>13:35</t>
  </si>
  <si>
    <t>14/07/2012 13:35</t>
  </si>
  <si>
    <t>14:21</t>
  </si>
  <si>
    <t>14/07/2012 14:21</t>
  </si>
  <si>
    <t>15/07/2012 22:10</t>
  </si>
  <si>
    <t>18/07/2012 12:55</t>
  </si>
  <si>
    <t>14:08</t>
  </si>
  <si>
    <t>19/07/2012 14:08</t>
  </si>
  <si>
    <t>23:00</t>
  </si>
  <si>
    <t>21/07/2012 23:00</t>
  </si>
  <si>
    <t>21/07/2012 15:28</t>
  </si>
  <si>
    <t>18:00</t>
  </si>
  <si>
    <t>21/07/2012 18:00</t>
  </si>
  <si>
    <t>23/07/2012 18:00</t>
  </si>
  <si>
    <t>12:28</t>
  </si>
  <si>
    <t>24/07/2012 12:28</t>
  </si>
  <si>
    <t>10:40</t>
  </si>
  <si>
    <t>24/07/2012 10:40</t>
  </si>
  <si>
    <t>24/07/2012 14:30</t>
  </si>
  <si>
    <t>22:16</t>
  </si>
  <si>
    <t>25/07/2012 22:16</t>
  </si>
  <si>
    <t>01:08</t>
  </si>
  <si>
    <t>29/07/2012 01:08</t>
  </si>
  <si>
    <t>02:00</t>
  </si>
  <si>
    <t>30/07/2012 02:00</t>
  </si>
  <si>
    <t>01:11</t>
  </si>
  <si>
    <t>04/08/2012 01:11</t>
  </si>
  <si>
    <t>01:00</t>
  </si>
  <si>
    <t>06/08/2012 01:00</t>
  </si>
  <si>
    <t>13:20</t>
  </si>
  <si>
    <t>08/08/2012 12:28</t>
  </si>
  <si>
    <t>13:50</t>
  </si>
  <si>
    <t>08/08/2012 13:50</t>
  </si>
  <si>
    <t>09/08/2012 14:50</t>
  </si>
  <si>
    <t>03:42</t>
  </si>
  <si>
    <t>11/08/2012 03:42</t>
  </si>
  <si>
    <t>17:17</t>
  </si>
  <si>
    <t>11/08/2012 17:17</t>
  </si>
  <si>
    <t>17:00</t>
  </si>
  <si>
    <t>12/08/2012 17:00</t>
  </si>
  <si>
    <t>17/08/2012 12:50</t>
  </si>
  <si>
    <t>18:30</t>
  </si>
  <si>
    <t>17/08/2012 18:30</t>
  </si>
  <si>
    <t>17:32</t>
  </si>
  <si>
    <t>18/08/2012 17:32</t>
  </si>
  <si>
    <t>19/08/2012 18:00</t>
  </si>
  <si>
    <t>15:26</t>
  </si>
  <si>
    <t>19/08/2012 15:26</t>
  </si>
  <si>
    <t>20/08/2012 18:30</t>
  </si>
  <si>
    <t>22/08/2012 10:20</t>
  </si>
  <si>
    <t>03:54</t>
  </si>
  <si>
    <t>25/08/2012 03:54</t>
  </si>
  <si>
    <t>06:42</t>
  </si>
  <si>
    <t>25/08/2012 06:42</t>
  </si>
  <si>
    <t>28/08/2012 09:00</t>
  </si>
  <si>
    <t>19:04</t>
  </si>
  <si>
    <t>28/08/2012 19:04</t>
  </si>
  <si>
    <t>16:55</t>
  </si>
  <si>
    <t>03:33</t>
  </si>
  <si>
    <t>01/09/2012 03:33</t>
  </si>
  <si>
    <t>02/09/2012 12:10</t>
  </si>
  <si>
    <t>04:26</t>
  </si>
  <si>
    <t>03/09/2012 04:26</t>
  </si>
  <si>
    <t>16:21</t>
  </si>
  <si>
    <t>03/09/2012 16:21</t>
  </si>
  <si>
    <t>10:43</t>
  </si>
  <si>
    <t>09/09/2012 10:43</t>
  </si>
  <si>
    <t>11:52</t>
  </si>
  <si>
    <t>09/09/2012 11:52</t>
  </si>
  <si>
    <t>20:39</t>
  </si>
  <si>
    <t>17/09/2012 20:39</t>
  </si>
  <si>
    <t>10:28</t>
  </si>
  <si>
    <t>20/09/2012 10:28</t>
  </si>
  <si>
    <t>16:44</t>
  </si>
  <si>
    <t>21/09/2012 16:44</t>
  </si>
  <si>
    <t>13:36</t>
  </si>
  <si>
    <t>25/09/2012 13:36</t>
  </si>
  <si>
    <t>25/09/2012 16:44</t>
  </si>
  <si>
    <t>13:42</t>
  </si>
  <si>
    <t>29/09/2012 13:42</t>
  </si>
  <si>
    <t>14:04</t>
  </si>
  <si>
    <t>01/10/2012 14:04</t>
  </si>
  <si>
    <t>01:28</t>
  </si>
  <si>
    <t>07/10/2012 01:28</t>
  </si>
  <si>
    <t>09:22</t>
  </si>
  <si>
    <t>09/10/2012 09:22</t>
  </si>
  <si>
    <t>11:32</t>
  </si>
  <si>
    <t>13/10/2012 11:32</t>
  </si>
  <si>
    <t>17:55</t>
  </si>
  <si>
    <t>15/10/2012 17:55</t>
  </si>
  <si>
    <t>20/10/2012 13:55</t>
  </si>
  <si>
    <t>15:35</t>
  </si>
  <si>
    <t>28/10/2012 15:35</t>
  </si>
  <si>
    <t>09/11/2012 13:10</t>
  </si>
  <si>
    <t>12/11/2012 10:27</t>
  </si>
  <si>
    <t>13:04</t>
  </si>
  <si>
    <t>24/11/2012 13:04</t>
  </si>
  <si>
    <t>29/11/2012 17:45</t>
  </si>
  <si>
    <t>14:07</t>
  </si>
  <si>
    <t>12:24</t>
  </si>
  <si>
    <t>13:06</t>
  </si>
  <si>
    <t>19:47</t>
  </si>
  <si>
    <t>19:05</t>
  </si>
  <si>
    <t>15:43</t>
  </si>
  <si>
    <t>23:34</t>
  </si>
  <si>
    <t>15:17</t>
  </si>
  <si>
    <t>22:29</t>
  </si>
  <si>
    <t>14:37</t>
  </si>
  <si>
    <t>14:57</t>
  </si>
  <si>
    <t>20/08/2014   16:00</t>
  </si>
  <si>
    <t>12:45</t>
  </si>
  <si>
    <t>24/08/2014   12:45</t>
  </si>
  <si>
    <t>02:18</t>
  </si>
  <si>
    <t>25/08/2014   02:18</t>
  </si>
  <si>
    <t>26/08/2014   13:28</t>
  </si>
  <si>
    <t>18:56</t>
  </si>
  <si>
    <t>28/08/2014   18:56</t>
  </si>
  <si>
    <t>12:32</t>
  </si>
  <si>
    <t>30/08/2014   12:32</t>
  </si>
  <si>
    <t>17:54</t>
  </si>
  <si>
    <t>17:23</t>
  </si>
  <si>
    <t>27/09/2014   17:23</t>
  </si>
  <si>
    <t>15:09</t>
  </si>
  <si>
    <t>30/09/2014   15:09</t>
  </si>
  <si>
    <t>07/10/2014   15:53</t>
  </si>
  <si>
    <t>14:43</t>
  </si>
  <si>
    <t>10/10/2014   14:43</t>
  </si>
  <si>
    <t>23:56</t>
  </si>
  <si>
    <t>16/10/2014   23:56</t>
  </si>
  <si>
    <t>14:05</t>
  </si>
  <si>
    <t>18/10/2014   14:05</t>
  </si>
  <si>
    <t>21/10/2014   14:35</t>
  </si>
  <si>
    <t>27/10/2014   12:45</t>
  </si>
  <si>
    <t>09/11/2014   13:25</t>
  </si>
  <si>
    <t>16/12/2014   13:10</t>
  </si>
  <si>
    <t>12:40</t>
  </si>
  <si>
    <t>16:25</t>
  </si>
  <si>
    <t>01/02/2015 16:25</t>
  </si>
  <si>
    <t>07/02/2015 14:40</t>
  </si>
  <si>
    <t>18:55</t>
  </si>
  <si>
    <t>16:49</t>
  </si>
  <si>
    <t>21/04/2015 16:49</t>
  </si>
  <si>
    <t>12:48</t>
  </si>
  <si>
    <t>28/04/2015 12:48</t>
  </si>
  <si>
    <t>15/05/2015 16:00</t>
  </si>
  <si>
    <t>23:18</t>
  </si>
  <si>
    <t>18/05/2015 23:18</t>
  </si>
  <si>
    <t>17:09</t>
  </si>
  <si>
    <t>28/05/2015 17:09</t>
  </si>
  <si>
    <t>04/06/2015 14:19</t>
  </si>
  <si>
    <t>13:57</t>
  </si>
  <si>
    <t>05/06/2015 13:57</t>
  </si>
  <si>
    <t>10/06/2015 11:58</t>
  </si>
  <si>
    <t>13:05</t>
  </si>
  <si>
    <t>13/06/2015 13:05</t>
  </si>
  <si>
    <t>09:13</t>
  </si>
  <si>
    <t>13/06/2015 09:13</t>
  </si>
  <si>
    <t>13/06/2015 10:27</t>
  </si>
  <si>
    <t>13:23</t>
  </si>
  <si>
    <t>14/06/2015 13:23</t>
  </si>
  <si>
    <t>18:58</t>
  </si>
  <si>
    <t>16/06/2015 18:58</t>
  </si>
  <si>
    <t>28/06/2015 12:50</t>
  </si>
  <si>
    <t>16:53</t>
  </si>
  <si>
    <t>04/07/2015 16:53</t>
  </si>
  <si>
    <t>15:57</t>
  </si>
  <si>
    <t>05/07/2015 15:57</t>
  </si>
  <si>
    <t>15:31</t>
  </si>
  <si>
    <t>05/07/2015 15:31</t>
  </si>
  <si>
    <t>10/07/2015 12:40</t>
  </si>
  <si>
    <t>11/07/2015 13:55</t>
  </si>
  <si>
    <t>12/07/2015 11:43</t>
  </si>
  <si>
    <t>11:29</t>
  </si>
  <si>
    <t>12/07/2015 11:29</t>
  </si>
  <si>
    <t>15:21</t>
  </si>
  <si>
    <t>16/07/2015 15:21</t>
  </si>
  <si>
    <t>12:29</t>
  </si>
  <si>
    <t>17/07/2015 12:29</t>
  </si>
  <si>
    <t>13:48</t>
  </si>
  <si>
    <t>17/07/2015 13:48</t>
  </si>
  <si>
    <t>20/07/2015 14:15</t>
  </si>
  <si>
    <t>20/07/2015 14:21</t>
  </si>
  <si>
    <t>05:37</t>
  </si>
  <si>
    <t>22/07/2015 05:37</t>
  </si>
  <si>
    <t>22/07/2015 13:30</t>
  </si>
  <si>
    <t>30/07/2015 12:10</t>
  </si>
  <si>
    <t>31/07/2015 15:20</t>
  </si>
  <si>
    <t>15:18</t>
  </si>
  <si>
    <t>01/08/2015 15:18</t>
  </si>
  <si>
    <t>02/08/2015 12:29</t>
  </si>
  <si>
    <t>10:52</t>
  </si>
  <si>
    <t>03/08/2015 10:52</t>
  </si>
  <si>
    <t>17:25</t>
  </si>
  <si>
    <t>05/08/2015 17:25</t>
  </si>
  <si>
    <t>13:58</t>
  </si>
  <si>
    <t>06/08/2015 13:58</t>
  </si>
  <si>
    <t>18:03</t>
  </si>
  <si>
    <t>06/08/2015 18:03</t>
  </si>
  <si>
    <t>23:04</t>
  </si>
  <si>
    <t>08/08/2015 23:04</t>
  </si>
  <si>
    <t>18:08</t>
  </si>
  <si>
    <t>09/08/2015 18:08</t>
  </si>
  <si>
    <t>00:37</t>
  </si>
  <si>
    <t>11/08/2015 00:37</t>
  </si>
  <si>
    <t>14/08/2015 14:00</t>
  </si>
  <si>
    <t>15:55</t>
  </si>
  <si>
    <t>14/08/2015 15:55</t>
  </si>
  <si>
    <t>15:22</t>
  </si>
  <si>
    <t>14/08/2015 15:22</t>
  </si>
  <si>
    <t>16/08/2015 18:40</t>
  </si>
  <si>
    <t>17/08/2015 16:10</t>
  </si>
  <si>
    <t>21/08/2015 14:00</t>
  </si>
  <si>
    <t>17:20</t>
  </si>
  <si>
    <t>21/08/2015 17:20</t>
  </si>
  <si>
    <t>13:38</t>
  </si>
  <si>
    <t>30/08/2015 13:38</t>
  </si>
  <si>
    <t>07/09/2015 18:10</t>
  </si>
  <si>
    <t>09/09/2015 14:40</t>
  </si>
  <si>
    <t>12/09/2015 17:00</t>
  </si>
  <si>
    <t>16/09/2015 11:39</t>
  </si>
  <si>
    <t>10:07</t>
  </si>
  <si>
    <t>18/09/2015 10:07</t>
  </si>
  <si>
    <t>19:57</t>
  </si>
  <si>
    <t>04/10/2015 19:57</t>
  </si>
  <si>
    <t>06:45</t>
  </si>
  <si>
    <t>06/11/2015 06:45</t>
  </si>
  <si>
    <t>11:46</t>
  </si>
  <si>
    <t>07/11/2015 11:46</t>
  </si>
  <si>
    <t>07/11/2015 06:45</t>
  </si>
  <si>
    <t>21/11/2015 17:20</t>
  </si>
  <si>
    <t>25/11/2015 06:45</t>
  </si>
  <si>
    <t>15/12/2015 17:15</t>
  </si>
  <si>
    <t>14:47</t>
  </si>
  <si>
    <t>12:58</t>
  </si>
  <si>
    <t>17:27</t>
  </si>
  <si>
    <t>12:00</t>
  </si>
  <si>
    <t>15/02/2016 12:00</t>
  </si>
  <si>
    <t>06/04/2016 13:40</t>
  </si>
  <si>
    <t>15/04/2016 14:09</t>
  </si>
  <si>
    <t>17/04/2016 13:30</t>
  </si>
  <si>
    <t>13:13</t>
  </si>
  <si>
    <t>17/04/2016 13:13</t>
  </si>
  <si>
    <t>02:16</t>
  </si>
  <si>
    <t>21/04/2016 02:16</t>
  </si>
  <si>
    <t>02:49</t>
  </si>
  <si>
    <t>21/04/2016 02:49</t>
  </si>
  <si>
    <t>21/04/2016 19:00</t>
  </si>
  <si>
    <t>13:00</t>
  </si>
  <si>
    <t>21/04/2016 13:00</t>
  </si>
  <si>
    <t>13:37</t>
  </si>
  <si>
    <t>21/04/2016 13:37</t>
  </si>
  <si>
    <t>01:43</t>
  </si>
  <si>
    <t>24/04/2016 01:43</t>
  </si>
  <si>
    <t>27/04/2016 15:28</t>
  </si>
  <si>
    <t>15:54</t>
  </si>
  <si>
    <t>27/04/2016 15:54</t>
  </si>
  <si>
    <t>00:35</t>
  </si>
  <si>
    <t>01/05/2016 00:35</t>
  </si>
  <si>
    <t>09:56</t>
  </si>
  <si>
    <t>01/05/2016 09:56</t>
  </si>
  <si>
    <t>10:51</t>
  </si>
  <si>
    <t>09/05/2016 10:51</t>
  </si>
  <si>
    <t>11:12</t>
  </si>
  <si>
    <t>13/05/2016 11:12</t>
  </si>
  <si>
    <t>15:16</t>
  </si>
  <si>
    <t>15/05/2016 15:16</t>
  </si>
  <si>
    <t>16/05/2016 14:21</t>
  </si>
  <si>
    <t>19/05/2016 10:50</t>
  </si>
  <si>
    <t>19/05/2016 23:56</t>
  </si>
  <si>
    <t>15:47</t>
  </si>
  <si>
    <t>28/05/2016 15:47</t>
  </si>
  <si>
    <t>28/05/2016 21:20</t>
  </si>
  <si>
    <t>19:46</t>
  </si>
  <si>
    <t>31/05/2016 19:46</t>
  </si>
  <si>
    <t>02/06/2016 12:00</t>
  </si>
  <si>
    <t>04/06/2016 19:15</t>
  </si>
  <si>
    <t>05/06/2016 15:30</t>
  </si>
  <si>
    <t>17:43</t>
  </si>
  <si>
    <t>13/06/2016 17:43</t>
  </si>
  <si>
    <t>13/06/2016 11:38</t>
  </si>
  <si>
    <t>18:51</t>
  </si>
  <si>
    <t>14/06/2016 18:51</t>
  </si>
  <si>
    <t>15:29</t>
  </si>
  <si>
    <t>14/06/2016 15:29</t>
  </si>
  <si>
    <t>14/06/2016 17:05</t>
  </si>
  <si>
    <t>14/06/2016 13:05</t>
  </si>
  <si>
    <t>14/06/2016 19:15</t>
  </si>
  <si>
    <t>15/06/2016 14:04</t>
  </si>
  <si>
    <t>21/06/2016 19:47</t>
  </si>
  <si>
    <t>24/06/2016 11:40</t>
  </si>
  <si>
    <t>26/06/2016 13:49</t>
  </si>
  <si>
    <t>20:07</t>
  </si>
  <si>
    <t>28/06/2016 20:07</t>
  </si>
  <si>
    <t>28/06/2016 15:26</t>
  </si>
  <si>
    <t>20:00</t>
  </si>
  <si>
    <t>28/06/2016 20:00</t>
  </si>
  <si>
    <t>01/07/2016 12:45</t>
  </si>
  <si>
    <t>18:53</t>
  </si>
  <si>
    <t>05/07/2016 18:53</t>
  </si>
  <si>
    <t>07/07/2016 13:30</t>
  </si>
  <si>
    <t>08/07/2016 02:13</t>
  </si>
  <si>
    <t>13/07/2016 11:50</t>
  </si>
  <si>
    <t>22/07/2016 14:37</t>
  </si>
  <si>
    <t>23/07/2016 11:59</t>
  </si>
  <si>
    <t>25/07/2016 12:55</t>
  </si>
  <si>
    <t>14:02</t>
  </si>
  <si>
    <t>28/07/2016 14:02</t>
  </si>
  <si>
    <t>15:05</t>
  </si>
  <si>
    <t>04/08/2016 15:05</t>
  </si>
  <si>
    <t>11:37</t>
  </si>
  <si>
    <t>05/08/2016 11:37</t>
  </si>
  <si>
    <t>20:50</t>
  </si>
  <si>
    <t>07/08/2016 20:50</t>
  </si>
  <si>
    <t>06:05</t>
  </si>
  <si>
    <t>08/08/2016 06:05</t>
  </si>
  <si>
    <t>12/08/2016 17:05</t>
  </si>
  <si>
    <t>13/08/2016 15:15</t>
  </si>
  <si>
    <t>23:46</t>
  </si>
  <si>
    <t>15/08/2016 23:46</t>
  </si>
  <si>
    <t>15:41</t>
  </si>
  <si>
    <t>23/08/2016 15:41</t>
  </si>
  <si>
    <t>20:31</t>
  </si>
  <si>
    <t>24/08/2016 20:31</t>
  </si>
  <si>
    <t>22:13</t>
  </si>
  <si>
    <t>25/08/2016 22:13</t>
  </si>
  <si>
    <t>03:02</t>
  </si>
  <si>
    <t>26/08/2016 03:02</t>
  </si>
  <si>
    <t>01/09/2016 05:15</t>
  </si>
  <si>
    <t>12:22</t>
  </si>
  <si>
    <t>01/09/2016 12:22</t>
  </si>
  <si>
    <t>04:59</t>
  </si>
  <si>
    <t>06/09/2016 04:59</t>
  </si>
  <si>
    <t>13:09</t>
  </si>
  <si>
    <t>08/09/2016 13:09</t>
  </si>
  <si>
    <t>11/09/2016 16:49</t>
  </si>
  <si>
    <t>16:16</t>
  </si>
  <si>
    <t>18/09/2016 16:16</t>
  </si>
  <si>
    <t>10:58</t>
  </si>
  <si>
    <t>21/09/2016 10:58</t>
  </si>
  <si>
    <t>21/09/2016 15:15</t>
  </si>
  <si>
    <t>29/09/2016 14:50</t>
  </si>
  <si>
    <t>05/10/2016 14:30</t>
  </si>
  <si>
    <t>06/10/2016 14:20</t>
  </si>
  <si>
    <t>14:23</t>
  </si>
  <si>
    <t>07/10/2016 14:23</t>
  </si>
  <si>
    <t>16:35</t>
  </si>
  <si>
    <t>09/10/2016 16:35</t>
  </si>
  <si>
    <t>18/10/2016 12:30</t>
  </si>
  <si>
    <t>17:10</t>
  </si>
  <si>
    <t>15/11/2016 17:10</t>
  </si>
  <si>
    <t>06:15</t>
  </si>
  <si>
    <t>03/12/2016 06:15</t>
  </si>
  <si>
    <t>12:34</t>
  </si>
  <si>
    <t>17/12/2016 12:34</t>
  </si>
  <si>
    <t>13:54</t>
  </si>
  <si>
    <t>18/12/2016 13:54</t>
  </si>
  <si>
    <t>18:18</t>
  </si>
  <si>
    <t>22/12/2016 18:18</t>
  </si>
  <si>
    <t>23/12/2016 15:00</t>
  </si>
  <si>
    <t>15:25</t>
  </si>
  <si>
    <t>22:21</t>
  </si>
  <si>
    <t>03/02/2017 22:21</t>
  </si>
  <si>
    <t>04/02/2017 15:08</t>
  </si>
  <si>
    <t>05/02/2017 11:37</t>
  </si>
  <si>
    <t>19:20</t>
  </si>
  <si>
    <t>23/02/2017 19:20</t>
  </si>
  <si>
    <t>21/03/2017 12:29</t>
  </si>
  <si>
    <t>08:20</t>
  </si>
  <si>
    <t>06/04/2017 08:20</t>
  </si>
  <si>
    <t>12:44</t>
  </si>
  <si>
    <t>09/04/2017 12:44</t>
  </si>
  <si>
    <t>00:20</t>
  </si>
  <si>
    <t>16/04/2017 00:20</t>
  </si>
  <si>
    <t>00:01</t>
  </si>
  <si>
    <t>16/04/2017 00:01</t>
  </si>
  <si>
    <t>10:05</t>
  </si>
  <si>
    <t>04:25</t>
  </si>
  <si>
    <t>05/05/2017 04:25</t>
  </si>
  <si>
    <t>00:19</t>
  </si>
  <si>
    <t>09/05/2017 00:19</t>
  </si>
  <si>
    <t>30/05/2017 14:50</t>
  </si>
  <si>
    <t>31/05/2017 12:24</t>
  </si>
  <si>
    <t>04/06/2017 15:06</t>
  </si>
  <si>
    <t>04/06/2017 16:00</t>
  </si>
  <si>
    <t>21:15</t>
  </si>
  <si>
    <t>16/06/2017 21:15</t>
  </si>
  <si>
    <t>25/06/2017 17:43</t>
  </si>
  <si>
    <t>10:09</t>
  </si>
  <si>
    <t>27/06/2017 10:09</t>
  </si>
  <si>
    <t>14:11</t>
  </si>
  <si>
    <t>30/06/2017 14:11</t>
  </si>
  <si>
    <t>16:19</t>
  </si>
  <si>
    <t>01/07/2017 16:19</t>
  </si>
  <si>
    <t>03/07/2017 16:45</t>
  </si>
  <si>
    <t>03/07/2017 03:30</t>
  </si>
  <si>
    <t>17:16</t>
  </si>
  <si>
    <t>05/07/2017 17:16</t>
  </si>
  <si>
    <t>10:04</t>
  </si>
  <si>
    <t>06/07/2017 10:04</t>
  </si>
  <si>
    <t>06/07/2017 10:09</t>
  </si>
  <si>
    <t>06/07/2017 16:00</t>
  </si>
  <si>
    <t>19:48</t>
  </si>
  <si>
    <t>11/07/2017 19:48</t>
  </si>
  <si>
    <t>06:10</t>
  </si>
  <si>
    <t>15/07/2017 06:10</t>
  </si>
  <si>
    <t>22:52</t>
  </si>
  <si>
    <t>16/07/2017 22:52</t>
  </si>
  <si>
    <t>18:05</t>
  </si>
  <si>
    <t>19/07/2017 18:05</t>
  </si>
  <si>
    <t>27/07/2017 15:30</t>
  </si>
  <si>
    <t>29/07/2017 18:55</t>
  </si>
  <si>
    <t>31/07/2017 16:25</t>
  </si>
  <si>
    <t>01/08/2017 13:29</t>
  </si>
  <si>
    <t>14:03</t>
  </si>
  <si>
    <t>03/08/2017 14:03</t>
  </si>
  <si>
    <t>16:18</t>
  </si>
  <si>
    <t>03/08/2017 16:18</t>
  </si>
  <si>
    <t>22:15</t>
  </si>
  <si>
    <t>04/08/2017 22:15</t>
  </si>
  <si>
    <t>11:42</t>
  </si>
  <si>
    <t>05/08/2017 11:42</t>
  </si>
  <si>
    <t>06/08/2017 15:35</t>
  </si>
  <si>
    <t>09/08/2017 07:58</t>
  </si>
  <si>
    <t>10/08/2017 14:04</t>
  </si>
  <si>
    <t>09:39</t>
  </si>
  <si>
    <t>12/08/2017 09:39</t>
  </si>
  <si>
    <t>13/08/2017 16:16</t>
  </si>
  <si>
    <t>20:38</t>
  </si>
  <si>
    <t>26/08/2017 20:38</t>
  </si>
  <si>
    <t>09:54</t>
  </si>
  <si>
    <t>27/08/2017 09:54</t>
  </si>
  <si>
    <t>21:24</t>
  </si>
  <si>
    <t>29/08/2017 21:24</t>
  </si>
  <si>
    <t>15:49</t>
  </si>
  <si>
    <t>30/08/2017 15:49</t>
  </si>
  <si>
    <t>31/08/2017 13:50</t>
  </si>
  <si>
    <t>02/09/2017 15:55</t>
  </si>
  <si>
    <t>03/09/2017 01:00</t>
  </si>
  <si>
    <t>03/09/2017 13:04</t>
  </si>
  <si>
    <t>08:32</t>
  </si>
  <si>
    <t>11/10/2017 08:32</t>
  </si>
  <si>
    <t>05:17</t>
  </si>
  <si>
    <t>24/10/2017 05:17</t>
  </si>
  <si>
    <t>08:23</t>
  </si>
  <si>
    <t>24/10/2017 08:23</t>
  </si>
  <si>
    <t>25/10/2017 13:33</t>
  </si>
  <si>
    <t>12:33</t>
  </si>
  <si>
    <t>27/10/2017 12:33</t>
  </si>
  <si>
    <t>15:10</t>
  </si>
  <si>
    <t>29/10/2017 15:10</t>
  </si>
  <si>
    <t>31/10/2017 12:13</t>
  </si>
  <si>
    <t>18:32</t>
  </si>
  <si>
    <t>02/01/2018 18:32</t>
  </si>
  <si>
    <t>29/01/2018 18:05</t>
  </si>
  <si>
    <t>07/03/2018 19:15</t>
  </si>
  <si>
    <t>10/03/2018 10:05</t>
  </si>
  <si>
    <t>13/03/2018 12:45</t>
  </si>
  <si>
    <t>09:08</t>
  </si>
  <si>
    <t>27/03/2018 09:08</t>
  </si>
  <si>
    <t>11/04/2018 16:21</t>
  </si>
  <si>
    <t>14/04/2018 14:30</t>
  </si>
  <si>
    <t>22/04/2018 11:55</t>
  </si>
  <si>
    <t>00:04</t>
  </si>
  <si>
    <t>24/04/2018 00:04</t>
  </si>
  <si>
    <t>11:17</t>
  </si>
  <si>
    <t>25/04/2018 11:17</t>
  </si>
  <si>
    <t>06:18</t>
  </si>
  <si>
    <t>04/05/2018 06:18</t>
  </si>
  <si>
    <t>20/05/2018 20:40</t>
  </si>
  <si>
    <t>17:36</t>
  </si>
  <si>
    <t>23/05/2018 17:36</t>
  </si>
  <si>
    <t>15:56</t>
  </si>
  <si>
    <t>27/05/2018 15:56</t>
  </si>
  <si>
    <t>17:12</t>
  </si>
  <si>
    <t>29/05/2018 17:12</t>
  </si>
  <si>
    <t>01/06/2018 14:10</t>
  </si>
  <si>
    <t>01/06/2018 18:30</t>
  </si>
  <si>
    <t>02/06/2018 20:58</t>
  </si>
  <si>
    <t>10:15</t>
  </si>
  <si>
    <t>04/06/2018 10:15</t>
  </si>
  <si>
    <t>15/06/2018 14:07</t>
  </si>
  <si>
    <t>16:59</t>
  </si>
  <si>
    <t>16/06/2018 16:59</t>
  </si>
  <si>
    <t>17/06/2018 17:23</t>
  </si>
  <si>
    <t>17:28</t>
  </si>
  <si>
    <t>28/06/2018 17:28</t>
  </si>
  <si>
    <t>09:28</t>
  </si>
  <si>
    <t>05/07/2018 09:28</t>
  </si>
  <si>
    <t>12/07/2018 14:26</t>
  </si>
  <si>
    <t>13:51</t>
  </si>
  <si>
    <t>16/07/2018 13:51</t>
  </si>
  <si>
    <t>21:46</t>
  </si>
  <si>
    <t>17/07/2018 21:46</t>
  </si>
  <si>
    <t>14:34</t>
  </si>
  <si>
    <t>21/07/2018 14:34</t>
  </si>
  <si>
    <t>23/07/2018 19:00</t>
  </si>
  <si>
    <t>23/07/2018 16:49</t>
  </si>
  <si>
    <t>23/07/2018 12:03</t>
  </si>
  <si>
    <t>25/07/2018 15:50</t>
  </si>
  <si>
    <t>26/07/2018 13:20</t>
  </si>
  <si>
    <t>26/07/2018 15:35</t>
  </si>
  <si>
    <t>26/07/2018 15:37</t>
  </si>
  <si>
    <t>20:03</t>
  </si>
  <si>
    <t>27/07/2018 20:03</t>
  </si>
  <si>
    <t>28/07/2018 20:00</t>
  </si>
  <si>
    <t>12/08/2018 23:34</t>
  </si>
  <si>
    <t>12/08/2018 19:30</t>
  </si>
  <si>
    <t>12/08/2018 13:18</t>
  </si>
  <si>
    <t>14/08/2018 16:10</t>
  </si>
  <si>
    <t>16:34</t>
  </si>
  <si>
    <t>15/08/2018 16:34</t>
  </si>
  <si>
    <t>18:44</t>
  </si>
  <si>
    <t>23/08/2018 18:44</t>
  </si>
  <si>
    <t>26/08/2018 15:30</t>
  </si>
  <si>
    <t>30/08/2018 13:42</t>
  </si>
  <si>
    <t>01/09/2018 22:29</t>
  </si>
  <si>
    <t>01/09/2018 22:38</t>
  </si>
  <si>
    <t>09:18</t>
  </si>
  <si>
    <t>07/09/2018 09:18</t>
  </si>
  <si>
    <t>08/09/2018 15:05</t>
  </si>
  <si>
    <t>14:14</t>
  </si>
  <si>
    <t>08/09/2018 14:14</t>
  </si>
  <si>
    <t>08/09/2018 13:57</t>
  </si>
  <si>
    <t>09/09/2018 13:40</t>
  </si>
  <si>
    <t>09/09/2018 18:40</t>
  </si>
  <si>
    <t>12/09/2018 14:50</t>
  </si>
  <si>
    <t>15/09/2018 12:20</t>
  </si>
  <si>
    <t>21:13</t>
  </si>
  <si>
    <t>20/09/2018 21:13</t>
  </si>
  <si>
    <t>26/09/2018 19:05</t>
  </si>
  <si>
    <t>23:35</t>
  </si>
  <si>
    <t>26/09/2018 23:35</t>
  </si>
  <si>
    <t>07:09</t>
  </si>
  <si>
    <t>08/10/2018 07:09</t>
  </si>
  <si>
    <t>12:38</t>
  </si>
  <si>
    <t>04/11/2018 12:38</t>
  </si>
  <si>
    <t>15/11/2018 11:58</t>
  </si>
  <si>
    <t>19:09</t>
  </si>
  <si>
    <t>17/11/2018 19:09</t>
  </si>
  <si>
    <t>29/01/2019 15:41</t>
  </si>
  <si>
    <t>05/02/2019 16:04</t>
  </si>
  <si>
    <t>18:15</t>
  </si>
  <si>
    <t>26/02/2019 18:15</t>
  </si>
  <si>
    <t>24/03/2019 17:09</t>
  </si>
  <si>
    <t>01/04/2019 21:15</t>
  </si>
  <si>
    <t>17:18</t>
  </si>
  <si>
    <t>06/05/2019 19:15</t>
  </si>
  <si>
    <t>06/05/2019 19:40</t>
  </si>
  <si>
    <t>04/06/2019 13:26</t>
  </si>
  <si>
    <t>14/06/2019 18:59</t>
  </si>
  <si>
    <t>14/06/2019 17:28</t>
  </si>
  <si>
    <t>19/06/2019 13:26</t>
  </si>
  <si>
    <t>22/06/2019 12:28</t>
  </si>
  <si>
    <t>14:49</t>
  </si>
  <si>
    <t>30/06/2019 14:49</t>
  </si>
  <si>
    <t>09:52</t>
  </si>
  <si>
    <t>05/07/2019 09:52</t>
  </si>
  <si>
    <t>06/07/2019 19:15</t>
  </si>
  <si>
    <t>07/07/2019 17:19</t>
  </si>
  <si>
    <t>10/07/2019 17:12</t>
  </si>
  <si>
    <t>21:09</t>
  </si>
  <si>
    <t>12/07/2019 21:09</t>
  </si>
  <si>
    <t>15/07/2019 13:57</t>
  </si>
  <si>
    <t>15:33</t>
  </si>
  <si>
    <t>20/07/2019 15:33</t>
  </si>
  <si>
    <t>14:28</t>
  </si>
  <si>
    <t>21/07/2019 14:28</t>
  </si>
  <si>
    <t>23/07/2019 15:21</t>
  </si>
  <si>
    <t>23/07/2019 16:20</t>
  </si>
  <si>
    <t>20:49</t>
  </si>
  <si>
    <t>03/08/2019 20:49</t>
  </si>
  <si>
    <t>10/08/2019 15:17</t>
  </si>
  <si>
    <t>10/08/2019 17:12</t>
  </si>
  <si>
    <t>03:19</t>
  </si>
  <si>
    <t>12/08/2019 03:19</t>
  </si>
  <si>
    <t>15/08/2019 19:44</t>
  </si>
  <si>
    <t>17/08/2019 19:43</t>
  </si>
  <si>
    <t>20/08/2019 12:32</t>
  </si>
  <si>
    <t>08:12</t>
  </si>
  <si>
    <t>20/08/2019 08:12</t>
  </si>
  <si>
    <t>16:39</t>
  </si>
  <si>
    <t>20/08/2019 16:39</t>
  </si>
  <si>
    <t>21/08/2019 15:47</t>
  </si>
  <si>
    <t>22/08/2019 16:08</t>
  </si>
  <si>
    <t>13:41</t>
  </si>
  <si>
    <t>26/08/2019 13:41</t>
  </si>
  <si>
    <t>28/08/2019 14:15</t>
  </si>
  <si>
    <t>16:06</t>
  </si>
  <si>
    <t>30/08/2019 16:06</t>
  </si>
  <si>
    <t>04:35</t>
  </si>
  <si>
    <t>31/08/2019 04:35</t>
  </si>
  <si>
    <t>02/09/2019 03:42</t>
  </si>
  <si>
    <t>23:51</t>
  </si>
  <si>
    <t>04/09/2019 23:51</t>
  </si>
  <si>
    <t>16:17</t>
  </si>
  <si>
    <t>05/09/2019 16:17</t>
  </si>
  <si>
    <t>05/09/2019 02:10</t>
  </si>
  <si>
    <t>08/09/2019 17:49</t>
  </si>
  <si>
    <t>13:17</t>
  </si>
  <si>
    <t>13/09/2019 13:17</t>
  </si>
  <si>
    <t>01:24</t>
  </si>
  <si>
    <t>14/09/2019 01:24</t>
  </si>
  <si>
    <t>01:42</t>
  </si>
  <si>
    <t>14/09/2019 01:42</t>
  </si>
  <si>
    <t>19:56</t>
  </si>
  <si>
    <t>14/09/2019 19:56</t>
  </si>
  <si>
    <t>27/09/2019 12:20</t>
  </si>
  <si>
    <t>06:40</t>
  </si>
  <si>
    <t>28/09/2019 06:40</t>
  </si>
  <si>
    <t>23:27</t>
  </si>
  <si>
    <t>01/10/2019 23:27</t>
  </si>
  <si>
    <t>03/10/2019 14:57</t>
  </si>
  <si>
    <t>04/10/2019 12:00</t>
  </si>
  <si>
    <t>23:08</t>
  </si>
  <si>
    <t>22/10/2019 23:08</t>
  </si>
  <si>
    <t>03/11/2019 14:47</t>
  </si>
  <si>
    <t>08:38</t>
  </si>
  <si>
    <t>08/12/2019 08:38</t>
  </si>
  <si>
    <t>10:11</t>
  </si>
  <si>
    <t>23/01/2020 10:11</t>
  </si>
  <si>
    <t>24/01/2020 15:10</t>
  </si>
  <si>
    <t>29/01/2020 18:30</t>
  </si>
  <si>
    <t>10/02/2020 17:45</t>
  </si>
  <si>
    <t>17:56</t>
  </si>
  <si>
    <t>25/03/2020 12:58</t>
  </si>
  <si>
    <t>25/04/2020 13:15</t>
  </si>
  <si>
    <t>15/05/2020 00:18</t>
  </si>
  <si>
    <t>20/05/2020 13:45</t>
  </si>
  <si>
    <t>11:26</t>
  </si>
  <si>
    <t>21/05/2020 11:26</t>
  </si>
  <si>
    <t>01/06/2020 18:00</t>
  </si>
  <si>
    <t>09/06/2020 15:21</t>
  </si>
  <si>
    <t>16:43</t>
  </si>
  <si>
    <t>22/06/2020 16:43</t>
  </si>
  <si>
    <t>22/06/2020 17:56</t>
  </si>
  <si>
    <t>18:16</t>
  </si>
  <si>
    <t>23/06/2020 18:16</t>
  </si>
  <si>
    <t>00:21</t>
  </si>
  <si>
    <t>27/06/2020 00:21</t>
  </si>
  <si>
    <t>27/06/2020 14:02</t>
  </si>
  <si>
    <t>17:42</t>
  </si>
  <si>
    <t>27/06/2020 17:42</t>
  </si>
  <si>
    <t>16/07/2020 12:35</t>
  </si>
  <si>
    <t>13/08/2020 17:18</t>
  </si>
  <si>
    <t>18/08/2020 11:50</t>
  </si>
  <si>
    <t>30/08/2020 16:04</t>
  </si>
  <si>
    <t>01/09/2020 11:50</t>
  </si>
  <si>
    <t>10:21</t>
  </si>
  <si>
    <t>09/09/2020 10:21</t>
  </si>
  <si>
    <t>11:47</t>
  </si>
  <si>
    <t>09/09/2020 11:47</t>
  </si>
  <si>
    <t>22:50</t>
  </si>
  <si>
    <t>09/09/2020 22:50</t>
  </si>
  <si>
    <t>10/09/2020 09:20</t>
  </si>
  <si>
    <t>20:52</t>
  </si>
  <si>
    <t>14/09/2020 20:52</t>
  </si>
  <si>
    <t>03:12</t>
  </si>
  <si>
    <t>16/09/2020 03:12</t>
  </si>
  <si>
    <t>18/09/2020 09:50</t>
  </si>
  <si>
    <t>14:44</t>
  </si>
  <si>
    <t>21/09/2020 14:44</t>
  </si>
  <si>
    <t>26/09/2020 11:33</t>
  </si>
  <si>
    <t>12/10/2020 07:00</t>
  </si>
  <si>
    <t>09:03</t>
  </si>
  <si>
    <t>13/10/2020 09:03</t>
  </si>
  <si>
    <t>04/11/2020 15:15</t>
  </si>
  <si>
    <t>05:50</t>
  </si>
  <si>
    <t>05/11/2020 05:50</t>
  </si>
  <si>
    <t>07/11/2020 00:01</t>
  </si>
  <si>
    <t>09/11/2020 15:57</t>
  </si>
  <si>
    <t>14:42</t>
  </si>
  <si>
    <t>11/11/2020 14:42</t>
  </si>
  <si>
    <t>06:50</t>
  </si>
  <si>
    <t>13/11/2020 06:50</t>
  </si>
  <si>
    <t>16/11/2020 11:52</t>
  </si>
  <si>
    <t>20/11/2020 12:29</t>
  </si>
  <si>
    <t>00:15</t>
  </si>
  <si>
    <t>27/11/2020 00:15</t>
  </si>
  <si>
    <t>28/11/2020 10:00</t>
  </si>
  <si>
    <t>12:39</t>
  </si>
  <si>
    <t>26/02/2021 12:39</t>
  </si>
  <si>
    <t>14:31</t>
  </si>
  <si>
    <t>06/03/2021 14:31</t>
  </si>
  <si>
    <t>08/03/2021 18:53</t>
  </si>
  <si>
    <t>09:01</t>
  </si>
  <si>
    <t>18/03/2021 09:01</t>
  </si>
  <si>
    <t>15:51</t>
  </si>
  <si>
    <t>22/03/2021 15:51</t>
  </si>
  <si>
    <t>26/03/2021 14:15</t>
  </si>
  <si>
    <t>11:28</t>
  </si>
  <si>
    <t>12/04/2021 11:28</t>
  </si>
  <si>
    <t>14/04/2021 17:27</t>
  </si>
  <si>
    <t>18:28</t>
  </si>
  <si>
    <t>16/04/2021 18:28</t>
  </si>
  <si>
    <t>16/04/2021 14:07</t>
  </si>
  <si>
    <t>17:33</t>
  </si>
  <si>
    <t>30/04/2021 17:33</t>
  </si>
  <si>
    <t>21:27</t>
  </si>
  <si>
    <t>01/05/2021 21:27</t>
  </si>
  <si>
    <t>16:58</t>
  </si>
  <si>
    <t>10/05/2021 16:58</t>
  </si>
  <si>
    <t>09:38</t>
  </si>
  <si>
    <t>12/05/2021 09:38</t>
  </si>
  <si>
    <t>16/05/2021 18:27</t>
  </si>
  <si>
    <t>17:38</t>
  </si>
  <si>
    <t>24/05/2021 17:38</t>
  </si>
  <si>
    <t>24/05/2021 19:40</t>
  </si>
  <si>
    <t>28/05/2021 18:28</t>
  </si>
  <si>
    <t>13:34</t>
  </si>
  <si>
    <t>30/05/2021 13:34</t>
  </si>
  <si>
    <t>20:25</t>
  </si>
  <si>
    <t>30/05/2021 20:25</t>
  </si>
  <si>
    <t>01/06/2021 16:30</t>
  </si>
  <si>
    <t>02/06/2021 12:43</t>
  </si>
  <si>
    <t>05/06/2021 12:53</t>
  </si>
  <si>
    <t>07/06/2021 16:39</t>
  </si>
  <si>
    <t>10/06/2021 11:33</t>
  </si>
  <si>
    <t>11/06/2021 14:50</t>
  </si>
  <si>
    <t>12/06/2021 14:40</t>
  </si>
  <si>
    <t>14:24</t>
  </si>
  <si>
    <t>12/06/2021 14:24</t>
  </si>
  <si>
    <t>14:46</t>
  </si>
  <si>
    <t>27/06/2021 14:46</t>
  </si>
  <si>
    <t>20:55</t>
  </si>
  <si>
    <t>29/06/2021 20:55</t>
  </si>
  <si>
    <t>30/06/2021 10:27</t>
  </si>
  <si>
    <t>05/07/2021 14:30</t>
  </si>
  <si>
    <t>05/07/2021 15:19</t>
  </si>
  <si>
    <t>05/07/2021 15:22</t>
  </si>
  <si>
    <t>19:18</t>
  </si>
  <si>
    <t>09/07/2021 19:18</t>
  </si>
  <si>
    <t>10/07/2021 10:30</t>
  </si>
  <si>
    <t>11:05</t>
  </si>
  <si>
    <t>10/07/2021 11:05</t>
  </si>
  <si>
    <t>11/07/2021 12:31</t>
  </si>
  <si>
    <t>18:43</t>
  </si>
  <si>
    <t>12/07/2021 18:43</t>
  </si>
  <si>
    <t>23/07/2021 12:00</t>
  </si>
  <si>
    <t>25/07/2021 13:49</t>
  </si>
  <si>
    <t>28/07/2021 11:17</t>
  </si>
  <si>
    <t>07:35</t>
  </si>
  <si>
    <t>30/07/2021 07:35</t>
  </si>
  <si>
    <t>17:24</t>
  </si>
  <si>
    <t>31/07/2021 17:24</t>
  </si>
  <si>
    <t>01/08/2021 21:17</t>
  </si>
  <si>
    <t>13:22</t>
  </si>
  <si>
    <t>03/08/2021 13:22</t>
  </si>
  <si>
    <t>06/08/2021 15:24</t>
  </si>
  <si>
    <t>17:06</t>
  </si>
  <si>
    <t>06/08/2021 17:06</t>
  </si>
  <si>
    <t>11/08/2021 19:00</t>
  </si>
  <si>
    <t>11/08/2021 18:15</t>
  </si>
  <si>
    <t>12:16</t>
  </si>
  <si>
    <t>11/08/2021 12:16</t>
  </si>
  <si>
    <t>11/08/2021 17:54</t>
  </si>
  <si>
    <t>11/08/2021 18:03</t>
  </si>
  <si>
    <t>18:39</t>
  </si>
  <si>
    <t>11/08/2021 18:39</t>
  </si>
  <si>
    <t>16/08/2021 10:27</t>
  </si>
  <si>
    <t>07/09/2021 12:32</t>
  </si>
  <si>
    <t>14/09/2021 14:00</t>
  </si>
  <si>
    <t>15/09/2021 09:28</t>
  </si>
  <si>
    <t>17/09/2021 19:43</t>
  </si>
  <si>
    <t>18/09/2021 16:23</t>
  </si>
  <si>
    <t>02:15</t>
  </si>
  <si>
    <t>19/09/2021 02:15</t>
  </si>
  <si>
    <t>20/09/2021 22:35</t>
  </si>
  <si>
    <t>21:45</t>
  </si>
  <si>
    <t>20/09/2021 21:45</t>
  </si>
  <si>
    <t>21:03</t>
  </si>
  <si>
    <t>30/09/2021 21:03</t>
  </si>
  <si>
    <t>22:04</t>
  </si>
  <si>
    <t>07/10/2021 22:04</t>
  </si>
  <si>
    <t>12:37</t>
  </si>
  <si>
    <t>21/10/2021 12:37</t>
  </si>
  <si>
    <t>12:56</t>
  </si>
  <si>
    <t>20/11/2021 15:06</t>
  </si>
  <si>
    <t>30/11/2021 12:20</t>
  </si>
  <si>
    <t>10/02/2022 15:23</t>
  </si>
  <si>
    <t>11/02/2022 15:08</t>
  </si>
  <si>
    <t>12:21</t>
  </si>
  <si>
    <t>27/02/2022 12:21</t>
  </si>
  <si>
    <t>28/03/2022 12:55</t>
  </si>
  <si>
    <t>23/04/2022 12:40</t>
  </si>
  <si>
    <t>24/04/2022 13:21</t>
  </si>
  <si>
    <t>27/04/2022 12:20</t>
  </si>
  <si>
    <t>10/05/2022 11:47</t>
  </si>
  <si>
    <t>14/05/2022 20:39</t>
  </si>
  <si>
    <t>19/05/2022 18:55</t>
  </si>
  <si>
    <t>21/05/2022 18:38</t>
  </si>
  <si>
    <t>28/05/2022 14:20</t>
  </si>
  <si>
    <t>31/05/2022 14:30</t>
  </si>
  <si>
    <t>31/05/2022 15:05</t>
  </si>
  <si>
    <t>04/06/2022 12:56</t>
  </si>
  <si>
    <t>18:06</t>
  </si>
  <si>
    <t>04/06/2022 18:06</t>
  </si>
  <si>
    <t>23:12</t>
  </si>
  <si>
    <t>06/06/2022 23:12</t>
  </si>
  <si>
    <t>11/06/2022 12:32</t>
  </si>
  <si>
    <t>13:24</t>
  </si>
  <si>
    <t>14/06/2022 13:24</t>
  </si>
  <si>
    <t>16/06/2022 16:00</t>
  </si>
  <si>
    <t>21:31</t>
  </si>
  <si>
    <t>21/06/2022 21:31</t>
  </si>
  <si>
    <t>22/06/2022 15:18</t>
  </si>
  <si>
    <t>23/06/2022 15:25</t>
  </si>
  <si>
    <t>03/07/2022 18:06</t>
  </si>
  <si>
    <t>05/07/2022 11:55</t>
  </si>
  <si>
    <t>08/07/2022 13:24</t>
  </si>
  <si>
    <t>23:54</t>
  </si>
  <si>
    <t>15/07/2022 23:54</t>
  </si>
  <si>
    <t>10:48</t>
  </si>
  <si>
    <t>15/07/2022 10:48</t>
  </si>
  <si>
    <t>10:56</t>
  </si>
  <si>
    <t>15/07/2022 10:56</t>
  </si>
  <si>
    <t>16/07/2022 18:15</t>
  </si>
  <si>
    <t>17/07/2022 13:21</t>
  </si>
  <si>
    <t>19/07/2022 17:19</t>
  </si>
  <si>
    <t>20/07/2022 17:42</t>
  </si>
  <si>
    <t>18:33</t>
  </si>
  <si>
    <t>20/07/2022 18:33</t>
  </si>
  <si>
    <t>23/07/2022 13:41</t>
  </si>
  <si>
    <t>15:27</t>
  </si>
  <si>
    <t>26/07/2022 15:27</t>
  </si>
  <si>
    <t>26/07/2022 17:05</t>
  </si>
  <si>
    <t>08/08/2022 11:45</t>
  </si>
  <si>
    <t>08/08/2022 01:00</t>
  </si>
  <si>
    <t>10/08/2022 11:43</t>
  </si>
  <si>
    <t>13/08/2022 14:11</t>
  </si>
  <si>
    <t>13/08/2022 17:12</t>
  </si>
  <si>
    <t>18/08/2022 21:44</t>
  </si>
  <si>
    <t>13:01</t>
  </si>
  <si>
    <t>24/08/2022 13:01</t>
  </si>
  <si>
    <t>24/08/2022 12:50</t>
  </si>
  <si>
    <t>25/08/2022 13:40</t>
  </si>
  <si>
    <t>15:02</t>
  </si>
  <si>
    <t>01/09/2022 15:02</t>
  </si>
  <si>
    <t>02/09/2022 14:26</t>
  </si>
  <si>
    <t>24/09/2022 10:58</t>
  </si>
  <si>
    <t>15:14</t>
  </si>
  <si>
    <t>25/09/2022 15:14</t>
  </si>
  <si>
    <t>14:22</t>
  </si>
  <si>
    <t>01/11/2022 14:22</t>
  </si>
  <si>
    <t>02/11/2022 15:25</t>
  </si>
  <si>
    <t>13/11/2022 12:58</t>
  </si>
  <si>
    <t>10/12/2022 12:34</t>
  </si>
  <si>
    <t>03/01/2023 11:30</t>
  </si>
  <si>
    <t>10:31</t>
  </si>
  <si>
    <t>06/01/2023 10:31</t>
  </si>
  <si>
    <t>06:59</t>
  </si>
  <si>
    <t>20/01/2023 06:59</t>
  </si>
  <si>
    <t>28/02/2023 13:33</t>
  </si>
  <si>
    <t>11:01</t>
  </si>
  <si>
    <t>01/03/2023 11:01</t>
  </si>
  <si>
    <t>16:28</t>
  </si>
  <si>
    <t>14/03/2023 16:28</t>
  </si>
  <si>
    <t>11:18</t>
  </si>
  <si>
    <t>23/03/2023 11:18</t>
  </si>
  <si>
    <t>09:17</t>
  </si>
  <si>
    <t>07/04/2023 09:17</t>
  </si>
  <si>
    <t>08/04/2023 17:00</t>
  </si>
  <si>
    <t>16/04/2023 11:40</t>
  </si>
  <si>
    <t>00:30</t>
  </si>
  <si>
    <t>16/04/2023 00:30</t>
  </si>
  <si>
    <t>19/04/2023 14:42</t>
  </si>
  <si>
    <t>27/04/2023 13:00</t>
  </si>
  <si>
    <t>01/06/2023 17:00</t>
  </si>
  <si>
    <t>15/06/2023 21:34</t>
  </si>
  <si>
    <t>20/06/2023 16:04</t>
  </si>
  <si>
    <t>22/06/2023 11:43</t>
  </si>
  <si>
    <t>26/06/2023 12:38</t>
  </si>
  <si>
    <t>21:49</t>
  </si>
  <si>
    <t>03/07/2023 21:49</t>
  </si>
  <si>
    <t>04/07/2023 15:05</t>
  </si>
  <si>
    <t>06/07/2023 13:43</t>
  </si>
  <si>
    <t>22:56</t>
  </si>
  <si>
    <t>11/07/2023 22:56</t>
  </si>
  <si>
    <t>12:27</t>
  </si>
  <si>
    <t>17/07/2023 12:27</t>
  </si>
  <si>
    <t>25/07/2023 08:30</t>
  </si>
  <si>
    <t>26/07/2023 17:35</t>
  </si>
  <si>
    <t>10:49</t>
  </si>
  <si>
    <t>30/07/2023 10:49</t>
  </si>
  <si>
    <t>30/07/2023 11:48</t>
  </si>
  <si>
    <t>07:44</t>
  </si>
  <si>
    <t>02/08/2023 07:44</t>
  </si>
  <si>
    <t>07/08/2023 14:03</t>
  </si>
  <si>
    <t>22/08/2023 11:59</t>
  </si>
  <si>
    <t>06:31</t>
  </si>
  <si>
    <t>26/08/2023 06:31</t>
  </si>
  <si>
    <t>09:05</t>
  </si>
  <si>
    <t>26/08/2023 09:05</t>
  </si>
  <si>
    <t>09:43</t>
  </si>
  <si>
    <t>26/08/2023 09:43</t>
  </si>
  <si>
    <t>06:34</t>
  </si>
  <si>
    <t>26/08/2023 06:34</t>
  </si>
  <si>
    <t>15:32</t>
  </si>
  <si>
    <t>27/08/2023 15:32</t>
  </si>
  <si>
    <t>04/09/2023 11:58</t>
  </si>
  <si>
    <t>04/09/2023 13:06</t>
  </si>
  <si>
    <t>04/09/2023 14:44</t>
  </si>
  <si>
    <t>25/10/2023 16:49</t>
  </si>
  <si>
    <t>05/11/2023 09:38</t>
  </si>
  <si>
    <t>15/01/2024 14:14</t>
  </si>
  <si>
    <t>10/02/2024 14:23</t>
  </si>
  <si>
    <t>19:54</t>
  </si>
  <si>
    <t>28/03/2024 19:54</t>
  </si>
  <si>
    <t>07/04/2024 15:43</t>
  </si>
  <si>
    <t>08/04/2024 10:04</t>
  </si>
  <si>
    <t>05/05/2024 13:13</t>
  </si>
  <si>
    <t>10:57</t>
  </si>
  <si>
    <t>07/05/2024 10:57</t>
  </si>
  <si>
    <t>13/05/2024 13:28</t>
  </si>
  <si>
    <t>13:12</t>
  </si>
  <si>
    <t>25/05/2024 13:12</t>
  </si>
  <si>
    <t>25/05/2024 13:34</t>
  </si>
  <si>
    <t>30/05/2024 14:50</t>
  </si>
  <si>
    <t>04/06/2024 11:40</t>
  </si>
  <si>
    <t>16/06/2024 16:20</t>
  </si>
  <si>
    <t>18:31</t>
  </si>
  <si>
    <t>19/06/2024 18:31</t>
  </si>
  <si>
    <t>19/06/2024 13:10</t>
  </si>
  <si>
    <t>21/06/2024 15:23</t>
  </si>
  <si>
    <t>22/06/2024 10:31</t>
  </si>
  <si>
    <t>30/06/2024 16:17</t>
  </si>
  <si>
    <t>30/06/2024 11:51</t>
  </si>
  <si>
    <t>03/07/2024 14:22</t>
  </si>
  <si>
    <t>15/07/2024 11:45</t>
  </si>
  <si>
    <t>19:24</t>
  </si>
  <si>
    <t>19/07/2024 19:24</t>
  </si>
  <si>
    <t>23/07/2024 19:47</t>
  </si>
  <si>
    <t>01/08/2024 11:15</t>
  </si>
  <si>
    <t>02/08/2024 12:37</t>
  </si>
  <si>
    <t>04/08/2024 16:55</t>
  </si>
  <si>
    <t>11/08/2024 14:30</t>
  </si>
  <si>
    <t>13/08/2024 08:23</t>
  </si>
  <si>
    <t>19/08/2024 16:30</t>
  </si>
  <si>
    <t>22/08/2024 15:45</t>
  </si>
  <si>
    <t>26/08/2024 15:15</t>
  </si>
  <si>
    <t>28/08/2024 16:44</t>
  </si>
  <si>
    <t>18:13</t>
  </si>
  <si>
    <t>29/08/2024 18:13</t>
  </si>
  <si>
    <t>29/08/2024 15:16</t>
  </si>
  <si>
    <t>15:03</t>
  </si>
  <si>
    <t>30/08/2024 15:03</t>
  </si>
  <si>
    <t>08/09/2024 15:50</t>
  </si>
  <si>
    <t>21/09/2024 18:27</t>
  </si>
  <si>
    <t>11:36</t>
  </si>
  <si>
    <t>24/11/2024 11:36</t>
  </si>
  <si>
    <t>WindDirClass</t>
  </si>
  <si>
    <t>WindDirCode</t>
  </si>
  <si>
    <t>WindspeedClass</t>
  </si>
  <si>
    <t>05/02/2013 18:00</t>
  </si>
  <si>
    <t>06/02/2013 11:50</t>
  </si>
  <si>
    <t>12/02/2013 12:45</t>
  </si>
  <si>
    <t>05/03/2013 21:45</t>
  </si>
  <si>
    <t>01/04/2013 12:20</t>
  </si>
  <si>
    <t>03/04/2013 13:58</t>
  </si>
  <si>
    <t>08:29</t>
  </si>
  <si>
    <t>04/04/2013 08:29</t>
  </si>
  <si>
    <t>09/04/2013 17:30</t>
  </si>
  <si>
    <t>10/04/2013 13:35</t>
  </si>
  <si>
    <t>11/04/2013 09:08</t>
  </si>
  <si>
    <t>16/04/2013 19:00</t>
  </si>
  <si>
    <t>19:55</t>
  </si>
  <si>
    <t>24/04/2013 19:55</t>
  </si>
  <si>
    <t>29/04/2013 13:54</t>
  </si>
  <si>
    <t>10:33</t>
  </si>
  <si>
    <t>30/04/2013 10:33</t>
  </si>
  <si>
    <t>19:50</t>
  </si>
  <si>
    <t>01/05/2013 19:50</t>
  </si>
  <si>
    <t>02/05/2013 15:10</t>
  </si>
  <si>
    <t>15:04</t>
  </si>
  <si>
    <t>07/05/2013 15:04</t>
  </si>
  <si>
    <t>11/05/2013 17:43</t>
  </si>
  <si>
    <t>22/05/2013 16:20</t>
  </si>
  <si>
    <t>25/05/2013 16:15</t>
  </si>
  <si>
    <t>12:51</t>
  </si>
  <si>
    <t>26/05/2013 12:51</t>
  </si>
  <si>
    <t>14:17</t>
  </si>
  <si>
    <t>27/05/2013 14:17</t>
  </si>
  <si>
    <t>31/05/2013 19:00</t>
  </si>
  <si>
    <t>31/05/2013 17:23</t>
  </si>
  <si>
    <t>31/05/2013 19:09</t>
  </si>
  <si>
    <t>31/05/2013 17:00</t>
  </si>
  <si>
    <t>03/06/2013 15:01</t>
  </si>
  <si>
    <t>21:38</t>
  </si>
  <si>
    <t>06/06/2013 21:38</t>
  </si>
  <si>
    <t>22:01</t>
  </si>
  <si>
    <t>08/06/2013 22:01</t>
  </si>
  <si>
    <t>11/06/2013 14:32</t>
  </si>
  <si>
    <t>18/06/2013 17:30</t>
  </si>
  <si>
    <t>22/06/2013 12:40</t>
  </si>
  <si>
    <t>22/06/2013 14:55</t>
  </si>
  <si>
    <t>23/06/2013 12:24</t>
  </si>
  <si>
    <t>24/06/2013 15:42</t>
  </si>
  <si>
    <t>27/06/2013 14:35</t>
  </si>
  <si>
    <t>30/06/2013 11:17</t>
  </si>
  <si>
    <t>08:04</t>
  </si>
  <si>
    <t>08/07/2013 08:04</t>
  </si>
  <si>
    <t>08:58</t>
  </si>
  <si>
    <t>08/07/2013 08:58</t>
  </si>
  <si>
    <t>08/07/2013 14:20</t>
  </si>
  <si>
    <t>01:50</t>
  </si>
  <si>
    <t>09/07/2013 01:50</t>
  </si>
  <si>
    <t>14:38</t>
  </si>
  <si>
    <t>14/07/2013 14:38</t>
  </si>
  <si>
    <t>15/07/2013 12:49</t>
  </si>
  <si>
    <t>15/07/2013 15:19</t>
  </si>
  <si>
    <t>15/07/2013 01:00</t>
  </si>
  <si>
    <t>16/07/2013 21:45</t>
  </si>
  <si>
    <t>21:11</t>
  </si>
  <si>
    <t>17/07/2013 21:11</t>
  </si>
  <si>
    <t>01:25</t>
  </si>
  <si>
    <t>18/07/2013 01:25</t>
  </si>
  <si>
    <t>20/07/2013 12:17</t>
  </si>
  <si>
    <t>29/07/2013 11:30</t>
  </si>
  <si>
    <t>04/08/2013 15:07</t>
  </si>
  <si>
    <t>22:40</t>
  </si>
  <si>
    <t>05/08/2013 22:40</t>
  </si>
  <si>
    <t>12:19</t>
  </si>
  <si>
    <t>05/08/2013 12:19</t>
  </si>
  <si>
    <t>15:13</t>
  </si>
  <si>
    <t>10/08/2013 15:13</t>
  </si>
  <si>
    <t>11/08/2013 11:47</t>
  </si>
  <si>
    <t>14/08/2013 12:30</t>
  </si>
  <si>
    <t>15:38</t>
  </si>
  <si>
    <t>16/08/2013 15:38</t>
  </si>
  <si>
    <t>16/08/2013 13:30</t>
  </si>
  <si>
    <t>07:45</t>
  </si>
  <si>
    <t>21/08/2013 07:45</t>
  </si>
  <si>
    <t>23:13</t>
  </si>
  <si>
    <t>22/08/2013 23:13</t>
  </si>
  <si>
    <t>15:48</t>
  </si>
  <si>
    <t>23/08/2013 15:48</t>
  </si>
  <si>
    <t>01:40</t>
  </si>
  <si>
    <t>25/08/2013 01:40</t>
  </si>
  <si>
    <t>21:16</t>
  </si>
  <si>
    <t>26/08/2013 21:16</t>
  </si>
  <si>
    <t>27/09/2013 16:25</t>
  </si>
  <si>
    <t>01/10/2013 15:43</t>
  </si>
  <si>
    <t>04/10/2013 10:00</t>
  </si>
  <si>
    <t>17/10/2013 13:35</t>
  </si>
  <si>
    <t>11:10</t>
  </si>
  <si>
    <t>04/11/2013 11:10</t>
  </si>
  <si>
    <t>07/11/2013 12:25</t>
  </si>
  <si>
    <t>09/12/2013 16:20</t>
  </si>
  <si>
    <t>10/12/2013 16:55</t>
  </si>
  <si>
    <t>14/12/2013 17:15</t>
  </si>
  <si>
    <t>21/12/2013 17:24</t>
  </si>
  <si>
    <t>Month</t>
  </si>
  <si>
    <t>Month class</t>
  </si>
  <si>
    <t>HumiditySpecialClass</t>
  </si>
  <si>
    <t>Precipitationbasicclass</t>
  </si>
  <si>
    <t>WindgustClass</t>
  </si>
  <si>
    <t>WinddirSpecialClass</t>
  </si>
  <si>
    <t>TimeClass</t>
  </si>
  <si>
    <t>Final_DangerClass_combination</t>
  </si>
  <si>
    <t>tempspecialClass</t>
  </si>
  <si>
    <t>Year</t>
  </si>
  <si>
    <t>precipaverage</t>
  </si>
  <si>
    <t>windspeedaverage</t>
  </si>
  <si>
    <t>durationaverage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</si>
</sst>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h]:mm:ss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/>
    <xf numFmtId="3" fontId="0" fillId="0" borderId="0" xfId="0" applyNumberFormat="1"/>
    <xf numFmtId="165" fontId="0" fillId="0" borderId="0" xfId="0" applyNumberFormat="1"/>
    <xf numFmtId="0" fontId="0" fillId="2" borderId="2" xfId="0" applyFill="1" applyBorder="1"/>
    <xf numFmtId="0" fontId="0" fillId="0" borderId="1" xfId="0" applyBorder="1"/>
    <xf numFmtId="1" fontId="0" fillId="2" borderId="1" xfId="0" applyNumberFormat="1" applyFill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69"/>
  <sheetViews>
    <sheetView tabSelected="1" zoomScale="70" zoomScaleNormal="70" workbookViewId="0">
      <selection activeCell="P7" sqref="P7"/>
    </sheetView>
  </sheetViews>
  <sheetFormatPr defaultRowHeight="15" x14ac:dyDescent="0.25"/>
  <cols>
    <col min="1" max="1" width="12.7109375" bestFit="1" customWidth="1"/>
    <col min="2" max="2" width="21.5703125" bestFit="1" customWidth="1"/>
    <col min="3" max="3" width="21.5703125" style="2" customWidth="1"/>
    <col min="7" max="7" width="16.85546875" style="2" bestFit="1" customWidth="1"/>
    <col min="13" max="13" width="20.42578125" style="2" bestFit="1" customWidth="1"/>
    <col min="15" max="15" width="13.7109375" bestFit="1" customWidth="1"/>
    <col min="16" max="16" width="22" style="2" bestFit="1" customWidth="1"/>
    <col min="23" max="23" width="14.7109375" style="2" bestFit="1" customWidth="1"/>
    <col min="24" max="24" width="10.85546875" bestFit="1" customWidth="1"/>
    <col min="25" max="25" width="18.140625" bestFit="1" customWidth="1"/>
    <col min="26" max="26" width="15.7109375" style="2" bestFit="1" customWidth="1"/>
    <col min="28" max="28" width="11.7109375" style="2" bestFit="1" customWidth="1"/>
    <col min="29" max="29" width="13.42578125" style="5" bestFit="1" customWidth="1"/>
    <col min="30" max="30" width="19.42578125" style="2" bestFit="1" customWidth="1"/>
    <col min="31" max="31" width="16.28515625" bestFit="1" customWidth="1"/>
    <col min="32" max="32" width="14.42578125" style="4" bestFit="1" customWidth="1"/>
    <col min="33" max="33" width="10.140625" style="2" bestFit="1" customWidth="1"/>
    <col min="34" max="34" width="20.7109375" bestFit="1" customWidth="1"/>
    <col min="35" max="36" width="20.7109375" style="2" customWidth="1"/>
    <col min="37" max="37" width="21.42578125" style="3" bestFit="1" customWidth="1"/>
    <col min="38" max="38" width="21.42578125" style="3" customWidth="1"/>
    <col min="39" max="39" width="16.7109375" style="2" bestFit="1" customWidth="1"/>
    <col min="40" max="40" width="18.140625" bestFit="1" customWidth="1"/>
    <col min="42" max="42" width="17.85546875" bestFit="1" customWidth="1"/>
    <col min="43" max="43" width="30.140625" style="2" bestFit="1" customWidth="1"/>
  </cols>
  <sheetData>
    <row r="1" spans="1:43" x14ac:dyDescent="0.25">
      <c r="A1" t="s">
        <v>0</v>
      </c>
      <c r="B1" t="s">
        <v>1</v>
      </c>
      <c r="C1" s="2" t="s">
        <v>2950</v>
      </c>
      <c r="D1" t="s">
        <v>2</v>
      </c>
      <c r="E1" t="s">
        <v>3</v>
      </c>
      <c r="F1" t="s">
        <v>4</v>
      </c>
      <c r="G1" s="2" t="s">
        <v>2949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2943</v>
      </c>
      <c r="N1" t="s">
        <v>10</v>
      </c>
      <c r="O1" t="s">
        <v>2951</v>
      </c>
      <c r="P1" s="2" t="s">
        <v>2944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2" t="s">
        <v>2945</v>
      </c>
      <c r="X1" t="s">
        <v>17</v>
      </c>
      <c r="Y1" t="s">
        <v>2952</v>
      </c>
      <c r="Z1" s="2" t="s">
        <v>2842</v>
      </c>
      <c r="AA1" t="s">
        <v>18</v>
      </c>
      <c r="AB1" s="2" t="s">
        <v>2841</v>
      </c>
      <c r="AC1" s="5" t="s">
        <v>2840</v>
      </c>
      <c r="AD1" s="2" t="s">
        <v>2946</v>
      </c>
      <c r="AE1" t="s">
        <v>19</v>
      </c>
      <c r="AF1" s="4" t="s">
        <v>20</v>
      </c>
      <c r="AG1" s="2" t="s">
        <v>2947</v>
      </c>
      <c r="AH1" t="s">
        <v>21</v>
      </c>
      <c r="AI1" s="2" t="s">
        <v>2941</v>
      </c>
      <c r="AJ1" s="2" t="s">
        <v>2942</v>
      </c>
      <c r="AK1" s="3" t="s">
        <v>22</v>
      </c>
      <c r="AL1" s="3" t="s">
        <v>2953</v>
      </c>
      <c r="AM1" s="2" t="s">
        <v>23</v>
      </c>
      <c r="AN1" t="s">
        <v>24</v>
      </c>
      <c r="AO1" t="s">
        <v>25</v>
      </c>
      <c r="AP1" t="s">
        <v>26</v>
      </c>
      <c r="AQ1" s="2" t="s">
        <v>2948</v>
      </c>
    </row>
    <row r="2" spans="1:43" x14ac:dyDescent="0.25">
      <c r="A2" t="s">
        <v>27</v>
      </c>
      <c r="B2" s="1">
        <v>36654</v>
      </c>
      <c r="C2" s="7">
        <f t="shared" ref="C2:C33" si="0">YEAR(B2)</f>
        <v>2000</v>
      </c>
      <c r="D2">
        <v>77.7</v>
      </c>
      <c r="E2">
        <v>54.3</v>
      </c>
      <c r="F2">
        <v>67.3</v>
      </c>
      <c r="G2" s="2">
        <f t="shared" ref="G2:G65" si="1">IF(F2&lt;=73.6,0,1)</f>
        <v>0</v>
      </c>
      <c r="H2">
        <v>77.7</v>
      </c>
      <c r="I2">
        <v>54.3</v>
      </c>
      <c r="J2">
        <v>67.3</v>
      </c>
      <c r="K2">
        <v>47.7</v>
      </c>
      <c r="L2">
        <v>50.7</v>
      </c>
      <c r="M2" s="2">
        <f t="shared" ref="M2:M33" si="2">IF(L2&lt;=49.3,1,0)</f>
        <v>0</v>
      </c>
      <c r="N2">
        <v>0</v>
      </c>
      <c r="O2">
        <f>AVERAGE(N2:N91)</f>
        <v>8.5222222222222227E-3</v>
      </c>
      <c r="P2" s="2">
        <f t="shared" ref="P2:P33" si="3">IF(N2&lt;=0.01,1,0)</f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f t="shared" ref="W2:W33" si="4">IF(V2&lt;=10,0,1)</f>
        <v>0</v>
      </c>
      <c r="X2">
        <v>10.4</v>
      </c>
      <c r="Y2">
        <f>AVERAGE(X2:X91)</f>
        <v>14.995555555555551</v>
      </c>
      <c r="Z2" s="2">
        <f t="shared" ref="Z2:Z33" si="5">IF(X2&gt;=16,1,0)</f>
        <v>0</v>
      </c>
      <c r="AA2">
        <v>176.7</v>
      </c>
      <c r="AB2" s="2" t="str">
        <f>CHOOSE(MATCH(AA2,{0;11;80;111;161;191;241;281;341},1),"North","NorthEast","East","SouthEast","South","SouthWest","West","NorthWest","North")</f>
        <v>South</v>
      </c>
      <c r="AC2" s="5">
        <f>CHOOSE(MATCH(AB2,{"South";"SouthEast";"SouthWest";"North";"NorthEast";"East";"West";"NorthWest"},0),1,2,3,4,5,6,7,8)</f>
        <v>1</v>
      </c>
      <c r="AD2" s="2">
        <f t="shared" ref="AD2:AD33" si="6">IF(OR(AC2=3,AC2=4,AC2=5,AC2=8),1,0)</f>
        <v>0</v>
      </c>
      <c r="AE2">
        <v>1022</v>
      </c>
      <c r="AF2" s="4" t="s">
        <v>28</v>
      </c>
      <c r="AG2" s="2">
        <f t="shared" ref="AG2:AG33" si="7">IF(TIMEVALUE(AF2)&lt;=TIME(12,30,0),0,1)</f>
        <v>1</v>
      </c>
      <c r="AH2" t="s">
        <v>29</v>
      </c>
      <c r="AI2" s="2">
        <f t="shared" ref="AI2:AI33" si="8">MONTH(AH2)</f>
        <v>5</v>
      </c>
      <c r="AJ2" s="2">
        <f t="shared" ref="AJ2:AJ33" si="9">IF(OR(AI2=6,AI2=7,AI2=8),1,0)</f>
        <v>0</v>
      </c>
      <c r="AK2" s="3">
        <v>757.0000000053551</v>
      </c>
      <c r="AL2" s="3">
        <f>AVERAGE(AK2:AK91)</f>
        <v>778.9222222219687</v>
      </c>
      <c r="AM2" s="2">
        <v>1</v>
      </c>
      <c r="AN2">
        <v>0</v>
      </c>
      <c r="AO2">
        <v>5</v>
      </c>
      <c r="AP2">
        <v>0</v>
      </c>
      <c r="AQ2" s="2">
        <f>IF((2*G2 + M2 -P2 + 3*W2 + 2*Z2+2*AD2 + AG2+2*AJ2 + 4*AM2) &gt;=8,1,0)</f>
        <v>0</v>
      </c>
    </row>
    <row r="3" spans="1:43" x14ac:dyDescent="0.25">
      <c r="A3" t="s">
        <v>27</v>
      </c>
      <c r="B3" s="1">
        <v>36654</v>
      </c>
      <c r="C3" s="7">
        <f t="shared" si="0"/>
        <v>2000</v>
      </c>
      <c r="D3">
        <v>77.7</v>
      </c>
      <c r="E3">
        <v>54.3</v>
      </c>
      <c r="F3">
        <v>67.3</v>
      </c>
      <c r="G3" s="2">
        <f t="shared" si="1"/>
        <v>0</v>
      </c>
      <c r="H3">
        <v>77.7</v>
      </c>
      <c r="I3">
        <v>54.3</v>
      </c>
      <c r="J3">
        <v>67.3</v>
      </c>
      <c r="K3">
        <v>47.7</v>
      </c>
      <c r="L3">
        <v>50.7</v>
      </c>
      <c r="M3" s="2">
        <f t="shared" si="2"/>
        <v>0</v>
      </c>
      <c r="N3">
        <v>0</v>
      </c>
      <c r="P3" s="2">
        <f t="shared" si="3"/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s="2">
        <f t="shared" si="4"/>
        <v>0</v>
      </c>
      <c r="X3">
        <v>10.4</v>
      </c>
      <c r="Z3" s="2">
        <f t="shared" si="5"/>
        <v>0</v>
      </c>
      <c r="AA3">
        <v>176.7</v>
      </c>
      <c r="AB3" s="2" t="str">
        <f>CHOOSE(MATCH(AA3,{0;11;80;111;161;191;241;281;341},1),"North","NorthEast","East","SouthEast","South","SouthWest","West","NorthWest","North")</f>
        <v>South</v>
      </c>
      <c r="AC3" s="5">
        <f>CHOOSE(MATCH(AB3,{"South";"SouthEast";"SouthWest";"North";"NorthEast";"East";"West";"NorthWest"},0),1,2,3,4,5,6,7,8)</f>
        <v>1</v>
      </c>
      <c r="AD3" s="2">
        <f t="shared" si="6"/>
        <v>0</v>
      </c>
      <c r="AE3">
        <v>1022</v>
      </c>
      <c r="AF3" s="4" t="s">
        <v>30</v>
      </c>
      <c r="AG3" s="2">
        <f t="shared" si="7"/>
        <v>1</v>
      </c>
      <c r="AH3" t="s">
        <v>31</v>
      </c>
      <c r="AI3" s="2">
        <f t="shared" si="8"/>
        <v>5</v>
      </c>
      <c r="AJ3" s="2">
        <f t="shared" si="9"/>
        <v>0</v>
      </c>
      <c r="AK3" s="3">
        <v>45</v>
      </c>
      <c r="AM3" s="2">
        <v>0</v>
      </c>
      <c r="AN3">
        <v>0</v>
      </c>
      <c r="AO3">
        <v>3.5</v>
      </c>
      <c r="AP3">
        <v>0</v>
      </c>
      <c r="AQ3" s="2">
        <f>IF((2*G3 + M3 -P3 + 3*W3 + 2*Z3+2*AD3 + AG3+2*AJ3 + 4*AM3) &gt;=8,1,0)</f>
        <v>0</v>
      </c>
    </row>
    <row r="4" spans="1:43" x14ac:dyDescent="0.25">
      <c r="A4" t="s">
        <v>27</v>
      </c>
      <c r="B4" s="1">
        <v>36656</v>
      </c>
      <c r="C4" s="7">
        <f t="shared" si="0"/>
        <v>2000</v>
      </c>
      <c r="D4">
        <v>77.7</v>
      </c>
      <c r="E4">
        <v>59.7</v>
      </c>
      <c r="F4">
        <v>68.900000000000006</v>
      </c>
      <c r="G4" s="2">
        <f t="shared" si="1"/>
        <v>0</v>
      </c>
      <c r="H4">
        <v>77.7</v>
      </c>
      <c r="I4">
        <v>59.7</v>
      </c>
      <c r="J4">
        <v>68.900000000000006</v>
      </c>
      <c r="K4">
        <v>54</v>
      </c>
      <c r="L4">
        <v>60.3</v>
      </c>
      <c r="M4" s="2">
        <f t="shared" si="2"/>
        <v>0</v>
      </c>
      <c r="N4">
        <v>0</v>
      </c>
      <c r="P4" s="2">
        <f t="shared" si="3"/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2">
        <f t="shared" si="4"/>
        <v>0</v>
      </c>
      <c r="X4">
        <v>11.4</v>
      </c>
      <c r="Z4" s="2">
        <f t="shared" si="5"/>
        <v>0</v>
      </c>
      <c r="AA4">
        <v>193</v>
      </c>
      <c r="AB4" s="2" t="str">
        <f>CHOOSE(MATCH(AA4,{0;11;80;111;161;191;241;281;341},1),"North","NorthEast","East","SouthEast","South","SouthWest","West","NorthWest","North")</f>
        <v>SouthWest</v>
      </c>
      <c r="AC4" s="5">
        <f>CHOOSE(MATCH(AB4,{"South";"SouthEast";"SouthWest";"North";"NorthEast";"East";"West";"NorthWest"},0),1,2,3,4,5,6,7,8)</f>
        <v>3</v>
      </c>
      <c r="AD4" s="2">
        <f t="shared" si="6"/>
        <v>1</v>
      </c>
      <c r="AE4">
        <v>1020.5</v>
      </c>
      <c r="AF4" s="4" t="s">
        <v>32</v>
      </c>
      <c r="AG4" s="2">
        <f t="shared" si="7"/>
        <v>1</v>
      </c>
      <c r="AH4" t="s">
        <v>33</v>
      </c>
      <c r="AI4" s="2">
        <f t="shared" si="8"/>
        <v>5</v>
      </c>
      <c r="AJ4" s="2">
        <f t="shared" si="9"/>
        <v>0</v>
      </c>
      <c r="AK4" s="3">
        <v>1070.9999999916181</v>
      </c>
      <c r="AM4" s="2">
        <v>1</v>
      </c>
      <c r="AN4">
        <v>0</v>
      </c>
      <c r="AO4">
        <v>50</v>
      </c>
      <c r="AP4">
        <v>0</v>
      </c>
      <c r="AQ4" s="2">
        <f>IF((2*G4 + M4 -P4 + 3*W4 + 2*Z4+2*AD4 + AG4+2*AJ4 + 4*AM4) &gt;=8,1,0)</f>
        <v>0</v>
      </c>
    </row>
    <row r="5" spans="1:43" x14ac:dyDescent="0.25">
      <c r="A5" t="s">
        <v>27</v>
      </c>
      <c r="B5" s="1">
        <v>36656</v>
      </c>
      <c r="C5" s="7">
        <f t="shared" si="0"/>
        <v>2000</v>
      </c>
      <c r="D5">
        <v>77.7</v>
      </c>
      <c r="E5">
        <v>59.7</v>
      </c>
      <c r="F5">
        <v>68.900000000000006</v>
      </c>
      <c r="G5" s="2">
        <f t="shared" si="1"/>
        <v>0</v>
      </c>
      <c r="H5">
        <v>77.7</v>
      </c>
      <c r="I5">
        <v>59.7</v>
      </c>
      <c r="J5">
        <v>68.900000000000006</v>
      </c>
      <c r="K5">
        <v>54</v>
      </c>
      <c r="L5">
        <v>60.3</v>
      </c>
      <c r="M5" s="2">
        <f t="shared" si="2"/>
        <v>0</v>
      </c>
      <c r="N5">
        <v>0</v>
      </c>
      <c r="P5" s="2">
        <f t="shared" si="3"/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2">
        <f t="shared" si="4"/>
        <v>0</v>
      </c>
      <c r="X5">
        <v>11.4</v>
      </c>
      <c r="Z5" s="2">
        <f t="shared" si="5"/>
        <v>0</v>
      </c>
      <c r="AA5">
        <v>193</v>
      </c>
      <c r="AB5" s="2" t="str">
        <f>CHOOSE(MATCH(AA5,{0;11;80;111;161;191;241;281;341},1),"North","NorthEast","East","SouthEast","South","SouthWest","West","NorthWest","North")</f>
        <v>SouthWest</v>
      </c>
      <c r="AC5" s="5">
        <f>CHOOSE(MATCH(AB5,{"South";"SouthEast";"SouthWest";"North";"NorthEast";"East";"West";"NorthWest"},0),1,2,3,4,5,6,7,8)</f>
        <v>3</v>
      </c>
      <c r="AD5" s="2">
        <f t="shared" si="6"/>
        <v>1</v>
      </c>
      <c r="AE5">
        <v>1020.5</v>
      </c>
      <c r="AF5" s="4" t="s">
        <v>34</v>
      </c>
      <c r="AG5" s="2">
        <f t="shared" si="7"/>
        <v>0</v>
      </c>
      <c r="AH5" t="s">
        <v>35</v>
      </c>
      <c r="AI5" s="2">
        <f t="shared" si="8"/>
        <v>5</v>
      </c>
      <c r="AJ5" s="2">
        <f t="shared" si="9"/>
        <v>0</v>
      </c>
      <c r="AK5" s="3">
        <v>14.99999999650754</v>
      </c>
      <c r="AM5" s="2">
        <v>0</v>
      </c>
      <c r="AN5">
        <v>0</v>
      </c>
      <c r="AO5">
        <v>0.1</v>
      </c>
      <c r="AP5">
        <v>0</v>
      </c>
      <c r="AQ5" s="2">
        <f>IF((2*G5 + M5 -P5 + 3*W5 + 2*Z5+2*AD5 + AG5+2*AJ5 + 4*AM5) &gt;=8,1,0)</f>
        <v>0</v>
      </c>
    </row>
    <row r="6" spans="1:43" x14ac:dyDescent="0.25">
      <c r="A6" t="s">
        <v>27</v>
      </c>
      <c r="B6" s="1">
        <v>36660</v>
      </c>
      <c r="C6" s="7">
        <f t="shared" si="0"/>
        <v>2000</v>
      </c>
      <c r="D6">
        <v>80.7</v>
      </c>
      <c r="E6">
        <v>67.7</v>
      </c>
      <c r="F6">
        <v>73.599999999999994</v>
      </c>
      <c r="G6" s="2">
        <f t="shared" si="1"/>
        <v>0</v>
      </c>
      <c r="H6">
        <v>80.400000000000006</v>
      </c>
      <c r="I6">
        <v>67.7</v>
      </c>
      <c r="J6">
        <v>73.599999999999994</v>
      </c>
      <c r="K6">
        <v>53.2</v>
      </c>
      <c r="L6">
        <v>49.8</v>
      </c>
      <c r="M6" s="2">
        <f t="shared" si="2"/>
        <v>0</v>
      </c>
      <c r="N6">
        <v>0</v>
      </c>
      <c r="P6" s="2">
        <f t="shared" si="3"/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2">
        <f t="shared" si="4"/>
        <v>0</v>
      </c>
      <c r="X6">
        <v>15.8</v>
      </c>
      <c r="Z6" s="2">
        <f t="shared" si="5"/>
        <v>0</v>
      </c>
      <c r="AA6">
        <v>24.5</v>
      </c>
      <c r="AB6" s="2" t="str">
        <f>CHOOSE(MATCH(AA6,{0;11;80;111;161;191;241;281;341},1),"North","NorthEast","East","SouthEast","South","SouthWest","West","NorthWest","North")</f>
        <v>NorthEast</v>
      </c>
      <c r="AC6" s="5">
        <f>CHOOSE(MATCH(AB6,{"South";"SouthEast";"SouthWest";"North";"NorthEast";"East";"West";"NorthWest"},0),1,2,3,4,5,6,7,8)</f>
        <v>5</v>
      </c>
      <c r="AD6" s="2">
        <f t="shared" si="6"/>
        <v>1</v>
      </c>
      <c r="AE6">
        <v>1016.9</v>
      </c>
      <c r="AF6" s="4" t="s">
        <v>36</v>
      </c>
      <c r="AG6" s="2">
        <f t="shared" si="7"/>
        <v>1</v>
      </c>
      <c r="AH6" t="s">
        <v>37</v>
      </c>
      <c r="AI6" s="2">
        <f t="shared" si="8"/>
        <v>5</v>
      </c>
      <c r="AJ6" s="2">
        <f t="shared" si="9"/>
        <v>0</v>
      </c>
      <c r="AK6" s="3">
        <v>120.0000000034925</v>
      </c>
      <c r="AM6" s="2">
        <v>0</v>
      </c>
      <c r="AN6">
        <v>1</v>
      </c>
      <c r="AO6">
        <v>1</v>
      </c>
      <c r="AP6">
        <v>0</v>
      </c>
      <c r="AQ6" s="2">
        <f>IF((2*G6 + M6 -P6 + 3*W6 + 2*Z6+2*AD6 + AG6+2*AJ6 + 4*AM6) &gt;=8,1,0)</f>
        <v>0</v>
      </c>
    </row>
    <row r="7" spans="1:43" x14ac:dyDescent="0.25">
      <c r="A7" t="s">
        <v>27</v>
      </c>
      <c r="B7" s="1">
        <v>36662</v>
      </c>
      <c r="C7" s="7">
        <f t="shared" si="0"/>
        <v>2000</v>
      </c>
      <c r="D7">
        <v>80.900000000000006</v>
      </c>
      <c r="E7">
        <v>65.7</v>
      </c>
      <c r="F7">
        <v>72.099999999999994</v>
      </c>
      <c r="G7" s="2">
        <f t="shared" si="1"/>
        <v>0</v>
      </c>
      <c r="H7">
        <v>79.2</v>
      </c>
      <c r="I7">
        <v>65.7</v>
      </c>
      <c r="J7">
        <v>71.8</v>
      </c>
      <c r="K7">
        <v>41.1</v>
      </c>
      <c r="L7">
        <v>34.1</v>
      </c>
      <c r="M7" s="2">
        <f t="shared" si="2"/>
        <v>1</v>
      </c>
      <c r="N7">
        <v>0</v>
      </c>
      <c r="P7" s="2">
        <f t="shared" si="3"/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2">
        <f t="shared" si="4"/>
        <v>0</v>
      </c>
      <c r="X7">
        <v>16.899999999999999</v>
      </c>
      <c r="Z7" s="2">
        <f t="shared" si="5"/>
        <v>1</v>
      </c>
      <c r="AA7">
        <v>355.2</v>
      </c>
      <c r="AB7" s="2" t="str">
        <f>CHOOSE(MATCH(AA7,{0;11;80;111;161;191;241;281;341},1),"North","NorthEast","East","SouthEast","South","SouthWest","West","NorthWest","North")</f>
        <v>North</v>
      </c>
      <c r="AC7" s="5">
        <f>CHOOSE(MATCH(AB7,{"South";"SouthEast";"SouthWest";"North";"NorthEast";"East";"West";"NorthWest"},0),1,2,3,4,5,6,7,8)</f>
        <v>4</v>
      </c>
      <c r="AD7" s="2">
        <f t="shared" si="6"/>
        <v>1</v>
      </c>
      <c r="AE7">
        <v>1014.5</v>
      </c>
      <c r="AF7" s="4" t="s">
        <v>38</v>
      </c>
      <c r="AG7" s="2">
        <f t="shared" si="7"/>
        <v>1</v>
      </c>
      <c r="AH7" t="s">
        <v>39</v>
      </c>
      <c r="AI7" s="2">
        <f t="shared" si="8"/>
        <v>5</v>
      </c>
      <c r="AJ7" s="2">
        <f t="shared" si="9"/>
        <v>0</v>
      </c>
      <c r="AK7" s="3">
        <v>40.999999997438863</v>
      </c>
      <c r="AM7" s="2">
        <v>0</v>
      </c>
      <c r="AN7">
        <v>0</v>
      </c>
      <c r="AO7">
        <v>0.4</v>
      </c>
      <c r="AP7">
        <v>0</v>
      </c>
      <c r="AQ7" s="2">
        <f>IF((2*G7 + M7 -P7 + 3*W7 + 2*Z7+2*AD7 + AG7+2*AJ7 + 4*AM7) &gt;=8,1,0)</f>
        <v>0</v>
      </c>
    </row>
    <row r="8" spans="1:43" x14ac:dyDescent="0.25">
      <c r="A8" t="s">
        <v>27</v>
      </c>
      <c r="B8" s="1">
        <v>36665</v>
      </c>
      <c r="C8" s="7">
        <f t="shared" si="0"/>
        <v>2000</v>
      </c>
      <c r="D8">
        <v>80.7</v>
      </c>
      <c r="E8">
        <v>58.9</v>
      </c>
      <c r="F8">
        <v>70.5</v>
      </c>
      <c r="G8" s="2">
        <f t="shared" si="1"/>
        <v>0</v>
      </c>
      <c r="H8">
        <v>79.900000000000006</v>
      </c>
      <c r="I8">
        <v>58.9</v>
      </c>
      <c r="J8">
        <v>70.5</v>
      </c>
      <c r="K8">
        <v>51.9</v>
      </c>
      <c r="L8">
        <v>53.8</v>
      </c>
      <c r="M8" s="2">
        <f t="shared" si="2"/>
        <v>0</v>
      </c>
      <c r="N8">
        <v>0</v>
      </c>
      <c r="P8" s="2">
        <f t="shared" si="3"/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2">
        <f t="shared" si="4"/>
        <v>0</v>
      </c>
      <c r="X8">
        <v>12.2</v>
      </c>
      <c r="Z8" s="2">
        <f t="shared" si="5"/>
        <v>0</v>
      </c>
      <c r="AA8">
        <v>187.2</v>
      </c>
      <c r="AB8" s="2" t="str">
        <f>CHOOSE(MATCH(AA8,{0;11;80;111;161;191;241;281;341},1),"North","NorthEast","East","SouthEast","South","SouthWest","West","NorthWest","North")</f>
        <v>South</v>
      </c>
      <c r="AC8" s="5">
        <f>CHOOSE(MATCH(AB8,{"South";"SouthEast";"SouthWest";"North";"NorthEast";"East";"West";"NorthWest"},0),1,2,3,4,5,6,7,8)</f>
        <v>1</v>
      </c>
      <c r="AD8" s="2">
        <f t="shared" si="6"/>
        <v>0</v>
      </c>
      <c r="AE8">
        <v>1010.5</v>
      </c>
      <c r="AF8" s="4" t="s">
        <v>40</v>
      </c>
      <c r="AG8" s="2">
        <f t="shared" si="7"/>
        <v>1</v>
      </c>
      <c r="AH8" t="s">
        <v>41</v>
      </c>
      <c r="AI8" s="2">
        <f t="shared" si="8"/>
        <v>5</v>
      </c>
      <c r="AJ8" s="2">
        <f t="shared" si="9"/>
        <v>0</v>
      </c>
      <c r="AK8" s="3">
        <v>130.00000000465661</v>
      </c>
      <c r="AM8" s="2">
        <v>0</v>
      </c>
      <c r="AN8">
        <v>0</v>
      </c>
      <c r="AO8">
        <v>4</v>
      </c>
      <c r="AP8">
        <v>0</v>
      </c>
      <c r="AQ8" s="2">
        <f>IF((2*G8 + M8 -P8 + 3*W8 + 2*Z8+2*AD8 + AG8+2*AJ8 + 4*AM8) &gt;=8,1,0)</f>
        <v>0</v>
      </c>
    </row>
    <row r="9" spans="1:43" x14ac:dyDescent="0.25">
      <c r="A9" t="s">
        <v>27</v>
      </c>
      <c r="B9" s="1">
        <v>36670</v>
      </c>
      <c r="C9" s="7">
        <f t="shared" si="0"/>
        <v>2000</v>
      </c>
      <c r="D9">
        <v>77.400000000000006</v>
      </c>
      <c r="E9">
        <v>68.099999999999994</v>
      </c>
      <c r="F9">
        <v>72.7</v>
      </c>
      <c r="G9" s="2">
        <f t="shared" si="1"/>
        <v>0</v>
      </c>
      <c r="H9">
        <v>77.400000000000006</v>
      </c>
      <c r="I9">
        <v>68.099999999999994</v>
      </c>
      <c r="J9">
        <v>72.7</v>
      </c>
      <c r="K9">
        <v>52.4</v>
      </c>
      <c r="L9">
        <v>49.9</v>
      </c>
      <c r="M9" s="2">
        <f t="shared" si="2"/>
        <v>0</v>
      </c>
      <c r="N9">
        <v>0</v>
      </c>
      <c r="P9" s="2">
        <f t="shared" si="3"/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2">
        <f t="shared" si="4"/>
        <v>0</v>
      </c>
      <c r="X9">
        <v>16</v>
      </c>
      <c r="Z9" s="2">
        <f t="shared" si="5"/>
        <v>1</v>
      </c>
      <c r="AA9">
        <v>34.6</v>
      </c>
      <c r="AB9" s="2" t="str">
        <f>CHOOSE(MATCH(AA9,{0;11;80;111;161;191;241;281;341},1),"North","NorthEast","East","SouthEast","South","SouthWest","West","NorthWest","North")</f>
        <v>NorthEast</v>
      </c>
      <c r="AC9" s="5">
        <f>CHOOSE(MATCH(AB9,{"South";"SouthEast";"SouthWest";"North";"NorthEast";"East";"West";"NorthWest"},0),1,2,3,4,5,6,7,8)</f>
        <v>5</v>
      </c>
      <c r="AD9" s="2">
        <f t="shared" si="6"/>
        <v>1</v>
      </c>
      <c r="AE9">
        <v>1012.9</v>
      </c>
      <c r="AF9" s="4" t="s">
        <v>42</v>
      </c>
      <c r="AG9" s="2">
        <f t="shared" si="7"/>
        <v>1</v>
      </c>
      <c r="AH9" t="s">
        <v>43</v>
      </c>
      <c r="AI9" s="2">
        <f t="shared" si="8"/>
        <v>5</v>
      </c>
      <c r="AJ9" s="2">
        <f t="shared" si="9"/>
        <v>0</v>
      </c>
      <c r="AK9" s="3">
        <v>70.000000008149073</v>
      </c>
      <c r="AM9" s="2">
        <v>0</v>
      </c>
      <c r="AN9">
        <v>1</v>
      </c>
      <c r="AO9">
        <v>1</v>
      </c>
      <c r="AP9">
        <v>0</v>
      </c>
      <c r="AQ9" s="2">
        <f>IF((2*G9 + M9 -P9 + 3*W9 + 2*Z9+2*AD9 + AG9+2*AJ9 + 4*AM9) &gt;=8,1,0)</f>
        <v>0</v>
      </c>
    </row>
    <row r="10" spans="1:43" x14ac:dyDescent="0.25">
      <c r="A10" t="s">
        <v>27</v>
      </c>
      <c r="B10" s="1">
        <v>36672</v>
      </c>
      <c r="C10" s="7">
        <f t="shared" si="0"/>
        <v>2000</v>
      </c>
      <c r="D10">
        <v>80.7</v>
      </c>
      <c r="E10">
        <v>60.6</v>
      </c>
      <c r="F10">
        <v>72.5</v>
      </c>
      <c r="G10" s="2">
        <f t="shared" si="1"/>
        <v>0</v>
      </c>
      <c r="H10">
        <v>80.8</v>
      </c>
      <c r="I10">
        <v>60.6</v>
      </c>
      <c r="J10">
        <v>72.400000000000006</v>
      </c>
      <c r="K10">
        <v>51.1</v>
      </c>
      <c r="L10">
        <v>48.6</v>
      </c>
      <c r="M10" s="2">
        <f t="shared" si="2"/>
        <v>1</v>
      </c>
      <c r="N10">
        <v>0</v>
      </c>
      <c r="P10" s="2">
        <f t="shared" si="3"/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2">
        <f t="shared" si="4"/>
        <v>0</v>
      </c>
      <c r="X10">
        <v>10</v>
      </c>
      <c r="Z10" s="2">
        <f t="shared" si="5"/>
        <v>0</v>
      </c>
      <c r="AA10">
        <v>321.7</v>
      </c>
      <c r="AB10" s="2" t="str">
        <f>CHOOSE(MATCH(AA10,{0;11;80;111;161;191;241;281;341},1),"North","NorthEast","East","SouthEast","South","SouthWest","West","NorthWest","North")</f>
        <v>NorthWest</v>
      </c>
      <c r="AC10" s="5">
        <f>CHOOSE(MATCH(AB10,{"South";"SouthEast";"SouthWest";"North";"NorthEast";"East";"West";"NorthWest"},0),1,2,3,4,5,6,7,8)</f>
        <v>8</v>
      </c>
      <c r="AD10" s="2">
        <f t="shared" si="6"/>
        <v>1</v>
      </c>
      <c r="AE10">
        <v>1016.9</v>
      </c>
      <c r="AF10" s="4" t="s">
        <v>44</v>
      </c>
      <c r="AG10" s="2">
        <f t="shared" si="7"/>
        <v>1</v>
      </c>
      <c r="AH10" t="s">
        <v>45</v>
      </c>
      <c r="AI10" s="2">
        <f t="shared" si="8"/>
        <v>5</v>
      </c>
      <c r="AJ10" s="2">
        <f t="shared" si="9"/>
        <v>0</v>
      </c>
      <c r="AK10" s="3">
        <v>94.999999995343387</v>
      </c>
      <c r="AM10" s="2">
        <v>0</v>
      </c>
      <c r="AN10">
        <v>0</v>
      </c>
      <c r="AO10">
        <v>10</v>
      </c>
      <c r="AP10">
        <v>0</v>
      </c>
      <c r="AQ10" s="2">
        <f>IF((2*G10 + M10 -P10 + 3*W10 + 2*Z10+2*AD10 + AG10+2*AJ10 + 4*AM10) &gt;=8,1,0)</f>
        <v>0</v>
      </c>
    </row>
    <row r="11" spans="1:43" x14ac:dyDescent="0.25">
      <c r="A11" t="s">
        <v>27</v>
      </c>
      <c r="B11" s="1">
        <v>36673</v>
      </c>
      <c r="C11" s="7">
        <f t="shared" si="0"/>
        <v>2000</v>
      </c>
      <c r="D11">
        <v>84.1</v>
      </c>
      <c r="E11">
        <v>70.7</v>
      </c>
      <c r="F11">
        <v>76.599999999999994</v>
      </c>
      <c r="G11" s="2">
        <f t="shared" si="1"/>
        <v>1</v>
      </c>
      <c r="H11">
        <v>82.6</v>
      </c>
      <c r="I11">
        <v>70.7</v>
      </c>
      <c r="J11">
        <v>76.099999999999994</v>
      </c>
      <c r="K11">
        <v>49.7</v>
      </c>
      <c r="L11">
        <v>39.799999999999997</v>
      </c>
      <c r="M11" s="2">
        <f t="shared" si="2"/>
        <v>1</v>
      </c>
      <c r="N11">
        <v>0</v>
      </c>
      <c r="P11" s="2">
        <f t="shared" si="3"/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2">
        <f t="shared" si="4"/>
        <v>0</v>
      </c>
      <c r="X11">
        <v>16.100000000000001</v>
      </c>
      <c r="Z11" s="2">
        <f t="shared" si="5"/>
        <v>1</v>
      </c>
      <c r="AA11">
        <v>30.1</v>
      </c>
      <c r="AB11" s="2" t="str">
        <f>CHOOSE(MATCH(AA11,{0;11;80;111;161;191;241;281;341},1),"North","NorthEast","East","SouthEast","South","SouthWest","West","NorthWest","North")</f>
        <v>NorthEast</v>
      </c>
      <c r="AC11" s="5">
        <f>CHOOSE(MATCH(AB11,{"South";"SouthEast";"SouthWest";"North";"NorthEast";"East";"West";"NorthWest"},0),1,2,3,4,5,6,7,8)</f>
        <v>5</v>
      </c>
      <c r="AD11" s="2">
        <f t="shared" si="6"/>
        <v>1</v>
      </c>
      <c r="AE11">
        <v>1015.4</v>
      </c>
      <c r="AF11" s="4" t="s">
        <v>46</v>
      </c>
      <c r="AG11" s="2">
        <f t="shared" si="7"/>
        <v>0</v>
      </c>
      <c r="AH11" t="s">
        <v>47</v>
      </c>
      <c r="AI11" s="2">
        <f t="shared" si="8"/>
        <v>5</v>
      </c>
      <c r="AJ11" s="2">
        <f t="shared" si="9"/>
        <v>0</v>
      </c>
      <c r="AK11" s="3">
        <v>81.000000002095476</v>
      </c>
      <c r="AM11" s="2">
        <v>0</v>
      </c>
      <c r="AN11">
        <v>0</v>
      </c>
      <c r="AO11">
        <v>5</v>
      </c>
      <c r="AP11">
        <v>0</v>
      </c>
      <c r="AQ11" s="2">
        <f>IF((2*G11 + M11 -P11 + 3*W11 + 2*Z11+2*AD11 + AG11+2*AJ11 + 4*AM11) &gt;=8,1,0)</f>
        <v>0</v>
      </c>
    </row>
    <row r="12" spans="1:43" x14ac:dyDescent="0.25">
      <c r="A12" t="s">
        <v>27</v>
      </c>
      <c r="B12" s="1">
        <v>36675</v>
      </c>
      <c r="C12" s="7">
        <f t="shared" si="0"/>
        <v>2000</v>
      </c>
      <c r="D12">
        <v>79.5</v>
      </c>
      <c r="E12">
        <v>67</v>
      </c>
      <c r="F12">
        <v>72.8</v>
      </c>
      <c r="G12" s="2">
        <f t="shared" si="1"/>
        <v>0</v>
      </c>
      <c r="H12">
        <v>79.5</v>
      </c>
      <c r="I12">
        <v>67</v>
      </c>
      <c r="J12">
        <v>72.8</v>
      </c>
      <c r="K12">
        <v>61.2</v>
      </c>
      <c r="L12">
        <v>68.3</v>
      </c>
      <c r="M12" s="2">
        <f t="shared" si="2"/>
        <v>0</v>
      </c>
      <c r="N12">
        <v>0</v>
      </c>
      <c r="P12" s="2">
        <f t="shared" si="3"/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2">
        <f t="shared" si="4"/>
        <v>0</v>
      </c>
      <c r="X12">
        <v>12.4</v>
      </c>
      <c r="Z12" s="2">
        <f t="shared" si="5"/>
        <v>0</v>
      </c>
      <c r="AA12">
        <v>188.6</v>
      </c>
      <c r="AB12" s="2" t="str">
        <f>CHOOSE(MATCH(AA12,{0;11;80;111;161;191;241;281;341},1),"North","NorthEast","East","SouthEast","South","SouthWest","West","NorthWest","North")</f>
        <v>South</v>
      </c>
      <c r="AC12" s="5">
        <f>CHOOSE(MATCH(AB12,{"South";"SouthEast";"SouthWest";"North";"NorthEast";"East";"West";"NorthWest"},0),1,2,3,4,5,6,7,8)</f>
        <v>1</v>
      </c>
      <c r="AD12" s="2">
        <f t="shared" si="6"/>
        <v>0</v>
      </c>
      <c r="AE12">
        <v>1011.3</v>
      </c>
      <c r="AF12" s="4" t="s">
        <v>48</v>
      </c>
      <c r="AG12" s="2">
        <f t="shared" si="7"/>
        <v>1</v>
      </c>
      <c r="AH12" t="s">
        <v>49</v>
      </c>
      <c r="AI12" s="2">
        <f t="shared" si="8"/>
        <v>5</v>
      </c>
      <c r="AJ12" s="2">
        <f t="shared" si="9"/>
        <v>0</v>
      </c>
      <c r="AK12" s="3">
        <v>43.999999996740371</v>
      </c>
      <c r="AM12" s="2">
        <v>0</v>
      </c>
      <c r="AN12">
        <v>0</v>
      </c>
      <c r="AO12">
        <v>0.1</v>
      </c>
      <c r="AP12">
        <v>0</v>
      </c>
      <c r="AQ12" s="2">
        <f>IF((2*G12 + M12 -P12 + 3*W12 + 2*Z12+2*AD12 + AG12+2*AJ12 + 4*AM12) &gt;=8,1,0)</f>
        <v>0</v>
      </c>
    </row>
    <row r="13" spans="1:43" x14ac:dyDescent="0.25">
      <c r="A13" t="s">
        <v>27</v>
      </c>
      <c r="B13" s="1">
        <v>36677</v>
      </c>
      <c r="C13" s="7">
        <f t="shared" si="0"/>
        <v>2000</v>
      </c>
      <c r="D13">
        <v>82.2</v>
      </c>
      <c r="E13">
        <v>65.8</v>
      </c>
      <c r="F13">
        <v>74.599999999999994</v>
      </c>
      <c r="G13" s="2">
        <f t="shared" si="1"/>
        <v>1</v>
      </c>
      <c r="H13">
        <v>82.3</v>
      </c>
      <c r="I13">
        <v>65.8</v>
      </c>
      <c r="J13">
        <v>74.7</v>
      </c>
      <c r="K13">
        <v>60.8</v>
      </c>
      <c r="L13">
        <v>63.5</v>
      </c>
      <c r="M13" s="2">
        <f t="shared" si="2"/>
        <v>0</v>
      </c>
      <c r="N13">
        <v>0</v>
      </c>
      <c r="P13" s="2">
        <f t="shared" si="3"/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>
        <f t="shared" si="4"/>
        <v>0</v>
      </c>
      <c r="X13">
        <v>14.9</v>
      </c>
      <c r="Z13" s="2">
        <f t="shared" si="5"/>
        <v>0</v>
      </c>
      <c r="AA13">
        <v>184.7</v>
      </c>
      <c r="AB13" s="2" t="str">
        <f>CHOOSE(MATCH(AA13,{0;11;80;111;161;191;241;281;341},1),"North","NorthEast","East","SouthEast","South","SouthWest","West","NorthWest","North")</f>
        <v>South</v>
      </c>
      <c r="AC13" s="5">
        <f>CHOOSE(MATCH(AB13,{"South";"SouthEast";"SouthWest";"North";"NorthEast";"East";"West";"NorthWest"},0),1,2,3,4,5,6,7,8)</f>
        <v>1</v>
      </c>
      <c r="AD13" s="2">
        <f t="shared" si="6"/>
        <v>0</v>
      </c>
      <c r="AE13">
        <v>1012.5</v>
      </c>
      <c r="AF13" s="4" t="s">
        <v>50</v>
      </c>
      <c r="AG13" s="2">
        <f t="shared" si="7"/>
        <v>0</v>
      </c>
      <c r="AH13" t="s">
        <v>51</v>
      </c>
      <c r="AI13" s="2">
        <f t="shared" si="8"/>
        <v>5</v>
      </c>
      <c r="AJ13" s="2">
        <f t="shared" si="9"/>
        <v>0</v>
      </c>
      <c r="AK13" s="3">
        <v>310.99999999743892</v>
      </c>
      <c r="AM13" s="2">
        <v>0</v>
      </c>
      <c r="AN13">
        <v>2</v>
      </c>
      <c r="AO13">
        <v>0</v>
      </c>
      <c r="AP13">
        <v>0</v>
      </c>
      <c r="AQ13" s="2">
        <f>IF((2*G13 + M13 -P13 + 3*W13 + 2*Z13+2*AD13 + AG13+2*AJ13 + 4*AM13) &gt;=8,1,0)</f>
        <v>0</v>
      </c>
    </row>
    <row r="14" spans="1:43" x14ac:dyDescent="0.25">
      <c r="A14" t="s">
        <v>27</v>
      </c>
      <c r="B14" s="1">
        <v>36678</v>
      </c>
      <c r="C14" s="7">
        <f t="shared" si="0"/>
        <v>2000</v>
      </c>
      <c r="D14">
        <v>87.5</v>
      </c>
      <c r="E14">
        <v>65.7</v>
      </c>
      <c r="F14">
        <v>76.5</v>
      </c>
      <c r="G14" s="2">
        <f t="shared" si="1"/>
        <v>1</v>
      </c>
      <c r="H14">
        <v>87.3</v>
      </c>
      <c r="I14">
        <v>65.7</v>
      </c>
      <c r="J14">
        <v>76.599999999999994</v>
      </c>
      <c r="K14">
        <v>59.7</v>
      </c>
      <c r="L14">
        <v>57.4</v>
      </c>
      <c r="M14" s="2">
        <f t="shared" si="2"/>
        <v>0</v>
      </c>
      <c r="N14">
        <v>0</v>
      </c>
      <c r="P14" s="2">
        <f t="shared" si="3"/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>
        <f t="shared" si="4"/>
        <v>0</v>
      </c>
      <c r="X14">
        <v>18.600000000000001</v>
      </c>
      <c r="Z14" s="2">
        <f t="shared" si="5"/>
        <v>1</v>
      </c>
      <c r="AA14">
        <v>36.5</v>
      </c>
      <c r="AB14" s="2" t="str">
        <f>CHOOSE(MATCH(AA14,{0;11;80;111;161;191;241;281;341},1),"North","NorthEast","East","SouthEast","South","SouthWest","West","NorthWest","North")</f>
        <v>NorthEast</v>
      </c>
      <c r="AC14" s="5">
        <f>CHOOSE(MATCH(AB14,{"South";"SouthEast";"SouthWest";"North";"NorthEast";"East";"West";"NorthWest"},0),1,2,3,4,5,6,7,8)</f>
        <v>5</v>
      </c>
      <c r="AD14" s="2">
        <f t="shared" si="6"/>
        <v>1</v>
      </c>
      <c r="AE14">
        <v>1012.1</v>
      </c>
      <c r="AF14" s="4" t="s">
        <v>52</v>
      </c>
      <c r="AG14" s="2">
        <f t="shared" si="7"/>
        <v>1</v>
      </c>
      <c r="AH14" t="s">
        <v>53</v>
      </c>
      <c r="AI14" s="2">
        <f t="shared" si="8"/>
        <v>6</v>
      </c>
      <c r="AJ14" s="2">
        <f t="shared" si="9"/>
        <v>1</v>
      </c>
      <c r="AK14" s="3">
        <v>40.999999997438863</v>
      </c>
      <c r="AM14" s="2">
        <v>0</v>
      </c>
      <c r="AN14">
        <v>0</v>
      </c>
      <c r="AO14">
        <v>2</v>
      </c>
      <c r="AP14">
        <v>0</v>
      </c>
      <c r="AQ14" s="2">
        <f>IF((2*G14 + M14 -P14 + 3*W14 + 2*Z14+2*AD14 + AG14+2*AJ14 + 4*AM14) &gt;=8,1,0)</f>
        <v>1</v>
      </c>
    </row>
    <row r="15" spans="1:43" x14ac:dyDescent="0.25">
      <c r="A15" t="s">
        <v>27</v>
      </c>
      <c r="B15" s="1">
        <v>36680</v>
      </c>
      <c r="C15" s="7">
        <f t="shared" si="0"/>
        <v>2000</v>
      </c>
      <c r="D15">
        <v>79.599999999999994</v>
      </c>
      <c r="E15">
        <v>65.2</v>
      </c>
      <c r="F15">
        <v>72.400000000000006</v>
      </c>
      <c r="G15" s="2">
        <f t="shared" si="1"/>
        <v>0</v>
      </c>
      <c r="H15">
        <v>79.599999999999994</v>
      </c>
      <c r="I15">
        <v>65.2</v>
      </c>
      <c r="J15">
        <v>72.400000000000006</v>
      </c>
      <c r="K15">
        <v>46</v>
      </c>
      <c r="L15">
        <v>40.700000000000003</v>
      </c>
      <c r="M15" s="2">
        <f t="shared" si="2"/>
        <v>1</v>
      </c>
      <c r="N15">
        <v>0</v>
      </c>
      <c r="P15" s="2">
        <f t="shared" si="3"/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>
        <f t="shared" si="4"/>
        <v>0</v>
      </c>
      <c r="X15">
        <v>19.7</v>
      </c>
      <c r="Z15" s="2">
        <f t="shared" si="5"/>
        <v>1</v>
      </c>
      <c r="AA15">
        <v>13.2</v>
      </c>
      <c r="AB15" s="2" t="str">
        <f>CHOOSE(MATCH(AA15,{0;11;80;111;161;191;241;281;341},1),"North","NorthEast","East","SouthEast","South","SouthWest","West","NorthWest","North")</f>
        <v>NorthEast</v>
      </c>
      <c r="AC15" s="5">
        <f>CHOOSE(MATCH(AB15,{"South";"SouthEast";"SouthWest";"North";"NorthEast";"East";"West";"NorthWest"},0),1,2,3,4,5,6,7,8)</f>
        <v>5</v>
      </c>
      <c r="AD15" s="2">
        <f t="shared" si="6"/>
        <v>1</v>
      </c>
      <c r="AE15">
        <v>1018.4</v>
      </c>
      <c r="AF15" s="4" t="s">
        <v>55</v>
      </c>
      <c r="AG15" s="2">
        <f t="shared" si="7"/>
        <v>1</v>
      </c>
      <c r="AH15" t="s">
        <v>56</v>
      </c>
      <c r="AI15" s="2">
        <f t="shared" si="8"/>
        <v>6</v>
      </c>
      <c r="AJ15" s="2">
        <f t="shared" si="9"/>
        <v>1</v>
      </c>
      <c r="AK15" s="3">
        <v>240.00000000698489</v>
      </c>
      <c r="AM15" s="2">
        <v>0</v>
      </c>
      <c r="AN15">
        <v>0</v>
      </c>
      <c r="AO15">
        <v>20</v>
      </c>
      <c r="AP15">
        <v>0</v>
      </c>
      <c r="AQ15" s="2">
        <f>IF((2*G15 + M15 -P15 + 3*W15 + 2*Z15+2*AD15 + AG15+2*AJ15 + 4*AM15) &gt;=8,1,0)</f>
        <v>0</v>
      </c>
    </row>
    <row r="16" spans="1:43" x14ac:dyDescent="0.25">
      <c r="A16" t="s">
        <v>27</v>
      </c>
      <c r="B16" s="1">
        <v>36681</v>
      </c>
      <c r="C16" s="7">
        <f t="shared" si="0"/>
        <v>2000</v>
      </c>
      <c r="D16">
        <v>85.7</v>
      </c>
      <c r="E16">
        <v>63.6</v>
      </c>
      <c r="F16">
        <v>75.2</v>
      </c>
      <c r="G16" s="2">
        <f t="shared" si="1"/>
        <v>1</v>
      </c>
      <c r="H16">
        <v>82.7</v>
      </c>
      <c r="I16">
        <v>63.6</v>
      </c>
      <c r="J16">
        <v>74.5</v>
      </c>
      <c r="K16">
        <v>44</v>
      </c>
      <c r="L16">
        <v>34.5</v>
      </c>
      <c r="M16" s="2">
        <f t="shared" si="2"/>
        <v>1</v>
      </c>
      <c r="N16">
        <v>0</v>
      </c>
      <c r="P16" s="2">
        <f t="shared" si="3"/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>
        <f t="shared" si="4"/>
        <v>0</v>
      </c>
      <c r="X16">
        <v>17.2</v>
      </c>
      <c r="Z16" s="2">
        <f t="shared" si="5"/>
        <v>1</v>
      </c>
      <c r="AA16">
        <v>357.5</v>
      </c>
      <c r="AB16" s="2" t="str">
        <f>CHOOSE(MATCH(AA16,{0;11;80;111;161;191;241;281;341},1),"North","NorthEast","East","SouthEast","South","SouthWest","West","NorthWest","North")</f>
        <v>North</v>
      </c>
      <c r="AC16" s="5">
        <f>CHOOSE(MATCH(AB16,{"South";"SouthEast";"SouthWest";"North";"NorthEast";"East";"West";"NorthWest"},0),1,2,3,4,5,6,7,8)</f>
        <v>4</v>
      </c>
      <c r="AD16" s="2">
        <f t="shared" si="6"/>
        <v>1</v>
      </c>
      <c r="AE16">
        <v>1017.8</v>
      </c>
      <c r="AF16" s="4" t="s">
        <v>57</v>
      </c>
      <c r="AG16" s="2">
        <f t="shared" si="7"/>
        <v>0</v>
      </c>
      <c r="AH16" t="s">
        <v>58</v>
      </c>
      <c r="AI16" s="2">
        <f t="shared" si="8"/>
        <v>6</v>
      </c>
      <c r="AJ16" s="2">
        <f t="shared" si="9"/>
        <v>1</v>
      </c>
      <c r="AK16" s="3">
        <v>200.99999999511061</v>
      </c>
      <c r="AM16" s="2">
        <v>0</v>
      </c>
      <c r="AN16">
        <v>0</v>
      </c>
      <c r="AO16">
        <v>8</v>
      </c>
      <c r="AP16">
        <v>0</v>
      </c>
      <c r="AQ16" s="2">
        <f>IF((2*G16 + M16 -P16 + 3*W16 + 2*Z16+2*AD16 + AG16+2*AJ16 + 4*AM16) &gt;=8,1,0)</f>
        <v>1</v>
      </c>
    </row>
    <row r="17" spans="1:43" x14ac:dyDescent="0.25">
      <c r="A17" t="s">
        <v>27</v>
      </c>
      <c r="B17" s="1">
        <v>36681</v>
      </c>
      <c r="C17" s="7">
        <f t="shared" si="0"/>
        <v>2000</v>
      </c>
      <c r="D17">
        <v>85.7</v>
      </c>
      <c r="E17">
        <v>63.6</v>
      </c>
      <c r="F17">
        <v>75.2</v>
      </c>
      <c r="G17" s="2">
        <f t="shared" si="1"/>
        <v>1</v>
      </c>
      <c r="H17">
        <v>82.7</v>
      </c>
      <c r="I17">
        <v>63.6</v>
      </c>
      <c r="J17">
        <v>74.5</v>
      </c>
      <c r="K17">
        <v>44</v>
      </c>
      <c r="L17">
        <v>34.5</v>
      </c>
      <c r="M17" s="2">
        <f t="shared" si="2"/>
        <v>1</v>
      </c>
      <c r="N17">
        <v>0</v>
      </c>
      <c r="P17" s="2">
        <f t="shared" si="3"/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2">
        <f t="shared" si="4"/>
        <v>0</v>
      </c>
      <c r="X17">
        <v>17.2</v>
      </c>
      <c r="Z17" s="2">
        <f t="shared" si="5"/>
        <v>1</v>
      </c>
      <c r="AA17">
        <v>357.5</v>
      </c>
      <c r="AB17" s="2" t="str">
        <f>CHOOSE(MATCH(AA17,{0;11;80;111;161;191;241;281;341},1),"North","NorthEast","East","SouthEast","South","SouthWest","West","NorthWest","North")</f>
        <v>North</v>
      </c>
      <c r="AC17" s="5">
        <f>CHOOSE(MATCH(AB17,{"South";"SouthEast";"SouthWest";"North";"NorthEast";"East";"West";"NorthWest"},0),1,2,3,4,5,6,7,8)</f>
        <v>4</v>
      </c>
      <c r="AD17" s="2">
        <f t="shared" si="6"/>
        <v>1</v>
      </c>
      <c r="AE17">
        <v>1017.8</v>
      </c>
      <c r="AF17" s="4" t="s">
        <v>59</v>
      </c>
      <c r="AG17" s="2">
        <f t="shared" si="7"/>
        <v>1</v>
      </c>
      <c r="AH17" t="s">
        <v>60</v>
      </c>
      <c r="AI17" s="2">
        <f t="shared" si="8"/>
        <v>6</v>
      </c>
      <c r="AJ17" s="2">
        <f t="shared" si="9"/>
        <v>1</v>
      </c>
      <c r="AK17" s="3">
        <v>34.999999998835847</v>
      </c>
      <c r="AM17" s="2">
        <v>0</v>
      </c>
      <c r="AN17">
        <v>0</v>
      </c>
      <c r="AO17">
        <v>0.1</v>
      </c>
      <c r="AP17">
        <v>0</v>
      </c>
      <c r="AQ17" s="2">
        <f>IF((2*G17 + M17 -P17 + 3*W17 + 2*Z17+2*AD17 + AG17+2*AJ17 + 4*AM17) &gt;=8,1,0)</f>
        <v>1</v>
      </c>
    </row>
    <row r="18" spans="1:43" x14ac:dyDescent="0.25">
      <c r="A18" t="s">
        <v>27</v>
      </c>
      <c r="B18" s="1">
        <v>36682</v>
      </c>
      <c r="C18" s="7">
        <f t="shared" si="0"/>
        <v>2000</v>
      </c>
      <c r="D18">
        <v>89</v>
      </c>
      <c r="E18">
        <v>62.7</v>
      </c>
      <c r="F18">
        <v>77.7</v>
      </c>
      <c r="G18" s="2">
        <f t="shared" si="1"/>
        <v>1</v>
      </c>
      <c r="H18">
        <v>85.7</v>
      </c>
      <c r="I18">
        <v>62.7</v>
      </c>
      <c r="J18">
        <v>76.7</v>
      </c>
      <c r="K18">
        <v>46.3</v>
      </c>
      <c r="L18">
        <v>34</v>
      </c>
      <c r="M18" s="2">
        <f t="shared" si="2"/>
        <v>1</v>
      </c>
      <c r="N18">
        <v>0</v>
      </c>
      <c r="P18" s="2">
        <f t="shared" si="3"/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2">
        <f t="shared" si="4"/>
        <v>0</v>
      </c>
      <c r="X18">
        <v>15.5</v>
      </c>
      <c r="Z18" s="2">
        <f t="shared" si="5"/>
        <v>0</v>
      </c>
      <c r="AA18">
        <v>352.5</v>
      </c>
      <c r="AB18" s="2" t="str">
        <f>CHOOSE(MATCH(AA18,{0;11;80;111;161;191;241;281;341},1),"North","NorthEast","East","SouthEast","South","SouthWest","West","NorthWest","North")</f>
        <v>North</v>
      </c>
      <c r="AC18" s="5">
        <f>CHOOSE(MATCH(AB18,{"South";"SouthEast";"SouthWest";"North";"NorthEast";"East";"West";"NorthWest"},0),1,2,3,4,5,6,7,8)</f>
        <v>4</v>
      </c>
      <c r="AD18" s="2">
        <f t="shared" si="6"/>
        <v>1</v>
      </c>
      <c r="AE18">
        <v>1015.9</v>
      </c>
      <c r="AF18" s="4" t="s">
        <v>61</v>
      </c>
      <c r="AG18" s="2">
        <f t="shared" si="7"/>
        <v>1</v>
      </c>
      <c r="AH18" t="s">
        <v>62</v>
      </c>
      <c r="AI18" s="2">
        <f t="shared" si="8"/>
        <v>6</v>
      </c>
      <c r="AJ18" s="2">
        <f t="shared" si="9"/>
        <v>1</v>
      </c>
      <c r="AK18" s="3">
        <v>159.99999999767169</v>
      </c>
      <c r="AM18" s="2">
        <v>0</v>
      </c>
      <c r="AN18">
        <v>0</v>
      </c>
      <c r="AO18">
        <v>2</v>
      </c>
      <c r="AP18">
        <v>0</v>
      </c>
      <c r="AQ18" s="2">
        <f>IF((2*G18 + M18 -P18 + 3*W18 + 2*Z18+2*AD18 + AG18+2*AJ18 + 4*AM18) &gt;=8,1,0)</f>
        <v>0</v>
      </c>
    </row>
    <row r="19" spans="1:43" x14ac:dyDescent="0.25">
      <c r="A19" t="s">
        <v>27</v>
      </c>
      <c r="B19" s="1">
        <v>36683</v>
      </c>
      <c r="C19" s="7">
        <f t="shared" si="0"/>
        <v>2000</v>
      </c>
      <c r="D19">
        <v>91.2</v>
      </c>
      <c r="E19">
        <v>64.5</v>
      </c>
      <c r="F19">
        <v>80.900000000000006</v>
      </c>
      <c r="G19" s="2">
        <f t="shared" si="1"/>
        <v>1</v>
      </c>
      <c r="H19">
        <v>89.2</v>
      </c>
      <c r="I19">
        <v>64.5</v>
      </c>
      <c r="J19">
        <v>79.900000000000006</v>
      </c>
      <c r="K19">
        <v>51</v>
      </c>
      <c r="L19">
        <v>36.6</v>
      </c>
      <c r="M19" s="2">
        <f t="shared" si="2"/>
        <v>1</v>
      </c>
      <c r="N19">
        <v>0</v>
      </c>
      <c r="P19" s="2">
        <f t="shared" si="3"/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2">
        <f t="shared" si="4"/>
        <v>0</v>
      </c>
      <c r="X19">
        <v>15</v>
      </c>
      <c r="Z19" s="2">
        <f t="shared" si="5"/>
        <v>0</v>
      </c>
      <c r="AA19">
        <v>328.1</v>
      </c>
      <c r="AB19" s="2" t="str">
        <f>CHOOSE(MATCH(AA19,{0;11;80;111;161;191;241;281;341},1),"North","NorthEast","East","SouthEast","South","SouthWest","West","NorthWest","North")</f>
        <v>NorthWest</v>
      </c>
      <c r="AC19" s="5">
        <f>CHOOSE(MATCH(AB19,{"South";"SouthEast";"SouthWest";"North";"NorthEast";"East";"West";"NorthWest"},0),1,2,3,4,5,6,7,8)</f>
        <v>8</v>
      </c>
      <c r="AD19" s="2">
        <f t="shared" si="6"/>
        <v>1</v>
      </c>
      <c r="AE19">
        <v>1010.9</v>
      </c>
      <c r="AF19" s="4" t="s">
        <v>63</v>
      </c>
      <c r="AG19" s="2">
        <f t="shared" si="7"/>
        <v>1</v>
      </c>
      <c r="AH19" t="s">
        <v>64</v>
      </c>
      <c r="AI19" s="2">
        <f t="shared" si="8"/>
        <v>6</v>
      </c>
      <c r="AJ19" s="2">
        <f t="shared" si="9"/>
        <v>1</v>
      </c>
      <c r="AK19" s="3">
        <v>120.0000000034925</v>
      </c>
      <c r="AM19" s="2">
        <v>0</v>
      </c>
      <c r="AN19">
        <v>0</v>
      </c>
      <c r="AO19">
        <v>1</v>
      </c>
      <c r="AP19">
        <v>0</v>
      </c>
      <c r="AQ19" s="2">
        <f>IF((2*G19 + M19 -P19 + 3*W19 + 2*Z19+2*AD19 + AG19+2*AJ19 + 4*AM19) &gt;=8,1,0)</f>
        <v>0</v>
      </c>
    </row>
    <row r="20" spans="1:43" x14ac:dyDescent="0.25">
      <c r="A20" t="s">
        <v>27</v>
      </c>
      <c r="B20" s="1">
        <v>36684</v>
      </c>
      <c r="C20" s="7">
        <f t="shared" si="0"/>
        <v>2000</v>
      </c>
      <c r="D20">
        <v>87.1</v>
      </c>
      <c r="E20">
        <v>67.3</v>
      </c>
      <c r="F20">
        <v>77.599999999999994</v>
      </c>
      <c r="G20" s="2">
        <f t="shared" si="1"/>
        <v>1</v>
      </c>
      <c r="H20">
        <v>87.3</v>
      </c>
      <c r="I20">
        <v>67.3</v>
      </c>
      <c r="J20">
        <v>77.599999999999994</v>
      </c>
      <c r="K20">
        <v>58.8</v>
      </c>
      <c r="L20">
        <v>53.6</v>
      </c>
      <c r="M20" s="2">
        <f t="shared" si="2"/>
        <v>0</v>
      </c>
      <c r="N20">
        <v>0</v>
      </c>
      <c r="P20" s="2">
        <f t="shared" si="3"/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2">
        <f t="shared" si="4"/>
        <v>0</v>
      </c>
      <c r="X20">
        <v>13.8</v>
      </c>
      <c r="Z20" s="2">
        <f t="shared" si="5"/>
        <v>0</v>
      </c>
      <c r="AA20">
        <v>199.5</v>
      </c>
      <c r="AB20" s="2" t="str">
        <f>CHOOSE(MATCH(AA20,{0;11;80;111;161;191;241;281;341},1),"North","NorthEast","East","SouthEast","South","SouthWest","West","NorthWest","North")</f>
        <v>SouthWest</v>
      </c>
      <c r="AC20" s="5">
        <f>CHOOSE(MATCH(AB20,{"South";"SouthEast";"SouthWest";"North";"NorthEast";"East";"West";"NorthWest"},0),1,2,3,4,5,6,7,8)</f>
        <v>3</v>
      </c>
      <c r="AD20" s="2">
        <f t="shared" si="6"/>
        <v>1</v>
      </c>
      <c r="AE20">
        <v>1010.2</v>
      </c>
      <c r="AF20" s="4" t="s">
        <v>65</v>
      </c>
      <c r="AG20" s="2">
        <f t="shared" si="7"/>
        <v>0</v>
      </c>
      <c r="AH20" t="s">
        <v>66</v>
      </c>
      <c r="AI20" s="2">
        <f t="shared" si="8"/>
        <v>6</v>
      </c>
      <c r="AJ20" s="2">
        <f t="shared" si="9"/>
        <v>1</v>
      </c>
      <c r="AK20" s="3">
        <v>110.00000000232831</v>
      </c>
      <c r="AM20" s="2">
        <v>0</v>
      </c>
      <c r="AN20">
        <v>0</v>
      </c>
      <c r="AO20">
        <v>1</v>
      </c>
      <c r="AP20">
        <v>0</v>
      </c>
      <c r="AQ20" s="2">
        <f>IF((2*G20 + M20 -P20 + 3*W20 + 2*Z20+2*AD20 + AG20+2*AJ20 + 4*AM20) &gt;=8,1,0)</f>
        <v>0</v>
      </c>
    </row>
    <row r="21" spans="1:43" x14ac:dyDescent="0.25">
      <c r="A21" t="s">
        <v>27</v>
      </c>
      <c r="B21" s="1">
        <v>36685</v>
      </c>
      <c r="C21" s="7">
        <f t="shared" si="0"/>
        <v>2000</v>
      </c>
      <c r="D21">
        <v>89.4</v>
      </c>
      <c r="E21">
        <v>69.2</v>
      </c>
      <c r="F21">
        <v>79</v>
      </c>
      <c r="G21" s="2">
        <f t="shared" si="1"/>
        <v>1</v>
      </c>
      <c r="H21">
        <v>89.3</v>
      </c>
      <c r="I21">
        <v>69.2</v>
      </c>
      <c r="J21">
        <v>79.5</v>
      </c>
      <c r="K21">
        <v>61.7</v>
      </c>
      <c r="L21">
        <v>56.5</v>
      </c>
      <c r="M21" s="2">
        <f t="shared" si="2"/>
        <v>0</v>
      </c>
      <c r="N21">
        <v>0</v>
      </c>
      <c r="P21" s="2">
        <f t="shared" si="3"/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2">
        <f t="shared" si="4"/>
        <v>0</v>
      </c>
      <c r="X21">
        <v>10.7</v>
      </c>
      <c r="Z21" s="2">
        <f t="shared" si="5"/>
        <v>0</v>
      </c>
      <c r="AA21">
        <v>220</v>
      </c>
      <c r="AB21" s="2" t="str">
        <f>CHOOSE(MATCH(AA21,{0;11;80;111;161;191;241;281;341},1),"North","NorthEast","East","SouthEast","South","SouthWest","West","NorthWest","North")</f>
        <v>SouthWest</v>
      </c>
      <c r="AC21" s="5">
        <f>CHOOSE(MATCH(AB21,{"South";"SouthEast";"SouthWest";"North";"NorthEast";"East";"West";"NorthWest"},0),1,2,3,4,5,6,7,8)</f>
        <v>3</v>
      </c>
      <c r="AD21" s="2">
        <f t="shared" si="6"/>
        <v>1</v>
      </c>
      <c r="AE21">
        <v>1014</v>
      </c>
      <c r="AF21" s="4" t="s">
        <v>67</v>
      </c>
      <c r="AG21" s="2">
        <f t="shared" si="7"/>
        <v>1</v>
      </c>
      <c r="AH21" t="s">
        <v>68</v>
      </c>
      <c r="AI21" s="2">
        <f t="shared" si="8"/>
        <v>6</v>
      </c>
      <c r="AJ21" s="2">
        <f t="shared" si="9"/>
        <v>1</v>
      </c>
      <c r="AK21" s="3">
        <v>90</v>
      </c>
      <c r="AM21" s="2">
        <v>0</v>
      </c>
      <c r="AN21">
        <v>3</v>
      </c>
      <c r="AO21">
        <v>3</v>
      </c>
      <c r="AP21">
        <v>0</v>
      </c>
      <c r="AQ21" s="2">
        <f>IF((2*G21 + M21 -P21 + 3*W21 + 2*Z21+2*AD21 + AG21+2*AJ21 + 4*AM21) &gt;=8,1,0)</f>
        <v>0</v>
      </c>
    </row>
    <row r="22" spans="1:43" x14ac:dyDescent="0.25">
      <c r="A22" t="s">
        <v>27</v>
      </c>
      <c r="B22" s="1">
        <v>36690</v>
      </c>
      <c r="C22" s="7">
        <f t="shared" si="0"/>
        <v>2000</v>
      </c>
      <c r="D22">
        <v>94.7</v>
      </c>
      <c r="E22">
        <v>71.2</v>
      </c>
      <c r="F22">
        <v>82.9</v>
      </c>
      <c r="G22" s="2">
        <f t="shared" si="1"/>
        <v>1</v>
      </c>
      <c r="H22">
        <v>90.2</v>
      </c>
      <c r="I22">
        <v>71.2</v>
      </c>
      <c r="J22">
        <v>81</v>
      </c>
      <c r="K22">
        <v>39.299999999999997</v>
      </c>
      <c r="L22">
        <v>22.2</v>
      </c>
      <c r="M22" s="2">
        <f t="shared" si="2"/>
        <v>1</v>
      </c>
      <c r="N22">
        <v>0</v>
      </c>
      <c r="P22" s="2">
        <f t="shared" si="3"/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2">
        <f t="shared" si="4"/>
        <v>0</v>
      </c>
      <c r="X22">
        <v>21.2</v>
      </c>
      <c r="Z22" s="2">
        <f t="shared" si="5"/>
        <v>1</v>
      </c>
      <c r="AA22">
        <v>353.7</v>
      </c>
      <c r="AB22" s="2" t="str">
        <f>CHOOSE(MATCH(AA22,{0;11;80;111;161;191;241;281;341},1),"North","NorthEast","East","SouthEast","South","SouthWest","West","NorthWest","North")</f>
        <v>North</v>
      </c>
      <c r="AC22" s="5">
        <f>CHOOSE(MATCH(AB22,{"South";"SouthEast";"SouthWest";"North";"NorthEast";"East";"West";"NorthWest"},0),1,2,3,4,5,6,7,8)</f>
        <v>4</v>
      </c>
      <c r="AD22" s="2">
        <f t="shared" si="6"/>
        <v>1</v>
      </c>
      <c r="AE22">
        <v>1020.8</v>
      </c>
      <c r="AF22" s="4" t="s">
        <v>61</v>
      </c>
      <c r="AG22" s="2">
        <f t="shared" si="7"/>
        <v>1</v>
      </c>
      <c r="AH22" t="s">
        <v>71</v>
      </c>
      <c r="AI22" s="2">
        <f t="shared" si="8"/>
        <v>6</v>
      </c>
      <c r="AJ22" s="2">
        <f t="shared" si="9"/>
        <v>1</v>
      </c>
      <c r="AK22" s="3">
        <v>90</v>
      </c>
      <c r="AM22" s="2">
        <v>0</v>
      </c>
      <c r="AN22">
        <v>0.2</v>
      </c>
      <c r="AO22">
        <v>0</v>
      </c>
      <c r="AP22">
        <v>0</v>
      </c>
      <c r="AQ22" s="2">
        <f>IF((2*G22 + M22 -P22 + 3*W22 + 2*Z22+2*AD22 + AG22+2*AJ22 + 4*AM22) &gt;=8,1,0)</f>
        <v>1</v>
      </c>
    </row>
    <row r="23" spans="1:43" x14ac:dyDescent="0.25">
      <c r="A23" t="s">
        <v>27</v>
      </c>
      <c r="B23" s="1">
        <v>36691</v>
      </c>
      <c r="C23" s="7">
        <f t="shared" si="0"/>
        <v>2000</v>
      </c>
      <c r="D23">
        <v>98.3</v>
      </c>
      <c r="E23">
        <v>74.599999999999994</v>
      </c>
      <c r="F23">
        <v>86.6</v>
      </c>
      <c r="G23" s="2">
        <f t="shared" si="1"/>
        <v>1</v>
      </c>
      <c r="H23">
        <v>93.1</v>
      </c>
      <c r="I23">
        <v>74.599999999999994</v>
      </c>
      <c r="J23">
        <v>83.9</v>
      </c>
      <c r="K23">
        <v>35.799999999999997</v>
      </c>
      <c r="L23">
        <v>18.2</v>
      </c>
      <c r="M23" s="2">
        <f t="shared" si="2"/>
        <v>1</v>
      </c>
      <c r="N23">
        <v>0</v>
      </c>
      <c r="P23" s="2">
        <f t="shared" si="3"/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2">
        <f t="shared" si="4"/>
        <v>0</v>
      </c>
      <c r="X23">
        <v>19.100000000000001</v>
      </c>
      <c r="Z23" s="2">
        <f t="shared" si="5"/>
        <v>1</v>
      </c>
      <c r="AA23">
        <v>352</v>
      </c>
      <c r="AB23" s="2" t="str">
        <f>CHOOSE(MATCH(AA23,{0;11;80;111;161;191;241;281;341},1),"North","NorthEast","East","SouthEast","South","SouthWest","West","NorthWest","North")</f>
        <v>North</v>
      </c>
      <c r="AC23" s="5">
        <f>CHOOSE(MATCH(AB23,{"South";"SouthEast";"SouthWest";"North";"NorthEast";"East";"West";"NorthWest"},0),1,2,3,4,5,6,7,8)</f>
        <v>4</v>
      </c>
      <c r="AD23" s="2">
        <f t="shared" si="6"/>
        <v>1</v>
      </c>
      <c r="AE23">
        <v>1018.2</v>
      </c>
      <c r="AF23" s="4" t="s">
        <v>72</v>
      </c>
      <c r="AG23" s="2">
        <f t="shared" si="7"/>
        <v>0</v>
      </c>
      <c r="AH23" t="s">
        <v>73</v>
      </c>
      <c r="AI23" s="2">
        <f t="shared" si="8"/>
        <v>6</v>
      </c>
      <c r="AJ23" s="2">
        <f t="shared" si="9"/>
        <v>1</v>
      </c>
      <c r="AK23" s="3">
        <v>214.99999999883579</v>
      </c>
      <c r="AM23" s="2">
        <v>0</v>
      </c>
      <c r="AN23">
        <v>2</v>
      </c>
      <c r="AO23">
        <v>2</v>
      </c>
      <c r="AP23">
        <v>0</v>
      </c>
      <c r="AQ23" s="2">
        <f>IF((2*G23 + M23 -P23 + 3*W23 + 2*Z23+2*AD23 + AG23+2*AJ23 + 4*AM23) &gt;=8,1,0)</f>
        <v>1</v>
      </c>
    </row>
    <row r="24" spans="1:43" x14ac:dyDescent="0.25">
      <c r="A24" t="s">
        <v>27</v>
      </c>
      <c r="B24" s="1">
        <v>36691</v>
      </c>
      <c r="C24" s="7">
        <f t="shared" si="0"/>
        <v>2000</v>
      </c>
      <c r="D24">
        <v>98.3</v>
      </c>
      <c r="E24">
        <v>74.599999999999994</v>
      </c>
      <c r="F24">
        <v>86.6</v>
      </c>
      <c r="G24" s="2">
        <f t="shared" si="1"/>
        <v>1</v>
      </c>
      <c r="H24">
        <v>93.1</v>
      </c>
      <c r="I24">
        <v>74.599999999999994</v>
      </c>
      <c r="J24">
        <v>83.9</v>
      </c>
      <c r="K24">
        <v>35.799999999999997</v>
      </c>
      <c r="L24">
        <v>18.2</v>
      </c>
      <c r="M24" s="2">
        <f t="shared" si="2"/>
        <v>1</v>
      </c>
      <c r="N24">
        <v>0</v>
      </c>
      <c r="P24" s="2">
        <f t="shared" si="3"/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2">
        <f t="shared" si="4"/>
        <v>0</v>
      </c>
      <c r="X24">
        <v>19.100000000000001</v>
      </c>
      <c r="Z24" s="2">
        <f t="shared" si="5"/>
        <v>1</v>
      </c>
      <c r="AA24">
        <v>352</v>
      </c>
      <c r="AB24" s="2" t="str">
        <f>CHOOSE(MATCH(AA24,{0;11;80;111;161;191;241;281;341},1),"North","NorthEast","East","SouthEast","South","SouthWest","West","NorthWest","North")</f>
        <v>North</v>
      </c>
      <c r="AC24" s="5">
        <f>CHOOSE(MATCH(AB24,{"South";"SouthEast";"SouthWest";"North";"NorthEast";"East";"West";"NorthWest"},0),1,2,3,4,5,6,7,8)</f>
        <v>4</v>
      </c>
      <c r="AD24" s="2">
        <f t="shared" si="6"/>
        <v>1</v>
      </c>
      <c r="AE24">
        <v>1018.2</v>
      </c>
      <c r="AF24" s="4" t="s">
        <v>74</v>
      </c>
      <c r="AG24" s="2">
        <f t="shared" si="7"/>
        <v>1</v>
      </c>
      <c r="AH24" t="s">
        <v>75</v>
      </c>
      <c r="AI24" s="2">
        <f t="shared" si="8"/>
        <v>6</v>
      </c>
      <c r="AJ24" s="2">
        <f t="shared" si="9"/>
        <v>1</v>
      </c>
      <c r="AK24" s="3">
        <v>158.00000000162979</v>
      </c>
      <c r="AM24" s="2">
        <v>0</v>
      </c>
      <c r="AN24">
        <v>1</v>
      </c>
      <c r="AO24">
        <v>0</v>
      </c>
      <c r="AP24">
        <v>0</v>
      </c>
      <c r="AQ24" s="2">
        <f>IF((2*G24 + M24 -P24 + 3*W24 + 2*Z24+2*AD24 + AG24+2*AJ24 + 4*AM24) &gt;=8,1,0)</f>
        <v>1</v>
      </c>
    </row>
    <row r="25" spans="1:43" x14ac:dyDescent="0.25">
      <c r="A25" t="s">
        <v>27</v>
      </c>
      <c r="B25" s="1">
        <v>36692</v>
      </c>
      <c r="C25" s="7">
        <f t="shared" si="0"/>
        <v>2000</v>
      </c>
      <c r="D25">
        <v>98.5</v>
      </c>
      <c r="E25">
        <v>77.900000000000006</v>
      </c>
      <c r="F25">
        <v>87.3</v>
      </c>
      <c r="G25" s="2">
        <f t="shared" si="1"/>
        <v>1</v>
      </c>
      <c r="H25">
        <v>95.7</v>
      </c>
      <c r="I25">
        <v>77.900000000000006</v>
      </c>
      <c r="J25">
        <v>86.1</v>
      </c>
      <c r="K25">
        <v>53.2</v>
      </c>
      <c r="L25">
        <v>32</v>
      </c>
      <c r="M25" s="2">
        <f t="shared" si="2"/>
        <v>1</v>
      </c>
      <c r="N25">
        <v>0</v>
      </c>
      <c r="P25" s="2">
        <f t="shared" si="3"/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2">
        <f t="shared" si="4"/>
        <v>0</v>
      </c>
      <c r="X25">
        <v>11.9</v>
      </c>
      <c r="Z25" s="2">
        <f t="shared" si="5"/>
        <v>0</v>
      </c>
      <c r="AA25">
        <v>332.9</v>
      </c>
      <c r="AB25" s="2" t="str">
        <f>CHOOSE(MATCH(AA25,{0;11;80;111;161;191;241;281;341},1),"North","NorthEast","East","SouthEast","South","SouthWest","West","NorthWest","North")</f>
        <v>NorthWest</v>
      </c>
      <c r="AC25" s="5">
        <f>CHOOSE(MATCH(AB25,{"South";"SouthEast";"SouthWest";"North";"NorthEast";"East";"West";"NorthWest"},0),1,2,3,4,5,6,7,8)</f>
        <v>8</v>
      </c>
      <c r="AD25" s="2">
        <f t="shared" si="6"/>
        <v>1</v>
      </c>
      <c r="AE25">
        <v>1014.5</v>
      </c>
      <c r="AF25" s="4" t="s">
        <v>76</v>
      </c>
      <c r="AG25" s="2">
        <f t="shared" si="7"/>
        <v>0</v>
      </c>
      <c r="AH25" t="s">
        <v>77</v>
      </c>
      <c r="AI25" s="2">
        <f t="shared" si="8"/>
        <v>6</v>
      </c>
      <c r="AJ25" s="2">
        <f t="shared" si="9"/>
        <v>1</v>
      </c>
      <c r="AK25" s="3">
        <v>150.9999999997672</v>
      </c>
      <c r="AM25" s="2">
        <v>0</v>
      </c>
      <c r="AN25">
        <v>0</v>
      </c>
      <c r="AO25">
        <v>5</v>
      </c>
      <c r="AP25">
        <v>0</v>
      </c>
      <c r="AQ25" s="2">
        <f>IF((2*G25 + M25 -P25 + 3*W25 + 2*Z25+2*AD25 + AG25+2*AJ25 + 4*AM25) &gt;=8,1,0)</f>
        <v>0</v>
      </c>
    </row>
    <row r="26" spans="1:43" x14ac:dyDescent="0.25">
      <c r="A26" t="s">
        <v>27</v>
      </c>
      <c r="B26" s="1">
        <v>36692</v>
      </c>
      <c r="C26" s="7">
        <f t="shared" si="0"/>
        <v>2000</v>
      </c>
      <c r="D26">
        <v>98.5</v>
      </c>
      <c r="E26">
        <v>77.900000000000006</v>
      </c>
      <c r="F26">
        <v>87.3</v>
      </c>
      <c r="G26" s="2">
        <f t="shared" si="1"/>
        <v>1</v>
      </c>
      <c r="H26">
        <v>95.7</v>
      </c>
      <c r="I26">
        <v>77.900000000000006</v>
      </c>
      <c r="J26">
        <v>86.1</v>
      </c>
      <c r="K26">
        <v>53.2</v>
      </c>
      <c r="L26">
        <v>32</v>
      </c>
      <c r="M26" s="2">
        <f t="shared" si="2"/>
        <v>1</v>
      </c>
      <c r="N26">
        <v>0</v>
      </c>
      <c r="P26" s="2">
        <f t="shared" si="3"/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2">
        <f t="shared" si="4"/>
        <v>0</v>
      </c>
      <c r="X26">
        <v>11.9</v>
      </c>
      <c r="Z26" s="2">
        <f t="shared" si="5"/>
        <v>0</v>
      </c>
      <c r="AA26">
        <v>332.9</v>
      </c>
      <c r="AB26" s="2" t="str">
        <f>CHOOSE(MATCH(AA26,{0;11;80;111;161;191;241;281;341},1),"North","NorthEast","East","SouthEast","South","SouthWest","West","NorthWest","North")</f>
        <v>NorthWest</v>
      </c>
      <c r="AC26" s="5">
        <f>CHOOSE(MATCH(AB26,{"South";"SouthEast";"SouthWest";"North";"NorthEast";"East";"West";"NorthWest"},0),1,2,3,4,5,6,7,8)</f>
        <v>8</v>
      </c>
      <c r="AD26" s="2">
        <f t="shared" si="6"/>
        <v>1</v>
      </c>
      <c r="AE26">
        <v>1014.5</v>
      </c>
      <c r="AF26" s="4" t="s">
        <v>78</v>
      </c>
      <c r="AG26" s="2">
        <f t="shared" si="7"/>
        <v>0</v>
      </c>
      <c r="AH26" t="s">
        <v>79</v>
      </c>
      <c r="AI26" s="2">
        <f t="shared" si="8"/>
        <v>6</v>
      </c>
      <c r="AJ26" s="2">
        <f t="shared" si="9"/>
        <v>1</v>
      </c>
      <c r="AK26" s="3">
        <v>14.99999999650754</v>
      </c>
      <c r="AM26" s="2">
        <v>0</v>
      </c>
      <c r="AN26">
        <v>0</v>
      </c>
      <c r="AO26">
        <v>0.1</v>
      </c>
      <c r="AP26">
        <v>0</v>
      </c>
      <c r="AQ26" s="2">
        <f>IF((2*G26 + M26 -P26 + 3*W26 + 2*Z26+2*AD26 + AG26+2*AJ26 + 4*AM26) &gt;=8,1,0)</f>
        <v>0</v>
      </c>
    </row>
    <row r="27" spans="1:43" x14ac:dyDescent="0.25">
      <c r="A27" t="s">
        <v>27</v>
      </c>
      <c r="B27" s="1">
        <v>36692</v>
      </c>
      <c r="C27" s="7">
        <f t="shared" si="0"/>
        <v>2000</v>
      </c>
      <c r="D27">
        <v>98.5</v>
      </c>
      <c r="E27">
        <v>77.900000000000006</v>
      </c>
      <c r="F27">
        <v>87.3</v>
      </c>
      <c r="G27" s="2">
        <f t="shared" si="1"/>
        <v>1</v>
      </c>
      <c r="H27">
        <v>95.7</v>
      </c>
      <c r="I27">
        <v>77.900000000000006</v>
      </c>
      <c r="J27">
        <v>86.1</v>
      </c>
      <c r="K27">
        <v>53.2</v>
      </c>
      <c r="L27">
        <v>32</v>
      </c>
      <c r="M27" s="2">
        <f t="shared" si="2"/>
        <v>1</v>
      </c>
      <c r="N27">
        <v>0</v>
      </c>
      <c r="P27" s="2">
        <f t="shared" si="3"/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2">
        <f t="shared" si="4"/>
        <v>0</v>
      </c>
      <c r="X27">
        <v>11.9</v>
      </c>
      <c r="Z27" s="2">
        <f t="shared" si="5"/>
        <v>0</v>
      </c>
      <c r="AA27">
        <v>332.9</v>
      </c>
      <c r="AB27" s="2" t="str">
        <f>CHOOSE(MATCH(AA27,{0;11;80;111;161;191;241;281;341},1),"North","NorthEast","East","SouthEast","South","SouthWest","West","NorthWest","North")</f>
        <v>NorthWest</v>
      </c>
      <c r="AC27" s="5">
        <f>CHOOSE(MATCH(AB27,{"South";"SouthEast";"SouthWest";"North";"NorthEast";"East";"West";"NorthWest"},0),1,2,3,4,5,6,7,8)</f>
        <v>8</v>
      </c>
      <c r="AD27" s="2">
        <f t="shared" si="6"/>
        <v>1</v>
      </c>
      <c r="AE27">
        <v>1014.5</v>
      </c>
      <c r="AF27" s="4" t="s">
        <v>80</v>
      </c>
      <c r="AG27" s="2">
        <f t="shared" si="7"/>
        <v>1</v>
      </c>
      <c r="AH27" t="s">
        <v>81</v>
      </c>
      <c r="AI27" s="2">
        <f t="shared" si="8"/>
        <v>6</v>
      </c>
      <c r="AJ27" s="2">
        <f t="shared" si="9"/>
        <v>1</v>
      </c>
      <c r="AK27" s="3">
        <v>11990.00000000233</v>
      </c>
      <c r="AM27" s="2">
        <v>1</v>
      </c>
      <c r="AN27">
        <v>0</v>
      </c>
      <c r="AO27">
        <v>17800</v>
      </c>
      <c r="AP27">
        <v>0</v>
      </c>
      <c r="AQ27" s="2">
        <f>IF((2*G27 + M27 -P27 + 3*W27 + 2*Z27+2*AD27 + AG27+2*AJ27 + 4*AM27) &gt;=8,1,0)</f>
        <v>1</v>
      </c>
    </row>
    <row r="28" spans="1:43" x14ac:dyDescent="0.25">
      <c r="A28" t="s">
        <v>27</v>
      </c>
      <c r="B28" s="1">
        <v>36693</v>
      </c>
      <c r="C28" s="7">
        <f t="shared" si="0"/>
        <v>2000</v>
      </c>
      <c r="D28">
        <v>94.8</v>
      </c>
      <c r="E28">
        <v>75.3</v>
      </c>
      <c r="F28">
        <v>86.4</v>
      </c>
      <c r="G28" s="2">
        <f t="shared" si="1"/>
        <v>1</v>
      </c>
      <c r="H28">
        <v>93.8</v>
      </c>
      <c r="I28">
        <v>75.3</v>
      </c>
      <c r="J28">
        <v>85.6</v>
      </c>
      <c r="K28">
        <v>56.7</v>
      </c>
      <c r="L28">
        <v>37.4</v>
      </c>
      <c r="M28" s="2">
        <f t="shared" si="2"/>
        <v>1</v>
      </c>
      <c r="N28">
        <v>0</v>
      </c>
      <c r="P28" s="2">
        <f t="shared" si="3"/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2">
        <f t="shared" si="4"/>
        <v>0</v>
      </c>
      <c r="X28">
        <v>17.600000000000001</v>
      </c>
      <c r="Z28" s="2">
        <f t="shared" si="5"/>
        <v>1</v>
      </c>
      <c r="AA28">
        <v>322.2</v>
      </c>
      <c r="AB28" s="2" t="str">
        <f>CHOOSE(MATCH(AA28,{0;11;80;111;161;191;241;281;341},1),"North","NorthEast","East","SouthEast","South","SouthWest","West","NorthWest","North")</f>
        <v>NorthWest</v>
      </c>
      <c r="AC28" s="5">
        <f>CHOOSE(MATCH(AB28,{"South";"SouthEast";"SouthWest";"North";"NorthEast";"East";"West";"NorthWest"},0),1,2,3,4,5,6,7,8)</f>
        <v>8</v>
      </c>
      <c r="AD28" s="2">
        <f t="shared" si="6"/>
        <v>1</v>
      </c>
      <c r="AE28">
        <v>1009.7</v>
      </c>
      <c r="AF28" s="4" t="s">
        <v>82</v>
      </c>
      <c r="AG28" s="2">
        <f t="shared" si="7"/>
        <v>1</v>
      </c>
      <c r="AH28" t="s">
        <v>83</v>
      </c>
      <c r="AI28" s="2">
        <f t="shared" si="8"/>
        <v>6</v>
      </c>
      <c r="AJ28" s="2">
        <f t="shared" si="9"/>
        <v>1</v>
      </c>
      <c r="AK28" s="3">
        <v>1146.99999999837</v>
      </c>
      <c r="AM28" s="2">
        <v>1</v>
      </c>
      <c r="AN28">
        <v>0</v>
      </c>
      <c r="AO28">
        <v>200</v>
      </c>
      <c r="AP28">
        <v>0</v>
      </c>
      <c r="AQ28" s="2">
        <f>IF((2*G28 + M28 -P28 + 3*W28 + 2*Z28+2*AD28 + AG28+2*AJ28 + 4*AM28) &gt;=8,1,0)</f>
        <v>1</v>
      </c>
    </row>
    <row r="29" spans="1:43" x14ac:dyDescent="0.25">
      <c r="A29" t="s">
        <v>27</v>
      </c>
      <c r="B29" s="1">
        <v>36693</v>
      </c>
      <c r="C29" s="7">
        <f t="shared" si="0"/>
        <v>2000</v>
      </c>
      <c r="D29">
        <v>94.8</v>
      </c>
      <c r="E29">
        <v>75.3</v>
      </c>
      <c r="F29">
        <v>86.4</v>
      </c>
      <c r="G29" s="2">
        <f t="shared" si="1"/>
        <v>1</v>
      </c>
      <c r="H29">
        <v>93.8</v>
      </c>
      <c r="I29">
        <v>75.3</v>
      </c>
      <c r="J29">
        <v>85.6</v>
      </c>
      <c r="K29">
        <v>56.7</v>
      </c>
      <c r="L29">
        <v>37.4</v>
      </c>
      <c r="M29" s="2">
        <f t="shared" si="2"/>
        <v>1</v>
      </c>
      <c r="N29">
        <v>0</v>
      </c>
      <c r="P29" s="2">
        <f t="shared" si="3"/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2">
        <f t="shared" si="4"/>
        <v>0</v>
      </c>
      <c r="X29">
        <v>17.600000000000001</v>
      </c>
      <c r="Z29" s="2">
        <f t="shared" si="5"/>
        <v>1</v>
      </c>
      <c r="AA29">
        <v>322.2</v>
      </c>
      <c r="AB29" s="2" t="str">
        <f>CHOOSE(MATCH(AA29,{0;11;80;111;161;191;241;281;341},1),"North","NorthEast","East","SouthEast","South","SouthWest","West","NorthWest","North")</f>
        <v>NorthWest</v>
      </c>
      <c r="AC29" s="5">
        <f>CHOOSE(MATCH(AB29,{"South";"SouthEast";"SouthWest";"North";"NorthEast";"East";"West";"NorthWest"},0),1,2,3,4,5,6,7,8)</f>
        <v>8</v>
      </c>
      <c r="AD29" s="2">
        <f t="shared" si="6"/>
        <v>1</v>
      </c>
      <c r="AE29">
        <v>1009.7</v>
      </c>
      <c r="AF29" s="4" t="s">
        <v>76</v>
      </c>
      <c r="AG29" s="2">
        <f t="shared" si="7"/>
        <v>0</v>
      </c>
      <c r="AH29" t="s">
        <v>84</v>
      </c>
      <c r="AI29" s="2">
        <f t="shared" si="8"/>
        <v>6</v>
      </c>
      <c r="AJ29" s="2">
        <f t="shared" si="9"/>
        <v>1</v>
      </c>
      <c r="AK29" s="3">
        <v>525.99999999627471</v>
      </c>
      <c r="AM29" s="2">
        <v>1</v>
      </c>
      <c r="AN29">
        <v>0</v>
      </c>
      <c r="AO29">
        <v>15</v>
      </c>
      <c r="AP29">
        <v>0</v>
      </c>
      <c r="AQ29" s="2">
        <f>IF((2*G29 + M29 -P29 + 3*W29 + 2*Z29+2*AD29 + AG29+2*AJ29 + 4*AM29) &gt;=8,1,0)</f>
        <v>1</v>
      </c>
    </row>
    <row r="30" spans="1:43" x14ac:dyDescent="0.25">
      <c r="A30" t="s">
        <v>27</v>
      </c>
      <c r="B30" s="1">
        <v>36693</v>
      </c>
      <c r="C30" s="7">
        <f t="shared" si="0"/>
        <v>2000</v>
      </c>
      <c r="D30">
        <v>94.8</v>
      </c>
      <c r="E30">
        <v>75.3</v>
      </c>
      <c r="F30">
        <v>86.4</v>
      </c>
      <c r="G30" s="2">
        <f t="shared" si="1"/>
        <v>1</v>
      </c>
      <c r="H30">
        <v>93.8</v>
      </c>
      <c r="I30">
        <v>75.3</v>
      </c>
      <c r="J30">
        <v>85.6</v>
      </c>
      <c r="K30">
        <v>56.7</v>
      </c>
      <c r="L30">
        <v>37.4</v>
      </c>
      <c r="M30" s="2">
        <f t="shared" si="2"/>
        <v>1</v>
      </c>
      <c r="N30">
        <v>0</v>
      </c>
      <c r="P30" s="2">
        <f t="shared" si="3"/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2">
        <f t="shared" si="4"/>
        <v>0</v>
      </c>
      <c r="X30">
        <v>17.600000000000001</v>
      </c>
      <c r="Z30" s="2">
        <f t="shared" si="5"/>
        <v>1</v>
      </c>
      <c r="AA30">
        <v>322.2</v>
      </c>
      <c r="AB30" s="2" t="str">
        <f>CHOOSE(MATCH(AA30,{0;11;80;111;161;191;241;281;341},1),"North","NorthEast","East","SouthEast","South","SouthWest","West","NorthWest","North")</f>
        <v>NorthWest</v>
      </c>
      <c r="AC30" s="5">
        <f>CHOOSE(MATCH(AB30,{"South";"SouthEast";"SouthWest";"North";"NorthEast";"East";"West";"NorthWest"},0),1,2,3,4,5,6,7,8)</f>
        <v>8</v>
      </c>
      <c r="AD30" s="2">
        <f t="shared" si="6"/>
        <v>1</v>
      </c>
      <c r="AE30">
        <v>1009.7</v>
      </c>
      <c r="AF30" s="4" t="s">
        <v>85</v>
      </c>
      <c r="AG30" s="2">
        <f t="shared" si="7"/>
        <v>1</v>
      </c>
      <c r="AH30" t="s">
        <v>86</v>
      </c>
      <c r="AI30" s="2">
        <f t="shared" si="8"/>
        <v>6</v>
      </c>
      <c r="AJ30" s="2">
        <f t="shared" si="9"/>
        <v>1</v>
      </c>
      <c r="AK30" s="3">
        <v>1110.000000003492</v>
      </c>
      <c r="AM30" s="2">
        <v>1</v>
      </c>
      <c r="AN30">
        <v>0</v>
      </c>
      <c r="AO30">
        <v>70</v>
      </c>
      <c r="AP30">
        <v>0</v>
      </c>
      <c r="AQ30" s="2">
        <f>IF((2*G30 + M30 -P30 + 3*W30 + 2*Z30+2*AD30 + AG30+2*AJ30 + 4*AM30) &gt;=8,1,0)</f>
        <v>1</v>
      </c>
    </row>
    <row r="31" spans="1:43" x14ac:dyDescent="0.25">
      <c r="A31" t="s">
        <v>27</v>
      </c>
      <c r="B31" s="1">
        <v>36694</v>
      </c>
      <c r="C31" s="7">
        <f t="shared" si="0"/>
        <v>2000</v>
      </c>
      <c r="D31">
        <v>89.3</v>
      </c>
      <c r="E31">
        <v>70.8</v>
      </c>
      <c r="F31">
        <v>79.5</v>
      </c>
      <c r="G31" s="2">
        <f t="shared" si="1"/>
        <v>1</v>
      </c>
      <c r="H31">
        <v>88.7</v>
      </c>
      <c r="I31">
        <v>70.8</v>
      </c>
      <c r="J31">
        <v>79.2</v>
      </c>
      <c r="K31">
        <v>59.4</v>
      </c>
      <c r="L31">
        <v>52.2</v>
      </c>
      <c r="M31" s="2">
        <f t="shared" si="2"/>
        <v>0</v>
      </c>
      <c r="N31">
        <v>0.35599999999999998</v>
      </c>
      <c r="P31" s="2">
        <f t="shared" si="3"/>
        <v>0</v>
      </c>
      <c r="Q31">
        <v>100</v>
      </c>
      <c r="R31">
        <v>4.17</v>
      </c>
      <c r="S31" t="s">
        <v>87</v>
      </c>
      <c r="T31">
        <v>0</v>
      </c>
      <c r="U31">
        <v>0</v>
      </c>
      <c r="V31">
        <v>0</v>
      </c>
      <c r="W31" s="2">
        <f t="shared" si="4"/>
        <v>0</v>
      </c>
      <c r="X31">
        <v>19.7</v>
      </c>
      <c r="Z31" s="2">
        <f t="shared" si="5"/>
        <v>1</v>
      </c>
      <c r="AA31">
        <v>11.1</v>
      </c>
      <c r="AB31" s="2" t="str">
        <f>CHOOSE(MATCH(AA31,{0;11;80;111;161;191;241;281;341},1),"North","NorthEast","East","SouthEast","South","SouthWest","West","NorthWest","North")</f>
        <v>NorthEast</v>
      </c>
      <c r="AC31" s="5">
        <f>CHOOSE(MATCH(AB31,{"South";"SouthEast";"SouthWest";"North";"NorthEast";"East";"West";"NorthWest"},0),1,2,3,4,5,6,7,8)</f>
        <v>5</v>
      </c>
      <c r="AD31" s="2">
        <f t="shared" si="6"/>
        <v>1</v>
      </c>
      <c r="AE31">
        <v>1011</v>
      </c>
      <c r="AF31" s="4" t="s">
        <v>88</v>
      </c>
      <c r="AG31" s="2">
        <f t="shared" si="7"/>
        <v>1</v>
      </c>
      <c r="AH31" t="s">
        <v>89</v>
      </c>
      <c r="AI31" s="2">
        <f t="shared" si="8"/>
        <v>6</v>
      </c>
      <c r="AJ31" s="2">
        <f t="shared" si="9"/>
        <v>1</v>
      </c>
      <c r="AK31" s="3">
        <v>126.0000000020955</v>
      </c>
      <c r="AM31" s="2">
        <v>0</v>
      </c>
      <c r="AN31">
        <v>0</v>
      </c>
      <c r="AO31">
        <v>0.1</v>
      </c>
      <c r="AP31">
        <v>0</v>
      </c>
      <c r="AQ31" s="2">
        <f>IF((2*G31 + M31 -P31 + 3*W31 + 2*Z31+2*AD31 + AG31+2*AJ31 + 4*AM31) &gt;=8,1,0)</f>
        <v>1</v>
      </c>
    </row>
    <row r="32" spans="1:43" x14ac:dyDescent="0.25">
      <c r="A32" t="s">
        <v>27</v>
      </c>
      <c r="B32" s="1">
        <v>36694</v>
      </c>
      <c r="C32" s="7">
        <f t="shared" si="0"/>
        <v>2000</v>
      </c>
      <c r="D32">
        <v>89.3</v>
      </c>
      <c r="E32">
        <v>70.8</v>
      </c>
      <c r="F32">
        <v>79.5</v>
      </c>
      <c r="G32" s="2">
        <f t="shared" si="1"/>
        <v>1</v>
      </c>
      <c r="H32">
        <v>88.7</v>
      </c>
      <c r="I32">
        <v>70.8</v>
      </c>
      <c r="J32">
        <v>79.2</v>
      </c>
      <c r="K32">
        <v>59.4</v>
      </c>
      <c r="L32">
        <v>52.2</v>
      </c>
      <c r="M32" s="2">
        <f t="shared" si="2"/>
        <v>0</v>
      </c>
      <c r="N32">
        <v>0.35599999999999998</v>
      </c>
      <c r="P32" s="2">
        <f t="shared" si="3"/>
        <v>0</v>
      </c>
      <c r="Q32">
        <v>100</v>
      </c>
      <c r="R32">
        <v>4.17</v>
      </c>
      <c r="S32" t="s">
        <v>87</v>
      </c>
      <c r="T32">
        <v>0</v>
      </c>
      <c r="U32">
        <v>0</v>
      </c>
      <c r="V32">
        <v>0</v>
      </c>
      <c r="W32" s="2">
        <f t="shared" si="4"/>
        <v>0</v>
      </c>
      <c r="X32">
        <v>19.7</v>
      </c>
      <c r="Z32" s="2">
        <f t="shared" si="5"/>
        <v>1</v>
      </c>
      <c r="AA32">
        <v>11.1</v>
      </c>
      <c r="AB32" s="2" t="str">
        <f>CHOOSE(MATCH(AA32,{0;11;80;111;161;191;241;281;341},1),"North","NorthEast","East","SouthEast","South","SouthWest","West","NorthWest","North")</f>
        <v>NorthEast</v>
      </c>
      <c r="AC32" s="5">
        <f>CHOOSE(MATCH(AB32,{"South";"SouthEast";"SouthWest";"North";"NorthEast";"East";"West";"NorthWest"},0),1,2,3,4,5,6,7,8)</f>
        <v>5</v>
      </c>
      <c r="AD32" s="2">
        <f t="shared" si="6"/>
        <v>1</v>
      </c>
      <c r="AE32">
        <v>1011</v>
      </c>
      <c r="AF32" s="4" t="s">
        <v>90</v>
      </c>
      <c r="AG32" s="2">
        <f t="shared" si="7"/>
        <v>1</v>
      </c>
      <c r="AH32" t="s">
        <v>91</v>
      </c>
      <c r="AI32" s="2">
        <f t="shared" si="8"/>
        <v>6</v>
      </c>
      <c r="AJ32" s="2">
        <f t="shared" si="9"/>
        <v>1</v>
      </c>
      <c r="AK32" s="3">
        <v>180</v>
      </c>
      <c r="AM32" s="2">
        <v>0</v>
      </c>
      <c r="AN32">
        <v>0.1</v>
      </c>
      <c r="AO32">
        <v>0</v>
      </c>
      <c r="AP32">
        <v>0</v>
      </c>
      <c r="AQ32" s="2">
        <f>IF((2*G32 + M32 -P32 + 3*W32 + 2*Z32+2*AD32 + AG32+2*AJ32 + 4*AM32) &gt;=8,1,0)</f>
        <v>1</v>
      </c>
    </row>
    <row r="33" spans="1:43" x14ac:dyDescent="0.25">
      <c r="A33" t="s">
        <v>27</v>
      </c>
      <c r="B33" s="1">
        <v>36695</v>
      </c>
      <c r="C33" s="7">
        <f t="shared" si="0"/>
        <v>2000</v>
      </c>
      <c r="D33">
        <v>74.599999999999994</v>
      </c>
      <c r="E33">
        <v>66.2</v>
      </c>
      <c r="F33">
        <v>69.5</v>
      </c>
      <c r="G33" s="2">
        <f t="shared" si="1"/>
        <v>0</v>
      </c>
      <c r="H33">
        <v>74.599999999999994</v>
      </c>
      <c r="I33">
        <v>66.2</v>
      </c>
      <c r="J33">
        <v>69.5</v>
      </c>
      <c r="K33">
        <v>45.6</v>
      </c>
      <c r="L33">
        <v>44.3</v>
      </c>
      <c r="M33" s="2">
        <f t="shared" si="2"/>
        <v>1</v>
      </c>
      <c r="N33">
        <v>0</v>
      </c>
      <c r="P33" s="2">
        <f t="shared" si="3"/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2">
        <f t="shared" si="4"/>
        <v>0</v>
      </c>
      <c r="X33">
        <v>18.399999999999999</v>
      </c>
      <c r="Z33" s="2">
        <f t="shared" si="5"/>
        <v>1</v>
      </c>
      <c r="AA33">
        <v>13.4</v>
      </c>
      <c r="AB33" s="2" t="str">
        <f>CHOOSE(MATCH(AA33,{0;11;80;111;161;191;241;281;341},1),"North","NorthEast","East","SouthEast","South","SouthWest","West","NorthWest","North")</f>
        <v>NorthEast</v>
      </c>
      <c r="AC33" s="5">
        <f>CHOOSE(MATCH(AB33,{"South";"SouthEast";"SouthWest";"North";"NorthEast";"East";"West";"NorthWest"},0),1,2,3,4,5,6,7,8)</f>
        <v>5</v>
      </c>
      <c r="AD33" s="2">
        <f t="shared" si="6"/>
        <v>1</v>
      </c>
      <c r="AE33">
        <v>1019.4</v>
      </c>
      <c r="AF33" s="4" t="s">
        <v>92</v>
      </c>
      <c r="AG33" s="2">
        <f t="shared" si="7"/>
        <v>1</v>
      </c>
      <c r="AH33" t="s">
        <v>93</v>
      </c>
      <c r="AI33" s="2">
        <f t="shared" si="8"/>
        <v>6</v>
      </c>
      <c r="AJ33" s="2">
        <f t="shared" si="9"/>
        <v>1</v>
      </c>
      <c r="AK33" s="3">
        <v>1350</v>
      </c>
      <c r="AM33" s="2">
        <v>1</v>
      </c>
      <c r="AN33">
        <v>80</v>
      </c>
      <c r="AO33">
        <v>0</v>
      </c>
      <c r="AP33">
        <v>0</v>
      </c>
      <c r="AQ33" s="2">
        <f>IF((2*G33 + M33 -P33 + 3*W33 + 2*Z33+2*AD33 + AG33+2*AJ33 + 4*AM33) &gt;=8,1,0)</f>
        <v>1</v>
      </c>
    </row>
    <row r="34" spans="1:43" x14ac:dyDescent="0.25">
      <c r="A34" t="s">
        <v>27</v>
      </c>
      <c r="B34" s="1">
        <v>36696</v>
      </c>
      <c r="C34" s="7">
        <f t="shared" ref="C34:C63" si="10">YEAR(B34)</f>
        <v>2000</v>
      </c>
      <c r="D34">
        <v>77.8</v>
      </c>
      <c r="E34">
        <v>61.4</v>
      </c>
      <c r="F34">
        <v>69.7</v>
      </c>
      <c r="G34" s="2">
        <f t="shared" si="1"/>
        <v>0</v>
      </c>
      <c r="H34">
        <v>77.8</v>
      </c>
      <c r="I34">
        <v>61.4</v>
      </c>
      <c r="J34">
        <v>69.7</v>
      </c>
      <c r="K34">
        <v>42.4</v>
      </c>
      <c r="L34">
        <v>38.1</v>
      </c>
      <c r="M34" s="2">
        <f t="shared" ref="M34:M63" si="11">IF(L34&lt;=49.3,1,0)</f>
        <v>1</v>
      </c>
      <c r="N34">
        <v>0</v>
      </c>
      <c r="P34" s="2">
        <f t="shared" ref="P34:P63" si="12">IF(N34&lt;=0.01,1,0)</f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2">
        <f t="shared" ref="W34:W63" si="13">IF(V34&lt;=10,0,1)</f>
        <v>0</v>
      </c>
      <c r="X34">
        <v>18.7</v>
      </c>
      <c r="Z34" s="2">
        <f t="shared" ref="Z34:Z63" si="14">IF(X34&gt;=16,1,0)</f>
        <v>1</v>
      </c>
      <c r="AA34">
        <v>20.9</v>
      </c>
      <c r="AB34" s="2" t="str">
        <f>CHOOSE(MATCH(AA34,{0;11;80;111;161;191;241;281;341},1),"North","NorthEast","East","SouthEast","South","SouthWest","West","NorthWest","North")</f>
        <v>NorthEast</v>
      </c>
      <c r="AC34" s="5">
        <f>CHOOSE(MATCH(AB34,{"South";"SouthEast";"SouthWest";"North";"NorthEast";"East";"West";"NorthWest"},0),1,2,3,4,5,6,7,8)</f>
        <v>5</v>
      </c>
      <c r="AD34" s="2">
        <f t="shared" ref="AD34:AD63" si="15">IF(OR(AC34=3,AC34=4,AC34=5,AC34=8),1,0)</f>
        <v>1</v>
      </c>
      <c r="AE34">
        <v>1020.8</v>
      </c>
      <c r="AF34" s="4" t="s">
        <v>94</v>
      </c>
      <c r="AG34" s="2">
        <f t="shared" ref="AG34:AG63" si="16">IF(TIMEVALUE(AF34)&lt;=TIME(12,30,0),0,1)</f>
        <v>0</v>
      </c>
      <c r="AH34" t="s">
        <v>95</v>
      </c>
      <c r="AI34" s="2">
        <f t="shared" ref="AI34:AI63" si="17">MONTH(AH34)</f>
        <v>6</v>
      </c>
      <c r="AJ34" s="2">
        <f t="shared" ref="AJ34:AJ63" si="18">IF(OR(AI34=6,AI34=7,AI34=8),1,0)</f>
        <v>1</v>
      </c>
      <c r="AK34" s="3">
        <v>85.000000004656613</v>
      </c>
      <c r="AM34" s="2">
        <v>0</v>
      </c>
      <c r="AN34">
        <v>0.1</v>
      </c>
      <c r="AO34">
        <v>0</v>
      </c>
      <c r="AP34">
        <v>0</v>
      </c>
      <c r="AQ34" s="2">
        <f>IF((2*G34 + M34 -P34 + 3*W34 + 2*Z34+2*AD34 + AG34+2*AJ34 + 4*AM34) &gt;=8,1,0)</f>
        <v>0</v>
      </c>
    </row>
    <row r="35" spans="1:43" x14ac:dyDescent="0.25">
      <c r="A35" t="s">
        <v>27</v>
      </c>
      <c r="B35" s="1">
        <v>36696</v>
      </c>
      <c r="C35" s="7">
        <f t="shared" si="10"/>
        <v>2000</v>
      </c>
      <c r="D35">
        <v>77.8</v>
      </c>
      <c r="E35">
        <v>61.4</v>
      </c>
      <c r="F35">
        <v>69.7</v>
      </c>
      <c r="G35" s="2">
        <f t="shared" si="1"/>
        <v>0</v>
      </c>
      <c r="H35">
        <v>77.8</v>
      </c>
      <c r="I35">
        <v>61.4</v>
      </c>
      <c r="J35">
        <v>69.7</v>
      </c>
      <c r="K35">
        <v>42.4</v>
      </c>
      <c r="L35">
        <v>38.1</v>
      </c>
      <c r="M35" s="2">
        <f t="shared" si="11"/>
        <v>1</v>
      </c>
      <c r="N35">
        <v>0</v>
      </c>
      <c r="P35" s="2">
        <f t="shared" si="12"/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2">
        <f t="shared" si="13"/>
        <v>0</v>
      </c>
      <c r="X35">
        <v>18.7</v>
      </c>
      <c r="Z35" s="2">
        <f t="shared" si="14"/>
        <v>1</v>
      </c>
      <c r="AA35">
        <v>20.9</v>
      </c>
      <c r="AB35" s="2" t="str">
        <f>CHOOSE(MATCH(AA35,{0;11;80;111;161;191;241;281;341},1),"North","NorthEast","East","SouthEast","South","SouthWest","West","NorthWest","North")</f>
        <v>NorthEast</v>
      </c>
      <c r="AC35" s="5">
        <f>CHOOSE(MATCH(AB35,{"South";"SouthEast";"SouthWest";"North";"NorthEast";"East";"West";"NorthWest"},0),1,2,3,4,5,6,7,8)</f>
        <v>5</v>
      </c>
      <c r="AD35" s="2">
        <f t="shared" si="15"/>
        <v>1</v>
      </c>
      <c r="AE35">
        <v>1020.8</v>
      </c>
      <c r="AF35" s="4" t="s">
        <v>96</v>
      </c>
      <c r="AG35" s="2">
        <f t="shared" si="16"/>
        <v>1</v>
      </c>
      <c r="AH35" t="s">
        <v>97</v>
      </c>
      <c r="AI35" s="2">
        <f t="shared" si="17"/>
        <v>6</v>
      </c>
      <c r="AJ35" s="2">
        <f t="shared" si="18"/>
        <v>1</v>
      </c>
      <c r="AK35" s="3">
        <v>1125.999999992782</v>
      </c>
      <c r="AM35" s="2">
        <v>1</v>
      </c>
      <c r="AN35">
        <v>0</v>
      </c>
      <c r="AO35">
        <v>1</v>
      </c>
      <c r="AP35">
        <v>0</v>
      </c>
      <c r="AQ35" s="2">
        <f>IF((2*G35 + M35 -P35 + 3*W35 + 2*Z35+2*AD35 + AG35+2*AJ35 + 4*AM35) &gt;=8,1,0)</f>
        <v>1</v>
      </c>
    </row>
    <row r="36" spans="1:43" x14ac:dyDescent="0.25">
      <c r="A36" t="s">
        <v>27</v>
      </c>
      <c r="B36" s="1">
        <v>36697</v>
      </c>
      <c r="C36" s="7">
        <f t="shared" si="10"/>
        <v>2000</v>
      </c>
      <c r="D36">
        <v>77.099999999999994</v>
      </c>
      <c r="E36">
        <v>61.4</v>
      </c>
      <c r="F36">
        <v>70.400000000000006</v>
      </c>
      <c r="G36" s="2">
        <f t="shared" si="1"/>
        <v>0</v>
      </c>
      <c r="H36">
        <v>77.099999999999994</v>
      </c>
      <c r="I36">
        <v>61.4</v>
      </c>
      <c r="J36">
        <v>70.400000000000006</v>
      </c>
      <c r="K36">
        <v>43.8</v>
      </c>
      <c r="L36">
        <v>38.799999999999997</v>
      </c>
      <c r="M36" s="2">
        <f t="shared" si="11"/>
        <v>1</v>
      </c>
      <c r="N36">
        <v>0</v>
      </c>
      <c r="P36" s="2">
        <f t="shared" si="12"/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2">
        <f t="shared" si="13"/>
        <v>0</v>
      </c>
      <c r="X36">
        <v>10.5</v>
      </c>
      <c r="Z36" s="2">
        <f t="shared" si="14"/>
        <v>0</v>
      </c>
      <c r="AA36">
        <v>296.7</v>
      </c>
      <c r="AB36" s="2" t="str">
        <f>CHOOSE(MATCH(AA36,{0;11;80;111;161;191;241;281;341},1),"North","NorthEast","East","SouthEast","South","SouthWest","West","NorthWest","North")</f>
        <v>NorthWest</v>
      </c>
      <c r="AC36" s="5">
        <f>CHOOSE(MATCH(AB36,{"South";"SouthEast";"SouthWest";"North";"NorthEast";"East";"West";"NorthWest"},0),1,2,3,4,5,6,7,8)</f>
        <v>8</v>
      </c>
      <c r="AD36" s="2">
        <f t="shared" si="15"/>
        <v>1</v>
      </c>
      <c r="AE36">
        <v>1020.2</v>
      </c>
      <c r="AF36" s="4" t="s">
        <v>98</v>
      </c>
      <c r="AG36" s="2">
        <f t="shared" si="16"/>
        <v>1</v>
      </c>
      <c r="AH36" t="s">
        <v>99</v>
      </c>
      <c r="AI36" s="2">
        <f t="shared" si="17"/>
        <v>6</v>
      </c>
      <c r="AJ36" s="2">
        <f t="shared" si="18"/>
        <v>1</v>
      </c>
      <c r="AK36" s="3">
        <v>127.9999999981374</v>
      </c>
      <c r="AM36" s="2">
        <v>0</v>
      </c>
      <c r="AN36">
        <v>2</v>
      </c>
      <c r="AO36">
        <v>2</v>
      </c>
      <c r="AP36">
        <v>0</v>
      </c>
      <c r="AQ36" s="2">
        <f>IF((2*G36 + M36 -P36 + 3*W36 + 2*Z36+2*AD36 + AG36+2*AJ36 + 4*AM36) &gt;=8,1,0)</f>
        <v>0</v>
      </c>
    </row>
    <row r="37" spans="1:43" x14ac:dyDescent="0.25">
      <c r="A37" t="s">
        <v>27</v>
      </c>
      <c r="B37" s="1">
        <v>36698</v>
      </c>
      <c r="C37" s="7">
        <f t="shared" si="10"/>
        <v>2000</v>
      </c>
      <c r="D37">
        <v>80.7</v>
      </c>
      <c r="E37">
        <v>59.7</v>
      </c>
      <c r="F37">
        <v>71.400000000000006</v>
      </c>
      <c r="G37" s="2">
        <f t="shared" si="1"/>
        <v>0</v>
      </c>
      <c r="H37">
        <v>80.099999999999994</v>
      </c>
      <c r="I37">
        <v>59.7</v>
      </c>
      <c r="J37">
        <v>71.3</v>
      </c>
      <c r="K37">
        <v>49.5</v>
      </c>
      <c r="L37">
        <v>47.1</v>
      </c>
      <c r="M37" s="2">
        <f t="shared" si="11"/>
        <v>1</v>
      </c>
      <c r="N37">
        <v>0</v>
      </c>
      <c r="P37" s="2">
        <f t="shared" si="12"/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2">
        <f t="shared" si="13"/>
        <v>0</v>
      </c>
      <c r="X37">
        <v>12.5</v>
      </c>
      <c r="Z37" s="2">
        <f t="shared" si="14"/>
        <v>0</v>
      </c>
      <c r="AA37">
        <v>195.4</v>
      </c>
      <c r="AB37" s="2" t="str">
        <f>CHOOSE(MATCH(AA37,{0;11;80;111;161;191;241;281;341},1),"North","NorthEast","East","SouthEast","South","SouthWest","West","NorthWest","North")</f>
        <v>SouthWest</v>
      </c>
      <c r="AC37" s="5">
        <f>CHOOSE(MATCH(AB37,{"South";"SouthEast";"SouthWest";"North";"NorthEast";"East";"West";"NorthWest"},0),1,2,3,4,5,6,7,8)</f>
        <v>3</v>
      </c>
      <c r="AD37" s="2">
        <f t="shared" si="15"/>
        <v>1</v>
      </c>
      <c r="AE37">
        <v>1017.6</v>
      </c>
      <c r="AF37" s="4" t="s">
        <v>69</v>
      </c>
      <c r="AG37" s="2">
        <f t="shared" si="16"/>
        <v>1</v>
      </c>
      <c r="AH37" t="s">
        <v>100</v>
      </c>
      <c r="AI37" s="2">
        <f t="shared" si="17"/>
        <v>6</v>
      </c>
      <c r="AJ37" s="2">
        <f t="shared" si="18"/>
        <v>1</v>
      </c>
      <c r="AK37" s="3">
        <v>351.00000000209548</v>
      </c>
      <c r="AM37" s="2">
        <v>0</v>
      </c>
      <c r="AN37">
        <v>0.5</v>
      </c>
      <c r="AO37">
        <v>0</v>
      </c>
      <c r="AP37">
        <v>0</v>
      </c>
      <c r="AQ37" s="2">
        <f>IF((2*G37 + M37 -P37 + 3*W37 + 2*Z37+2*AD37 + AG37+2*AJ37 + 4*AM37) &gt;=8,1,0)</f>
        <v>0</v>
      </c>
    </row>
    <row r="38" spans="1:43" x14ac:dyDescent="0.25">
      <c r="A38" t="s">
        <v>27</v>
      </c>
      <c r="B38" s="1">
        <v>36699</v>
      </c>
      <c r="C38" s="7">
        <f t="shared" si="10"/>
        <v>2000</v>
      </c>
      <c r="D38">
        <v>89.7</v>
      </c>
      <c r="E38">
        <v>61.6</v>
      </c>
      <c r="F38">
        <v>73.400000000000006</v>
      </c>
      <c r="G38" s="2">
        <f t="shared" si="1"/>
        <v>0</v>
      </c>
      <c r="H38">
        <v>85.7</v>
      </c>
      <c r="I38">
        <v>61.6</v>
      </c>
      <c r="J38">
        <v>73.2</v>
      </c>
      <c r="K38">
        <v>54.3</v>
      </c>
      <c r="L38">
        <v>53.2</v>
      </c>
      <c r="M38" s="2">
        <f t="shared" si="11"/>
        <v>0</v>
      </c>
      <c r="N38">
        <v>0</v>
      </c>
      <c r="P38" s="2">
        <f t="shared" si="12"/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2">
        <f t="shared" si="13"/>
        <v>0</v>
      </c>
      <c r="X38">
        <v>10.3</v>
      </c>
      <c r="Z38" s="2">
        <f t="shared" si="14"/>
        <v>0</v>
      </c>
      <c r="AA38">
        <v>203.3</v>
      </c>
      <c r="AB38" s="2" t="str">
        <f>CHOOSE(MATCH(AA38,{0;11;80;111;161;191;241;281;341},1),"North","NorthEast","East","SouthEast","South","SouthWest","West","NorthWest","North")</f>
        <v>SouthWest</v>
      </c>
      <c r="AC38" s="5">
        <f>CHOOSE(MATCH(AB38,{"South";"SouthEast";"SouthWest";"North";"NorthEast";"East";"West";"NorthWest"},0),1,2,3,4,5,6,7,8)</f>
        <v>3</v>
      </c>
      <c r="AD38" s="2">
        <f t="shared" si="15"/>
        <v>1</v>
      </c>
      <c r="AE38">
        <v>1016.3</v>
      </c>
      <c r="AF38" s="4" t="s">
        <v>101</v>
      </c>
      <c r="AG38" s="2">
        <f t="shared" si="16"/>
        <v>1</v>
      </c>
      <c r="AH38" t="s">
        <v>102</v>
      </c>
      <c r="AI38" s="2">
        <f t="shared" si="17"/>
        <v>6</v>
      </c>
      <c r="AJ38" s="2">
        <f t="shared" si="18"/>
        <v>1</v>
      </c>
      <c r="AK38" s="3">
        <v>53.000000005122267</v>
      </c>
      <c r="AM38" s="2">
        <v>0</v>
      </c>
      <c r="AN38">
        <v>0.6</v>
      </c>
      <c r="AO38">
        <v>0</v>
      </c>
      <c r="AP38">
        <v>0</v>
      </c>
      <c r="AQ38" s="2">
        <f>IF((2*G38 + M38 -P38 + 3*W38 + 2*Z38+2*AD38 + AG38+2*AJ38 + 4*AM38) &gt;=8,1,0)</f>
        <v>0</v>
      </c>
    </row>
    <row r="39" spans="1:43" x14ac:dyDescent="0.25">
      <c r="A39" t="s">
        <v>27</v>
      </c>
      <c r="B39" s="1">
        <v>36702</v>
      </c>
      <c r="C39" s="7">
        <f t="shared" si="10"/>
        <v>2000</v>
      </c>
      <c r="D39">
        <v>93</v>
      </c>
      <c r="E39">
        <v>74.8</v>
      </c>
      <c r="F39">
        <v>84.2</v>
      </c>
      <c r="G39" s="2">
        <f t="shared" si="1"/>
        <v>1</v>
      </c>
      <c r="H39">
        <v>91.3</v>
      </c>
      <c r="I39">
        <v>74.8</v>
      </c>
      <c r="J39">
        <v>83.3</v>
      </c>
      <c r="K39">
        <v>56.5</v>
      </c>
      <c r="L39">
        <v>40.299999999999997</v>
      </c>
      <c r="M39" s="2">
        <f t="shared" si="11"/>
        <v>1</v>
      </c>
      <c r="N39">
        <v>0</v>
      </c>
      <c r="P39" s="2">
        <f t="shared" si="12"/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2">
        <f t="shared" si="13"/>
        <v>0</v>
      </c>
      <c r="X39">
        <v>11</v>
      </c>
      <c r="Z39" s="2">
        <f t="shared" si="14"/>
        <v>0</v>
      </c>
      <c r="AA39">
        <v>230.7</v>
      </c>
      <c r="AB39" s="2" t="str">
        <f>CHOOSE(MATCH(AA39,{0;11;80;111;161;191;241;281;341},1),"North","NorthEast","East","SouthEast","South","SouthWest","West","NorthWest","North")</f>
        <v>SouthWest</v>
      </c>
      <c r="AC39" s="5">
        <f>CHOOSE(MATCH(AB39,{"South";"SouthEast";"SouthWest";"North";"NorthEast";"East";"West";"NorthWest"},0),1,2,3,4,5,6,7,8)</f>
        <v>3</v>
      </c>
      <c r="AD39" s="2">
        <f t="shared" si="15"/>
        <v>1</v>
      </c>
      <c r="AE39">
        <v>1009.3</v>
      </c>
      <c r="AF39" s="4" t="s">
        <v>103</v>
      </c>
      <c r="AG39" s="2">
        <f t="shared" si="16"/>
        <v>1</v>
      </c>
      <c r="AH39" t="s">
        <v>104</v>
      </c>
      <c r="AI39" s="2">
        <f t="shared" si="17"/>
        <v>6</v>
      </c>
      <c r="AJ39" s="2">
        <f t="shared" si="18"/>
        <v>1</v>
      </c>
      <c r="AK39" s="3">
        <v>79.999999998835847</v>
      </c>
      <c r="AM39" s="2">
        <v>0</v>
      </c>
      <c r="AN39">
        <v>0</v>
      </c>
      <c r="AO39">
        <v>0.2</v>
      </c>
      <c r="AP39">
        <v>0</v>
      </c>
      <c r="AQ39" s="2">
        <f>IF((2*G39 + M39 -P39 + 3*W39 + 2*Z39+2*AD39 + AG39+2*AJ39 + 4*AM39) &gt;=8,1,0)</f>
        <v>0</v>
      </c>
    </row>
    <row r="40" spans="1:43" x14ac:dyDescent="0.25">
      <c r="A40" t="s">
        <v>27</v>
      </c>
      <c r="B40" s="1">
        <v>36703</v>
      </c>
      <c r="C40" s="7">
        <f t="shared" si="10"/>
        <v>2000</v>
      </c>
      <c r="D40">
        <v>89.9</v>
      </c>
      <c r="E40">
        <v>76</v>
      </c>
      <c r="F40">
        <v>83.2</v>
      </c>
      <c r="G40" s="2">
        <f t="shared" si="1"/>
        <v>1</v>
      </c>
      <c r="H40">
        <v>90.7</v>
      </c>
      <c r="I40">
        <v>76</v>
      </c>
      <c r="J40">
        <v>83.2</v>
      </c>
      <c r="K40">
        <v>59.5</v>
      </c>
      <c r="L40">
        <v>45.3</v>
      </c>
      <c r="M40" s="2">
        <f t="shared" si="11"/>
        <v>1</v>
      </c>
      <c r="N40">
        <v>0</v>
      </c>
      <c r="P40" s="2">
        <f t="shared" si="12"/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2">
        <f t="shared" si="13"/>
        <v>0</v>
      </c>
      <c r="X40">
        <v>11.4</v>
      </c>
      <c r="Z40" s="2">
        <f t="shared" si="14"/>
        <v>0</v>
      </c>
      <c r="AA40">
        <v>274</v>
      </c>
      <c r="AB40" s="2" t="str">
        <f>CHOOSE(MATCH(AA40,{0;11;80;111;161;191;241;281;341},1),"North","NorthEast","East","SouthEast","South","SouthWest","West","NorthWest","North")</f>
        <v>West</v>
      </c>
      <c r="AC40" s="5">
        <f>CHOOSE(MATCH(AB40,{"South";"SouthEast";"SouthWest";"North";"NorthEast";"East";"West";"NorthWest"},0),1,2,3,4,5,6,7,8)</f>
        <v>7</v>
      </c>
      <c r="AD40" s="2">
        <f t="shared" si="15"/>
        <v>0</v>
      </c>
      <c r="AE40">
        <v>1008</v>
      </c>
      <c r="AF40" s="4" t="s">
        <v>105</v>
      </c>
      <c r="AG40" s="2">
        <f t="shared" si="16"/>
        <v>1</v>
      </c>
      <c r="AH40" t="s">
        <v>106</v>
      </c>
      <c r="AI40" s="2">
        <f t="shared" si="17"/>
        <v>6</v>
      </c>
      <c r="AJ40" s="2">
        <f t="shared" si="18"/>
        <v>1</v>
      </c>
      <c r="AK40" s="3">
        <v>119.0000000002328</v>
      </c>
      <c r="AM40" s="2">
        <v>0</v>
      </c>
      <c r="AN40">
        <v>2</v>
      </c>
      <c r="AO40">
        <v>0</v>
      </c>
      <c r="AP40">
        <v>0</v>
      </c>
      <c r="AQ40" s="2">
        <f>IF((2*G40 + M40 -P40 + 3*W40 + 2*Z40+2*AD40 + AG40+2*AJ40 + 4*AM40) &gt;=8,1,0)</f>
        <v>0</v>
      </c>
    </row>
    <row r="41" spans="1:43" x14ac:dyDescent="0.25">
      <c r="A41" t="s">
        <v>27</v>
      </c>
      <c r="B41" s="1">
        <v>36703</v>
      </c>
      <c r="C41" s="7">
        <f t="shared" si="10"/>
        <v>2000</v>
      </c>
      <c r="D41">
        <v>89.9</v>
      </c>
      <c r="E41">
        <v>76</v>
      </c>
      <c r="F41">
        <v>83.2</v>
      </c>
      <c r="G41" s="2">
        <f t="shared" si="1"/>
        <v>1</v>
      </c>
      <c r="H41">
        <v>90.7</v>
      </c>
      <c r="I41">
        <v>76</v>
      </c>
      <c r="J41">
        <v>83.2</v>
      </c>
      <c r="K41">
        <v>59.5</v>
      </c>
      <c r="L41">
        <v>45.3</v>
      </c>
      <c r="M41" s="2">
        <f t="shared" si="11"/>
        <v>1</v>
      </c>
      <c r="N41">
        <v>0</v>
      </c>
      <c r="P41" s="2">
        <f t="shared" si="12"/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2">
        <f t="shared" si="13"/>
        <v>0</v>
      </c>
      <c r="X41">
        <v>11.4</v>
      </c>
      <c r="Z41" s="2">
        <f t="shared" si="14"/>
        <v>0</v>
      </c>
      <c r="AA41">
        <v>274</v>
      </c>
      <c r="AB41" s="2" t="str">
        <f>CHOOSE(MATCH(AA41,{0;11;80;111;161;191;241;281;341},1),"North","NorthEast","East","SouthEast","South","SouthWest","West","NorthWest","North")</f>
        <v>West</v>
      </c>
      <c r="AC41" s="5">
        <f>CHOOSE(MATCH(AB41,{"South";"SouthEast";"SouthWest";"North";"NorthEast";"East";"West";"NorthWest"},0),1,2,3,4,5,6,7,8)</f>
        <v>7</v>
      </c>
      <c r="AD41" s="2">
        <f t="shared" si="15"/>
        <v>0</v>
      </c>
      <c r="AE41">
        <v>1008</v>
      </c>
      <c r="AF41" s="4" t="s">
        <v>107</v>
      </c>
      <c r="AG41" s="2">
        <f t="shared" si="16"/>
        <v>1</v>
      </c>
      <c r="AH41" t="s">
        <v>108</v>
      </c>
      <c r="AI41" s="2">
        <f t="shared" si="17"/>
        <v>6</v>
      </c>
      <c r="AJ41" s="2">
        <f t="shared" si="18"/>
        <v>1</v>
      </c>
      <c r="AK41" s="3">
        <v>4219.9999999988358</v>
      </c>
      <c r="AM41" s="2">
        <v>1</v>
      </c>
      <c r="AN41">
        <v>0</v>
      </c>
      <c r="AO41">
        <v>200</v>
      </c>
      <c r="AP41">
        <v>0</v>
      </c>
      <c r="AQ41" s="2">
        <f>IF((2*G41 + M41 -P41 + 3*W41 + 2*Z41+2*AD41 + AG41+2*AJ41 + 4*AM41) &gt;=8,1,0)</f>
        <v>1</v>
      </c>
    </row>
    <row r="42" spans="1:43" x14ac:dyDescent="0.25">
      <c r="A42" t="s">
        <v>27</v>
      </c>
      <c r="B42" s="1">
        <v>36706</v>
      </c>
      <c r="C42" s="7">
        <f t="shared" si="10"/>
        <v>2000</v>
      </c>
      <c r="D42">
        <v>87.6</v>
      </c>
      <c r="E42">
        <v>68</v>
      </c>
      <c r="F42">
        <v>77.7</v>
      </c>
      <c r="G42" s="2">
        <f t="shared" si="1"/>
        <v>1</v>
      </c>
      <c r="H42">
        <v>84.4</v>
      </c>
      <c r="I42">
        <v>68</v>
      </c>
      <c r="J42">
        <v>77</v>
      </c>
      <c r="K42">
        <v>48.6</v>
      </c>
      <c r="L42">
        <v>36.9</v>
      </c>
      <c r="M42" s="2">
        <f t="shared" si="11"/>
        <v>1</v>
      </c>
      <c r="N42">
        <v>0</v>
      </c>
      <c r="P42" s="2">
        <f t="shared" si="12"/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2">
        <f t="shared" si="13"/>
        <v>0</v>
      </c>
      <c r="X42">
        <v>13.6</v>
      </c>
      <c r="Z42" s="2">
        <f t="shared" si="14"/>
        <v>0</v>
      </c>
      <c r="AA42">
        <v>15.4</v>
      </c>
      <c r="AB42" s="2" t="str">
        <f>CHOOSE(MATCH(AA42,{0;11;80;111;161;191;241;281;341},1),"North","NorthEast","East","SouthEast","South","SouthWest","West","NorthWest","North")</f>
        <v>NorthEast</v>
      </c>
      <c r="AC42" s="5">
        <f>CHOOSE(MATCH(AB42,{"South";"SouthEast";"SouthWest";"North";"NorthEast";"East";"West";"NorthWest"},0),1,2,3,4,5,6,7,8)</f>
        <v>5</v>
      </c>
      <c r="AD42" s="2">
        <f t="shared" si="15"/>
        <v>1</v>
      </c>
      <c r="AE42">
        <v>1011.3</v>
      </c>
      <c r="AF42" s="4" t="s">
        <v>109</v>
      </c>
      <c r="AG42" s="2">
        <f t="shared" si="16"/>
        <v>1</v>
      </c>
      <c r="AH42" t="s">
        <v>110</v>
      </c>
      <c r="AI42" s="2">
        <f t="shared" si="17"/>
        <v>6</v>
      </c>
      <c r="AJ42" s="2">
        <f t="shared" si="18"/>
        <v>1</v>
      </c>
      <c r="AK42" s="3">
        <v>74.999999993015081</v>
      </c>
      <c r="AM42" s="2">
        <v>0</v>
      </c>
      <c r="AN42">
        <v>0.1</v>
      </c>
      <c r="AO42">
        <v>0</v>
      </c>
      <c r="AP42">
        <v>0</v>
      </c>
      <c r="AQ42" s="2">
        <f>IF((2*G42 + M42 -P42 + 3*W42 + 2*Z42+2*AD42 + AG42+2*AJ42 + 4*AM42) &gt;=8,1,0)</f>
        <v>0</v>
      </c>
    </row>
    <row r="43" spans="1:43" x14ac:dyDescent="0.25">
      <c r="A43" t="s">
        <v>27</v>
      </c>
      <c r="B43" s="1">
        <v>36707</v>
      </c>
      <c r="C43" s="7">
        <f t="shared" si="10"/>
        <v>2000</v>
      </c>
      <c r="D43">
        <v>86.1</v>
      </c>
      <c r="E43">
        <v>65.900000000000006</v>
      </c>
      <c r="F43">
        <v>76.900000000000006</v>
      </c>
      <c r="G43" s="2">
        <f t="shared" si="1"/>
        <v>1</v>
      </c>
      <c r="H43">
        <v>86.2</v>
      </c>
      <c r="I43">
        <v>65.900000000000006</v>
      </c>
      <c r="J43">
        <v>76.5</v>
      </c>
      <c r="K43">
        <v>54.7</v>
      </c>
      <c r="L43">
        <v>48</v>
      </c>
      <c r="M43" s="2">
        <f t="shared" si="11"/>
        <v>1</v>
      </c>
      <c r="N43">
        <v>0</v>
      </c>
      <c r="P43" s="2">
        <f t="shared" si="12"/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2">
        <f t="shared" si="13"/>
        <v>0</v>
      </c>
      <c r="X43">
        <v>13.8</v>
      </c>
      <c r="Z43" s="2">
        <f t="shared" si="14"/>
        <v>0</v>
      </c>
      <c r="AA43">
        <v>117.2</v>
      </c>
      <c r="AB43" s="2" t="str">
        <f>CHOOSE(MATCH(AA43,{0;11;80;111;161;191;241;281;341},1),"North","NorthEast","East","SouthEast","South","SouthWest","West","NorthWest","North")</f>
        <v>SouthEast</v>
      </c>
      <c r="AC43" s="5">
        <f>CHOOSE(MATCH(AB43,{"South";"SouthEast";"SouthWest";"North";"NorthEast";"East";"West";"NorthWest"},0),1,2,3,4,5,6,7,8)</f>
        <v>2</v>
      </c>
      <c r="AD43" s="2">
        <f t="shared" si="15"/>
        <v>0</v>
      </c>
      <c r="AE43">
        <v>1011.2</v>
      </c>
      <c r="AF43" s="4" t="s">
        <v>111</v>
      </c>
      <c r="AG43" s="2">
        <f t="shared" si="16"/>
        <v>1</v>
      </c>
      <c r="AH43" t="s">
        <v>112</v>
      </c>
      <c r="AI43" s="2">
        <f t="shared" si="17"/>
        <v>6</v>
      </c>
      <c r="AJ43" s="2">
        <f t="shared" si="18"/>
        <v>1</v>
      </c>
      <c r="AK43" s="3">
        <v>145.00000000116421</v>
      </c>
      <c r="AM43" s="2">
        <v>0</v>
      </c>
      <c r="AN43">
        <v>0</v>
      </c>
      <c r="AO43">
        <v>2</v>
      </c>
      <c r="AP43">
        <v>0</v>
      </c>
      <c r="AQ43" s="2">
        <f>IF((2*G43 + M43 -P43 + 3*W43 + 2*Z43+2*AD43 + AG43+2*AJ43 + 4*AM43) &gt;=8,1,0)</f>
        <v>0</v>
      </c>
    </row>
    <row r="44" spans="1:43" x14ac:dyDescent="0.25">
      <c r="A44" t="s">
        <v>27</v>
      </c>
      <c r="B44" s="1">
        <v>36708</v>
      </c>
      <c r="C44" s="7">
        <f t="shared" si="10"/>
        <v>2000</v>
      </c>
      <c r="D44">
        <v>86.9</v>
      </c>
      <c r="E44">
        <v>69.599999999999994</v>
      </c>
      <c r="F44">
        <v>79.099999999999994</v>
      </c>
      <c r="G44" s="2">
        <f t="shared" si="1"/>
        <v>1</v>
      </c>
      <c r="H44">
        <v>87.7</v>
      </c>
      <c r="I44">
        <v>69.599999999999994</v>
      </c>
      <c r="J44">
        <v>78.900000000000006</v>
      </c>
      <c r="K44">
        <v>57</v>
      </c>
      <c r="L44">
        <v>47.9</v>
      </c>
      <c r="M44" s="2">
        <f t="shared" si="11"/>
        <v>1</v>
      </c>
      <c r="N44">
        <v>0</v>
      </c>
      <c r="P44" s="2">
        <f t="shared" si="12"/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2">
        <f t="shared" si="13"/>
        <v>0</v>
      </c>
      <c r="X44">
        <v>12.8</v>
      </c>
      <c r="Z44" s="2">
        <f t="shared" si="14"/>
        <v>0</v>
      </c>
      <c r="AA44">
        <v>97.7</v>
      </c>
      <c r="AB44" s="2" t="str">
        <f>CHOOSE(MATCH(AA44,{0;11;80;111;161;191;241;281;341},1),"North","NorthEast","East","SouthEast","South","SouthWest","West","NorthWest","North")</f>
        <v>East</v>
      </c>
      <c r="AC44" s="5">
        <f>CHOOSE(MATCH(AB44,{"South";"SouthEast";"SouthWest";"North";"NorthEast";"East";"West";"NorthWest"},0),1,2,3,4,5,6,7,8)</f>
        <v>6</v>
      </c>
      <c r="AD44" s="2">
        <f t="shared" si="15"/>
        <v>0</v>
      </c>
      <c r="AE44">
        <v>1014.7</v>
      </c>
      <c r="AF44" s="4" t="s">
        <v>113</v>
      </c>
      <c r="AG44" s="2">
        <f t="shared" si="16"/>
        <v>1</v>
      </c>
      <c r="AH44" t="s">
        <v>114</v>
      </c>
      <c r="AI44" s="2">
        <f t="shared" si="17"/>
        <v>7</v>
      </c>
      <c r="AJ44" s="2">
        <f t="shared" si="18"/>
        <v>1</v>
      </c>
      <c r="AK44" s="3">
        <v>55.000000001164153</v>
      </c>
      <c r="AM44" s="2">
        <v>0</v>
      </c>
      <c r="AN44">
        <v>0</v>
      </c>
      <c r="AO44">
        <v>0.1</v>
      </c>
      <c r="AP44">
        <v>0</v>
      </c>
      <c r="AQ44" s="2">
        <f>IF((2*G44 + M44 -P44 + 3*W44 + 2*Z44+2*AD44 + AG44+2*AJ44 + 4*AM44) &gt;=8,1,0)</f>
        <v>0</v>
      </c>
    </row>
    <row r="45" spans="1:43" x14ac:dyDescent="0.25">
      <c r="A45" t="s">
        <v>27</v>
      </c>
      <c r="B45" s="1">
        <v>36709</v>
      </c>
      <c r="C45" s="7">
        <f t="shared" si="10"/>
        <v>2000</v>
      </c>
      <c r="D45">
        <v>93.5</v>
      </c>
      <c r="E45">
        <v>73.5</v>
      </c>
      <c r="F45">
        <v>82.9</v>
      </c>
      <c r="G45" s="2">
        <f t="shared" si="1"/>
        <v>1</v>
      </c>
      <c r="H45">
        <v>89.8</v>
      </c>
      <c r="I45">
        <v>73.5</v>
      </c>
      <c r="J45">
        <v>81.3</v>
      </c>
      <c r="K45">
        <v>51.2</v>
      </c>
      <c r="L45">
        <v>36.299999999999997</v>
      </c>
      <c r="M45" s="2">
        <f t="shared" si="11"/>
        <v>1</v>
      </c>
      <c r="N45">
        <v>0</v>
      </c>
      <c r="P45" s="2">
        <f t="shared" si="12"/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2">
        <f t="shared" si="13"/>
        <v>0</v>
      </c>
      <c r="X45">
        <v>17.5</v>
      </c>
      <c r="Z45" s="2">
        <f t="shared" si="14"/>
        <v>1</v>
      </c>
      <c r="AA45">
        <v>14.8</v>
      </c>
      <c r="AB45" s="2" t="str">
        <f>CHOOSE(MATCH(AA45,{0;11;80;111;161;191;241;281;341},1),"North","NorthEast","East","SouthEast","South","SouthWest","West","NorthWest","North")</f>
        <v>NorthEast</v>
      </c>
      <c r="AC45" s="5">
        <f>CHOOSE(MATCH(AB45,{"South";"SouthEast";"SouthWest";"North";"NorthEast";"East";"West";"NorthWest"},0),1,2,3,4,5,6,7,8)</f>
        <v>5</v>
      </c>
      <c r="AD45" s="2">
        <f t="shared" si="15"/>
        <v>1</v>
      </c>
      <c r="AE45">
        <v>1015.5</v>
      </c>
      <c r="AF45" s="4" t="s">
        <v>115</v>
      </c>
      <c r="AG45" s="2">
        <f t="shared" si="16"/>
        <v>1</v>
      </c>
      <c r="AH45" t="s">
        <v>116</v>
      </c>
      <c r="AI45" s="2">
        <f t="shared" si="17"/>
        <v>7</v>
      </c>
      <c r="AJ45" s="2">
        <f t="shared" si="18"/>
        <v>1</v>
      </c>
      <c r="AK45" s="3">
        <v>306.00000000209548</v>
      </c>
      <c r="AM45" s="2">
        <v>0</v>
      </c>
      <c r="AN45">
        <v>0</v>
      </c>
      <c r="AO45">
        <v>25</v>
      </c>
      <c r="AP45">
        <v>0</v>
      </c>
      <c r="AQ45" s="2">
        <f>IF((2*G45 + M45 -P45 + 3*W45 + 2*Z45+2*AD45 + AG45+2*AJ45 + 4*AM45) &gt;=8,1,0)</f>
        <v>1</v>
      </c>
    </row>
    <row r="46" spans="1:43" x14ac:dyDescent="0.25">
      <c r="A46" t="s">
        <v>27</v>
      </c>
      <c r="B46" s="1">
        <v>36713</v>
      </c>
      <c r="C46" s="7">
        <f t="shared" si="10"/>
        <v>2000</v>
      </c>
      <c r="D46">
        <v>104.5</v>
      </c>
      <c r="E46">
        <v>80.599999999999994</v>
      </c>
      <c r="F46">
        <v>90.6</v>
      </c>
      <c r="G46" s="2">
        <f t="shared" si="1"/>
        <v>1</v>
      </c>
      <c r="H46">
        <v>104.2</v>
      </c>
      <c r="I46">
        <v>80.8</v>
      </c>
      <c r="J46">
        <v>91.4</v>
      </c>
      <c r="K46">
        <v>60.5</v>
      </c>
      <c r="L46">
        <v>38.6</v>
      </c>
      <c r="M46" s="2">
        <f t="shared" si="11"/>
        <v>1</v>
      </c>
      <c r="N46">
        <v>0</v>
      </c>
      <c r="P46" s="2">
        <f t="shared" si="12"/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2">
        <f t="shared" si="13"/>
        <v>0</v>
      </c>
      <c r="X46">
        <v>12.8</v>
      </c>
      <c r="Z46" s="2">
        <f t="shared" si="14"/>
        <v>0</v>
      </c>
      <c r="AA46">
        <v>219.9</v>
      </c>
      <c r="AB46" s="2" t="str">
        <f>CHOOSE(MATCH(AA46,{0;11;80;111;161;191;241;281;341},1),"North","NorthEast","East","SouthEast","South","SouthWest","West","NorthWest","North")</f>
        <v>SouthWest</v>
      </c>
      <c r="AC46" s="5">
        <f>CHOOSE(MATCH(AB46,{"South";"SouthEast";"SouthWest";"North";"NorthEast";"East";"West";"NorthWest"},0),1,2,3,4,5,6,7,8)</f>
        <v>3</v>
      </c>
      <c r="AD46" s="2">
        <f t="shared" si="15"/>
        <v>1</v>
      </c>
      <c r="AE46">
        <v>1009.2</v>
      </c>
      <c r="AF46" s="4" t="s">
        <v>117</v>
      </c>
      <c r="AG46" s="2">
        <f t="shared" si="16"/>
        <v>1</v>
      </c>
      <c r="AH46" t="s">
        <v>118</v>
      </c>
      <c r="AI46" s="2">
        <f t="shared" si="17"/>
        <v>7</v>
      </c>
      <c r="AJ46" s="2">
        <f t="shared" si="18"/>
        <v>1</v>
      </c>
      <c r="AK46" s="3">
        <v>2670.9999999997672</v>
      </c>
      <c r="AM46" s="2">
        <v>1</v>
      </c>
      <c r="AN46">
        <v>0</v>
      </c>
      <c r="AO46">
        <v>700</v>
      </c>
      <c r="AP46">
        <v>0</v>
      </c>
      <c r="AQ46" s="2">
        <f>IF((2*G46 + M46 -P46 + 3*W46 + 2*Z46+2*AD46 + AG46+2*AJ46 + 4*AM46) &gt;=8,1,0)</f>
        <v>1</v>
      </c>
    </row>
    <row r="47" spans="1:43" x14ac:dyDescent="0.25">
      <c r="A47" t="s">
        <v>27</v>
      </c>
      <c r="B47" s="1">
        <v>36714</v>
      </c>
      <c r="C47" s="7">
        <f t="shared" si="10"/>
        <v>2000</v>
      </c>
      <c r="D47">
        <v>98.5</v>
      </c>
      <c r="E47">
        <v>78.8</v>
      </c>
      <c r="F47">
        <v>89.7</v>
      </c>
      <c r="G47" s="2">
        <f t="shared" si="1"/>
        <v>1</v>
      </c>
      <c r="H47">
        <v>95.6</v>
      </c>
      <c r="I47">
        <v>78.8</v>
      </c>
      <c r="J47">
        <v>88.3</v>
      </c>
      <c r="K47">
        <v>55.1</v>
      </c>
      <c r="L47">
        <v>34.4</v>
      </c>
      <c r="M47" s="2">
        <f t="shared" si="11"/>
        <v>1</v>
      </c>
      <c r="N47">
        <v>0</v>
      </c>
      <c r="P47" s="2">
        <f t="shared" si="12"/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s="2">
        <f t="shared" si="13"/>
        <v>0</v>
      </c>
      <c r="X47">
        <v>26.4</v>
      </c>
      <c r="Z47" s="2">
        <f t="shared" si="14"/>
        <v>1</v>
      </c>
      <c r="AA47">
        <v>40.4</v>
      </c>
      <c r="AB47" s="2" t="str">
        <f>CHOOSE(MATCH(AA47,{0;11;80;111;161;191;241;281;341},1),"North","NorthEast","East","SouthEast","South","SouthWest","West","NorthWest","North")</f>
        <v>NorthEast</v>
      </c>
      <c r="AC47" s="5">
        <f>CHOOSE(MATCH(AB47,{"South";"SouthEast";"SouthWest";"North";"NorthEast";"East";"West";"NorthWest"},0),1,2,3,4,5,6,7,8)</f>
        <v>5</v>
      </c>
      <c r="AD47" s="2">
        <f t="shared" si="15"/>
        <v>1</v>
      </c>
      <c r="AE47">
        <v>1009</v>
      </c>
      <c r="AF47" s="4" t="s">
        <v>119</v>
      </c>
      <c r="AG47" s="2">
        <f t="shared" si="16"/>
        <v>0</v>
      </c>
      <c r="AH47" t="s">
        <v>120</v>
      </c>
      <c r="AI47" s="2">
        <f t="shared" si="17"/>
        <v>7</v>
      </c>
      <c r="AJ47" s="2">
        <f t="shared" si="18"/>
        <v>1</v>
      </c>
      <c r="AK47" s="3">
        <v>270</v>
      </c>
      <c r="AM47" s="2">
        <v>0</v>
      </c>
      <c r="AN47">
        <v>0</v>
      </c>
      <c r="AO47">
        <v>3</v>
      </c>
      <c r="AP47">
        <v>0</v>
      </c>
      <c r="AQ47" s="2">
        <f>IF((2*G47 + M47 -P47 + 3*W47 + 2*Z47+2*AD47 + AG47+2*AJ47 + 4*AM47) &gt;=8,1,0)</f>
        <v>1</v>
      </c>
    </row>
    <row r="48" spans="1:43" x14ac:dyDescent="0.25">
      <c r="A48" t="s">
        <v>27</v>
      </c>
      <c r="B48" s="1">
        <v>36716</v>
      </c>
      <c r="C48" s="7">
        <f t="shared" si="10"/>
        <v>2000</v>
      </c>
      <c r="D48">
        <v>99.7</v>
      </c>
      <c r="E48">
        <v>77.400000000000006</v>
      </c>
      <c r="F48">
        <v>89.2</v>
      </c>
      <c r="G48" s="2">
        <f t="shared" si="1"/>
        <v>1</v>
      </c>
      <c r="H48">
        <v>99.6</v>
      </c>
      <c r="I48">
        <v>77.400000000000006</v>
      </c>
      <c r="J48">
        <v>89.3</v>
      </c>
      <c r="K48">
        <v>60.1</v>
      </c>
      <c r="L48">
        <v>38.9</v>
      </c>
      <c r="M48" s="2">
        <f t="shared" si="11"/>
        <v>1</v>
      </c>
      <c r="N48">
        <v>0</v>
      </c>
      <c r="P48" s="2">
        <f t="shared" si="12"/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2">
        <f t="shared" si="13"/>
        <v>0</v>
      </c>
      <c r="X48">
        <v>13.9</v>
      </c>
      <c r="Z48" s="2">
        <f t="shared" si="14"/>
        <v>0</v>
      </c>
      <c r="AA48">
        <v>247.5</v>
      </c>
      <c r="AB48" s="2" t="str">
        <f>CHOOSE(MATCH(AA48,{0;11;80;111;161;191;241;281;341},1),"North","NorthEast","East","SouthEast","South","SouthWest","West","NorthWest","North")</f>
        <v>West</v>
      </c>
      <c r="AC48" s="5">
        <f>CHOOSE(MATCH(AB48,{"South";"SouthEast";"SouthWest";"North";"NorthEast";"East";"West";"NorthWest"},0),1,2,3,4,5,6,7,8)</f>
        <v>7</v>
      </c>
      <c r="AD48" s="2">
        <f t="shared" si="15"/>
        <v>0</v>
      </c>
      <c r="AE48">
        <v>1003.6</v>
      </c>
      <c r="AF48" s="4" t="s">
        <v>121</v>
      </c>
      <c r="AG48" s="2">
        <f t="shared" si="16"/>
        <v>1</v>
      </c>
      <c r="AH48" t="s">
        <v>122</v>
      </c>
      <c r="AI48" s="2">
        <f t="shared" si="17"/>
        <v>7</v>
      </c>
      <c r="AJ48" s="2">
        <f t="shared" si="18"/>
        <v>1</v>
      </c>
      <c r="AK48" s="3">
        <v>71.999999993713573</v>
      </c>
      <c r="AM48" s="2">
        <v>0</v>
      </c>
      <c r="AN48">
        <v>0</v>
      </c>
      <c r="AO48">
        <v>4</v>
      </c>
      <c r="AP48">
        <v>0</v>
      </c>
      <c r="AQ48" s="2">
        <f>IF((2*G48 + M48 -P48 + 3*W48 + 2*Z48+2*AD48 + AG48+2*AJ48 + 4*AM48) &gt;=8,1,0)</f>
        <v>0</v>
      </c>
    </row>
    <row r="49" spans="1:43" x14ac:dyDescent="0.25">
      <c r="A49" t="s">
        <v>27</v>
      </c>
      <c r="B49" s="1">
        <v>36720</v>
      </c>
      <c r="C49" s="7">
        <f t="shared" si="10"/>
        <v>2000</v>
      </c>
      <c r="D49">
        <v>89.4</v>
      </c>
      <c r="E49">
        <v>74.3</v>
      </c>
      <c r="F49">
        <v>82.4</v>
      </c>
      <c r="G49" s="2">
        <f t="shared" si="1"/>
        <v>1</v>
      </c>
      <c r="H49">
        <v>90.2</v>
      </c>
      <c r="I49">
        <v>74.3</v>
      </c>
      <c r="J49">
        <v>82</v>
      </c>
      <c r="K49">
        <v>57.9</v>
      </c>
      <c r="L49">
        <v>45.1</v>
      </c>
      <c r="M49" s="2">
        <f t="shared" si="11"/>
        <v>1</v>
      </c>
      <c r="N49">
        <v>0</v>
      </c>
      <c r="P49" s="2">
        <f t="shared" si="12"/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2">
        <f t="shared" si="13"/>
        <v>0</v>
      </c>
      <c r="X49">
        <v>24.2</v>
      </c>
      <c r="Z49" s="2">
        <f t="shared" si="14"/>
        <v>1</v>
      </c>
      <c r="AA49">
        <v>307.2</v>
      </c>
      <c r="AB49" s="2" t="str">
        <f>CHOOSE(MATCH(AA49,{0;11;80;111;161;191;241;281;341},1),"North","NorthEast","East","SouthEast","South","SouthWest","West","NorthWest","North")</f>
        <v>NorthWest</v>
      </c>
      <c r="AC49" s="5">
        <f>CHOOSE(MATCH(AB49,{"South";"SouthEast";"SouthWest";"North";"NorthEast";"East";"West";"NorthWest"},0),1,2,3,4,5,6,7,8)</f>
        <v>8</v>
      </c>
      <c r="AD49" s="2">
        <f t="shared" si="15"/>
        <v>1</v>
      </c>
      <c r="AE49">
        <v>1004.1</v>
      </c>
      <c r="AF49" s="4" t="s">
        <v>123</v>
      </c>
      <c r="AG49" s="2">
        <f t="shared" si="16"/>
        <v>1</v>
      </c>
      <c r="AH49" t="s">
        <v>124</v>
      </c>
      <c r="AI49" s="2">
        <f t="shared" si="17"/>
        <v>7</v>
      </c>
      <c r="AJ49" s="2">
        <f t="shared" si="18"/>
        <v>1</v>
      </c>
      <c r="AK49" s="3">
        <v>609.99999999767169</v>
      </c>
      <c r="AM49" s="2">
        <v>1</v>
      </c>
      <c r="AN49">
        <v>600</v>
      </c>
      <c r="AO49">
        <v>0</v>
      </c>
      <c r="AP49">
        <v>0</v>
      </c>
      <c r="AQ49" s="2">
        <f>IF((2*G49 + M49 -P49 + 3*W49 + 2*Z49+2*AD49 + AG49+2*AJ49 + 4*AM49) &gt;=8,1,0)</f>
        <v>1</v>
      </c>
    </row>
    <row r="50" spans="1:43" x14ac:dyDescent="0.25">
      <c r="A50" t="s">
        <v>27</v>
      </c>
      <c r="B50" s="1">
        <v>36723</v>
      </c>
      <c r="C50" s="7">
        <f t="shared" si="10"/>
        <v>2000</v>
      </c>
      <c r="D50">
        <v>85.7</v>
      </c>
      <c r="E50">
        <v>72.5</v>
      </c>
      <c r="F50">
        <v>79.7</v>
      </c>
      <c r="G50" s="2">
        <f t="shared" si="1"/>
        <v>1</v>
      </c>
      <c r="H50">
        <v>88.1</v>
      </c>
      <c r="I50">
        <v>72.5</v>
      </c>
      <c r="J50">
        <v>80.400000000000006</v>
      </c>
      <c r="K50">
        <v>62.2</v>
      </c>
      <c r="L50">
        <v>55.7</v>
      </c>
      <c r="M50" s="2">
        <f t="shared" si="11"/>
        <v>0</v>
      </c>
      <c r="N50">
        <v>0</v>
      </c>
      <c r="P50" s="2">
        <f t="shared" si="12"/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2">
        <f t="shared" si="13"/>
        <v>0</v>
      </c>
      <c r="X50">
        <v>12.8</v>
      </c>
      <c r="Z50" s="2">
        <f t="shared" si="14"/>
        <v>0</v>
      </c>
      <c r="AA50">
        <v>244.9</v>
      </c>
      <c r="AB50" s="2" t="str">
        <f>CHOOSE(MATCH(AA50,{0;11;80;111;161;191;241;281;341},1),"North","NorthEast","East","SouthEast","South","SouthWest","West","NorthWest","North")</f>
        <v>West</v>
      </c>
      <c r="AC50" s="5">
        <f>CHOOSE(MATCH(AB50,{"South";"SouthEast";"SouthWest";"North";"NorthEast";"East";"West";"NorthWest"},0),1,2,3,4,5,6,7,8)</f>
        <v>7</v>
      </c>
      <c r="AD50" s="2">
        <f t="shared" si="15"/>
        <v>0</v>
      </c>
      <c r="AE50">
        <v>1007.3</v>
      </c>
      <c r="AF50" s="4" t="s">
        <v>125</v>
      </c>
      <c r="AG50" s="2">
        <f t="shared" si="16"/>
        <v>1</v>
      </c>
      <c r="AH50" t="s">
        <v>126</v>
      </c>
      <c r="AI50" s="2">
        <f t="shared" si="17"/>
        <v>7</v>
      </c>
      <c r="AJ50" s="2">
        <f t="shared" si="18"/>
        <v>1</v>
      </c>
      <c r="AK50" s="3">
        <v>295.00000000814907</v>
      </c>
      <c r="AM50" s="2">
        <v>0</v>
      </c>
      <c r="AN50">
        <v>9</v>
      </c>
      <c r="AO50">
        <v>4</v>
      </c>
      <c r="AP50">
        <v>0</v>
      </c>
      <c r="AQ50" s="2">
        <f>IF((2*G50 + M50 -P50 + 3*W50 + 2*Z50+2*AD50 + AG50+2*AJ50 + 4*AM50) &gt;=8,1,0)</f>
        <v>0</v>
      </c>
    </row>
    <row r="51" spans="1:43" x14ac:dyDescent="0.25">
      <c r="A51" t="s">
        <v>27</v>
      </c>
      <c r="B51" s="1">
        <v>36725</v>
      </c>
      <c r="C51" s="7">
        <f t="shared" si="10"/>
        <v>2000</v>
      </c>
      <c r="D51">
        <v>89.7</v>
      </c>
      <c r="E51">
        <v>72.7</v>
      </c>
      <c r="F51">
        <v>80.599999999999994</v>
      </c>
      <c r="G51" s="2">
        <f t="shared" si="1"/>
        <v>1</v>
      </c>
      <c r="H51">
        <v>91</v>
      </c>
      <c r="I51">
        <v>72.7</v>
      </c>
      <c r="J51">
        <v>80.900000000000006</v>
      </c>
      <c r="K51">
        <v>61.5</v>
      </c>
      <c r="L51">
        <v>53.6</v>
      </c>
      <c r="M51" s="2">
        <f t="shared" si="11"/>
        <v>0</v>
      </c>
      <c r="N51">
        <v>0</v>
      </c>
      <c r="P51" s="2">
        <f t="shared" si="12"/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2">
        <f t="shared" si="13"/>
        <v>0</v>
      </c>
      <c r="X51">
        <v>12.2</v>
      </c>
      <c r="Z51" s="2">
        <f t="shared" si="14"/>
        <v>0</v>
      </c>
      <c r="AA51">
        <v>253.1</v>
      </c>
      <c r="AB51" s="2" t="str">
        <f>CHOOSE(MATCH(AA51,{0;11;80;111;161;191;241;281;341},1),"North","NorthEast","East","SouthEast","South","SouthWest","West","NorthWest","North")</f>
        <v>West</v>
      </c>
      <c r="AC51" s="5">
        <f>CHOOSE(MATCH(AB51,{"South";"SouthEast";"SouthWest";"North";"NorthEast";"East";"West";"NorthWest"},0),1,2,3,4,5,6,7,8)</f>
        <v>7</v>
      </c>
      <c r="AD51" s="2">
        <f t="shared" si="15"/>
        <v>0</v>
      </c>
      <c r="AE51">
        <v>1011.6</v>
      </c>
      <c r="AF51" s="4" t="s">
        <v>127</v>
      </c>
      <c r="AG51" s="2">
        <f t="shared" si="16"/>
        <v>0</v>
      </c>
      <c r="AH51" t="s">
        <v>128</v>
      </c>
      <c r="AI51" s="2">
        <f t="shared" si="17"/>
        <v>7</v>
      </c>
      <c r="AJ51" s="2">
        <f t="shared" si="18"/>
        <v>1</v>
      </c>
      <c r="AK51" s="3">
        <v>46.000000003259629</v>
      </c>
      <c r="AM51" s="2">
        <v>0</v>
      </c>
      <c r="AN51">
        <v>0.5</v>
      </c>
      <c r="AO51">
        <v>0</v>
      </c>
      <c r="AP51">
        <v>0</v>
      </c>
      <c r="AQ51" s="2">
        <f>IF((2*G51 + M51 -P51 + 3*W51 + 2*Z51+2*AD51 + AG51+2*AJ51 + 4*AM51) &gt;=8,1,0)</f>
        <v>0</v>
      </c>
    </row>
    <row r="52" spans="1:43" x14ac:dyDescent="0.25">
      <c r="A52" t="s">
        <v>27</v>
      </c>
      <c r="B52" s="1">
        <v>36727</v>
      </c>
      <c r="C52" s="7">
        <f t="shared" si="10"/>
        <v>2000</v>
      </c>
      <c r="D52">
        <v>85.8</v>
      </c>
      <c r="E52">
        <v>72.3</v>
      </c>
      <c r="F52">
        <v>79.2</v>
      </c>
      <c r="G52" s="2">
        <f t="shared" si="1"/>
        <v>1</v>
      </c>
      <c r="H52">
        <v>83.5</v>
      </c>
      <c r="I52">
        <v>72.3</v>
      </c>
      <c r="J52">
        <v>78.7</v>
      </c>
      <c r="K52">
        <v>51.9</v>
      </c>
      <c r="L52">
        <v>39</v>
      </c>
      <c r="M52" s="2">
        <f t="shared" si="11"/>
        <v>1</v>
      </c>
      <c r="N52">
        <v>0</v>
      </c>
      <c r="P52" s="2">
        <f t="shared" si="12"/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2">
        <f t="shared" si="13"/>
        <v>0</v>
      </c>
      <c r="X52">
        <v>26.1</v>
      </c>
      <c r="Z52" s="2">
        <f t="shared" si="14"/>
        <v>1</v>
      </c>
      <c r="AA52">
        <v>27.5</v>
      </c>
      <c r="AB52" s="2" t="str">
        <f>CHOOSE(MATCH(AA52,{0;11;80;111;161;191;241;281;341},1),"North","NorthEast","East","SouthEast","South","SouthWest","West","NorthWest","North")</f>
        <v>NorthEast</v>
      </c>
      <c r="AC52" s="5">
        <f>CHOOSE(MATCH(AB52,{"South";"SouthEast";"SouthWest";"North";"NorthEast";"East";"West";"NorthWest"},0),1,2,3,4,5,6,7,8)</f>
        <v>5</v>
      </c>
      <c r="AD52" s="2">
        <f t="shared" si="15"/>
        <v>1</v>
      </c>
      <c r="AE52">
        <v>1008.9</v>
      </c>
      <c r="AF52" s="4" t="s">
        <v>129</v>
      </c>
      <c r="AG52" s="2">
        <f t="shared" si="16"/>
        <v>1</v>
      </c>
      <c r="AH52" t="s">
        <v>130</v>
      </c>
      <c r="AI52" s="2">
        <f t="shared" si="17"/>
        <v>7</v>
      </c>
      <c r="AJ52" s="2">
        <f t="shared" si="18"/>
        <v>1</v>
      </c>
      <c r="AK52" s="3">
        <v>189.9999999906868</v>
      </c>
      <c r="AM52" s="2">
        <v>0</v>
      </c>
      <c r="AN52">
        <v>0</v>
      </c>
      <c r="AO52">
        <v>2</v>
      </c>
      <c r="AP52">
        <v>0</v>
      </c>
      <c r="AQ52" s="2">
        <f>IF((2*G52 + M52 -P52 + 3*W52 + 2*Z52+2*AD52 + AG52+2*AJ52 + 4*AM52) &gt;=8,1,0)</f>
        <v>1</v>
      </c>
    </row>
    <row r="53" spans="1:43" x14ac:dyDescent="0.25">
      <c r="A53" t="s">
        <v>27</v>
      </c>
      <c r="B53" s="1">
        <v>36730</v>
      </c>
      <c r="C53" s="7">
        <f t="shared" si="10"/>
        <v>2000</v>
      </c>
      <c r="D53">
        <v>87.9</v>
      </c>
      <c r="E53">
        <v>67.7</v>
      </c>
      <c r="F53">
        <v>78.3</v>
      </c>
      <c r="G53" s="2">
        <f t="shared" si="1"/>
        <v>1</v>
      </c>
      <c r="H53">
        <v>89.1</v>
      </c>
      <c r="I53">
        <v>67.7</v>
      </c>
      <c r="J53">
        <v>78.7</v>
      </c>
      <c r="K53">
        <v>61.1</v>
      </c>
      <c r="L53">
        <v>56.5</v>
      </c>
      <c r="M53" s="2">
        <f t="shared" si="11"/>
        <v>0</v>
      </c>
      <c r="N53">
        <v>0</v>
      </c>
      <c r="P53" s="2">
        <f t="shared" si="12"/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2">
        <f t="shared" si="13"/>
        <v>0</v>
      </c>
      <c r="X53">
        <v>12.2</v>
      </c>
      <c r="Z53" s="2">
        <f t="shared" si="14"/>
        <v>0</v>
      </c>
      <c r="AA53">
        <v>234.6</v>
      </c>
      <c r="AB53" s="2" t="str">
        <f>CHOOSE(MATCH(AA53,{0;11;80;111;161;191;241;281;341},1),"North","NorthEast","East","SouthEast","South","SouthWest","West","NorthWest","North")</f>
        <v>SouthWest</v>
      </c>
      <c r="AC53" s="5">
        <f>CHOOSE(MATCH(AB53,{"South";"SouthEast";"SouthWest";"North";"NorthEast";"East";"West";"NorthWest"},0),1,2,3,4,5,6,7,8)</f>
        <v>3</v>
      </c>
      <c r="AD53" s="2">
        <f t="shared" si="15"/>
        <v>1</v>
      </c>
      <c r="AE53">
        <v>1014.9</v>
      </c>
      <c r="AF53" s="4" t="s">
        <v>78</v>
      </c>
      <c r="AG53" s="2">
        <f t="shared" si="16"/>
        <v>0</v>
      </c>
      <c r="AH53" t="s">
        <v>131</v>
      </c>
      <c r="AI53" s="2">
        <f t="shared" si="17"/>
        <v>7</v>
      </c>
      <c r="AJ53" s="2">
        <f t="shared" si="18"/>
        <v>1</v>
      </c>
      <c r="AK53" s="3">
        <v>125.9999999916181</v>
      </c>
      <c r="AM53" s="2">
        <v>0</v>
      </c>
      <c r="AN53">
        <v>0</v>
      </c>
      <c r="AO53">
        <v>2</v>
      </c>
      <c r="AP53">
        <v>0</v>
      </c>
      <c r="AQ53" s="2">
        <f>IF((2*G53 + M53 -P53 + 3*W53 + 2*Z53+2*AD53 + AG53+2*AJ53 + 4*AM53) &gt;=8,1,0)</f>
        <v>0</v>
      </c>
    </row>
    <row r="54" spans="1:43" x14ac:dyDescent="0.25">
      <c r="A54" t="s">
        <v>27</v>
      </c>
      <c r="B54" s="1">
        <v>36735</v>
      </c>
      <c r="C54" s="7">
        <f t="shared" si="10"/>
        <v>2000</v>
      </c>
      <c r="D54">
        <v>101.3</v>
      </c>
      <c r="E54">
        <v>76.7</v>
      </c>
      <c r="F54">
        <v>88.4</v>
      </c>
      <c r="G54" s="2">
        <f t="shared" si="1"/>
        <v>1</v>
      </c>
      <c r="H54">
        <v>106.4</v>
      </c>
      <c r="I54">
        <v>76.7</v>
      </c>
      <c r="J54">
        <v>90.3</v>
      </c>
      <c r="K54">
        <v>64.5</v>
      </c>
      <c r="L54">
        <v>47.4</v>
      </c>
      <c r="M54" s="2">
        <f t="shared" si="11"/>
        <v>1</v>
      </c>
      <c r="N54">
        <v>0</v>
      </c>
      <c r="P54" s="2">
        <f t="shared" si="12"/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2">
        <f t="shared" si="13"/>
        <v>0</v>
      </c>
      <c r="X54">
        <v>16.2</v>
      </c>
      <c r="Z54" s="2">
        <f t="shared" si="14"/>
        <v>1</v>
      </c>
      <c r="AA54">
        <v>49.1</v>
      </c>
      <c r="AB54" s="2" t="str">
        <f>CHOOSE(MATCH(AA54,{0;11;80;111;161;191;241;281;341},1),"North","NorthEast","East","SouthEast","South","SouthWest","West","NorthWest","North")</f>
        <v>NorthEast</v>
      </c>
      <c r="AC54" s="5">
        <f>CHOOSE(MATCH(AB54,{"South";"SouthEast";"SouthWest";"North";"NorthEast";"East";"West";"NorthWest"},0),1,2,3,4,5,6,7,8)</f>
        <v>5</v>
      </c>
      <c r="AD54" s="2">
        <f t="shared" si="15"/>
        <v>1</v>
      </c>
      <c r="AE54">
        <v>1005.9</v>
      </c>
      <c r="AF54" s="4" t="s">
        <v>132</v>
      </c>
      <c r="AG54" s="2">
        <f t="shared" si="16"/>
        <v>0</v>
      </c>
      <c r="AH54" t="s">
        <v>133</v>
      </c>
      <c r="AI54" s="2">
        <f t="shared" si="17"/>
        <v>7</v>
      </c>
      <c r="AJ54" s="2">
        <f t="shared" si="18"/>
        <v>1</v>
      </c>
      <c r="AK54" s="3">
        <v>492.99999999348069</v>
      </c>
      <c r="AM54" s="2">
        <v>1</v>
      </c>
      <c r="AN54">
        <v>400</v>
      </c>
      <c r="AO54">
        <v>0</v>
      </c>
      <c r="AP54">
        <v>0</v>
      </c>
      <c r="AQ54" s="2">
        <f>IF((2*G54 + M54 -P54 + 3*W54 + 2*Z54+2*AD54 + AG54+2*AJ54 + 4*AM54) &gt;=8,1,0)</f>
        <v>1</v>
      </c>
    </row>
    <row r="55" spans="1:43" x14ac:dyDescent="0.25">
      <c r="A55" t="s">
        <v>27</v>
      </c>
      <c r="B55" s="1">
        <v>36735</v>
      </c>
      <c r="C55" s="7">
        <f t="shared" si="10"/>
        <v>2000</v>
      </c>
      <c r="D55">
        <v>101.3</v>
      </c>
      <c r="E55">
        <v>76.7</v>
      </c>
      <c r="F55">
        <v>88.4</v>
      </c>
      <c r="G55" s="2">
        <f t="shared" si="1"/>
        <v>1</v>
      </c>
      <c r="H55">
        <v>106.4</v>
      </c>
      <c r="I55">
        <v>76.7</v>
      </c>
      <c r="J55">
        <v>90.3</v>
      </c>
      <c r="K55">
        <v>64.5</v>
      </c>
      <c r="L55">
        <v>47.4</v>
      </c>
      <c r="M55" s="2">
        <f t="shared" si="11"/>
        <v>1</v>
      </c>
      <c r="N55">
        <v>0</v>
      </c>
      <c r="P55" s="2">
        <f t="shared" si="12"/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2">
        <f t="shared" si="13"/>
        <v>0</v>
      </c>
      <c r="X55">
        <v>16.2</v>
      </c>
      <c r="Z55" s="2">
        <f t="shared" si="14"/>
        <v>1</v>
      </c>
      <c r="AA55">
        <v>49.1</v>
      </c>
      <c r="AB55" s="2" t="str">
        <f>CHOOSE(MATCH(AA55,{0;11;80;111;161;191;241;281;341},1),"North","NorthEast","East","SouthEast","South","SouthWest","West","NorthWest","North")</f>
        <v>NorthEast</v>
      </c>
      <c r="AC55" s="5">
        <f>CHOOSE(MATCH(AB55,{"South";"SouthEast";"SouthWest";"North";"NorthEast";"East";"West";"NorthWest"},0),1,2,3,4,5,6,7,8)</f>
        <v>5</v>
      </c>
      <c r="AD55" s="2">
        <f t="shared" si="15"/>
        <v>1</v>
      </c>
      <c r="AE55">
        <v>1005.9</v>
      </c>
      <c r="AF55" s="4" t="s">
        <v>134</v>
      </c>
      <c r="AG55" s="2">
        <f t="shared" si="16"/>
        <v>0</v>
      </c>
      <c r="AH55" t="s">
        <v>135</v>
      </c>
      <c r="AI55" s="2">
        <f t="shared" si="17"/>
        <v>7</v>
      </c>
      <c r="AJ55" s="2">
        <f t="shared" si="18"/>
        <v>1</v>
      </c>
      <c r="AK55" s="3">
        <v>60.999999999767169</v>
      </c>
      <c r="AM55" s="2">
        <v>0</v>
      </c>
      <c r="AN55">
        <v>0</v>
      </c>
      <c r="AO55">
        <v>1</v>
      </c>
      <c r="AP55">
        <v>0</v>
      </c>
      <c r="AQ55" s="2">
        <f>IF((2*G55 + M55 -P55 + 3*W55 + 2*Z55+2*AD55 + AG55+2*AJ55 + 4*AM55) &gt;=8,1,0)</f>
        <v>1</v>
      </c>
    </row>
    <row r="56" spans="1:43" x14ac:dyDescent="0.25">
      <c r="A56" t="s">
        <v>27</v>
      </c>
      <c r="B56" s="1">
        <v>36736</v>
      </c>
      <c r="C56" s="7">
        <f t="shared" si="10"/>
        <v>2000</v>
      </c>
      <c r="D56">
        <v>89.6</v>
      </c>
      <c r="E56">
        <v>75.3</v>
      </c>
      <c r="F56">
        <v>83.2</v>
      </c>
      <c r="G56" s="2">
        <f t="shared" si="1"/>
        <v>1</v>
      </c>
      <c r="H56">
        <v>97.2</v>
      </c>
      <c r="I56">
        <v>75.3</v>
      </c>
      <c r="J56">
        <v>86.1</v>
      </c>
      <c r="K56">
        <v>69</v>
      </c>
      <c r="L56">
        <v>63.9</v>
      </c>
      <c r="M56" s="2">
        <f t="shared" si="11"/>
        <v>0</v>
      </c>
      <c r="N56">
        <v>0</v>
      </c>
      <c r="P56" s="2">
        <f t="shared" si="12"/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2">
        <f t="shared" si="13"/>
        <v>0</v>
      </c>
      <c r="X56">
        <v>16.3</v>
      </c>
      <c r="Z56" s="2">
        <f t="shared" si="14"/>
        <v>1</v>
      </c>
      <c r="AA56">
        <v>169.9</v>
      </c>
      <c r="AB56" s="2" t="str">
        <f>CHOOSE(MATCH(AA56,{0;11;80;111;161;191;241;281;341},1),"North","NorthEast","East","SouthEast","South","SouthWest","West","NorthWest","North")</f>
        <v>South</v>
      </c>
      <c r="AC56" s="5">
        <f>CHOOSE(MATCH(AB56,{"South";"SouthEast";"SouthWest";"North";"NorthEast";"East";"West";"NorthWest"},0),1,2,3,4,5,6,7,8)</f>
        <v>1</v>
      </c>
      <c r="AD56" s="2">
        <f t="shared" si="15"/>
        <v>0</v>
      </c>
      <c r="AE56">
        <v>1006.1</v>
      </c>
      <c r="AF56" s="4" t="s">
        <v>136</v>
      </c>
      <c r="AG56" s="2">
        <f t="shared" si="16"/>
        <v>1</v>
      </c>
      <c r="AH56" t="s">
        <v>137</v>
      </c>
      <c r="AI56" s="2">
        <f t="shared" si="17"/>
        <v>7</v>
      </c>
      <c r="AJ56" s="2">
        <f t="shared" si="18"/>
        <v>1</v>
      </c>
      <c r="AK56" s="3">
        <v>420.00000000698492</v>
      </c>
      <c r="AM56" s="2">
        <v>1</v>
      </c>
      <c r="AN56">
        <v>5</v>
      </c>
      <c r="AO56">
        <v>5</v>
      </c>
      <c r="AP56">
        <v>0</v>
      </c>
      <c r="AQ56" s="2">
        <f>IF((2*G56 + M56 -P56 + 3*W56 + 2*Z56+2*AD56 + AG56+2*AJ56 + 4*AM56) &gt;=8,1,0)</f>
        <v>1</v>
      </c>
    </row>
    <row r="57" spans="1:43" x14ac:dyDescent="0.25">
      <c r="A57" t="s">
        <v>27</v>
      </c>
      <c r="B57" s="1">
        <v>36736</v>
      </c>
      <c r="C57" s="7">
        <f t="shared" si="10"/>
        <v>2000</v>
      </c>
      <c r="D57">
        <v>89.6</v>
      </c>
      <c r="E57">
        <v>75.3</v>
      </c>
      <c r="F57">
        <v>83.2</v>
      </c>
      <c r="G57" s="2">
        <f t="shared" si="1"/>
        <v>1</v>
      </c>
      <c r="H57">
        <v>97.2</v>
      </c>
      <c r="I57">
        <v>75.3</v>
      </c>
      <c r="J57">
        <v>86.1</v>
      </c>
      <c r="K57">
        <v>69</v>
      </c>
      <c r="L57">
        <v>63.9</v>
      </c>
      <c r="M57" s="2">
        <f t="shared" si="11"/>
        <v>0</v>
      </c>
      <c r="N57">
        <v>0</v>
      </c>
      <c r="P57" s="2">
        <f t="shared" si="12"/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2">
        <f t="shared" si="13"/>
        <v>0</v>
      </c>
      <c r="X57">
        <v>16.3</v>
      </c>
      <c r="Z57" s="2">
        <f t="shared" si="14"/>
        <v>1</v>
      </c>
      <c r="AA57">
        <v>169.9</v>
      </c>
      <c r="AB57" s="2" t="str">
        <f>CHOOSE(MATCH(AA57,{0;11;80;111;161;191;241;281;341},1),"North","NorthEast","East","SouthEast","South","SouthWest","West","NorthWest","North")</f>
        <v>South</v>
      </c>
      <c r="AC57" s="5">
        <f>CHOOSE(MATCH(AB57,{"South";"SouthEast";"SouthWest";"North";"NorthEast";"East";"West";"NorthWest"},0),1,2,3,4,5,6,7,8)</f>
        <v>1</v>
      </c>
      <c r="AD57" s="2">
        <f t="shared" si="15"/>
        <v>0</v>
      </c>
      <c r="AE57">
        <v>1006.1</v>
      </c>
      <c r="AF57" s="4" t="s">
        <v>138</v>
      </c>
      <c r="AG57" s="2">
        <f t="shared" si="16"/>
        <v>1</v>
      </c>
      <c r="AH57" t="s">
        <v>139</v>
      </c>
      <c r="AI57" s="2">
        <f t="shared" si="17"/>
        <v>7</v>
      </c>
      <c r="AJ57" s="2">
        <f t="shared" si="18"/>
        <v>1</v>
      </c>
      <c r="AK57" s="3">
        <v>15294.999999994179</v>
      </c>
      <c r="AM57" s="2">
        <v>1</v>
      </c>
      <c r="AN57">
        <v>1400</v>
      </c>
      <c r="AO57">
        <v>0</v>
      </c>
      <c r="AP57">
        <v>0</v>
      </c>
      <c r="AQ57" s="2">
        <f>IF((2*G57 + M57 -P57 + 3*W57 + 2*Z57+2*AD57 + AG57+2*AJ57 + 4*AM57) &gt;=8,1,0)</f>
        <v>1</v>
      </c>
    </row>
    <row r="58" spans="1:43" x14ac:dyDescent="0.25">
      <c r="A58" t="s">
        <v>27</v>
      </c>
      <c r="B58" s="1">
        <v>36743</v>
      </c>
      <c r="C58" s="7">
        <f t="shared" si="10"/>
        <v>2000</v>
      </c>
      <c r="D58">
        <v>92.6</v>
      </c>
      <c r="E58">
        <v>74.7</v>
      </c>
      <c r="F58">
        <v>83.3</v>
      </c>
      <c r="G58" s="2">
        <f t="shared" si="1"/>
        <v>1</v>
      </c>
      <c r="H58">
        <v>90.4</v>
      </c>
      <c r="I58">
        <v>74.7</v>
      </c>
      <c r="J58">
        <v>81.8</v>
      </c>
      <c r="K58">
        <v>47</v>
      </c>
      <c r="L58">
        <v>29.2</v>
      </c>
      <c r="M58" s="2">
        <f t="shared" si="11"/>
        <v>1</v>
      </c>
      <c r="N58">
        <v>0</v>
      </c>
      <c r="P58" s="2">
        <f t="shared" si="12"/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2">
        <f t="shared" si="13"/>
        <v>0</v>
      </c>
      <c r="X58">
        <v>14.9</v>
      </c>
      <c r="Z58" s="2">
        <f t="shared" si="14"/>
        <v>0</v>
      </c>
      <c r="AA58">
        <v>359.7</v>
      </c>
      <c r="AB58" s="2" t="str">
        <f>CHOOSE(MATCH(AA58,{0;11;80;111;161;191;241;281;341},1),"North","NorthEast","East","SouthEast","South","SouthWest","West","NorthWest","North")</f>
        <v>North</v>
      </c>
      <c r="AC58" s="5">
        <f>CHOOSE(MATCH(AB58,{"South";"SouthEast";"SouthWest";"North";"NorthEast";"East";"West";"NorthWest"},0),1,2,3,4,5,6,7,8)</f>
        <v>4</v>
      </c>
      <c r="AD58" s="2">
        <f t="shared" si="15"/>
        <v>1</v>
      </c>
      <c r="AE58">
        <v>1012</v>
      </c>
      <c r="AF58" s="4" t="s">
        <v>140</v>
      </c>
      <c r="AG58" s="2">
        <f t="shared" si="16"/>
        <v>0</v>
      </c>
      <c r="AH58" t="s">
        <v>141</v>
      </c>
      <c r="AI58" s="2">
        <f t="shared" si="17"/>
        <v>8</v>
      </c>
      <c r="AJ58" s="2">
        <f t="shared" si="18"/>
        <v>1</v>
      </c>
      <c r="AK58" s="3">
        <v>705.00000000349246</v>
      </c>
      <c r="AM58" s="2">
        <v>1</v>
      </c>
      <c r="AN58">
        <v>200</v>
      </c>
      <c r="AO58">
        <v>800</v>
      </c>
      <c r="AP58">
        <v>0</v>
      </c>
      <c r="AQ58" s="2">
        <f>IF((2*G58 + M58 -P58 + 3*W58 + 2*Z58+2*AD58 + AG58+2*AJ58 + 4*AM58) &gt;=8,1,0)</f>
        <v>1</v>
      </c>
    </row>
    <row r="59" spans="1:43" x14ac:dyDescent="0.25">
      <c r="A59" t="s">
        <v>27</v>
      </c>
      <c r="B59" s="1">
        <v>36744</v>
      </c>
      <c r="C59" s="7">
        <f t="shared" si="10"/>
        <v>2000</v>
      </c>
      <c r="D59">
        <v>93.5</v>
      </c>
      <c r="E59">
        <v>72.7</v>
      </c>
      <c r="F59">
        <v>84.1</v>
      </c>
      <c r="G59" s="2">
        <f t="shared" si="1"/>
        <v>1</v>
      </c>
      <c r="H59">
        <v>90.7</v>
      </c>
      <c r="I59">
        <v>72.7</v>
      </c>
      <c r="J59">
        <v>82.6</v>
      </c>
      <c r="K59">
        <v>49.6</v>
      </c>
      <c r="L59">
        <v>31.1</v>
      </c>
      <c r="M59" s="2">
        <f t="shared" si="11"/>
        <v>1</v>
      </c>
      <c r="N59">
        <v>0</v>
      </c>
      <c r="P59" s="2">
        <f t="shared" si="12"/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2">
        <f t="shared" si="13"/>
        <v>0</v>
      </c>
      <c r="X59">
        <v>12.8</v>
      </c>
      <c r="Z59" s="2">
        <f t="shared" si="14"/>
        <v>0</v>
      </c>
      <c r="AA59">
        <v>353.7</v>
      </c>
      <c r="AB59" s="2" t="str">
        <f>CHOOSE(MATCH(AA59,{0;11;80;111;161;191;241;281;341},1),"North","NorthEast","East","SouthEast","South","SouthWest","West","NorthWest","North")</f>
        <v>North</v>
      </c>
      <c r="AC59" s="5">
        <f>CHOOSE(MATCH(AB59,{"South";"SouthEast";"SouthWest";"North";"NorthEast";"East";"West";"NorthWest"},0),1,2,3,4,5,6,7,8)</f>
        <v>4</v>
      </c>
      <c r="AD59" s="2">
        <f t="shared" si="15"/>
        <v>1</v>
      </c>
      <c r="AE59">
        <v>1011</v>
      </c>
      <c r="AF59" s="4" t="s">
        <v>142</v>
      </c>
      <c r="AG59" s="2">
        <f t="shared" si="16"/>
        <v>0</v>
      </c>
      <c r="AH59" t="s">
        <v>143</v>
      </c>
      <c r="AI59" s="2">
        <f t="shared" si="17"/>
        <v>8</v>
      </c>
      <c r="AJ59" s="2">
        <f t="shared" si="18"/>
        <v>1</v>
      </c>
      <c r="AK59" s="3">
        <v>30.00000000349246</v>
      </c>
      <c r="AM59" s="2">
        <v>0</v>
      </c>
      <c r="AN59">
        <v>0</v>
      </c>
      <c r="AO59">
        <v>0.1</v>
      </c>
      <c r="AP59">
        <v>0</v>
      </c>
      <c r="AQ59" s="2">
        <f>IF((2*G59 + M59 -P59 + 3*W59 + 2*Z59+2*AD59 + AG59+2*AJ59 + 4*AM59) &gt;=8,1,0)</f>
        <v>0</v>
      </c>
    </row>
    <row r="60" spans="1:43" x14ac:dyDescent="0.25">
      <c r="A60" t="s">
        <v>27</v>
      </c>
      <c r="B60" s="1">
        <v>36747</v>
      </c>
      <c r="C60" s="7">
        <f t="shared" si="10"/>
        <v>2000</v>
      </c>
      <c r="D60">
        <v>94.4</v>
      </c>
      <c r="E60">
        <v>73.7</v>
      </c>
      <c r="F60">
        <v>84.3</v>
      </c>
      <c r="G60" s="2">
        <f t="shared" si="1"/>
        <v>1</v>
      </c>
      <c r="H60">
        <v>94.2</v>
      </c>
      <c r="I60">
        <v>73.7</v>
      </c>
      <c r="J60">
        <v>84.1</v>
      </c>
      <c r="K60">
        <v>60.7</v>
      </c>
      <c r="L60">
        <v>47.3</v>
      </c>
      <c r="M60" s="2">
        <f t="shared" si="11"/>
        <v>1</v>
      </c>
      <c r="N60">
        <v>0</v>
      </c>
      <c r="P60" s="2">
        <f t="shared" si="12"/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2">
        <f t="shared" si="13"/>
        <v>0</v>
      </c>
      <c r="X60">
        <v>15.3</v>
      </c>
      <c r="Z60" s="2">
        <f t="shared" si="14"/>
        <v>0</v>
      </c>
      <c r="AA60">
        <v>350.4</v>
      </c>
      <c r="AB60" s="2" t="str">
        <f>CHOOSE(MATCH(AA60,{0;11;80;111;161;191;241;281;341},1),"North","NorthEast","East","SouthEast","South","SouthWest","West","NorthWest","North")</f>
        <v>North</v>
      </c>
      <c r="AC60" s="5">
        <f>CHOOSE(MATCH(AB60,{"South";"SouthEast";"SouthWest";"North";"NorthEast";"East";"West";"NorthWest"},0),1,2,3,4,5,6,7,8)</f>
        <v>4</v>
      </c>
      <c r="AD60" s="2">
        <f t="shared" si="15"/>
        <v>1</v>
      </c>
      <c r="AE60">
        <v>1011.3</v>
      </c>
      <c r="AF60" s="4" t="s">
        <v>144</v>
      </c>
      <c r="AG60" s="2">
        <f t="shared" si="16"/>
        <v>1</v>
      </c>
      <c r="AH60" t="s">
        <v>145</v>
      </c>
      <c r="AI60" s="2">
        <f t="shared" si="17"/>
        <v>8</v>
      </c>
      <c r="AJ60" s="2">
        <f t="shared" si="18"/>
        <v>1</v>
      </c>
      <c r="AK60" s="3">
        <v>435.99999999627471</v>
      </c>
      <c r="AM60" s="2">
        <v>1</v>
      </c>
      <c r="AN60">
        <v>15</v>
      </c>
      <c r="AO60">
        <v>0</v>
      </c>
      <c r="AP60">
        <v>0</v>
      </c>
      <c r="AQ60" s="2">
        <f>IF((2*G60 + M60 -P60 + 3*W60 + 2*Z60+2*AD60 + AG60+2*AJ60 + 4*AM60) &gt;=8,1,0)</f>
        <v>1</v>
      </c>
    </row>
    <row r="61" spans="1:43" x14ac:dyDescent="0.25">
      <c r="A61" t="s">
        <v>27</v>
      </c>
      <c r="B61" s="1">
        <v>36752</v>
      </c>
      <c r="C61" s="7">
        <f t="shared" si="10"/>
        <v>2000</v>
      </c>
      <c r="D61">
        <v>94.8</v>
      </c>
      <c r="E61">
        <v>76.7</v>
      </c>
      <c r="F61">
        <v>85.4</v>
      </c>
      <c r="G61" s="2">
        <f t="shared" si="1"/>
        <v>1</v>
      </c>
      <c r="H61">
        <v>90.7</v>
      </c>
      <c r="I61">
        <v>76.7</v>
      </c>
      <c r="J61">
        <v>83.4</v>
      </c>
      <c r="K61">
        <v>47.9</v>
      </c>
      <c r="L61">
        <v>28.5</v>
      </c>
      <c r="M61" s="2">
        <f t="shared" si="11"/>
        <v>1</v>
      </c>
      <c r="N61">
        <v>0</v>
      </c>
      <c r="P61" s="2">
        <f t="shared" si="12"/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2">
        <f t="shared" si="13"/>
        <v>0</v>
      </c>
      <c r="X61">
        <v>19.899999999999999</v>
      </c>
      <c r="Z61" s="2">
        <f t="shared" si="14"/>
        <v>1</v>
      </c>
      <c r="AA61">
        <v>356.3</v>
      </c>
      <c r="AB61" s="2" t="str">
        <f>CHOOSE(MATCH(AA61,{0;11;80;111;161;191;241;281;341},1),"North","NorthEast","East","SouthEast","South","SouthWest","West","NorthWest","North")</f>
        <v>North</v>
      </c>
      <c r="AC61" s="5">
        <f>CHOOSE(MATCH(AB61,{"South";"SouthEast";"SouthWest";"North";"NorthEast";"East";"West";"NorthWest"},0),1,2,3,4,5,6,7,8)</f>
        <v>4</v>
      </c>
      <c r="AD61" s="2">
        <f t="shared" si="15"/>
        <v>1</v>
      </c>
      <c r="AE61">
        <v>1014</v>
      </c>
      <c r="AF61" s="4" t="s">
        <v>146</v>
      </c>
      <c r="AG61" s="2">
        <f t="shared" si="16"/>
        <v>0</v>
      </c>
      <c r="AH61" t="s">
        <v>147</v>
      </c>
      <c r="AI61" s="2">
        <f t="shared" si="17"/>
        <v>8</v>
      </c>
      <c r="AJ61" s="2">
        <f t="shared" si="18"/>
        <v>1</v>
      </c>
      <c r="AK61" s="3">
        <v>21.999999998370189</v>
      </c>
      <c r="AM61" s="2">
        <v>0</v>
      </c>
      <c r="AN61">
        <v>0</v>
      </c>
      <c r="AO61">
        <v>0</v>
      </c>
      <c r="AP61">
        <v>0.1</v>
      </c>
      <c r="AQ61" s="2">
        <f>IF((2*G61 + M61 -P61 + 3*W61 + 2*Z61+2*AD61 + AG61+2*AJ61 + 4*AM61) &gt;=8,1,0)</f>
        <v>1</v>
      </c>
    </row>
    <row r="62" spans="1:43" x14ac:dyDescent="0.25">
      <c r="A62" t="s">
        <v>27</v>
      </c>
      <c r="B62" s="1">
        <v>36753</v>
      </c>
      <c r="C62" s="7">
        <f t="shared" si="10"/>
        <v>2000</v>
      </c>
      <c r="D62">
        <v>95.6</v>
      </c>
      <c r="E62">
        <v>79.8</v>
      </c>
      <c r="F62">
        <v>86.4</v>
      </c>
      <c r="G62" s="2">
        <f t="shared" si="1"/>
        <v>1</v>
      </c>
      <c r="H62">
        <v>91.8</v>
      </c>
      <c r="I62">
        <v>79.599999999999994</v>
      </c>
      <c r="J62">
        <v>84.4</v>
      </c>
      <c r="K62">
        <v>48.2</v>
      </c>
      <c r="L62">
        <v>27.5</v>
      </c>
      <c r="M62" s="2">
        <f t="shared" si="11"/>
        <v>1</v>
      </c>
      <c r="N62">
        <v>0</v>
      </c>
      <c r="P62" s="2">
        <f t="shared" si="12"/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2">
        <f t="shared" si="13"/>
        <v>0</v>
      </c>
      <c r="X62">
        <v>23.6</v>
      </c>
      <c r="Z62" s="2">
        <f t="shared" si="14"/>
        <v>1</v>
      </c>
      <c r="AA62">
        <v>352.7</v>
      </c>
      <c r="AB62" s="2" t="str">
        <f>CHOOSE(MATCH(AA62,{0;11;80;111;161;191;241;281;341},1),"North","NorthEast","East","SouthEast","South","SouthWest","West","NorthWest","North")</f>
        <v>North</v>
      </c>
      <c r="AC62" s="5">
        <f>CHOOSE(MATCH(AB62,{"South";"SouthEast";"SouthWest";"North";"NorthEast";"East";"West";"NorthWest"},0),1,2,3,4,5,6,7,8)</f>
        <v>4</v>
      </c>
      <c r="AD62" s="2">
        <f t="shared" si="15"/>
        <v>1</v>
      </c>
      <c r="AE62">
        <v>1011.1</v>
      </c>
      <c r="AF62" s="4" t="s">
        <v>148</v>
      </c>
      <c r="AG62" s="2">
        <f t="shared" si="16"/>
        <v>0</v>
      </c>
      <c r="AH62" t="s">
        <v>149</v>
      </c>
      <c r="AI62" s="2">
        <f t="shared" si="17"/>
        <v>8</v>
      </c>
      <c r="AJ62" s="2">
        <f t="shared" si="18"/>
        <v>1</v>
      </c>
      <c r="AK62" s="3">
        <v>110.00000000232831</v>
      </c>
      <c r="AM62" s="2">
        <v>0</v>
      </c>
      <c r="AN62">
        <v>0</v>
      </c>
      <c r="AO62">
        <v>2</v>
      </c>
      <c r="AP62">
        <v>0</v>
      </c>
      <c r="AQ62" s="2">
        <f>IF((2*G62 + M62 -P62 + 3*W62 + 2*Z62+2*AD62 + AG62+2*AJ62 + 4*AM62) &gt;=8,1,0)</f>
        <v>1</v>
      </c>
    </row>
    <row r="63" spans="1:43" x14ac:dyDescent="0.25">
      <c r="A63" t="s">
        <v>27</v>
      </c>
      <c r="B63" s="1">
        <v>36758</v>
      </c>
      <c r="C63" s="7">
        <f t="shared" si="10"/>
        <v>2000</v>
      </c>
      <c r="D63">
        <v>93.3</v>
      </c>
      <c r="E63">
        <v>78.2</v>
      </c>
      <c r="F63">
        <v>85.7</v>
      </c>
      <c r="G63" s="2">
        <f t="shared" si="1"/>
        <v>1</v>
      </c>
      <c r="H63">
        <v>89.9</v>
      </c>
      <c r="I63">
        <v>78.2</v>
      </c>
      <c r="J63">
        <v>83.9</v>
      </c>
      <c r="K63">
        <v>50.2</v>
      </c>
      <c r="L63">
        <v>30.2</v>
      </c>
      <c r="M63" s="2">
        <f t="shared" si="11"/>
        <v>1</v>
      </c>
      <c r="N63">
        <v>0</v>
      </c>
      <c r="P63" s="2">
        <f t="shared" si="12"/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2">
        <f t="shared" si="13"/>
        <v>0</v>
      </c>
      <c r="X63">
        <v>22.3</v>
      </c>
      <c r="Z63" s="2">
        <f t="shared" si="14"/>
        <v>1</v>
      </c>
      <c r="AA63">
        <v>357.1</v>
      </c>
      <c r="AB63" s="2" t="str">
        <f>CHOOSE(MATCH(AA63,{0;11;80;111;161;191;241;281;341},1),"North","NorthEast","East","SouthEast","South","SouthWest","West","NorthWest","North")</f>
        <v>North</v>
      </c>
      <c r="AC63" s="5">
        <f>CHOOSE(MATCH(AB63,{"South";"SouthEast";"SouthWest";"North";"NorthEast";"East";"West";"NorthWest"},0),1,2,3,4,5,6,7,8)</f>
        <v>4</v>
      </c>
      <c r="AD63" s="2">
        <f t="shared" si="15"/>
        <v>1</v>
      </c>
      <c r="AE63">
        <v>1013.4</v>
      </c>
      <c r="AF63" s="4" t="s">
        <v>150</v>
      </c>
      <c r="AG63" s="2">
        <f t="shared" si="16"/>
        <v>0</v>
      </c>
      <c r="AH63" t="s">
        <v>151</v>
      </c>
      <c r="AI63" s="2">
        <f t="shared" si="17"/>
        <v>8</v>
      </c>
      <c r="AJ63" s="2">
        <f t="shared" si="18"/>
        <v>1</v>
      </c>
      <c r="AK63" s="3">
        <v>55.999999993946403</v>
      </c>
      <c r="AM63" s="2">
        <v>0</v>
      </c>
      <c r="AN63">
        <v>0</v>
      </c>
      <c r="AO63">
        <v>1</v>
      </c>
      <c r="AP63">
        <v>0</v>
      </c>
      <c r="AQ63" s="2">
        <f>IF((2*G63 + M63 -P63 + 3*W63 + 2*Z63+2*AD63 + AG63+2*AJ63 + 4*AM63) &gt;=8,1,0)</f>
        <v>1</v>
      </c>
    </row>
    <row r="64" spans="1:43" x14ac:dyDescent="0.25">
      <c r="A64" t="s">
        <v>27</v>
      </c>
      <c r="B64" s="1">
        <v>36758</v>
      </c>
      <c r="C64" s="7">
        <f t="shared" ref="C64:C113" si="19">YEAR(B64)</f>
        <v>2000</v>
      </c>
      <c r="D64">
        <v>93.3</v>
      </c>
      <c r="E64">
        <v>78.2</v>
      </c>
      <c r="F64">
        <v>85.7</v>
      </c>
      <c r="G64" s="2">
        <f t="shared" si="1"/>
        <v>1</v>
      </c>
      <c r="H64">
        <v>89.9</v>
      </c>
      <c r="I64">
        <v>78.2</v>
      </c>
      <c r="J64">
        <v>83.9</v>
      </c>
      <c r="K64">
        <v>50.2</v>
      </c>
      <c r="L64">
        <v>30.2</v>
      </c>
      <c r="M64" s="2">
        <f t="shared" ref="M64:M113" si="20">IF(L64&lt;=49.3,1,0)</f>
        <v>1</v>
      </c>
      <c r="N64">
        <v>0</v>
      </c>
      <c r="P64" s="2">
        <f t="shared" ref="P64:P113" si="21">IF(N64&lt;=0.01,1,0)</f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s="2">
        <f t="shared" ref="W64:W113" si="22">IF(V64&lt;=10,0,1)</f>
        <v>0</v>
      </c>
      <c r="X64">
        <v>22.3</v>
      </c>
      <c r="Z64" s="2">
        <f t="shared" ref="Z64:Z113" si="23">IF(X64&gt;=16,1,0)</f>
        <v>1</v>
      </c>
      <c r="AA64">
        <v>357.1</v>
      </c>
      <c r="AB64" s="2" t="str">
        <f>CHOOSE(MATCH(AA64,{0;11;80;111;161;191;241;281;341},1),"North","NorthEast","East","SouthEast","South","SouthWest","West","NorthWest","North")</f>
        <v>North</v>
      </c>
      <c r="AC64" s="5">
        <f>CHOOSE(MATCH(AB64,{"South";"SouthEast";"SouthWest";"North";"NorthEast";"East";"West";"NorthWest"},0),1,2,3,4,5,6,7,8)</f>
        <v>4</v>
      </c>
      <c r="AD64" s="2">
        <f t="shared" ref="AD64:AD113" si="24">IF(OR(AC64=3,AC64=4,AC64=5,AC64=8),1,0)</f>
        <v>1</v>
      </c>
      <c r="AE64">
        <v>1013.4</v>
      </c>
      <c r="AF64" s="4" t="s">
        <v>152</v>
      </c>
      <c r="AG64" s="2">
        <f t="shared" ref="AG64:AG113" si="25">IF(TIMEVALUE(AF64)&lt;=TIME(12,30,0),0,1)</f>
        <v>1</v>
      </c>
      <c r="AH64" t="s">
        <v>153</v>
      </c>
      <c r="AI64" s="2">
        <f t="shared" ref="AI64:AI113" si="26">MONTH(AH64)</f>
        <v>8</v>
      </c>
      <c r="AJ64" s="2">
        <f t="shared" ref="AJ64:AJ113" si="27">IF(OR(AI64=6,AI64=7,AI64=8),1,0)</f>
        <v>1</v>
      </c>
      <c r="AK64" s="3">
        <v>135</v>
      </c>
      <c r="AM64" s="2">
        <v>0</v>
      </c>
      <c r="AN64">
        <v>0</v>
      </c>
      <c r="AO64">
        <v>0.5</v>
      </c>
      <c r="AP64">
        <v>0</v>
      </c>
      <c r="AQ64" s="2">
        <f>IF((2*G64 + M64 -P64 + 3*W64 + 2*Z64+2*AD64 + AG64+2*AJ64 + 4*AM64) &gt;=8,1,0)</f>
        <v>1</v>
      </c>
    </row>
    <row r="65" spans="1:43" x14ac:dyDescent="0.25">
      <c r="A65" t="s">
        <v>27</v>
      </c>
      <c r="B65" s="1">
        <v>36760</v>
      </c>
      <c r="C65" s="7">
        <f t="shared" si="19"/>
        <v>2000</v>
      </c>
      <c r="D65">
        <v>97.1</v>
      </c>
      <c r="E65">
        <v>79.3</v>
      </c>
      <c r="F65">
        <v>87.9</v>
      </c>
      <c r="G65" s="2">
        <f t="shared" si="1"/>
        <v>1</v>
      </c>
      <c r="H65">
        <v>94.8</v>
      </c>
      <c r="I65">
        <v>79.3</v>
      </c>
      <c r="J65">
        <v>86</v>
      </c>
      <c r="K65">
        <v>51.7</v>
      </c>
      <c r="L65">
        <v>29.6</v>
      </c>
      <c r="M65" s="2">
        <f t="shared" si="20"/>
        <v>1</v>
      </c>
      <c r="N65">
        <v>0</v>
      </c>
      <c r="P65" s="2">
        <f t="shared" si="21"/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2">
        <f t="shared" si="22"/>
        <v>0</v>
      </c>
      <c r="X65">
        <v>19.5</v>
      </c>
      <c r="Z65" s="2">
        <f t="shared" si="23"/>
        <v>1</v>
      </c>
      <c r="AA65">
        <v>354.3</v>
      </c>
      <c r="AB65" s="2" t="str">
        <f>CHOOSE(MATCH(AA65,{0;11;80;111;161;191;241;281;341},1),"North","NorthEast","East","SouthEast","South","SouthWest","West","NorthWest","North")</f>
        <v>North</v>
      </c>
      <c r="AC65" s="5">
        <f>CHOOSE(MATCH(AB65,{"South";"SouthEast";"SouthWest";"North";"NorthEast";"East";"West";"NorthWest"},0),1,2,3,4,5,6,7,8)</f>
        <v>4</v>
      </c>
      <c r="AD65" s="2">
        <f t="shared" si="24"/>
        <v>1</v>
      </c>
      <c r="AE65">
        <v>1011</v>
      </c>
      <c r="AF65" s="4" t="s">
        <v>154</v>
      </c>
      <c r="AG65" s="2">
        <f t="shared" si="25"/>
        <v>1</v>
      </c>
      <c r="AH65" t="s">
        <v>155</v>
      </c>
      <c r="AI65" s="2">
        <f t="shared" si="26"/>
        <v>8</v>
      </c>
      <c r="AJ65" s="2">
        <f t="shared" si="27"/>
        <v>1</v>
      </c>
      <c r="AK65" s="3">
        <v>1818.9999999990689</v>
      </c>
      <c r="AM65" s="2">
        <v>1</v>
      </c>
      <c r="AN65">
        <v>0</v>
      </c>
      <c r="AO65">
        <v>100</v>
      </c>
      <c r="AP65">
        <v>0</v>
      </c>
      <c r="AQ65" s="2">
        <f>IF((2*G65 + M65 -P65 + 3*W65 + 2*Z65+2*AD65 + AG65+2*AJ65 + 4*AM65) &gt;=8,1,0)</f>
        <v>1</v>
      </c>
    </row>
    <row r="66" spans="1:43" x14ac:dyDescent="0.25">
      <c r="A66" t="s">
        <v>27</v>
      </c>
      <c r="B66" s="1">
        <v>36761</v>
      </c>
      <c r="C66" s="7">
        <f t="shared" si="19"/>
        <v>2000</v>
      </c>
      <c r="D66">
        <v>97.8</v>
      </c>
      <c r="E66">
        <v>78.5</v>
      </c>
      <c r="F66">
        <v>88.4</v>
      </c>
      <c r="G66" s="2">
        <f t="shared" ref="G66:G129" si="28">IF(F66&lt;=73.6,0,1)</f>
        <v>1</v>
      </c>
      <c r="H66">
        <v>94.3</v>
      </c>
      <c r="I66">
        <v>78.5</v>
      </c>
      <c r="J66">
        <v>86.3</v>
      </c>
      <c r="K66">
        <v>51.4</v>
      </c>
      <c r="L66">
        <v>29.5</v>
      </c>
      <c r="M66" s="2">
        <f t="shared" si="20"/>
        <v>1</v>
      </c>
      <c r="N66">
        <v>0</v>
      </c>
      <c r="P66" s="2">
        <f t="shared" si="21"/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s="2">
        <f t="shared" si="22"/>
        <v>0</v>
      </c>
      <c r="X66">
        <v>18.899999999999999</v>
      </c>
      <c r="Z66" s="2">
        <f t="shared" si="23"/>
        <v>1</v>
      </c>
      <c r="AA66">
        <v>349.1</v>
      </c>
      <c r="AB66" s="2" t="str">
        <f>CHOOSE(MATCH(AA66,{0;11;80;111;161;191;241;281;341},1),"North","NorthEast","East","SouthEast","South","SouthWest","West","NorthWest","North")</f>
        <v>North</v>
      </c>
      <c r="AC66" s="5">
        <f>CHOOSE(MATCH(AB66,{"South";"SouthEast";"SouthWest";"North";"NorthEast";"East";"West";"NorthWest"},0),1,2,3,4,5,6,7,8)</f>
        <v>4</v>
      </c>
      <c r="AD66" s="2">
        <f t="shared" si="24"/>
        <v>1</v>
      </c>
      <c r="AE66">
        <v>1012.6</v>
      </c>
      <c r="AF66" s="4" t="s">
        <v>156</v>
      </c>
      <c r="AG66" s="2">
        <f t="shared" si="25"/>
        <v>1</v>
      </c>
      <c r="AH66" t="s">
        <v>157</v>
      </c>
      <c r="AI66" s="2">
        <f t="shared" si="26"/>
        <v>8</v>
      </c>
      <c r="AJ66" s="2">
        <f t="shared" si="27"/>
        <v>1</v>
      </c>
      <c r="AK66" s="3">
        <v>7176.9999999983702</v>
      </c>
      <c r="AM66" s="2">
        <v>1</v>
      </c>
      <c r="AN66">
        <v>2000</v>
      </c>
      <c r="AO66">
        <v>0</v>
      </c>
      <c r="AP66">
        <v>0</v>
      </c>
      <c r="AQ66" s="2">
        <f>IF((2*G66 + M66 -P66 + 3*W66 + 2*Z66+2*AD66 + AG66+2*AJ66 + 4*AM66) &gt;=8,1,0)</f>
        <v>1</v>
      </c>
    </row>
    <row r="67" spans="1:43" x14ac:dyDescent="0.25">
      <c r="A67" t="s">
        <v>27</v>
      </c>
      <c r="B67" s="1">
        <v>36762</v>
      </c>
      <c r="C67" s="7">
        <f t="shared" si="19"/>
        <v>2000</v>
      </c>
      <c r="D67">
        <v>97.4</v>
      </c>
      <c r="E67">
        <v>80.3</v>
      </c>
      <c r="F67">
        <v>88.4</v>
      </c>
      <c r="G67" s="2">
        <f t="shared" si="28"/>
        <v>1</v>
      </c>
      <c r="H67">
        <v>96.6</v>
      </c>
      <c r="I67">
        <v>80.2</v>
      </c>
      <c r="J67">
        <v>87.8</v>
      </c>
      <c r="K67">
        <v>56.5</v>
      </c>
      <c r="L67">
        <v>35</v>
      </c>
      <c r="M67" s="2">
        <f t="shared" si="20"/>
        <v>1</v>
      </c>
      <c r="N67">
        <v>0</v>
      </c>
      <c r="P67" s="2">
        <f t="shared" si="21"/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2">
        <f t="shared" si="22"/>
        <v>0</v>
      </c>
      <c r="X67">
        <v>12.5</v>
      </c>
      <c r="Z67" s="2">
        <f t="shared" si="23"/>
        <v>0</v>
      </c>
      <c r="AA67">
        <v>314.5</v>
      </c>
      <c r="AB67" s="2" t="str">
        <f>CHOOSE(MATCH(AA67,{0;11;80;111;161;191;241;281;341},1),"North","NorthEast","East","SouthEast","South","SouthWest","West","NorthWest","North")</f>
        <v>NorthWest</v>
      </c>
      <c r="AC67" s="5">
        <f>CHOOSE(MATCH(AB67,{"South";"SouthEast";"SouthWest";"North";"NorthEast";"East";"West";"NorthWest"},0),1,2,3,4,5,6,7,8)</f>
        <v>8</v>
      </c>
      <c r="AD67" s="2">
        <f t="shared" si="24"/>
        <v>1</v>
      </c>
      <c r="AE67">
        <v>1012.2</v>
      </c>
      <c r="AF67" s="4" t="s">
        <v>158</v>
      </c>
      <c r="AG67" s="2">
        <f t="shared" si="25"/>
        <v>1</v>
      </c>
      <c r="AH67" t="s">
        <v>159</v>
      </c>
      <c r="AI67" s="2">
        <f t="shared" si="26"/>
        <v>8</v>
      </c>
      <c r="AJ67" s="2">
        <f t="shared" si="27"/>
        <v>1</v>
      </c>
      <c r="AK67" s="3">
        <v>1267.9999999946449</v>
      </c>
      <c r="AM67" s="2">
        <v>1</v>
      </c>
      <c r="AN67">
        <v>0</v>
      </c>
      <c r="AO67">
        <v>15</v>
      </c>
      <c r="AP67">
        <v>0</v>
      </c>
      <c r="AQ67" s="2">
        <f>IF((2*G67 + M67 -P67 + 3*W67 + 2*Z67+2*AD67 + AG67+2*AJ67 + 4*AM67) &gt;=8,1,0)</f>
        <v>1</v>
      </c>
    </row>
    <row r="68" spans="1:43" x14ac:dyDescent="0.25">
      <c r="A68" t="s">
        <v>27</v>
      </c>
      <c r="B68" s="1">
        <v>36763</v>
      </c>
      <c r="C68" s="7">
        <f t="shared" si="19"/>
        <v>2000</v>
      </c>
      <c r="D68">
        <v>94.4</v>
      </c>
      <c r="E68">
        <v>81.099999999999994</v>
      </c>
      <c r="F68">
        <v>86.5</v>
      </c>
      <c r="G68" s="2">
        <f t="shared" si="28"/>
        <v>1</v>
      </c>
      <c r="H68">
        <v>92</v>
      </c>
      <c r="I68">
        <v>81.099999999999994</v>
      </c>
      <c r="J68">
        <v>85.3</v>
      </c>
      <c r="K68">
        <v>55.2</v>
      </c>
      <c r="L68">
        <v>35.4</v>
      </c>
      <c r="M68" s="2">
        <f t="shared" si="20"/>
        <v>1</v>
      </c>
      <c r="N68">
        <v>0</v>
      </c>
      <c r="P68" s="2">
        <f t="shared" si="21"/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2">
        <f t="shared" si="22"/>
        <v>0</v>
      </c>
      <c r="X68">
        <v>16.7</v>
      </c>
      <c r="Z68" s="2">
        <f t="shared" si="23"/>
        <v>1</v>
      </c>
      <c r="AA68">
        <v>15.5</v>
      </c>
      <c r="AB68" s="2" t="str">
        <f>CHOOSE(MATCH(AA68,{0;11;80;111;161;191;241;281;341},1),"North","NorthEast","East","SouthEast","South","SouthWest","West","NorthWest","North")</f>
        <v>NorthEast</v>
      </c>
      <c r="AC68" s="5">
        <f>CHOOSE(MATCH(AB68,{"South";"SouthEast";"SouthWest";"North";"NorthEast";"East";"West";"NorthWest"},0),1,2,3,4,5,6,7,8)</f>
        <v>5</v>
      </c>
      <c r="AD68" s="2">
        <f t="shared" si="24"/>
        <v>1</v>
      </c>
      <c r="AE68">
        <v>1010.1</v>
      </c>
      <c r="AF68" s="4" t="s">
        <v>160</v>
      </c>
      <c r="AG68" s="2">
        <f t="shared" si="25"/>
        <v>0</v>
      </c>
      <c r="AH68" t="s">
        <v>161</v>
      </c>
      <c r="AI68" s="2">
        <f t="shared" si="26"/>
        <v>8</v>
      </c>
      <c r="AJ68" s="2">
        <f t="shared" si="27"/>
        <v>1</v>
      </c>
      <c r="AK68" s="3">
        <v>615.99999999627471</v>
      </c>
      <c r="AM68" s="2">
        <v>1</v>
      </c>
      <c r="AN68">
        <v>0</v>
      </c>
      <c r="AO68">
        <v>10</v>
      </c>
      <c r="AP68">
        <v>0</v>
      </c>
      <c r="AQ68" s="2">
        <f>IF((2*G68 + M68 -P68 + 3*W68 + 2*Z68+2*AD68 + AG68+2*AJ68 + 4*AM68) &gt;=8,1,0)</f>
        <v>1</v>
      </c>
    </row>
    <row r="69" spans="1:43" x14ac:dyDescent="0.25">
      <c r="A69" t="s">
        <v>27</v>
      </c>
      <c r="B69" s="1">
        <v>36764</v>
      </c>
      <c r="C69" s="7">
        <f t="shared" si="19"/>
        <v>2000</v>
      </c>
      <c r="D69">
        <v>88.2</v>
      </c>
      <c r="E69">
        <v>74.2</v>
      </c>
      <c r="F69">
        <v>80.599999999999994</v>
      </c>
      <c r="G69" s="2">
        <f t="shared" si="28"/>
        <v>1</v>
      </c>
      <c r="H69">
        <v>88.4</v>
      </c>
      <c r="I69">
        <v>74.2</v>
      </c>
      <c r="J69">
        <v>80.7</v>
      </c>
      <c r="K69">
        <v>61.7</v>
      </c>
      <c r="L69">
        <v>54.2</v>
      </c>
      <c r="M69" s="2">
        <f t="shared" si="20"/>
        <v>0</v>
      </c>
      <c r="N69">
        <v>0</v>
      </c>
      <c r="P69" s="2">
        <f t="shared" si="21"/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2">
        <f t="shared" si="22"/>
        <v>0</v>
      </c>
      <c r="X69">
        <v>13.3</v>
      </c>
      <c r="Z69" s="2">
        <f t="shared" si="23"/>
        <v>0</v>
      </c>
      <c r="AA69">
        <v>195.1</v>
      </c>
      <c r="AB69" s="2" t="str">
        <f>CHOOSE(MATCH(AA69,{0;11;80;111;161;191;241;281;341},1),"North","NorthEast","East","SouthEast","South","SouthWest","West","NorthWest","North")</f>
        <v>SouthWest</v>
      </c>
      <c r="AC69" s="5">
        <f>CHOOSE(MATCH(AB69,{"South";"SouthEast";"SouthWest";"North";"NorthEast";"East";"West";"NorthWest"},0),1,2,3,4,5,6,7,8)</f>
        <v>3</v>
      </c>
      <c r="AD69" s="2">
        <f t="shared" si="24"/>
        <v>1</v>
      </c>
      <c r="AE69">
        <v>1008.9</v>
      </c>
      <c r="AF69" s="4" t="s">
        <v>162</v>
      </c>
      <c r="AG69" s="2">
        <f t="shared" si="25"/>
        <v>1</v>
      </c>
      <c r="AH69" t="s">
        <v>163</v>
      </c>
      <c r="AI69" s="2">
        <f t="shared" si="26"/>
        <v>8</v>
      </c>
      <c r="AJ69" s="2">
        <f t="shared" si="27"/>
        <v>1</v>
      </c>
      <c r="AK69" s="3">
        <v>233.9999999979045</v>
      </c>
      <c r="AM69" s="2">
        <v>0</v>
      </c>
      <c r="AN69">
        <v>0</v>
      </c>
      <c r="AO69">
        <v>5</v>
      </c>
      <c r="AP69">
        <v>0</v>
      </c>
      <c r="AQ69" s="2">
        <f>IF((2*G69 + M69 -P69 + 3*W69 + 2*Z69+2*AD69 + AG69+2*AJ69 + 4*AM69) &gt;=8,1,0)</f>
        <v>0</v>
      </c>
    </row>
    <row r="70" spans="1:43" x14ac:dyDescent="0.25">
      <c r="A70" t="s">
        <v>27</v>
      </c>
      <c r="B70" s="1">
        <v>36764</v>
      </c>
      <c r="C70" s="7">
        <f t="shared" si="19"/>
        <v>2000</v>
      </c>
      <c r="D70">
        <v>88.2</v>
      </c>
      <c r="E70">
        <v>74.2</v>
      </c>
      <c r="F70">
        <v>80.599999999999994</v>
      </c>
      <c r="G70" s="2">
        <f t="shared" si="28"/>
        <v>1</v>
      </c>
      <c r="H70">
        <v>88.4</v>
      </c>
      <c r="I70">
        <v>74.2</v>
      </c>
      <c r="J70">
        <v>80.7</v>
      </c>
      <c r="K70">
        <v>61.7</v>
      </c>
      <c r="L70">
        <v>54.2</v>
      </c>
      <c r="M70" s="2">
        <f t="shared" si="20"/>
        <v>0</v>
      </c>
      <c r="N70">
        <v>0</v>
      </c>
      <c r="P70" s="2">
        <f t="shared" si="21"/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2">
        <f t="shared" si="22"/>
        <v>0</v>
      </c>
      <c r="X70">
        <v>13.3</v>
      </c>
      <c r="Z70" s="2">
        <f t="shared" si="23"/>
        <v>0</v>
      </c>
      <c r="AA70">
        <v>195.1</v>
      </c>
      <c r="AB70" s="2" t="str">
        <f>CHOOSE(MATCH(AA70,{0;11;80;111;161;191;241;281;341},1),"North","NorthEast","East","SouthEast","South","SouthWest","West","NorthWest","North")</f>
        <v>SouthWest</v>
      </c>
      <c r="AC70" s="5">
        <f>CHOOSE(MATCH(AB70,{"South";"SouthEast";"SouthWest";"North";"NorthEast";"East";"West";"NorthWest"},0),1,2,3,4,5,6,7,8)</f>
        <v>3</v>
      </c>
      <c r="AD70" s="2">
        <f t="shared" si="24"/>
        <v>1</v>
      </c>
      <c r="AE70">
        <v>1008.9</v>
      </c>
      <c r="AF70" s="4" t="s">
        <v>164</v>
      </c>
      <c r="AG70" s="2">
        <f t="shared" si="25"/>
        <v>1</v>
      </c>
      <c r="AH70" t="s">
        <v>165</v>
      </c>
      <c r="AI70" s="2">
        <f t="shared" si="26"/>
        <v>8</v>
      </c>
      <c r="AJ70" s="2">
        <f t="shared" si="27"/>
        <v>1</v>
      </c>
      <c r="AK70" s="3">
        <v>64.000000009546056</v>
      </c>
      <c r="AM70" s="2">
        <v>0</v>
      </c>
      <c r="AN70">
        <v>0</v>
      </c>
      <c r="AO70">
        <v>1</v>
      </c>
      <c r="AP70">
        <v>0</v>
      </c>
      <c r="AQ70" s="2">
        <f>IF((2*G70 + M70 -P70 + 3*W70 + 2*Z70+2*AD70 + AG70+2*AJ70 + 4*AM70) &gt;=8,1,0)</f>
        <v>0</v>
      </c>
    </row>
    <row r="71" spans="1:43" x14ac:dyDescent="0.25">
      <c r="A71" t="s">
        <v>27</v>
      </c>
      <c r="B71" s="1">
        <v>36764</v>
      </c>
      <c r="C71" s="7">
        <f t="shared" si="19"/>
        <v>2000</v>
      </c>
      <c r="D71">
        <v>88.2</v>
      </c>
      <c r="E71">
        <v>74.2</v>
      </c>
      <c r="F71">
        <v>80.599999999999994</v>
      </c>
      <c r="G71" s="2">
        <f t="shared" si="28"/>
        <v>1</v>
      </c>
      <c r="H71">
        <v>88.4</v>
      </c>
      <c r="I71">
        <v>74.2</v>
      </c>
      <c r="J71">
        <v>80.7</v>
      </c>
      <c r="K71">
        <v>61.7</v>
      </c>
      <c r="L71">
        <v>54.2</v>
      </c>
      <c r="M71" s="2">
        <f t="shared" si="20"/>
        <v>0</v>
      </c>
      <c r="N71">
        <v>0</v>
      </c>
      <c r="P71" s="2">
        <f t="shared" si="21"/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2">
        <f t="shared" si="22"/>
        <v>0</v>
      </c>
      <c r="X71">
        <v>13.3</v>
      </c>
      <c r="Z71" s="2">
        <f t="shared" si="23"/>
        <v>0</v>
      </c>
      <c r="AA71">
        <v>195.1</v>
      </c>
      <c r="AB71" s="2" t="str">
        <f>CHOOSE(MATCH(AA71,{0;11;80;111;161;191;241;281;341},1),"North","NorthEast","East","SouthEast","South","SouthWest","West","NorthWest","North")</f>
        <v>SouthWest</v>
      </c>
      <c r="AC71" s="5">
        <f>CHOOSE(MATCH(AB71,{"South";"SouthEast";"SouthWest";"North";"NorthEast";"East";"West";"NorthWest"},0),1,2,3,4,5,6,7,8)</f>
        <v>3</v>
      </c>
      <c r="AD71" s="2">
        <f t="shared" si="24"/>
        <v>1</v>
      </c>
      <c r="AE71">
        <v>1008.9</v>
      </c>
      <c r="AF71" s="4" t="s">
        <v>166</v>
      </c>
      <c r="AG71" s="2">
        <f t="shared" si="25"/>
        <v>1</v>
      </c>
      <c r="AH71" t="s">
        <v>167</v>
      </c>
      <c r="AI71" s="2">
        <f t="shared" si="26"/>
        <v>8</v>
      </c>
      <c r="AJ71" s="2">
        <f t="shared" si="27"/>
        <v>1</v>
      </c>
      <c r="AK71" s="3">
        <v>18.999999999068681</v>
      </c>
      <c r="AM71" s="2">
        <v>0</v>
      </c>
      <c r="AN71">
        <v>0</v>
      </c>
      <c r="AO71">
        <v>0.1</v>
      </c>
      <c r="AP71">
        <v>0</v>
      </c>
      <c r="AQ71" s="2">
        <f>IF((2*G71 + M71 -P71 + 3*W71 + 2*Z71+2*AD71 + AG71+2*AJ71 + 4*AM71) &gt;=8,1,0)</f>
        <v>0</v>
      </c>
    </row>
    <row r="72" spans="1:43" x14ac:dyDescent="0.25">
      <c r="A72" t="s">
        <v>27</v>
      </c>
      <c r="B72" s="1">
        <v>36773</v>
      </c>
      <c r="C72" s="7">
        <f t="shared" si="19"/>
        <v>2000</v>
      </c>
      <c r="D72">
        <v>90.3</v>
      </c>
      <c r="E72">
        <v>72.599999999999994</v>
      </c>
      <c r="F72">
        <v>81</v>
      </c>
      <c r="G72" s="2">
        <f t="shared" si="28"/>
        <v>1</v>
      </c>
      <c r="H72">
        <v>91.6</v>
      </c>
      <c r="I72">
        <v>72.599999999999994</v>
      </c>
      <c r="J72">
        <v>82.1</v>
      </c>
      <c r="K72">
        <v>64.099999999999994</v>
      </c>
      <c r="L72">
        <v>57.4</v>
      </c>
      <c r="M72" s="2">
        <f t="shared" si="20"/>
        <v>0</v>
      </c>
      <c r="N72">
        <v>0</v>
      </c>
      <c r="P72" s="2">
        <f t="shared" si="21"/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2">
        <f t="shared" si="22"/>
        <v>0</v>
      </c>
      <c r="X72">
        <v>12.2</v>
      </c>
      <c r="Z72" s="2">
        <f t="shared" si="23"/>
        <v>0</v>
      </c>
      <c r="AA72">
        <v>212.5</v>
      </c>
      <c r="AB72" s="2" t="str">
        <f>CHOOSE(MATCH(AA72,{0;11;80;111;161;191;241;281;341},1),"North","NorthEast","East","SouthEast","South","SouthWest","West","NorthWest","North")</f>
        <v>SouthWest</v>
      </c>
      <c r="AC72" s="5">
        <f>CHOOSE(MATCH(AB72,{"South";"SouthEast";"SouthWest";"North";"NorthEast";"East";"West";"NorthWest"},0),1,2,3,4,5,6,7,8)</f>
        <v>3</v>
      </c>
      <c r="AD72" s="2">
        <f t="shared" si="24"/>
        <v>1</v>
      </c>
      <c r="AE72">
        <v>1007.9</v>
      </c>
      <c r="AF72" s="4" t="s">
        <v>168</v>
      </c>
      <c r="AG72" s="2">
        <f t="shared" si="25"/>
        <v>1</v>
      </c>
      <c r="AH72" t="s">
        <v>169</v>
      </c>
      <c r="AI72" s="2">
        <f t="shared" si="26"/>
        <v>9</v>
      </c>
      <c r="AJ72" s="2">
        <f t="shared" si="27"/>
        <v>0</v>
      </c>
      <c r="AK72" s="3">
        <v>56.000000004423782</v>
      </c>
      <c r="AM72" s="2">
        <v>0</v>
      </c>
      <c r="AN72">
        <v>0</v>
      </c>
      <c r="AO72">
        <v>2</v>
      </c>
      <c r="AP72">
        <v>0</v>
      </c>
      <c r="AQ72" s="2">
        <f>IF((2*G72 + M72 -P72 + 3*W72 + 2*Z72+2*AD72 + AG72+2*AJ72 + 4*AM72) &gt;=8,1,0)</f>
        <v>0</v>
      </c>
    </row>
    <row r="73" spans="1:43" x14ac:dyDescent="0.25">
      <c r="A73" t="s">
        <v>27</v>
      </c>
      <c r="B73" s="1">
        <v>36784</v>
      </c>
      <c r="C73" s="7">
        <f t="shared" si="19"/>
        <v>2000</v>
      </c>
      <c r="D73">
        <v>85.3</v>
      </c>
      <c r="E73">
        <v>66.8</v>
      </c>
      <c r="F73">
        <v>75.7</v>
      </c>
      <c r="G73" s="2">
        <f t="shared" si="28"/>
        <v>1</v>
      </c>
      <c r="H73">
        <v>87.7</v>
      </c>
      <c r="I73">
        <v>66.8</v>
      </c>
      <c r="J73">
        <v>76</v>
      </c>
      <c r="K73">
        <v>60.2</v>
      </c>
      <c r="L73">
        <v>59.6</v>
      </c>
      <c r="M73" s="2">
        <f t="shared" si="20"/>
        <v>0</v>
      </c>
      <c r="N73">
        <v>0</v>
      </c>
      <c r="P73" s="2">
        <f t="shared" si="21"/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2">
        <f t="shared" si="22"/>
        <v>0</v>
      </c>
      <c r="X73">
        <v>9.1999999999999993</v>
      </c>
      <c r="Z73" s="2">
        <f t="shared" si="23"/>
        <v>0</v>
      </c>
      <c r="AA73">
        <v>216.7</v>
      </c>
      <c r="AB73" s="2" t="str">
        <f>CHOOSE(MATCH(AA73,{0;11;80;111;161;191;241;281;341},1),"North","NorthEast","East","SouthEast","South","SouthWest","West","NorthWest","North")</f>
        <v>SouthWest</v>
      </c>
      <c r="AC73" s="5">
        <f>CHOOSE(MATCH(AB73,{"South";"SouthEast";"SouthWest";"North";"NorthEast";"East";"West";"NorthWest"},0),1,2,3,4,5,6,7,8)</f>
        <v>3</v>
      </c>
      <c r="AD73" s="2">
        <f t="shared" si="24"/>
        <v>1</v>
      </c>
      <c r="AE73">
        <v>1012.8</v>
      </c>
      <c r="AF73" s="4" t="s">
        <v>170</v>
      </c>
      <c r="AG73" s="2">
        <f t="shared" si="25"/>
        <v>1</v>
      </c>
      <c r="AH73" t="s">
        <v>171</v>
      </c>
      <c r="AI73" s="2">
        <f t="shared" si="26"/>
        <v>9</v>
      </c>
      <c r="AJ73" s="2">
        <f t="shared" si="27"/>
        <v>0</v>
      </c>
      <c r="AK73" s="3">
        <v>2681.0000000009309</v>
      </c>
      <c r="AM73" s="2">
        <v>1</v>
      </c>
      <c r="AN73">
        <v>0</v>
      </c>
      <c r="AO73">
        <v>6</v>
      </c>
      <c r="AP73">
        <v>0</v>
      </c>
      <c r="AQ73" s="2">
        <f>IF((2*G73 + M73 -P73 + 3*W73 + 2*Z73+2*AD73 + AG73+2*AJ73 + 4*AM73) &gt;=8,1,0)</f>
        <v>1</v>
      </c>
    </row>
    <row r="74" spans="1:43" x14ac:dyDescent="0.25">
      <c r="A74" t="s">
        <v>27</v>
      </c>
      <c r="B74" s="1">
        <v>36784</v>
      </c>
      <c r="C74" s="7">
        <f t="shared" si="19"/>
        <v>2000</v>
      </c>
      <c r="D74">
        <v>85.3</v>
      </c>
      <c r="E74">
        <v>66.8</v>
      </c>
      <c r="F74">
        <v>75.7</v>
      </c>
      <c r="G74" s="2">
        <f t="shared" si="28"/>
        <v>1</v>
      </c>
      <c r="H74">
        <v>87.7</v>
      </c>
      <c r="I74">
        <v>66.8</v>
      </c>
      <c r="J74">
        <v>76</v>
      </c>
      <c r="K74">
        <v>60.2</v>
      </c>
      <c r="L74">
        <v>59.6</v>
      </c>
      <c r="M74" s="2">
        <f t="shared" si="20"/>
        <v>0</v>
      </c>
      <c r="N74">
        <v>0</v>
      </c>
      <c r="P74" s="2">
        <f t="shared" si="21"/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2">
        <f t="shared" si="22"/>
        <v>0</v>
      </c>
      <c r="X74">
        <v>9.1999999999999993</v>
      </c>
      <c r="Z74" s="2">
        <f t="shared" si="23"/>
        <v>0</v>
      </c>
      <c r="AA74">
        <v>216.7</v>
      </c>
      <c r="AB74" s="2" t="str">
        <f>CHOOSE(MATCH(AA74,{0;11;80;111;161;191;241;281;341},1),"North","NorthEast","East","SouthEast","South","SouthWest","West","NorthWest","North")</f>
        <v>SouthWest</v>
      </c>
      <c r="AC74" s="5">
        <f>CHOOSE(MATCH(AB74,{"South";"SouthEast";"SouthWest";"North";"NorthEast";"East";"West";"NorthWest"},0),1,2,3,4,5,6,7,8)</f>
        <v>3</v>
      </c>
      <c r="AD74" s="2">
        <f t="shared" si="24"/>
        <v>1</v>
      </c>
      <c r="AE74">
        <v>1012.8</v>
      </c>
      <c r="AF74" s="4" t="s">
        <v>172</v>
      </c>
      <c r="AG74" s="2">
        <f t="shared" si="25"/>
        <v>1</v>
      </c>
      <c r="AH74" t="s">
        <v>173</v>
      </c>
      <c r="AI74" s="2">
        <f t="shared" si="26"/>
        <v>9</v>
      </c>
      <c r="AJ74" s="2">
        <f t="shared" si="27"/>
        <v>0</v>
      </c>
      <c r="AK74" s="3">
        <v>1241.0000000009311</v>
      </c>
      <c r="AM74" s="2">
        <v>1</v>
      </c>
      <c r="AN74">
        <v>0</v>
      </c>
      <c r="AO74">
        <v>5</v>
      </c>
      <c r="AP74">
        <v>0</v>
      </c>
      <c r="AQ74" s="2">
        <f>IF((2*G74 + M74 -P74 + 3*W74 + 2*Z74+2*AD74 + AG74+2*AJ74 + 4*AM74) &gt;=8,1,0)</f>
        <v>1</v>
      </c>
    </row>
    <row r="75" spans="1:43" x14ac:dyDescent="0.25">
      <c r="A75" t="s">
        <v>27</v>
      </c>
      <c r="B75" s="1">
        <v>36788</v>
      </c>
      <c r="C75" s="7">
        <f t="shared" si="19"/>
        <v>2000</v>
      </c>
      <c r="D75">
        <v>88.1</v>
      </c>
      <c r="E75">
        <v>70.3</v>
      </c>
      <c r="F75">
        <v>77.8</v>
      </c>
      <c r="G75" s="2">
        <f t="shared" si="28"/>
        <v>1</v>
      </c>
      <c r="H75">
        <v>89.2</v>
      </c>
      <c r="I75">
        <v>70.3</v>
      </c>
      <c r="J75">
        <v>78.5</v>
      </c>
      <c r="K75">
        <v>62.5</v>
      </c>
      <c r="L75">
        <v>60.5</v>
      </c>
      <c r="M75" s="2">
        <f t="shared" si="20"/>
        <v>0</v>
      </c>
      <c r="N75">
        <v>0</v>
      </c>
      <c r="P75" s="2">
        <f t="shared" si="21"/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2">
        <f t="shared" si="22"/>
        <v>0</v>
      </c>
      <c r="X75">
        <v>9.1</v>
      </c>
      <c r="Z75" s="2">
        <f t="shared" si="23"/>
        <v>0</v>
      </c>
      <c r="AA75">
        <v>227.3</v>
      </c>
      <c r="AB75" s="2" t="str">
        <f>CHOOSE(MATCH(AA75,{0;11;80;111;161;191;241;281;341},1),"North","NorthEast","East","SouthEast","South","SouthWest","West","NorthWest","North")</f>
        <v>SouthWest</v>
      </c>
      <c r="AC75" s="5">
        <f>CHOOSE(MATCH(AB75,{"South";"SouthEast";"SouthWest";"North";"NorthEast";"East";"West";"NorthWest"},0),1,2,3,4,5,6,7,8)</f>
        <v>3</v>
      </c>
      <c r="AD75" s="2">
        <f t="shared" si="24"/>
        <v>1</v>
      </c>
      <c r="AE75">
        <v>1014.2</v>
      </c>
      <c r="AF75" s="4" t="s">
        <v>174</v>
      </c>
      <c r="AG75" s="2">
        <f t="shared" si="25"/>
        <v>1</v>
      </c>
      <c r="AH75" t="s">
        <v>175</v>
      </c>
      <c r="AI75" s="2">
        <f t="shared" si="26"/>
        <v>9</v>
      </c>
      <c r="AJ75" s="2">
        <f t="shared" si="27"/>
        <v>0</v>
      </c>
      <c r="AK75" s="3">
        <v>740.00000000232831</v>
      </c>
      <c r="AM75" s="2">
        <v>1</v>
      </c>
      <c r="AN75">
        <v>10</v>
      </c>
      <c r="AO75">
        <v>0</v>
      </c>
      <c r="AP75">
        <v>0</v>
      </c>
      <c r="AQ75" s="2">
        <f>IF((2*G75 + M75 -P75 + 3*W75 + 2*Z75+2*AD75 + AG75+2*AJ75 + 4*AM75) &gt;=8,1,0)</f>
        <v>1</v>
      </c>
    </row>
    <row r="76" spans="1:43" x14ac:dyDescent="0.25">
      <c r="A76" t="s">
        <v>27</v>
      </c>
      <c r="B76" s="1">
        <v>36791</v>
      </c>
      <c r="C76" s="7">
        <f t="shared" si="19"/>
        <v>2000</v>
      </c>
      <c r="D76">
        <v>89.7</v>
      </c>
      <c r="E76">
        <v>68</v>
      </c>
      <c r="F76">
        <v>78.8</v>
      </c>
      <c r="G76" s="2">
        <f t="shared" si="28"/>
        <v>1</v>
      </c>
      <c r="H76">
        <v>88.6</v>
      </c>
      <c r="I76">
        <v>68</v>
      </c>
      <c r="J76">
        <v>78.7</v>
      </c>
      <c r="K76">
        <v>58.7</v>
      </c>
      <c r="L76">
        <v>51.9</v>
      </c>
      <c r="M76" s="2">
        <f t="shared" si="20"/>
        <v>0</v>
      </c>
      <c r="N76">
        <v>0</v>
      </c>
      <c r="P76" s="2">
        <f t="shared" si="21"/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2">
        <f t="shared" si="22"/>
        <v>0</v>
      </c>
      <c r="X76">
        <v>13.7</v>
      </c>
      <c r="Z76" s="2">
        <f t="shared" si="23"/>
        <v>0</v>
      </c>
      <c r="AA76">
        <v>240.9</v>
      </c>
      <c r="AB76" s="2" t="str">
        <f>CHOOSE(MATCH(AA76,{0;11;80;111;161;191;241;281;341},1),"North","NorthEast","East","SouthEast","South","SouthWest","West","NorthWest","North")</f>
        <v>SouthWest</v>
      </c>
      <c r="AC76" s="5">
        <f>CHOOSE(MATCH(AB76,{"South";"SouthEast";"SouthWest";"North";"NorthEast";"East";"West";"NorthWest"},0),1,2,3,4,5,6,7,8)</f>
        <v>3</v>
      </c>
      <c r="AD76" s="2">
        <f t="shared" si="24"/>
        <v>1</v>
      </c>
      <c r="AE76">
        <v>1010.2</v>
      </c>
      <c r="AF76" s="4" t="s">
        <v>176</v>
      </c>
      <c r="AG76" s="2">
        <f t="shared" si="25"/>
        <v>1</v>
      </c>
      <c r="AH76" t="s">
        <v>177</v>
      </c>
      <c r="AI76" s="2">
        <f t="shared" si="26"/>
        <v>9</v>
      </c>
      <c r="AJ76" s="2">
        <f t="shared" si="27"/>
        <v>0</v>
      </c>
      <c r="AK76" s="3">
        <v>150.00000000698489</v>
      </c>
      <c r="AM76" s="2">
        <v>0</v>
      </c>
      <c r="AN76">
        <v>0</v>
      </c>
      <c r="AO76">
        <v>100</v>
      </c>
      <c r="AP76">
        <v>0</v>
      </c>
      <c r="AQ76" s="2">
        <f>IF((2*G76 + M76 -P76 + 3*W76 + 2*Z76+2*AD76 + AG76+2*AJ76 + 4*AM76) &gt;=8,1,0)</f>
        <v>0</v>
      </c>
    </row>
    <row r="77" spans="1:43" x14ac:dyDescent="0.25">
      <c r="A77" t="s">
        <v>27</v>
      </c>
      <c r="B77" s="1">
        <v>36793</v>
      </c>
      <c r="C77" s="7">
        <f t="shared" si="19"/>
        <v>2000</v>
      </c>
      <c r="D77">
        <v>79.599999999999994</v>
      </c>
      <c r="E77">
        <v>67.599999999999994</v>
      </c>
      <c r="F77">
        <v>72.400000000000006</v>
      </c>
      <c r="G77" s="2">
        <f t="shared" si="28"/>
        <v>0</v>
      </c>
      <c r="H77">
        <v>79.599999999999994</v>
      </c>
      <c r="I77">
        <v>67.599999999999994</v>
      </c>
      <c r="J77">
        <v>72.400000000000006</v>
      </c>
      <c r="K77">
        <v>56.8</v>
      </c>
      <c r="L77">
        <v>58.8</v>
      </c>
      <c r="M77" s="2">
        <f t="shared" si="20"/>
        <v>0</v>
      </c>
      <c r="N77">
        <v>0</v>
      </c>
      <c r="P77" s="2">
        <f t="shared" si="21"/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2">
        <f t="shared" si="22"/>
        <v>0</v>
      </c>
      <c r="X77">
        <v>16.600000000000001</v>
      </c>
      <c r="Z77" s="2">
        <f t="shared" si="23"/>
        <v>1</v>
      </c>
      <c r="AA77">
        <v>53.7</v>
      </c>
      <c r="AB77" s="2" t="str">
        <f>CHOOSE(MATCH(AA77,{0;11;80;111;161;191;241;281;341},1),"North","NorthEast","East","SouthEast","South","SouthWest","West","NorthWest","North")</f>
        <v>NorthEast</v>
      </c>
      <c r="AC77" s="5">
        <f>CHOOSE(MATCH(AB77,{"South";"SouthEast";"SouthWest";"North";"NorthEast";"East";"West";"NorthWest"},0),1,2,3,4,5,6,7,8)</f>
        <v>5</v>
      </c>
      <c r="AD77" s="2">
        <f t="shared" si="24"/>
        <v>1</v>
      </c>
      <c r="AE77">
        <v>1016.2</v>
      </c>
      <c r="AF77" s="4" t="s">
        <v>178</v>
      </c>
      <c r="AG77" s="2">
        <f t="shared" si="25"/>
        <v>1</v>
      </c>
      <c r="AH77" t="s">
        <v>179</v>
      </c>
      <c r="AI77" s="2">
        <f t="shared" si="26"/>
        <v>9</v>
      </c>
      <c r="AJ77" s="2">
        <f t="shared" si="27"/>
        <v>0</v>
      </c>
      <c r="AK77" s="3">
        <v>1119.999999994179</v>
      </c>
      <c r="AM77" s="2">
        <v>1</v>
      </c>
      <c r="AN77">
        <v>2</v>
      </c>
      <c r="AO77">
        <v>0</v>
      </c>
      <c r="AP77">
        <v>0</v>
      </c>
      <c r="AQ77" s="2">
        <f>IF((2*G77 + M77 -P77 + 3*W77 + 2*Z77+2*AD77 + AG77+2*AJ77 + 4*AM77) &gt;=8,1,0)</f>
        <v>1</v>
      </c>
    </row>
    <row r="78" spans="1:43" x14ac:dyDescent="0.25">
      <c r="A78" t="s">
        <v>27</v>
      </c>
      <c r="B78" s="1">
        <v>36795</v>
      </c>
      <c r="C78" s="7">
        <f t="shared" si="19"/>
        <v>2000</v>
      </c>
      <c r="D78">
        <v>72.599999999999994</v>
      </c>
      <c r="E78">
        <v>60.9</v>
      </c>
      <c r="F78">
        <v>66.900000000000006</v>
      </c>
      <c r="G78" s="2">
        <f t="shared" si="28"/>
        <v>0</v>
      </c>
      <c r="H78">
        <v>72.599999999999994</v>
      </c>
      <c r="I78">
        <v>60.9</v>
      </c>
      <c r="J78">
        <v>66.900000000000006</v>
      </c>
      <c r="K78">
        <v>47.4</v>
      </c>
      <c r="L78">
        <v>50</v>
      </c>
      <c r="M78" s="2">
        <f t="shared" si="20"/>
        <v>0</v>
      </c>
      <c r="N78">
        <v>0</v>
      </c>
      <c r="P78" s="2">
        <f t="shared" si="21"/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2">
        <f t="shared" si="22"/>
        <v>0</v>
      </c>
      <c r="X78">
        <v>13.9</v>
      </c>
      <c r="Z78" s="2">
        <f t="shared" si="23"/>
        <v>0</v>
      </c>
      <c r="AA78">
        <v>30.4</v>
      </c>
      <c r="AB78" s="2" t="str">
        <f>CHOOSE(MATCH(AA78,{0;11;80;111;161;191;241;281;341},1),"North","NorthEast","East","SouthEast","South","SouthWest","West","NorthWest","North")</f>
        <v>NorthEast</v>
      </c>
      <c r="AC78" s="5">
        <f>CHOOSE(MATCH(AB78,{"South";"SouthEast";"SouthWest";"North";"NorthEast";"East";"West";"NorthWest"},0),1,2,3,4,5,6,7,8)</f>
        <v>5</v>
      </c>
      <c r="AD78" s="2">
        <f t="shared" si="24"/>
        <v>1</v>
      </c>
      <c r="AE78">
        <v>1020</v>
      </c>
      <c r="AF78" s="4" t="s">
        <v>180</v>
      </c>
      <c r="AG78" s="2">
        <f t="shared" si="25"/>
        <v>0</v>
      </c>
      <c r="AH78" t="s">
        <v>181</v>
      </c>
      <c r="AI78" s="2">
        <f t="shared" si="26"/>
        <v>9</v>
      </c>
      <c r="AJ78" s="2">
        <f t="shared" si="27"/>
        <v>0</v>
      </c>
      <c r="AK78" s="3">
        <v>126.0000000020955</v>
      </c>
      <c r="AM78" s="2">
        <v>0</v>
      </c>
      <c r="AN78">
        <v>2</v>
      </c>
      <c r="AO78">
        <v>0</v>
      </c>
      <c r="AP78">
        <v>0</v>
      </c>
      <c r="AQ78" s="2">
        <f>IF((2*G78 + M78 -P78 + 3*W78 + 2*Z78+2*AD78 + AG78+2*AJ78 + 4*AM78) &gt;=8,1,0)</f>
        <v>0</v>
      </c>
    </row>
    <row r="79" spans="1:43" x14ac:dyDescent="0.25">
      <c r="A79" t="s">
        <v>27</v>
      </c>
      <c r="B79" s="1">
        <v>36796</v>
      </c>
      <c r="C79" s="7">
        <f t="shared" si="19"/>
        <v>2000</v>
      </c>
      <c r="D79">
        <v>69.5</v>
      </c>
      <c r="E79">
        <v>59.1</v>
      </c>
      <c r="F79">
        <v>64.900000000000006</v>
      </c>
      <c r="G79" s="2">
        <f t="shared" si="28"/>
        <v>0</v>
      </c>
      <c r="H79">
        <v>69.5</v>
      </c>
      <c r="I79">
        <v>59.1</v>
      </c>
      <c r="J79">
        <v>64.900000000000006</v>
      </c>
      <c r="K79">
        <v>42.5</v>
      </c>
      <c r="L79">
        <v>44.6</v>
      </c>
      <c r="M79" s="2">
        <f t="shared" si="20"/>
        <v>1</v>
      </c>
      <c r="N79">
        <v>0</v>
      </c>
      <c r="P79" s="2">
        <f t="shared" si="21"/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s="2">
        <f t="shared" si="22"/>
        <v>0</v>
      </c>
      <c r="X79">
        <v>22.5</v>
      </c>
      <c r="Z79" s="2">
        <f t="shared" si="23"/>
        <v>1</v>
      </c>
      <c r="AA79">
        <v>10.6</v>
      </c>
      <c r="AB79" s="2" t="str">
        <f>CHOOSE(MATCH(AA79,{0;11;80;111;161;191;241;281;341},1),"North","NorthEast","East","SouthEast","South","SouthWest","West","NorthWest","North")</f>
        <v>North</v>
      </c>
      <c r="AC79" s="5">
        <f>CHOOSE(MATCH(AB79,{"South";"SouthEast";"SouthWest";"North";"NorthEast";"East";"West";"NorthWest"},0),1,2,3,4,5,6,7,8)</f>
        <v>4</v>
      </c>
      <c r="AD79" s="2">
        <f t="shared" si="24"/>
        <v>1</v>
      </c>
      <c r="AE79">
        <v>1019.2</v>
      </c>
      <c r="AF79" s="4" t="s">
        <v>182</v>
      </c>
      <c r="AG79" s="2">
        <f t="shared" si="25"/>
        <v>0</v>
      </c>
      <c r="AH79" t="s">
        <v>183</v>
      </c>
      <c r="AI79" s="2">
        <f t="shared" si="26"/>
        <v>9</v>
      </c>
      <c r="AJ79" s="2">
        <f t="shared" si="27"/>
        <v>0</v>
      </c>
      <c r="AK79" s="3">
        <v>64.999999991850927</v>
      </c>
      <c r="AM79" s="2">
        <v>0</v>
      </c>
      <c r="AN79">
        <v>0</v>
      </c>
      <c r="AO79">
        <v>3</v>
      </c>
      <c r="AP79">
        <v>0</v>
      </c>
      <c r="AQ79" s="2">
        <f>IF((2*G79 + M79 -P79 + 3*W79 + 2*Z79+2*AD79 + AG79+2*AJ79 + 4*AM79) &gt;=8,1,0)</f>
        <v>0</v>
      </c>
    </row>
    <row r="80" spans="1:43" x14ac:dyDescent="0.25">
      <c r="A80" t="s">
        <v>27</v>
      </c>
      <c r="B80" s="1">
        <v>36797</v>
      </c>
      <c r="C80" s="7">
        <f t="shared" si="19"/>
        <v>2000</v>
      </c>
      <c r="D80">
        <v>72.599999999999994</v>
      </c>
      <c r="E80">
        <v>61.6</v>
      </c>
      <c r="F80">
        <v>66.099999999999994</v>
      </c>
      <c r="G80" s="2">
        <f t="shared" si="28"/>
        <v>0</v>
      </c>
      <c r="H80">
        <v>72.599999999999994</v>
      </c>
      <c r="I80">
        <v>61.6</v>
      </c>
      <c r="J80">
        <v>66.099999999999994</v>
      </c>
      <c r="K80">
        <v>45.5</v>
      </c>
      <c r="L80">
        <v>47.8</v>
      </c>
      <c r="M80" s="2">
        <f t="shared" si="20"/>
        <v>1</v>
      </c>
      <c r="N80">
        <v>0</v>
      </c>
      <c r="P80" s="2">
        <f t="shared" si="21"/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2">
        <f t="shared" si="22"/>
        <v>0</v>
      </c>
      <c r="X80">
        <v>17.5</v>
      </c>
      <c r="Z80" s="2">
        <f t="shared" si="23"/>
        <v>1</v>
      </c>
      <c r="AA80">
        <v>12.4</v>
      </c>
      <c r="AB80" s="2" t="str">
        <f>CHOOSE(MATCH(AA80,{0;11;80;111;161;191;241;281;341},1),"North","NorthEast","East","SouthEast","South","SouthWest","West","NorthWest","North")</f>
        <v>NorthEast</v>
      </c>
      <c r="AC80" s="5">
        <f>CHOOSE(MATCH(AB80,{"South";"SouthEast";"SouthWest";"North";"NorthEast";"East";"West";"NorthWest"},0),1,2,3,4,5,6,7,8)</f>
        <v>5</v>
      </c>
      <c r="AD80" s="2">
        <f t="shared" si="24"/>
        <v>1</v>
      </c>
      <c r="AE80">
        <v>1017.6</v>
      </c>
      <c r="AF80" s="4" t="s">
        <v>184</v>
      </c>
      <c r="AG80" s="2">
        <f t="shared" si="25"/>
        <v>0</v>
      </c>
      <c r="AH80" t="s">
        <v>185</v>
      </c>
      <c r="AI80" s="2">
        <f t="shared" si="26"/>
        <v>9</v>
      </c>
      <c r="AJ80" s="2">
        <f t="shared" si="27"/>
        <v>0</v>
      </c>
      <c r="AK80" s="3">
        <v>1329.9999999976719</v>
      </c>
      <c r="AM80" s="2">
        <v>1</v>
      </c>
      <c r="AN80">
        <v>0</v>
      </c>
      <c r="AO80">
        <v>30</v>
      </c>
      <c r="AP80">
        <v>0</v>
      </c>
      <c r="AQ80" s="2">
        <f>IF((2*G80 + M80 -P80 + 3*W80 + 2*Z80+2*AD80 + AG80+2*AJ80 + 4*AM80) &gt;=8,1,0)</f>
        <v>1</v>
      </c>
    </row>
    <row r="81" spans="1:43" x14ac:dyDescent="0.25">
      <c r="A81" t="s">
        <v>27</v>
      </c>
      <c r="B81" s="1">
        <v>36803</v>
      </c>
      <c r="C81" s="7">
        <f t="shared" si="19"/>
        <v>2000</v>
      </c>
      <c r="D81">
        <v>77.8</v>
      </c>
      <c r="E81">
        <v>67.599999999999994</v>
      </c>
      <c r="F81">
        <v>71.400000000000006</v>
      </c>
      <c r="G81" s="2">
        <f t="shared" si="28"/>
        <v>0</v>
      </c>
      <c r="H81">
        <v>77.8</v>
      </c>
      <c r="I81">
        <v>67.599999999999994</v>
      </c>
      <c r="J81">
        <v>71.400000000000006</v>
      </c>
      <c r="K81">
        <v>56.2</v>
      </c>
      <c r="L81">
        <v>59</v>
      </c>
      <c r="M81" s="2">
        <f t="shared" si="20"/>
        <v>0</v>
      </c>
      <c r="N81">
        <v>0</v>
      </c>
      <c r="P81" s="2">
        <f t="shared" si="21"/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2">
        <f t="shared" si="22"/>
        <v>0</v>
      </c>
      <c r="X81">
        <v>15.3</v>
      </c>
      <c r="Z81" s="2">
        <f t="shared" si="23"/>
        <v>0</v>
      </c>
      <c r="AA81">
        <v>30.4</v>
      </c>
      <c r="AB81" s="2" t="str">
        <f>CHOOSE(MATCH(AA81,{0;11;80;111;161;191;241;281;341},1),"North","NorthEast","East","SouthEast","South","SouthWest","West","NorthWest","North")</f>
        <v>NorthEast</v>
      </c>
      <c r="AC81" s="5">
        <f>CHOOSE(MATCH(AB81,{"South";"SouthEast";"SouthWest";"North";"NorthEast";"East";"West";"NorthWest"},0),1,2,3,4,5,6,7,8)</f>
        <v>5</v>
      </c>
      <c r="AD81" s="2">
        <f t="shared" si="24"/>
        <v>1</v>
      </c>
      <c r="AE81">
        <v>1013.2</v>
      </c>
      <c r="AF81" s="4" t="s">
        <v>186</v>
      </c>
      <c r="AG81" s="2">
        <f t="shared" si="25"/>
        <v>1</v>
      </c>
      <c r="AH81" t="s">
        <v>187</v>
      </c>
      <c r="AI81" s="2">
        <f t="shared" si="26"/>
        <v>10</v>
      </c>
      <c r="AJ81" s="2">
        <f t="shared" si="27"/>
        <v>0</v>
      </c>
      <c r="AK81" s="3">
        <v>159.99999999767169</v>
      </c>
      <c r="AM81" s="2">
        <v>0</v>
      </c>
      <c r="AN81">
        <v>8</v>
      </c>
      <c r="AO81">
        <v>0</v>
      </c>
      <c r="AP81">
        <v>0</v>
      </c>
      <c r="AQ81" s="2">
        <f>IF((2*G81 + M81 -P81 + 3*W81 + 2*Z81+2*AD81 + AG81+2*AJ81 + 4*AM81) &gt;=8,1,0)</f>
        <v>0</v>
      </c>
    </row>
    <row r="82" spans="1:43" x14ac:dyDescent="0.25">
      <c r="A82" t="s">
        <v>27</v>
      </c>
      <c r="B82" s="1">
        <v>36803</v>
      </c>
      <c r="C82" s="7">
        <f t="shared" si="19"/>
        <v>2000</v>
      </c>
      <c r="D82">
        <v>77.8</v>
      </c>
      <c r="E82">
        <v>67.599999999999994</v>
      </c>
      <c r="F82">
        <v>71.400000000000006</v>
      </c>
      <c r="G82" s="2">
        <f t="shared" si="28"/>
        <v>0</v>
      </c>
      <c r="H82">
        <v>77.8</v>
      </c>
      <c r="I82">
        <v>67.599999999999994</v>
      </c>
      <c r="J82">
        <v>71.400000000000006</v>
      </c>
      <c r="K82">
        <v>56.2</v>
      </c>
      <c r="L82">
        <v>59</v>
      </c>
      <c r="M82" s="2">
        <f t="shared" si="20"/>
        <v>0</v>
      </c>
      <c r="N82">
        <v>0</v>
      </c>
      <c r="P82" s="2">
        <f t="shared" si="21"/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2">
        <f t="shared" si="22"/>
        <v>0</v>
      </c>
      <c r="X82">
        <v>15.3</v>
      </c>
      <c r="Z82" s="2">
        <f t="shared" si="23"/>
        <v>0</v>
      </c>
      <c r="AA82">
        <v>30.4</v>
      </c>
      <c r="AB82" s="2" t="str">
        <f>CHOOSE(MATCH(AA82,{0;11;80;111;161;191;241;281;341},1),"North","NorthEast","East","SouthEast","South","SouthWest","West","NorthWest","North")</f>
        <v>NorthEast</v>
      </c>
      <c r="AC82" s="5">
        <f>CHOOSE(MATCH(AB82,{"South";"SouthEast";"SouthWest";"North";"NorthEast";"East";"West";"NorthWest"},0),1,2,3,4,5,6,7,8)</f>
        <v>5</v>
      </c>
      <c r="AD82" s="2">
        <f t="shared" si="24"/>
        <v>1</v>
      </c>
      <c r="AE82">
        <v>1013.2</v>
      </c>
      <c r="AF82" s="4" t="s">
        <v>188</v>
      </c>
      <c r="AG82" s="2">
        <f t="shared" si="25"/>
        <v>0</v>
      </c>
      <c r="AH82" t="s">
        <v>189</v>
      </c>
      <c r="AI82" s="2">
        <f t="shared" si="26"/>
        <v>10</v>
      </c>
      <c r="AJ82" s="2">
        <f t="shared" si="27"/>
        <v>0</v>
      </c>
      <c r="AK82" s="3">
        <v>45</v>
      </c>
      <c r="AM82" s="2">
        <v>0</v>
      </c>
      <c r="AN82">
        <v>0</v>
      </c>
      <c r="AO82">
        <v>0.1</v>
      </c>
      <c r="AP82">
        <v>0</v>
      </c>
      <c r="AQ82" s="2">
        <f>IF((2*G82 + M82 -P82 + 3*W82 + 2*Z82+2*AD82 + AG82+2*AJ82 + 4*AM82) &gt;=8,1,0)</f>
        <v>0</v>
      </c>
    </row>
    <row r="83" spans="1:43" x14ac:dyDescent="0.25">
      <c r="A83" t="s">
        <v>27</v>
      </c>
      <c r="B83" s="1">
        <v>36806</v>
      </c>
      <c r="C83" s="7">
        <f t="shared" si="19"/>
        <v>2000</v>
      </c>
      <c r="D83">
        <v>76.2</v>
      </c>
      <c r="E83">
        <v>60.7</v>
      </c>
      <c r="F83">
        <v>67.099999999999994</v>
      </c>
      <c r="G83" s="2">
        <f t="shared" si="28"/>
        <v>0</v>
      </c>
      <c r="H83">
        <v>76.2</v>
      </c>
      <c r="I83">
        <v>60.7</v>
      </c>
      <c r="J83">
        <v>67.099999999999994</v>
      </c>
      <c r="K83">
        <v>58.7</v>
      </c>
      <c r="L83">
        <v>75.2</v>
      </c>
      <c r="M83" s="2">
        <f t="shared" si="20"/>
        <v>0</v>
      </c>
      <c r="N83">
        <v>0.03</v>
      </c>
      <c r="P83" s="2">
        <f t="shared" si="21"/>
        <v>0</v>
      </c>
      <c r="Q83">
        <v>100</v>
      </c>
      <c r="R83">
        <v>4.17</v>
      </c>
      <c r="S83" t="s">
        <v>87</v>
      </c>
      <c r="T83">
        <v>0</v>
      </c>
      <c r="U83">
        <v>0</v>
      </c>
      <c r="V83">
        <v>0</v>
      </c>
      <c r="W83" s="2">
        <f t="shared" si="22"/>
        <v>0</v>
      </c>
      <c r="X83">
        <v>9.1999999999999993</v>
      </c>
      <c r="Z83" s="2">
        <f t="shared" si="23"/>
        <v>0</v>
      </c>
      <c r="AA83">
        <v>205.5</v>
      </c>
      <c r="AB83" s="2" t="str">
        <f>CHOOSE(MATCH(AA83,{0;11;80;111;161;191;241;281;341},1),"North","NorthEast","East","SouthEast","South","SouthWest","West","NorthWest","North")</f>
        <v>SouthWest</v>
      </c>
      <c r="AC83" s="5">
        <f>CHOOSE(MATCH(AB83,{"South";"SouthEast";"SouthWest";"North";"NorthEast";"East";"West";"NorthWest"},0),1,2,3,4,5,6,7,8)</f>
        <v>3</v>
      </c>
      <c r="AD83" s="2">
        <f t="shared" si="24"/>
        <v>1</v>
      </c>
      <c r="AE83">
        <v>1012</v>
      </c>
      <c r="AF83" s="4" t="s">
        <v>92</v>
      </c>
      <c r="AG83" s="2">
        <f t="shared" si="25"/>
        <v>1</v>
      </c>
      <c r="AH83" t="s">
        <v>190</v>
      </c>
      <c r="AI83" s="2">
        <f t="shared" si="26"/>
        <v>10</v>
      </c>
      <c r="AJ83" s="2">
        <f t="shared" si="27"/>
        <v>0</v>
      </c>
      <c r="AK83" s="3">
        <v>180</v>
      </c>
      <c r="AM83" s="2">
        <v>0</v>
      </c>
      <c r="AN83">
        <v>5</v>
      </c>
      <c r="AO83">
        <v>0</v>
      </c>
      <c r="AP83">
        <v>0</v>
      </c>
      <c r="AQ83" s="2">
        <f>IF((2*G83 + M83 -P83 + 3*W83 + 2*Z83+2*AD83 + AG83+2*AJ83 + 4*AM83) &gt;=8,1,0)</f>
        <v>0</v>
      </c>
    </row>
    <row r="84" spans="1:43" x14ac:dyDescent="0.25">
      <c r="A84" t="s">
        <v>27</v>
      </c>
      <c r="B84" s="1">
        <v>36810</v>
      </c>
      <c r="C84" s="7">
        <f t="shared" si="19"/>
        <v>2000</v>
      </c>
      <c r="D84">
        <v>76.2</v>
      </c>
      <c r="E84">
        <v>59.8</v>
      </c>
      <c r="F84">
        <v>68.5</v>
      </c>
      <c r="G84" s="2">
        <f t="shared" si="28"/>
        <v>0</v>
      </c>
      <c r="H84">
        <v>76.2</v>
      </c>
      <c r="I84">
        <v>59.8</v>
      </c>
      <c r="J84">
        <v>68.5</v>
      </c>
      <c r="K84">
        <v>59.5</v>
      </c>
      <c r="L84">
        <v>73.8</v>
      </c>
      <c r="M84" s="2">
        <f t="shared" si="20"/>
        <v>0</v>
      </c>
      <c r="N84">
        <v>0</v>
      </c>
      <c r="P84" s="2">
        <f t="shared" si="21"/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2">
        <f t="shared" si="22"/>
        <v>0</v>
      </c>
      <c r="X84">
        <v>7.9</v>
      </c>
      <c r="Z84" s="2">
        <f t="shared" si="23"/>
        <v>0</v>
      </c>
      <c r="AA84">
        <v>138.9</v>
      </c>
      <c r="AB84" s="2" t="str">
        <f>CHOOSE(MATCH(AA84,{0;11;80;111;161;191;241;281;341},1),"North","NorthEast","East","SouthEast","South","SouthWest","West","NorthWest","North")</f>
        <v>SouthEast</v>
      </c>
      <c r="AC84" s="5">
        <f>CHOOSE(MATCH(AB84,{"South";"SouthEast";"SouthWest";"North";"NorthEast";"East";"West";"NorthWest"},0),1,2,3,4,5,6,7,8)</f>
        <v>2</v>
      </c>
      <c r="AD84" s="2">
        <f t="shared" si="24"/>
        <v>0</v>
      </c>
      <c r="AE84">
        <v>1013.9</v>
      </c>
      <c r="AF84" s="4" t="s">
        <v>191</v>
      </c>
      <c r="AG84" s="2">
        <f t="shared" si="25"/>
        <v>1</v>
      </c>
      <c r="AH84" t="s">
        <v>192</v>
      </c>
      <c r="AI84" s="2">
        <f t="shared" si="26"/>
        <v>10</v>
      </c>
      <c r="AJ84" s="2">
        <f t="shared" si="27"/>
        <v>0</v>
      </c>
      <c r="AK84" s="3">
        <v>66.000000005587935</v>
      </c>
      <c r="AM84" s="2">
        <v>0</v>
      </c>
      <c r="AN84">
        <v>0</v>
      </c>
      <c r="AO84">
        <v>0.1</v>
      </c>
      <c r="AP84">
        <v>0</v>
      </c>
      <c r="AQ84" s="2">
        <f>IF((2*G84 + M84 -P84 + 3*W84 + 2*Z84+2*AD84 + AG84+2*AJ84 + 4*AM84) &gt;=8,1,0)</f>
        <v>0</v>
      </c>
    </row>
    <row r="85" spans="1:43" x14ac:dyDescent="0.25">
      <c r="A85" t="s">
        <v>27</v>
      </c>
      <c r="B85" s="1">
        <v>36819</v>
      </c>
      <c r="C85" s="7">
        <f t="shared" si="19"/>
        <v>2000</v>
      </c>
      <c r="D85">
        <v>65.599999999999994</v>
      </c>
      <c r="E85">
        <v>58.6</v>
      </c>
      <c r="F85">
        <v>62.1</v>
      </c>
      <c r="G85" s="2">
        <f t="shared" si="28"/>
        <v>0</v>
      </c>
      <c r="H85">
        <v>65.599999999999994</v>
      </c>
      <c r="I85">
        <v>58.6</v>
      </c>
      <c r="J85">
        <v>62.1</v>
      </c>
      <c r="K85">
        <v>45</v>
      </c>
      <c r="L85">
        <v>54.3</v>
      </c>
      <c r="M85" s="2">
        <f t="shared" si="20"/>
        <v>0</v>
      </c>
      <c r="N85">
        <v>2.1000000000000001E-2</v>
      </c>
      <c r="P85" s="2">
        <f t="shared" si="21"/>
        <v>0</v>
      </c>
      <c r="Q85">
        <v>100</v>
      </c>
      <c r="R85">
        <v>4.17</v>
      </c>
      <c r="S85" t="s">
        <v>87</v>
      </c>
      <c r="T85">
        <v>0</v>
      </c>
      <c r="U85">
        <v>0</v>
      </c>
      <c r="V85">
        <v>0</v>
      </c>
      <c r="W85" s="2">
        <f t="shared" si="22"/>
        <v>0</v>
      </c>
      <c r="X85">
        <v>17.399999999999999</v>
      </c>
      <c r="Z85" s="2">
        <f t="shared" si="23"/>
        <v>1</v>
      </c>
      <c r="AA85">
        <v>11.6</v>
      </c>
      <c r="AB85" s="2" t="str">
        <f>CHOOSE(MATCH(AA85,{0;11;80;111;161;191;241;281;341},1),"North","NorthEast","East","SouthEast","South","SouthWest","West","NorthWest","North")</f>
        <v>NorthEast</v>
      </c>
      <c r="AC85" s="5">
        <f>CHOOSE(MATCH(AB85,{"South";"SouthEast";"SouthWest";"North";"NorthEast";"East";"West";"NorthWest"},0),1,2,3,4,5,6,7,8)</f>
        <v>5</v>
      </c>
      <c r="AD85" s="2">
        <f t="shared" si="24"/>
        <v>1</v>
      </c>
      <c r="AE85">
        <v>1022.7</v>
      </c>
      <c r="AF85" s="4" t="s">
        <v>193</v>
      </c>
      <c r="AG85" s="2">
        <f t="shared" si="25"/>
        <v>1</v>
      </c>
      <c r="AH85" t="s">
        <v>194</v>
      </c>
      <c r="AI85" s="2">
        <f t="shared" si="26"/>
        <v>10</v>
      </c>
      <c r="AJ85" s="2">
        <f t="shared" si="27"/>
        <v>0</v>
      </c>
      <c r="AK85" s="3">
        <v>177.00000000069849</v>
      </c>
      <c r="AM85" s="2">
        <v>0</v>
      </c>
      <c r="AN85">
        <v>0</v>
      </c>
      <c r="AO85">
        <v>0.1</v>
      </c>
      <c r="AP85">
        <v>0</v>
      </c>
      <c r="AQ85" s="2">
        <f>IF((2*G85 + M85 -P85 + 3*W85 + 2*Z85+2*AD85 + AG85+2*AJ85 + 4*AM85) &gt;=8,1,0)</f>
        <v>0</v>
      </c>
    </row>
    <row r="86" spans="1:43" x14ac:dyDescent="0.25">
      <c r="A86" t="s">
        <v>27</v>
      </c>
      <c r="B86" s="1">
        <v>36827</v>
      </c>
      <c r="C86" s="7">
        <f t="shared" si="19"/>
        <v>2000</v>
      </c>
      <c r="D86">
        <v>70.8</v>
      </c>
      <c r="E86">
        <v>63.2</v>
      </c>
      <c r="F86">
        <v>66.599999999999994</v>
      </c>
      <c r="G86" s="2">
        <f t="shared" si="28"/>
        <v>0</v>
      </c>
      <c r="H86">
        <v>70.8</v>
      </c>
      <c r="I86">
        <v>63.2</v>
      </c>
      <c r="J86">
        <v>66.599999999999994</v>
      </c>
      <c r="K86">
        <v>56.3</v>
      </c>
      <c r="L86">
        <v>70.599999999999994</v>
      </c>
      <c r="M86" s="2">
        <f t="shared" si="20"/>
        <v>0</v>
      </c>
      <c r="N86">
        <v>4.0000000000000001E-3</v>
      </c>
      <c r="P86" s="2">
        <f t="shared" si="21"/>
        <v>1</v>
      </c>
      <c r="Q86">
        <v>100</v>
      </c>
      <c r="R86">
        <v>4.17</v>
      </c>
      <c r="S86" t="s">
        <v>87</v>
      </c>
      <c r="T86">
        <v>0</v>
      </c>
      <c r="U86">
        <v>0</v>
      </c>
      <c r="V86">
        <v>0</v>
      </c>
      <c r="W86" s="2">
        <f t="shared" si="22"/>
        <v>0</v>
      </c>
      <c r="X86">
        <v>13.5</v>
      </c>
      <c r="Z86" s="2">
        <f t="shared" si="23"/>
        <v>0</v>
      </c>
      <c r="AA86">
        <v>47.4</v>
      </c>
      <c r="AB86" s="2" t="str">
        <f>CHOOSE(MATCH(AA86,{0;11;80;111;161;191;241;281;341},1),"North","NorthEast","East","SouthEast","South","SouthWest","West","NorthWest","North")</f>
        <v>NorthEast</v>
      </c>
      <c r="AC86" s="5">
        <f>CHOOSE(MATCH(AB86,{"South";"SouthEast";"SouthWest";"North";"NorthEast";"East";"West";"NorthWest"},0),1,2,3,4,5,6,7,8)</f>
        <v>5</v>
      </c>
      <c r="AD86" s="2">
        <f t="shared" si="24"/>
        <v>1</v>
      </c>
      <c r="AE86">
        <v>1018.1</v>
      </c>
      <c r="AF86" s="4" t="s">
        <v>195</v>
      </c>
      <c r="AG86" s="2">
        <f t="shared" si="25"/>
        <v>1</v>
      </c>
      <c r="AH86" t="s">
        <v>196</v>
      </c>
      <c r="AI86" s="2">
        <f t="shared" si="26"/>
        <v>10</v>
      </c>
      <c r="AJ86" s="2">
        <f t="shared" si="27"/>
        <v>0</v>
      </c>
      <c r="AK86" s="3">
        <v>275.99999999860302</v>
      </c>
      <c r="AM86" s="2">
        <v>0</v>
      </c>
      <c r="AN86">
        <v>0.1</v>
      </c>
      <c r="AO86">
        <v>0</v>
      </c>
      <c r="AP86">
        <v>0</v>
      </c>
      <c r="AQ86" s="2">
        <f>IF((2*G86 + M86 -P86 + 3*W86 + 2*Z86+2*AD86 + AG86+2*AJ86 + 4*AM86) &gt;=8,1,0)</f>
        <v>0</v>
      </c>
    </row>
    <row r="87" spans="1:43" x14ac:dyDescent="0.25">
      <c r="A87" t="s">
        <v>27</v>
      </c>
      <c r="B87" s="1">
        <v>36831</v>
      </c>
      <c r="C87" s="7">
        <f t="shared" si="19"/>
        <v>2000</v>
      </c>
      <c r="D87">
        <v>73.099999999999994</v>
      </c>
      <c r="E87">
        <v>61.4</v>
      </c>
      <c r="F87">
        <v>66.599999999999994</v>
      </c>
      <c r="G87" s="2">
        <f t="shared" si="28"/>
        <v>0</v>
      </c>
      <c r="H87">
        <v>73.099999999999994</v>
      </c>
      <c r="I87">
        <v>61.4</v>
      </c>
      <c r="J87">
        <v>66.599999999999994</v>
      </c>
      <c r="K87">
        <v>60.5</v>
      </c>
      <c r="L87">
        <v>81.099999999999994</v>
      </c>
      <c r="M87" s="2">
        <f t="shared" si="20"/>
        <v>0</v>
      </c>
      <c r="N87">
        <v>0</v>
      </c>
      <c r="P87" s="2">
        <f t="shared" si="21"/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2">
        <f t="shared" si="22"/>
        <v>0</v>
      </c>
      <c r="X87">
        <v>9.1</v>
      </c>
      <c r="Z87" s="2">
        <f t="shared" si="23"/>
        <v>0</v>
      </c>
      <c r="AA87">
        <v>149.6</v>
      </c>
      <c r="AB87" s="2" t="str">
        <f>CHOOSE(MATCH(AA87,{0;11;80;111;161;191;241;281;341},1),"North","NorthEast","East","SouthEast","South","SouthWest","West","NorthWest","North")</f>
        <v>SouthEast</v>
      </c>
      <c r="AC87" s="5">
        <f>CHOOSE(MATCH(AB87,{"South";"SouthEast";"SouthWest";"North";"NorthEast";"East";"West";"NorthWest"},0),1,2,3,4,5,6,7,8)</f>
        <v>2</v>
      </c>
      <c r="AD87" s="2">
        <f t="shared" si="24"/>
        <v>0</v>
      </c>
      <c r="AE87">
        <v>1017.5</v>
      </c>
      <c r="AF87" s="4" t="s">
        <v>197</v>
      </c>
      <c r="AG87" s="2">
        <f t="shared" si="25"/>
        <v>1</v>
      </c>
      <c r="AH87" t="s">
        <v>198</v>
      </c>
      <c r="AI87" s="2">
        <f t="shared" si="26"/>
        <v>11</v>
      </c>
      <c r="AJ87" s="2">
        <f t="shared" si="27"/>
        <v>0</v>
      </c>
      <c r="AK87" s="3">
        <v>284.99999999650748</v>
      </c>
      <c r="AM87" s="2">
        <v>0</v>
      </c>
      <c r="AN87">
        <v>0</v>
      </c>
      <c r="AO87">
        <v>9</v>
      </c>
      <c r="AP87">
        <v>0</v>
      </c>
      <c r="AQ87" s="2">
        <f>IF((2*G87 + M87 -P87 + 3*W87 + 2*Z87+2*AD87 + AG87+2*AJ87 + 4*AM87) &gt;=8,1,0)</f>
        <v>0</v>
      </c>
    </row>
    <row r="88" spans="1:43" x14ac:dyDescent="0.25">
      <c r="A88" t="s">
        <v>27</v>
      </c>
      <c r="B88" s="1">
        <v>36838</v>
      </c>
      <c r="C88" s="7">
        <f t="shared" si="19"/>
        <v>2000</v>
      </c>
      <c r="D88">
        <v>77.3</v>
      </c>
      <c r="E88">
        <v>59.8</v>
      </c>
      <c r="F88">
        <v>70</v>
      </c>
      <c r="G88" s="2">
        <f t="shared" si="28"/>
        <v>0</v>
      </c>
      <c r="H88">
        <v>77.3</v>
      </c>
      <c r="I88">
        <v>59.8</v>
      </c>
      <c r="J88">
        <v>70</v>
      </c>
      <c r="K88">
        <v>59.3</v>
      </c>
      <c r="L88">
        <v>69.7</v>
      </c>
      <c r="M88" s="2">
        <f t="shared" si="20"/>
        <v>0</v>
      </c>
      <c r="N88">
        <v>0</v>
      </c>
      <c r="P88" s="2">
        <f t="shared" si="21"/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2">
        <f t="shared" si="22"/>
        <v>0</v>
      </c>
      <c r="X88">
        <v>9.6</v>
      </c>
      <c r="Z88" s="2">
        <f t="shared" si="23"/>
        <v>0</v>
      </c>
      <c r="AA88">
        <v>156.19999999999999</v>
      </c>
      <c r="AB88" s="2" t="str">
        <f>CHOOSE(MATCH(AA88,{0;11;80;111;161;191;241;281;341},1),"North","NorthEast","East","SouthEast","South","SouthWest","West","NorthWest","North")</f>
        <v>SouthEast</v>
      </c>
      <c r="AC88" s="5">
        <f>CHOOSE(MATCH(AB88,{"South";"SouthEast";"SouthWest";"North";"NorthEast";"East";"West";"NorthWest"},0),1,2,3,4,5,6,7,8)</f>
        <v>2</v>
      </c>
      <c r="AD88" s="2">
        <f t="shared" si="24"/>
        <v>0</v>
      </c>
      <c r="AE88">
        <v>1015.9</v>
      </c>
      <c r="AF88" s="4" t="s">
        <v>199</v>
      </c>
      <c r="AG88" s="2">
        <f t="shared" si="25"/>
        <v>1</v>
      </c>
      <c r="AH88" t="s">
        <v>200</v>
      </c>
      <c r="AI88" s="2">
        <f t="shared" si="26"/>
        <v>11</v>
      </c>
      <c r="AJ88" s="2">
        <f t="shared" si="27"/>
        <v>0</v>
      </c>
      <c r="AK88" s="3">
        <v>156.00000000558791</v>
      </c>
      <c r="AM88" s="2">
        <v>0</v>
      </c>
      <c r="AN88">
        <v>0.5</v>
      </c>
      <c r="AO88">
        <v>0</v>
      </c>
      <c r="AP88">
        <v>0</v>
      </c>
      <c r="AQ88" s="2">
        <f>IF((2*G88 + M88 -P88 + 3*W88 + 2*Z88+2*AD88 + AG88+2*AJ88 + 4*AM88) &gt;=8,1,0)</f>
        <v>0</v>
      </c>
    </row>
    <row r="89" spans="1:43" x14ac:dyDescent="0.25">
      <c r="A89" t="s">
        <v>27</v>
      </c>
      <c r="B89" s="1">
        <v>36841</v>
      </c>
      <c r="C89" s="7">
        <f t="shared" si="19"/>
        <v>2000</v>
      </c>
      <c r="D89">
        <v>74.5</v>
      </c>
      <c r="E89">
        <v>59.7</v>
      </c>
      <c r="F89">
        <v>66.599999999999994</v>
      </c>
      <c r="G89" s="2">
        <f t="shared" si="28"/>
        <v>0</v>
      </c>
      <c r="H89">
        <v>74.5</v>
      </c>
      <c r="I89">
        <v>59.7</v>
      </c>
      <c r="J89">
        <v>66.599999999999994</v>
      </c>
      <c r="K89">
        <v>56.5</v>
      </c>
      <c r="L89">
        <v>70.7</v>
      </c>
      <c r="M89" s="2">
        <f t="shared" si="20"/>
        <v>0</v>
      </c>
      <c r="N89">
        <v>0</v>
      </c>
      <c r="P89" s="2">
        <f t="shared" si="21"/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2">
        <f t="shared" si="22"/>
        <v>0</v>
      </c>
      <c r="X89">
        <v>8.1</v>
      </c>
      <c r="Z89" s="2">
        <f t="shared" si="23"/>
        <v>0</v>
      </c>
      <c r="AA89">
        <v>3.2</v>
      </c>
      <c r="AB89" s="2" t="str">
        <f>CHOOSE(MATCH(AA89,{0;11;80;111;161;191;241;281;341},1),"North","NorthEast","East","SouthEast","South","SouthWest","West","NorthWest","North")</f>
        <v>North</v>
      </c>
      <c r="AC89" s="5">
        <f>CHOOSE(MATCH(AB89,{"South";"SouthEast";"SouthWest";"North";"NorthEast";"East";"West";"NorthWest"},0),1,2,3,4,5,6,7,8)</f>
        <v>4</v>
      </c>
      <c r="AD89" s="2">
        <f t="shared" si="24"/>
        <v>1</v>
      </c>
      <c r="AE89">
        <v>1021.3</v>
      </c>
      <c r="AF89" s="4" t="s">
        <v>201</v>
      </c>
      <c r="AG89" s="2">
        <f t="shared" si="25"/>
        <v>1</v>
      </c>
      <c r="AH89" t="s">
        <v>202</v>
      </c>
      <c r="AI89" s="2">
        <f t="shared" si="26"/>
        <v>11</v>
      </c>
      <c r="AJ89" s="2">
        <f t="shared" si="27"/>
        <v>0</v>
      </c>
      <c r="AK89" s="3">
        <v>95.000000005820766</v>
      </c>
      <c r="AM89" s="2">
        <v>0</v>
      </c>
      <c r="AN89">
        <v>0</v>
      </c>
      <c r="AO89">
        <v>1</v>
      </c>
      <c r="AP89">
        <v>0</v>
      </c>
      <c r="AQ89" s="2">
        <f>IF((2*G89 + M89 -P89 + 3*W89 + 2*Z89+2*AD89 + AG89+2*AJ89 + 4*AM89) &gt;=8,1,0)</f>
        <v>0</v>
      </c>
    </row>
    <row r="90" spans="1:43" x14ac:dyDescent="0.25">
      <c r="A90" t="s">
        <v>27</v>
      </c>
      <c r="B90" s="1">
        <v>36847</v>
      </c>
      <c r="C90" s="7">
        <f t="shared" si="19"/>
        <v>2000</v>
      </c>
      <c r="D90">
        <v>68.099999999999994</v>
      </c>
      <c r="E90">
        <v>52.6</v>
      </c>
      <c r="F90">
        <v>59.9</v>
      </c>
      <c r="G90" s="2">
        <f t="shared" si="28"/>
        <v>0</v>
      </c>
      <c r="H90">
        <v>68.099999999999994</v>
      </c>
      <c r="I90">
        <v>52.6</v>
      </c>
      <c r="J90">
        <v>59.9</v>
      </c>
      <c r="K90">
        <v>54.8</v>
      </c>
      <c r="L90">
        <v>83.7</v>
      </c>
      <c r="M90" s="2">
        <f t="shared" si="20"/>
        <v>0</v>
      </c>
      <c r="N90">
        <v>0</v>
      </c>
      <c r="P90" s="2">
        <f t="shared" si="21"/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2">
        <f t="shared" si="22"/>
        <v>0</v>
      </c>
      <c r="X90">
        <v>7.2</v>
      </c>
      <c r="Z90" s="2">
        <f t="shared" si="23"/>
        <v>0</v>
      </c>
      <c r="AA90">
        <v>201.7</v>
      </c>
      <c r="AB90" s="2" t="str">
        <f>CHOOSE(MATCH(AA90,{0;11;80;111;161;191;241;281;341},1),"North","NorthEast","East","SouthEast","South","SouthWest","West","NorthWest","North")</f>
        <v>SouthWest</v>
      </c>
      <c r="AC90" s="5">
        <f>CHOOSE(MATCH(AB90,{"South";"SouthEast";"SouthWest";"North";"NorthEast";"East";"West";"NorthWest"},0),1,2,3,4,5,6,7,8)</f>
        <v>3</v>
      </c>
      <c r="AD90" s="2">
        <f t="shared" si="24"/>
        <v>1</v>
      </c>
      <c r="AE90">
        <v>1019.4</v>
      </c>
      <c r="AF90" s="4" t="s">
        <v>67</v>
      </c>
      <c r="AG90" s="2">
        <f t="shared" si="25"/>
        <v>1</v>
      </c>
      <c r="AH90" t="s">
        <v>203</v>
      </c>
      <c r="AI90" s="2">
        <f t="shared" si="26"/>
        <v>11</v>
      </c>
      <c r="AJ90" s="2">
        <f t="shared" si="27"/>
        <v>0</v>
      </c>
      <c r="AK90" s="3">
        <v>270</v>
      </c>
      <c r="AM90" s="2">
        <v>0</v>
      </c>
      <c r="AN90">
        <v>5</v>
      </c>
      <c r="AO90">
        <v>0</v>
      </c>
      <c r="AP90">
        <v>0</v>
      </c>
      <c r="AQ90" s="2">
        <f>IF((2*G90 + M90 -P90 + 3*W90 + 2*Z90+2*AD90 + AG90+2*AJ90 + 4*AM90) &gt;=8,1,0)</f>
        <v>0</v>
      </c>
    </row>
    <row r="91" spans="1:43" x14ac:dyDescent="0.25">
      <c r="A91" t="s">
        <v>27</v>
      </c>
      <c r="B91" s="1">
        <v>36881</v>
      </c>
      <c r="C91" s="7">
        <f t="shared" si="19"/>
        <v>2000</v>
      </c>
      <c r="D91">
        <v>49</v>
      </c>
      <c r="E91">
        <v>45.8</v>
      </c>
      <c r="F91">
        <v>47.3</v>
      </c>
      <c r="G91" s="2">
        <f t="shared" si="28"/>
        <v>0</v>
      </c>
      <c r="H91">
        <v>44.9</v>
      </c>
      <c r="I91">
        <v>40.9</v>
      </c>
      <c r="J91">
        <v>42.6</v>
      </c>
      <c r="K91">
        <v>33.5</v>
      </c>
      <c r="L91">
        <v>58.7</v>
      </c>
      <c r="M91" s="2">
        <f t="shared" si="20"/>
        <v>0</v>
      </c>
      <c r="N91">
        <v>0</v>
      </c>
      <c r="P91" s="2">
        <f t="shared" si="21"/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2">
        <f t="shared" si="22"/>
        <v>0</v>
      </c>
      <c r="X91">
        <v>15.4</v>
      </c>
      <c r="Z91" s="2">
        <f t="shared" si="23"/>
        <v>0</v>
      </c>
      <c r="AA91">
        <v>57.3</v>
      </c>
      <c r="AB91" s="2" t="str">
        <f>CHOOSE(MATCH(AA91,{0;11;80;111;161;191;241;281;341},1),"North","NorthEast","East","SouthEast","South","SouthWest","West","NorthWest","North")</f>
        <v>NorthEast</v>
      </c>
      <c r="AC91" s="5">
        <f>CHOOSE(MATCH(AB91,{"South";"SouthEast";"SouthWest";"North";"NorthEast";"East";"West";"NorthWest"},0),1,2,3,4,5,6,7,8)</f>
        <v>5</v>
      </c>
      <c r="AD91" s="2">
        <f t="shared" si="24"/>
        <v>1</v>
      </c>
      <c r="AE91">
        <v>1023.3</v>
      </c>
      <c r="AF91" s="4" t="s">
        <v>204</v>
      </c>
      <c r="AG91" s="2">
        <f t="shared" si="25"/>
        <v>0</v>
      </c>
      <c r="AH91" t="s">
        <v>205</v>
      </c>
      <c r="AI91" s="2">
        <f t="shared" si="26"/>
        <v>12</v>
      </c>
      <c r="AJ91" s="2">
        <f t="shared" si="27"/>
        <v>0</v>
      </c>
      <c r="AK91" s="3">
        <v>65.999999995110556</v>
      </c>
      <c r="AM91" s="2">
        <v>0</v>
      </c>
      <c r="AN91">
        <v>0</v>
      </c>
      <c r="AO91">
        <v>0.1</v>
      </c>
      <c r="AP91">
        <v>0</v>
      </c>
      <c r="AQ91" s="2">
        <f>IF((2*G91 + M91 -P91 + 3*W91 + 2*Z91+2*AD91 + AG91+2*AJ91 + 4*AM91) &gt;=8,1,0)</f>
        <v>0</v>
      </c>
    </row>
    <row r="92" spans="1:43" x14ac:dyDescent="0.25">
      <c r="A92" t="s">
        <v>27</v>
      </c>
      <c r="B92" s="1">
        <v>36900</v>
      </c>
      <c r="C92" s="7">
        <f t="shared" si="19"/>
        <v>2001</v>
      </c>
      <c r="D92">
        <v>66.3</v>
      </c>
      <c r="E92">
        <v>56.5</v>
      </c>
      <c r="F92">
        <v>60.6</v>
      </c>
      <c r="G92" s="2">
        <f t="shared" si="28"/>
        <v>0</v>
      </c>
      <c r="H92">
        <v>66.3</v>
      </c>
      <c r="I92">
        <v>56.5</v>
      </c>
      <c r="J92">
        <v>60.6</v>
      </c>
      <c r="K92">
        <v>49.1</v>
      </c>
      <c r="L92">
        <v>67.2</v>
      </c>
      <c r="M92" s="2">
        <f t="shared" si="20"/>
        <v>0</v>
      </c>
      <c r="N92">
        <v>0</v>
      </c>
      <c r="O92">
        <f>AVERAGE(N92:N207)</f>
        <v>6.3534482758620687E-3</v>
      </c>
      <c r="P92" s="2">
        <f t="shared" si="21"/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s="2">
        <f t="shared" si="22"/>
        <v>0</v>
      </c>
      <c r="X92">
        <v>19.100000000000001</v>
      </c>
      <c r="Y92">
        <f>AVERAGE(X92:X207)</f>
        <v>16.584482758620695</v>
      </c>
      <c r="Z92" s="2">
        <f t="shared" si="23"/>
        <v>1</v>
      </c>
      <c r="AA92">
        <v>242.8</v>
      </c>
      <c r="AB92" s="2" t="str">
        <f>CHOOSE(MATCH(AA92,{0;11;80;111;161;191;241;281;341},1),"North","NorthEast","East","SouthEast","South","SouthWest","West","NorthWest","North")</f>
        <v>West</v>
      </c>
      <c r="AC92" s="5">
        <f>CHOOSE(MATCH(AB92,{"South";"SouthEast";"SouthWest";"North";"NorthEast";"East";"West";"NorthWest"},0),1,2,3,4,5,6,7,8)</f>
        <v>7</v>
      </c>
      <c r="AD92" s="2">
        <f t="shared" si="24"/>
        <v>0</v>
      </c>
      <c r="AE92">
        <v>1016.9</v>
      </c>
      <c r="AF92" s="4" t="s">
        <v>206</v>
      </c>
      <c r="AG92" s="2">
        <f t="shared" si="25"/>
        <v>0</v>
      </c>
      <c r="AH92" t="s">
        <v>207</v>
      </c>
      <c r="AI92" s="2">
        <f t="shared" si="26"/>
        <v>1</v>
      </c>
      <c r="AJ92" s="2">
        <f t="shared" si="27"/>
        <v>0</v>
      </c>
      <c r="AK92" s="3">
        <v>190.9999999939464</v>
      </c>
      <c r="AL92" s="3">
        <f>AVERAGE(AK92:AK207)</f>
        <v>534.25862069063066</v>
      </c>
      <c r="AM92" s="2">
        <v>0</v>
      </c>
      <c r="AN92">
        <v>0.1</v>
      </c>
      <c r="AO92">
        <v>0</v>
      </c>
      <c r="AP92">
        <v>0</v>
      </c>
      <c r="AQ92" s="2">
        <f>IF((2*G92 + M92 -P92 + 3*W92 + 2*Z92+2*AD92 + AG92+2*AJ92 + 4*AM92) &gt;=8,1,0)</f>
        <v>0</v>
      </c>
    </row>
    <row r="93" spans="1:43" x14ac:dyDescent="0.25">
      <c r="A93" t="s">
        <v>27</v>
      </c>
      <c r="B93" s="1">
        <v>36906</v>
      </c>
      <c r="C93" s="7">
        <f t="shared" si="19"/>
        <v>2001</v>
      </c>
      <c r="D93">
        <v>51.3</v>
      </c>
      <c r="E93">
        <v>44.5</v>
      </c>
      <c r="F93">
        <v>47.1</v>
      </c>
      <c r="G93" s="2">
        <f t="shared" si="28"/>
        <v>0</v>
      </c>
      <c r="H93">
        <v>51.3</v>
      </c>
      <c r="I93">
        <v>37.1</v>
      </c>
      <c r="J93">
        <v>41.4</v>
      </c>
      <c r="K93">
        <v>37.9</v>
      </c>
      <c r="L93">
        <v>70.5</v>
      </c>
      <c r="M93" s="2">
        <f t="shared" si="20"/>
        <v>0</v>
      </c>
      <c r="N93">
        <v>1.4999999999999999E-2</v>
      </c>
      <c r="P93" s="2">
        <f t="shared" si="21"/>
        <v>0</v>
      </c>
      <c r="Q93">
        <v>100</v>
      </c>
      <c r="R93">
        <v>4.17</v>
      </c>
      <c r="S93" t="s">
        <v>87</v>
      </c>
      <c r="T93">
        <v>0</v>
      </c>
      <c r="U93">
        <v>0</v>
      </c>
      <c r="V93">
        <v>0</v>
      </c>
      <c r="W93" s="2">
        <f t="shared" si="22"/>
        <v>0</v>
      </c>
      <c r="X93">
        <v>23.3</v>
      </c>
      <c r="Z93" s="2">
        <f t="shared" si="23"/>
        <v>1</v>
      </c>
      <c r="AA93">
        <v>344.2</v>
      </c>
      <c r="AB93" s="2" t="str">
        <f>CHOOSE(MATCH(AA93,{0;11;80;111;161;191;241;281;341},1),"North","NorthEast","East","SouthEast","South","SouthWest","West","NorthWest","North")</f>
        <v>North</v>
      </c>
      <c r="AC93" s="5">
        <f>CHOOSE(MATCH(AB93,{"South";"SouthEast";"SouthWest";"North";"NorthEast";"East";"West";"NorthWest"},0),1,2,3,4,5,6,7,8)</f>
        <v>4</v>
      </c>
      <c r="AD93" s="2">
        <f t="shared" si="24"/>
        <v>1</v>
      </c>
      <c r="AE93">
        <v>1016.8</v>
      </c>
      <c r="AF93" s="4" t="s">
        <v>209</v>
      </c>
      <c r="AG93" s="2">
        <f t="shared" si="25"/>
        <v>0</v>
      </c>
      <c r="AH93" t="s">
        <v>210</v>
      </c>
      <c r="AI93" s="2">
        <f t="shared" si="26"/>
        <v>1</v>
      </c>
      <c r="AJ93" s="2">
        <f t="shared" si="27"/>
        <v>0</v>
      </c>
      <c r="AK93" s="3">
        <v>81.000000002095476</v>
      </c>
      <c r="AM93" s="2">
        <v>0</v>
      </c>
      <c r="AN93">
        <v>0.1</v>
      </c>
      <c r="AO93">
        <v>0</v>
      </c>
      <c r="AP93">
        <v>0</v>
      </c>
      <c r="AQ93" s="2">
        <f>IF((2*G93 + M93 -P93 + 3*W93 + 2*Z93+2*AD93 + AG93+2*AJ93 + 4*AM93) &gt;=8,1,0)</f>
        <v>0</v>
      </c>
    </row>
    <row r="94" spans="1:43" x14ac:dyDescent="0.25">
      <c r="A94" t="s">
        <v>27</v>
      </c>
      <c r="B94" s="1">
        <v>36912</v>
      </c>
      <c r="C94" s="7">
        <f t="shared" si="19"/>
        <v>2001</v>
      </c>
      <c r="D94">
        <v>50.9</v>
      </c>
      <c r="E94">
        <v>42.9</v>
      </c>
      <c r="F94">
        <v>46.8</v>
      </c>
      <c r="G94" s="2">
        <f t="shared" si="28"/>
        <v>0</v>
      </c>
      <c r="H94">
        <v>50.9</v>
      </c>
      <c r="I94">
        <v>39.5</v>
      </c>
      <c r="J94">
        <v>43.3</v>
      </c>
      <c r="K94">
        <v>32.6</v>
      </c>
      <c r="L94">
        <v>58</v>
      </c>
      <c r="M94" s="2">
        <f t="shared" si="20"/>
        <v>0</v>
      </c>
      <c r="N94">
        <v>0</v>
      </c>
      <c r="P94" s="2">
        <f t="shared" si="21"/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2">
        <f t="shared" si="22"/>
        <v>0</v>
      </c>
      <c r="X94">
        <v>16.8</v>
      </c>
      <c r="Z94" s="2">
        <f t="shared" si="23"/>
        <v>1</v>
      </c>
      <c r="AA94">
        <v>18.7</v>
      </c>
      <c r="AB94" s="2" t="str">
        <f>CHOOSE(MATCH(AA94,{0;11;80;111;161;191;241;281;341},1),"North","NorthEast","East","SouthEast","South","SouthWest","West","NorthWest","North")</f>
        <v>NorthEast</v>
      </c>
      <c r="AC94" s="5">
        <f>CHOOSE(MATCH(AB94,{"South";"SouthEast";"SouthWest";"North";"NorthEast";"East";"West";"NorthWest"},0),1,2,3,4,5,6,7,8)</f>
        <v>5</v>
      </c>
      <c r="AD94" s="2">
        <f t="shared" si="24"/>
        <v>1</v>
      </c>
      <c r="AE94">
        <v>1024.3</v>
      </c>
      <c r="AF94" s="4" t="s">
        <v>211</v>
      </c>
      <c r="AG94" s="2">
        <f t="shared" si="25"/>
        <v>1</v>
      </c>
      <c r="AH94" t="s">
        <v>212</v>
      </c>
      <c r="AI94" s="2">
        <f t="shared" si="26"/>
        <v>1</v>
      </c>
      <c r="AJ94" s="2">
        <f t="shared" si="27"/>
        <v>0</v>
      </c>
      <c r="AK94" s="3">
        <v>64.999999991850927</v>
      </c>
      <c r="AM94" s="2">
        <v>0</v>
      </c>
      <c r="AN94">
        <v>0.1</v>
      </c>
      <c r="AO94">
        <v>0</v>
      </c>
      <c r="AP94">
        <v>0</v>
      </c>
      <c r="AQ94" s="2">
        <f>IF((2*G94 + M94 -P94 + 3*W94 + 2*Z94+2*AD94 + AG94+2*AJ94 + 4*AM94) &gt;=8,1,0)</f>
        <v>0</v>
      </c>
    </row>
    <row r="95" spans="1:43" x14ac:dyDescent="0.25">
      <c r="A95" t="s">
        <v>27</v>
      </c>
      <c r="B95" s="1">
        <v>36912</v>
      </c>
      <c r="C95" s="7">
        <f t="shared" si="19"/>
        <v>2001</v>
      </c>
      <c r="D95">
        <v>50.9</v>
      </c>
      <c r="E95">
        <v>42.9</v>
      </c>
      <c r="F95">
        <v>46.8</v>
      </c>
      <c r="G95" s="2">
        <f t="shared" si="28"/>
        <v>0</v>
      </c>
      <c r="H95">
        <v>50.9</v>
      </c>
      <c r="I95">
        <v>39.5</v>
      </c>
      <c r="J95">
        <v>43.3</v>
      </c>
      <c r="K95">
        <v>32.6</v>
      </c>
      <c r="L95">
        <v>58</v>
      </c>
      <c r="M95" s="2">
        <f t="shared" si="20"/>
        <v>0</v>
      </c>
      <c r="N95">
        <v>0</v>
      </c>
      <c r="P95" s="2">
        <f t="shared" si="21"/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2">
        <f t="shared" si="22"/>
        <v>0</v>
      </c>
      <c r="X95">
        <v>16.8</v>
      </c>
      <c r="Z95" s="2">
        <f t="shared" si="23"/>
        <v>1</v>
      </c>
      <c r="AA95">
        <v>18.7</v>
      </c>
      <c r="AB95" s="2" t="str">
        <f>CHOOSE(MATCH(AA95,{0;11;80;111;161;191;241;281;341},1),"North","NorthEast","East","SouthEast","South","SouthWest","West","NorthWest","North")</f>
        <v>NorthEast</v>
      </c>
      <c r="AC95" s="5">
        <f>CHOOSE(MATCH(AB95,{"South";"SouthEast";"SouthWest";"North";"NorthEast";"East";"West";"NorthWest"},0),1,2,3,4,5,6,7,8)</f>
        <v>5</v>
      </c>
      <c r="AD95" s="2">
        <f t="shared" si="24"/>
        <v>1</v>
      </c>
      <c r="AE95">
        <v>1024.3</v>
      </c>
      <c r="AF95" s="4" t="s">
        <v>213</v>
      </c>
      <c r="AG95" s="2">
        <f t="shared" si="25"/>
        <v>0</v>
      </c>
      <c r="AH95" t="s">
        <v>214</v>
      </c>
      <c r="AI95" s="2">
        <f t="shared" si="26"/>
        <v>1</v>
      </c>
      <c r="AJ95" s="2">
        <f t="shared" si="27"/>
        <v>0</v>
      </c>
      <c r="AK95" s="3">
        <v>74.999999993015081</v>
      </c>
      <c r="AM95" s="2">
        <v>0</v>
      </c>
      <c r="AN95">
        <v>0</v>
      </c>
      <c r="AO95">
        <v>0.1</v>
      </c>
      <c r="AP95">
        <v>0</v>
      </c>
      <c r="AQ95" s="2">
        <f>IF((2*G95 + M95 -P95 + 3*W95 + 2*Z95+2*AD95 + AG95+2*AJ95 + 4*AM95) &gt;=8,1,0)</f>
        <v>0</v>
      </c>
    </row>
    <row r="96" spans="1:43" x14ac:dyDescent="0.25">
      <c r="A96" t="s">
        <v>27</v>
      </c>
      <c r="B96" s="1">
        <v>36912</v>
      </c>
      <c r="C96" s="7">
        <f t="shared" si="19"/>
        <v>2001</v>
      </c>
      <c r="D96">
        <v>50.9</v>
      </c>
      <c r="E96">
        <v>42.9</v>
      </c>
      <c r="F96">
        <v>46.8</v>
      </c>
      <c r="G96" s="2">
        <f t="shared" si="28"/>
        <v>0</v>
      </c>
      <c r="H96">
        <v>50.9</v>
      </c>
      <c r="I96">
        <v>39.5</v>
      </c>
      <c r="J96">
        <v>43.3</v>
      </c>
      <c r="K96">
        <v>32.6</v>
      </c>
      <c r="L96">
        <v>58</v>
      </c>
      <c r="M96" s="2">
        <f t="shared" si="20"/>
        <v>0</v>
      </c>
      <c r="N96">
        <v>0</v>
      </c>
      <c r="P96" s="2">
        <f t="shared" si="21"/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2">
        <f t="shared" si="22"/>
        <v>0</v>
      </c>
      <c r="X96">
        <v>16.8</v>
      </c>
      <c r="Z96" s="2">
        <f t="shared" si="23"/>
        <v>1</v>
      </c>
      <c r="AA96">
        <v>18.7</v>
      </c>
      <c r="AB96" s="2" t="str">
        <f>CHOOSE(MATCH(AA96,{0;11;80;111;161;191;241;281;341},1),"North","NorthEast","East","SouthEast","South","SouthWest","West","NorthWest","North")</f>
        <v>NorthEast</v>
      </c>
      <c r="AC96" s="5">
        <f>CHOOSE(MATCH(AB96,{"South";"SouthEast";"SouthWest";"North";"NorthEast";"East";"West";"NorthWest"},0),1,2,3,4,5,6,7,8)</f>
        <v>5</v>
      </c>
      <c r="AD96" s="2">
        <f t="shared" si="24"/>
        <v>1</v>
      </c>
      <c r="AE96">
        <v>1024.3</v>
      </c>
      <c r="AF96" s="4" t="s">
        <v>215</v>
      </c>
      <c r="AG96" s="2">
        <f t="shared" si="25"/>
        <v>0</v>
      </c>
      <c r="AH96" t="s">
        <v>216</v>
      </c>
      <c r="AI96" s="2">
        <f t="shared" si="26"/>
        <v>1</v>
      </c>
      <c r="AJ96" s="2">
        <f t="shared" si="27"/>
        <v>0</v>
      </c>
      <c r="AK96" s="3">
        <v>56.000000004423782</v>
      </c>
      <c r="AM96" s="2">
        <v>0</v>
      </c>
      <c r="AN96">
        <v>0.1</v>
      </c>
      <c r="AO96">
        <v>0</v>
      </c>
      <c r="AP96">
        <v>0</v>
      </c>
      <c r="AQ96" s="2">
        <f>IF((2*G96 + M96 -P96 + 3*W96 + 2*Z96+2*AD96 + AG96+2*AJ96 + 4*AM96) &gt;=8,1,0)</f>
        <v>0</v>
      </c>
    </row>
    <row r="97" spans="1:43" x14ac:dyDescent="0.25">
      <c r="A97" t="s">
        <v>27</v>
      </c>
      <c r="B97" s="1">
        <v>36926</v>
      </c>
      <c r="C97" s="7">
        <f t="shared" si="19"/>
        <v>2001</v>
      </c>
      <c r="D97">
        <v>59.2</v>
      </c>
      <c r="E97">
        <v>38.9</v>
      </c>
      <c r="F97">
        <v>49</v>
      </c>
      <c r="G97" s="2">
        <f t="shared" si="28"/>
        <v>0</v>
      </c>
      <c r="H97">
        <v>59.2</v>
      </c>
      <c r="I97">
        <v>38.5</v>
      </c>
      <c r="J97">
        <v>48.8</v>
      </c>
      <c r="K97">
        <v>39.200000000000003</v>
      </c>
      <c r="L97">
        <v>70</v>
      </c>
      <c r="M97" s="2">
        <f t="shared" si="20"/>
        <v>0</v>
      </c>
      <c r="N97">
        <v>0</v>
      </c>
      <c r="P97" s="2">
        <f t="shared" si="21"/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2">
        <f t="shared" si="22"/>
        <v>0</v>
      </c>
      <c r="X97">
        <v>7</v>
      </c>
      <c r="Z97" s="2">
        <f t="shared" si="23"/>
        <v>0</v>
      </c>
      <c r="AA97">
        <v>260.2</v>
      </c>
      <c r="AB97" s="2" t="str">
        <f>CHOOSE(MATCH(AA97,{0;11;80;111;161;191;241;281;341},1),"North","NorthEast","East","SouthEast","South","SouthWest","West","NorthWest","North")</f>
        <v>West</v>
      </c>
      <c r="AC97" s="5">
        <f>CHOOSE(MATCH(AB97,{"South";"SouthEast";"SouthWest";"North";"NorthEast";"East";"West";"NorthWest"},0),1,2,3,4,5,6,7,8)</f>
        <v>7</v>
      </c>
      <c r="AD97" s="2">
        <f t="shared" si="24"/>
        <v>0</v>
      </c>
      <c r="AE97">
        <v>1021</v>
      </c>
      <c r="AF97" s="4" t="s">
        <v>219</v>
      </c>
      <c r="AG97" s="2">
        <f t="shared" si="25"/>
        <v>1</v>
      </c>
      <c r="AH97" t="s">
        <v>220</v>
      </c>
      <c r="AI97" s="2">
        <f t="shared" si="26"/>
        <v>2</v>
      </c>
      <c r="AJ97" s="2">
        <f t="shared" si="27"/>
        <v>0</v>
      </c>
      <c r="AK97" s="3">
        <v>31.000000006752089</v>
      </c>
      <c r="AM97" s="2">
        <v>0</v>
      </c>
      <c r="AN97">
        <v>0</v>
      </c>
      <c r="AO97">
        <v>1</v>
      </c>
      <c r="AP97">
        <v>0</v>
      </c>
      <c r="AQ97" s="2">
        <f>IF((2*G97 + M97 -P97 + 3*W97 + 2*Z97+2*AD97 + AG97+2*AJ97 + 4*AM97) &gt;=8,1,0)</f>
        <v>0</v>
      </c>
    </row>
    <row r="98" spans="1:43" x14ac:dyDescent="0.25">
      <c r="A98" t="s">
        <v>27</v>
      </c>
      <c r="B98" s="1">
        <v>36937</v>
      </c>
      <c r="C98" s="7">
        <f t="shared" si="19"/>
        <v>2001</v>
      </c>
      <c r="D98">
        <v>50.1</v>
      </c>
      <c r="E98">
        <v>45.4</v>
      </c>
      <c r="F98">
        <v>47.5</v>
      </c>
      <c r="G98" s="2">
        <f t="shared" si="28"/>
        <v>0</v>
      </c>
      <c r="H98">
        <v>50.1</v>
      </c>
      <c r="I98">
        <v>38.700000000000003</v>
      </c>
      <c r="J98">
        <v>43.4</v>
      </c>
      <c r="K98">
        <v>37.1</v>
      </c>
      <c r="L98">
        <v>67.3</v>
      </c>
      <c r="M98" s="2">
        <f t="shared" si="20"/>
        <v>0</v>
      </c>
      <c r="N98">
        <v>3.0000000000000001E-3</v>
      </c>
      <c r="P98" s="2">
        <f t="shared" si="21"/>
        <v>1</v>
      </c>
      <c r="Q98">
        <v>100</v>
      </c>
      <c r="R98">
        <v>4.17</v>
      </c>
      <c r="S98" t="s">
        <v>87</v>
      </c>
      <c r="T98">
        <v>0</v>
      </c>
      <c r="U98">
        <v>0</v>
      </c>
      <c r="V98">
        <v>0</v>
      </c>
      <c r="W98" s="2">
        <f t="shared" si="22"/>
        <v>0</v>
      </c>
      <c r="X98">
        <v>16.8</v>
      </c>
      <c r="Z98" s="2">
        <f t="shared" si="23"/>
        <v>1</v>
      </c>
      <c r="AA98">
        <v>3.2</v>
      </c>
      <c r="AB98" s="2" t="str">
        <f>CHOOSE(MATCH(AA98,{0;11;80;111;161;191;241;281;341},1),"North","NorthEast","East","SouthEast","South","SouthWest","West","NorthWest","North")</f>
        <v>North</v>
      </c>
      <c r="AC98" s="5">
        <f>CHOOSE(MATCH(AB98,{"South";"SouthEast";"SouthWest";"North";"NorthEast";"East";"West";"NorthWest"},0),1,2,3,4,5,6,7,8)</f>
        <v>4</v>
      </c>
      <c r="AD98" s="2">
        <f t="shared" si="24"/>
        <v>1</v>
      </c>
      <c r="AE98">
        <v>1023.8</v>
      </c>
      <c r="AF98" s="4" t="s">
        <v>113</v>
      </c>
      <c r="AG98" s="2">
        <f t="shared" si="25"/>
        <v>1</v>
      </c>
      <c r="AH98" t="s">
        <v>222</v>
      </c>
      <c r="AI98" s="2">
        <f t="shared" si="26"/>
        <v>2</v>
      </c>
      <c r="AJ98" s="2">
        <f t="shared" si="27"/>
        <v>0</v>
      </c>
      <c r="AK98" s="3">
        <v>165.00000000349249</v>
      </c>
      <c r="AM98" s="2">
        <v>0</v>
      </c>
      <c r="AN98">
        <v>1</v>
      </c>
      <c r="AO98">
        <v>0</v>
      </c>
      <c r="AP98">
        <v>0</v>
      </c>
      <c r="AQ98" s="2">
        <f>IF((2*G98 + M98 -P98 + 3*W98 + 2*Z98+2*AD98 + AG98+2*AJ98 + 4*AM98) &gt;=8,1,0)</f>
        <v>0</v>
      </c>
    </row>
    <row r="99" spans="1:43" x14ac:dyDescent="0.25">
      <c r="A99" t="s">
        <v>27</v>
      </c>
      <c r="B99" s="1">
        <v>36943</v>
      </c>
      <c r="C99" s="7">
        <f t="shared" si="19"/>
        <v>2001</v>
      </c>
      <c r="D99">
        <v>56.4</v>
      </c>
      <c r="E99">
        <v>30.3</v>
      </c>
      <c r="F99">
        <v>47.1</v>
      </c>
      <c r="G99" s="2">
        <f t="shared" si="28"/>
        <v>0</v>
      </c>
      <c r="H99">
        <v>56.4</v>
      </c>
      <c r="I99">
        <v>30.3</v>
      </c>
      <c r="J99">
        <v>45.9</v>
      </c>
      <c r="K99">
        <v>31.7</v>
      </c>
      <c r="L99">
        <v>56</v>
      </c>
      <c r="M99" s="2">
        <f t="shared" si="20"/>
        <v>0</v>
      </c>
      <c r="N99">
        <v>0</v>
      </c>
      <c r="P99" s="2">
        <f t="shared" si="21"/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2">
        <f t="shared" si="22"/>
        <v>0</v>
      </c>
      <c r="X99">
        <v>8.5</v>
      </c>
      <c r="Z99" s="2">
        <f t="shared" si="23"/>
        <v>0</v>
      </c>
      <c r="AA99">
        <v>88.8</v>
      </c>
      <c r="AB99" s="2" t="str">
        <f>CHOOSE(MATCH(AA99,{0;11;80;111;161;191;241;281;341},1),"North","NorthEast","East","SouthEast","South","SouthWest","West","NorthWest","North")</f>
        <v>East</v>
      </c>
      <c r="AC99" s="5">
        <f>CHOOSE(MATCH(AB99,{"South";"SouthEast";"SouthWest";"North";"NorthEast";"East";"West";"NorthWest"},0),1,2,3,4,5,6,7,8)</f>
        <v>6</v>
      </c>
      <c r="AD99" s="2">
        <f t="shared" si="24"/>
        <v>0</v>
      </c>
      <c r="AE99">
        <v>1015.8</v>
      </c>
      <c r="AF99" s="4" t="s">
        <v>113</v>
      </c>
      <c r="AG99" s="2">
        <f t="shared" si="25"/>
        <v>1</v>
      </c>
      <c r="AH99" t="s">
        <v>223</v>
      </c>
      <c r="AI99" s="2">
        <f t="shared" si="26"/>
        <v>2</v>
      </c>
      <c r="AJ99" s="2">
        <f t="shared" si="27"/>
        <v>0</v>
      </c>
      <c r="AK99" s="3">
        <v>59.99999999650754</v>
      </c>
      <c r="AM99" s="2">
        <v>0</v>
      </c>
      <c r="AN99">
        <v>0</v>
      </c>
      <c r="AO99">
        <v>1</v>
      </c>
      <c r="AP99">
        <v>0</v>
      </c>
      <c r="AQ99" s="2">
        <f>IF((2*G99 + M99 -P99 + 3*W99 + 2*Z99+2*AD99 + AG99+2*AJ99 + 4*AM99) &gt;=8,1,0)</f>
        <v>0</v>
      </c>
    </row>
    <row r="100" spans="1:43" x14ac:dyDescent="0.25">
      <c r="A100" t="s">
        <v>27</v>
      </c>
      <c r="B100" s="1">
        <v>36945</v>
      </c>
      <c r="C100" s="7">
        <f t="shared" si="19"/>
        <v>2001</v>
      </c>
      <c r="D100">
        <v>63.6</v>
      </c>
      <c r="E100">
        <v>48.8</v>
      </c>
      <c r="F100">
        <v>55.9</v>
      </c>
      <c r="G100" s="2">
        <f t="shared" si="28"/>
        <v>0</v>
      </c>
      <c r="H100">
        <v>63.6</v>
      </c>
      <c r="I100">
        <v>47.8</v>
      </c>
      <c r="J100">
        <v>55.8</v>
      </c>
      <c r="K100">
        <v>43.1</v>
      </c>
      <c r="L100">
        <v>62.8</v>
      </c>
      <c r="M100" s="2">
        <f t="shared" si="20"/>
        <v>0</v>
      </c>
      <c r="N100">
        <v>0</v>
      </c>
      <c r="P100" s="2">
        <f t="shared" si="21"/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2">
        <f t="shared" si="22"/>
        <v>0</v>
      </c>
      <c r="X100">
        <v>9.8000000000000007</v>
      </c>
      <c r="Z100" s="2">
        <f t="shared" si="23"/>
        <v>0</v>
      </c>
      <c r="AA100">
        <v>231</v>
      </c>
      <c r="AB100" s="2" t="str">
        <f>CHOOSE(MATCH(AA100,{0;11;80;111;161;191;241;281;341},1),"North","NorthEast","East","SouthEast","South","SouthWest","West","NorthWest","North")</f>
        <v>SouthWest</v>
      </c>
      <c r="AC100" s="5">
        <f>CHOOSE(MATCH(AB100,{"South";"SouthEast";"SouthWest";"North";"NorthEast";"East";"West";"NorthWest"},0),1,2,3,4,5,6,7,8)</f>
        <v>3</v>
      </c>
      <c r="AD100" s="2">
        <f t="shared" si="24"/>
        <v>1</v>
      </c>
      <c r="AE100">
        <v>1005.9</v>
      </c>
      <c r="AF100" s="4" t="s">
        <v>224</v>
      </c>
      <c r="AG100" s="2">
        <f t="shared" si="25"/>
        <v>1</v>
      </c>
      <c r="AH100" t="s">
        <v>225</v>
      </c>
      <c r="AI100" s="2">
        <f t="shared" si="26"/>
        <v>2</v>
      </c>
      <c r="AJ100" s="2">
        <f t="shared" si="27"/>
        <v>0</v>
      </c>
      <c r="AK100" s="3">
        <v>171.0000000020955</v>
      </c>
      <c r="AM100" s="2">
        <v>0</v>
      </c>
      <c r="AN100">
        <v>0</v>
      </c>
      <c r="AO100">
        <v>1</v>
      </c>
      <c r="AP100">
        <v>0</v>
      </c>
      <c r="AQ100" s="2">
        <f>IF((2*G100 + M100 -P100 + 3*W100 + 2*Z100+2*AD100 + AG100+2*AJ100 + 4*AM100) &gt;=8,1,0)</f>
        <v>0</v>
      </c>
    </row>
    <row r="101" spans="1:43" x14ac:dyDescent="0.25">
      <c r="A101" t="s">
        <v>27</v>
      </c>
      <c r="B101" s="1">
        <v>36947</v>
      </c>
      <c r="C101" s="7">
        <f t="shared" si="19"/>
        <v>2001</v>
      </c>
      <c r="D101">
        <v>64.2</v>
      </c>
      <c r="E101">
        <v>52.4</v>
      </c>
      <c r="F101">
        <v>58.4</v>
      </c>
      <c r="G101" s="2">
        <f t="shared" si="28"/>
        <v>0</v>
      </c>
      <c r="H101">
        <v>64.2</v>
      </c>
      <c r="I101">
        <v>52.4</v>
      </c>
      <c r="J101">
        <v>58.4</v>
      </c>
      <c r="K101">
        <v>48.5</v>
      </c>
      <c r="L101">
        <v>70.099999999999994</v>
      </c>
      <c r="M101" s="2">
        <f t="shared" si="20"/>
        <v>0</v>
      </c>
      <c r="N101">
        <v>0</v>
      </c>
      <c r="P101" s="2">
        <f t="shared" si="21"/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2">
        <f t="shared" si="22"/>
        <v>0</v>
      </c>
      <c r="X101">
        <v>14.1</v>
      </c>
      <c r="Z101" s="2">
        <f t="shared" si="23"/>
        <v>0</v>
      </c>
      <c r="AA101">
        <v>167.4</v>
      </c>
      <c r="AB101" s="2" t="str">
        <f>CHOOSE(MATCH(AA101,{0;11;80;111;161;191;241;281;341},1),"North","NorthEast","East","SouthEast","South","SouthWest","West","NorthWest","North")</f>
        <v>South</v>
      </c>
      <c r="AC101" s="5">
        <f>CHOOSE(MATCH(AB101,{"South";"SouthEast";"SouthWest";"North";"NorthEast";"East";"West";"NorthWest"},0),1,2,3,4,5,6,7,8)</f>
        <v>1</v>
      </c>
      <c r="AD101" s="2">
        <f t="shared" si="24"/>
        <v>0</v>
      </c>
      <c r="AE101">
        <v>1007.9</v>
      </c>
      <c r="AF101" s="4" t="s">
        <v>226</v>
      </c>
      <c r="AG101" s="2">
        <f t="shared" si="25"/>
        <v>1</v>
      </c>
      <c r="AH101" t="s">
        <v>227</v>
      </c>
      <c r="AI101" s="2">
        <f t="shared" si="26"/>
        <v>2</v>
      </c>
      <c r="AJ101" s="2">
        <f t="shared" si="27"/>
        <v>0</v>
      </c>
      <c r="AK101" s="3">
        <v>56.000000004423782</v>
      </c>
      <c r="AM101" s="2">
        <v>0</v>
      </c>
      <c r="AN101">
        <v>0</v>
      </c>
      <c r="AO101">
        <v>1</v>
      </c>
      <c r="AP101">
        <v>0</v>
      </c>
      <c r="AQ101" s="2">
        <f>IF((2*G101 + M101 -P101 + 3*W101 + 2*Z101+2*AD101 + AG101+2*AJ101 + 4*AM101) &gt;=8,1,0)</f>
        <v>0</v>
      </c>
    </row>
    <row r="102" spans="1:43" x14ac:dyDescent="0.25">
      <c r="A102" t="s">
        <v>27</v>
      </c>
      <c r="B102" s="1">
        <v>36948</v>
      </c>
      <c r="C102" s="7">
        <f t="shared" si="19"/>
        <v>2001</v>
      </c>
      <c r="D102">
        <v>66.599999999999994</v>
      </c>
      <c r="E102">
        <v>56.2</v>
      </c>
      <c r="F102">
        <v>62</v>
      </c>
      <c r="G102" s="2">
        <f t="shared" si="28"/>
        <v>0</v>
      </c>
      <c r="H102">
        <v>66.599999999999994</v>
      </c>
      <c r="I102">
        <v>56.2</v>
      </c>
      <c r="J102">
        <v>62</v>
      </c>
      <c r="K102">
        <v>47.5</v>
      </c>
      <c r="L102">
        <v>59.2</v>
      </c>
      <c r="M102" s="2">
        <f t="shared" si="20"/>
        <v>0</v>
      </c>
      <c r="N102">
        <v>0</v>
      </c>
      <c r="P102" s="2">
        <f t="shared" si="21"/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2">
        <f t="shared" si="22"/>
        <v>0</v>
      </c>
      <c r="X102">
        <v>16.399999999999999</v>
      </c>
      <c r="Z102" s="2">
        <f t="shared" si="23"/>
        <v>1</v>
      </c>
      <c r="AA102">
        <v>166.9</v>
      </c>
      <c r="AB102" s="2" t="str">
        <f>CHOOSE(MATCH(AA102,{0;11;80;111;161;191;241;281;341},1),"North","NorthEast","East","SouthEast","South","SouthWest","West","NorthWest","North")</f>
        <v>South</v>
      </c>
      <c r="AC102" s="5">
        <f>CHOOSE(MATCH(AB102,{"South";"SouthEast";"SouthWest";"North";"NorthEast";"East";"West";"NorthWest"},0),1,2,3,4,5,6,7,8)</f>
        <v>1</v>
      </c>
      <c r="AD102" s="2">
        <f t="shared" si="24"/>
        <v>0</v>
      </c>
      <c r="AE102">
        <v>1000.8</v>
      </c>
      <c r="AF102" s="4" t="s">
        <v>228</v>
      </c>
      <c r="AG102" s="2">
        <f t="shared" si="25"/>
        <v>1</v>
      </c>
      <c r="AH102" t="s">
        <v>229</v>
      </c>
      <c r="AI102" s="2">
        <f t="shared" si="26"/>
        <v>2</v>
      </c>
      <c r="AJ102" s="2">
        <f t="shared" si="27"/>
        <v>0</v>
      </c>
      <c r="AK102" s="3">
        <v>75.99999999627471</v>
      </c>
      <c r="AM102" s="2">
        <v>0</v>
      </c>
      <c r="AN102">
        <v>0</v>
      </c>
      <c r="AO102">
        <v>2</v>
      </c>
      <c r="AP102">
        <v>0</v>
      </c>
      <c r="AQ102" s="2">
        <f>IF((2*G102 + M102 -P102 + 3*W102 + 2*Z102+2*AD102 + AG102+2*AJ102 + 4*AM102) &gt;=8,1,0)</f>
        <v>0</v>
      </c>
    </row>
    <row r="103" spans="1:43" x14ac:dyDescent="0.25">
      <c r="A103" t="s">
        <v>27</v>
      </c>
      <c r="B103" s="1">
        <v>36958</v>
      </c>
      <c r="C103" s="7">
        <f t="shared" si="19"/>
        <v>2001</v>
      </c>
      <c r="D103">
        <v>57.3</v>
      </c>
      <c r="E103">
        <v>46</v>
      </c>
      <c r="F103">
        <v>51.3</v>
      </c>
      <c r="G103" s="2">
        <f t="shared" si="28"/>
        <v>0</v>
      </c>
      <c r="H103">
        <v>57.3</v>
      </c>
      <c r="I103">
        <v>39.799999999999997</v>
      </c>
      <c r="J103">
        <v>49</v>
      </c>
      <c r="K103">
        <v>32.4</v>
      </c>
      <c r="L103">
        <v>49.8</v>
      </c>
      <c r="M103" s="2">
        <f t="shared" si="20"/>
        <v>0</v>
      </c>
      <c r="N103">
        <v>0</v>
      </c>
      <c r="P103" s="2">
        <f t="shared" si="21"/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2">
        <f t="shared" si="22"/>
        <v>0</v>
      </c>
      <c r="X103">
        <v>28</v>
      </c>
      <c r="Z103" s="2">
        <f t="shared" si="23"/>
        <v>1</v>
      </c>
      <c r="AA103">
        <v>359.7</v>
      </c>
      <c r="AB103" s="2" t="str">
        <f>CHOOSE(MATCH(AA103,{0;11;80;111;161;191;241;281;341},1),"North","NorthEast","East","SouthEast","South","SouthWest","West","NorthWest","North")</f>
        <v>North</v>
      </c>
      <c r="AC103" s="5">
        <f>CHOOSE(MATCH(AB103,{"South";"SouthEast";"SouthWest";"North";"NorthEast";"East";"West";"NorthWest"},0),1,2,3,4,5,6,7,8)</f>
        <v>4</v>
      </c>
      <c r="AD103" s="2">
        <f t="shared" si="24"/>
        <v>1</v>
      </c>
      <c r="AE103">
        <v>1019.2</v>
      </c>
      <c r="AF103" s="4" t="s">
        <v>231</v>
      </c>
      <c r="AG103" s="2">
        <f t="shared" si="25"/>
        <v>1</v>
      </c>
      <c r="AH103" t="s">
        <v>232</v>
      </c>
      <c r="AI103" s="2">
        <f t="shared" si="26"/>
        <v>3</v>
      </c>
      <c r="AJ103" s="2">
        <f t="shared" si="27"/>
        <v>0</v>
      </c>
      <c r="AK103" s="3">
        <v>94.999999995343387</v>
      </c>
      <c r="AM103" s="2">
        <v>0</v>
      </c>
      <c r="AN103">
        <v>0</v>
      </c>
      <c r="AO103">
        <v>0.1</v>
      </c>
      <c r="AP103">
        <v>0</v>
      </c>
      <c r="AQ103" s="2">
        <f>IF((2*G103 + M103 -P103 + 3*W103 + 2*Z103+2*AD103 + AG103+2*AJ103 + 4*AM103) &gt;=8,1,0)</f>
        <v>0</v>
      </c>
    </row>
    <row r="104" spans="1:43" x14ac:dyDescent="0.25">
      <c r="A104" t="s">
        <v>27</v>
      </c>
      <c r="B104" s="1">
        <v>36968</v>
      </c>
      <c r="C104" s="7">
        <f t="shared" si="19"/>
        <v>2001</v>
      </c>
      <c r="D104">
        <v>64.8</v>
      </c>
      <c r="E104">
        <v>55.2</v>
      </c>
      <c r="F104">
        <v>60.4</v>
      </c>
      <c r="G104" s="2">
        <f t="shared" si="28"/>
        <v>0</v>
      </c>
      <c r="H104">
        <v>64.8</v>
      </c>
      <c r="I104">
        <v>55.2</v>
      </c>
      <c r="J104">
        <v>60.4</v>
      </c>
      <c r="K104">
        <v>53.2</v>
      </c>
      <c r="L104">
        <v>77.5</v>
      </c>
      <c r="M104" s="2">
        <f t="shared" si="20"/>
        <v>0</v>
      </c>
      <c r="N104">
        <v>0</v>
      </c>
      <c r="P104" s="2">
        <f t="shared" si="21"/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2">
        <f t="shared" si="22"/>
        <v>0</v>
      </c>
      <c r="X104">
        <v>10.6</v>
      </c>
      <c r="Z104" s="2">
        <f t="shared" si="23"/>
        <v>0</v>
      </c>
      <c r="AA104">
        <v>157.80000000000001</v>
      </c>
      <c r="AB104" s="2" t="str">
        <f>CHOOSE(MATCH(AA104,{0;11;80;111;161;191;241;281;341},1),"North","NorthEast","East","SouthEast","South","SouthWest","West","NorthWest","North")</f>
        <v>SouthEast</v>
      </c>
      <c r="AC104" s="5">
        <f>CHOOSE(MATCH(AB104,{"South";"SouthEast";"SouthWest";"North";"NorthEast";"East";"West";"NorthWest"},0),1,2,3,4,5,6,7,8)</f>
        <v>2</v>
      </c>
      <c r="AD104" s="2">
        <f t="shared" si="24"/>
        <v>0</v>
      </c>
      <c r="AE104">
        <v>1013.8</v>
      </c>
      <c r="AF104" s="4" t="s">
        <v>233</v>
      </c>
      <c r="AG104" s="2">
        <f t="shared" si="25"/>
        <v>0</v>
      </c>
      <c r="AH104" t="s">
        <v>234</v>
      </c>
      <c r="AI104" s="2">
        <f t="shared" si="26"/>
        <v>3</v>
      </c>
      <c r="AJ104" s="2">
        <f t="shared" si="27"/>
        <v>0</v>
      </c>
      <c r="AK104" s="3">
        <v>206.00000000093129</v>
      </c>
      <c r="AM104" s="2">
        <v>0</v>
      </c>
      <c r="AN104">
        <v>0</v>
      </c>
      <c r="AO104">
        <v>3</v>
      </c>
      <c r="AP104">
        <v>0</v>
      </c>
      <c r="AQ104" s="2">
        <f>IF((2*G104 + M104 -P104 + 3*W104 + 2*Z104+2*AD104 + AG104+2*AJ104 + 4*AM104) &gt;=8,1,0)</f>
        <v>0</v>
      </c>
    </row>
    <row r="105" spans="1:43" x14ac:dyDescent="0.25">
      <c r="A105" t="s">
        <v>27</v>
      </c>
      <c r="B105" s="1">
        <v>36974</v>
      </c>
      <c r="C105" s="7">
        <f t="shared" si="19"/>
        <v>2001</v>
      </c>
      <c r="D105">
        <v>74.900000000000006</v>
      </c>
      <c r="E105">
        <v>53.5</v>
      </c>
      <c r="F105">
        <v>63.8</v>
      </c>
      <c r="G105" s="2">
        <f t="shared" si="28"/>
        <v>0</v>
      </c>
      <c r="H105">
        <v>74.900000000000006</v>
      </c>
      <c r="I105">
        <v>53.5</v>
      </c>
      <c r="J105">
        <v>63.8</v>
      </c>
      <c r="K105">
        <v>49.6</v>
      </c>
      <c r="L105">
        <v>61.2</v>
      </c>
      <c r="M105" s="2">
        <f t="shared" si="20"/>
        <v>0</v>
      </c>
      <c r="N105">
        <v>0</v>
      </c>
      <c r="P105" s="2">
        <f t="shared" si="21"/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2">
        <f t="shared" si="22"/>
        <v>0</v>
      </c>
      <c r="X105">
        <v>9.4</v>
      </c>
      <c r="Z105" s="2">
        <f t="shared" si="23"/>
        <v>0</v>
      </c>
      <c r="AA105">
        <v>212.3</v>
      </c>
      <c r="AB105" s="2" t="str">
        <f>CHOOSE(MATCH(AA105,{0;11;80;111;161;191;241;281;341},1),"North","NorthEast","East","SouthEast","South","SouthWest","West","NorthWest","North")</f>
        <v>SouthWest</v>
      </c>
      <c r="AC105" s="5">
        <f>CHOOSE(MATCH(AB105,{"South";"SouthEast";"SouthWest";"North";"NorthEast";"East";"West";"NorthWest"},0),1,2,3,4,5,6,7,8)</f>
        <v>3</v>
      </c>
      <c r="AD105" s="2">
        <f t="shared" si="24"/>
        <v>1</v>
      </c>
      <c r="AE105">
        <v>1011.9</v>
      </c>
      <c r="AF105" s="4" t="s">
        <v>80</v>
      </c>
      <c r="AG105" s="2">
        <f t="shared" si="25"/>
        <v>1</v>
      </c>
      <c r="AH105" t="s">
        <v>235</v>
      </c>
      <c r="AI105" s="2">
        <f t="shared" si="26"/>
        <v>3</v>
      </c>
      <c r="AJ105" s="2">
        <f t="shared" si="27"/>
        <v>0</v>
      </c>
      <c r="AK105" s="3">
        <v>135</v>
      </c>
      <c r="AM105" s="2">
        <v>0</v>
      </c>
      <c r="AN105">
        <v>0.1</v>
      </c>
      <c r="AO105">
        <v>0</v>
      </c>
      <c r="AP105">
        <v>0</v>
      </c>
      <c r="AQ105" s="2">
        <f>IF((2*G105 + M105 -P105 + 3*W105 + 2*Z105+2*AD105 + AG105+2*AJ105 + 4*AM105) &gt;=8,1,0)</f>
        <v>0</v>
      </c>
    </row>
    <row r="106" spans="1:43" x14ac:dyDescent="0.25">
      <c r="A106" t="s">
        <v>27</v>
      </c>
      <c r="B106" s="1">
        <v>36995</v>
      </c>
      <c r="C106" s="7">
        <f t="shared" si="19"/>
        <v>2001</v>
      </c>
      <c r="D106">
        <v>65.900000000000006</v>
      </c>
      <c r="E106">
        <v>53.7</v>
      </c>
      <c r="F106">
        <v>58.8</v>
      </c>
      <c r="G106" s="2">
        <f t="shared" si="28"/>
        <v>0</v>
      </c>
      <c r="H106">
        <v>65.900000000000006</v>
      </c>
      <c r="I106">
        <v>53.7</v>
      </c>
      <c r="J106">
        <v>58.8</v>
      </c>
      <c r="K106">
        <v>43.8</v>
      </c>
      <c r="L106">
        <v>58.2</v>
      </c>
      <c r="M106" s="2">
        <f t="shared" si="20"/>
        <v>0</v>
      </c>
      <c r="N106">
        <v>0</v>
      </c>
      <c r="P106" s="2">
        <f t="shared" si="21"/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2">
        <f t="shared" si="22"/>
        <v>0</v>
      </c>
      <c r="X106">
        <v>11.4</v>
      </c>
      <c r="Z106" s="2">
        <f t="shared" si="23"/>
        <v>0</v>
      </c>
      <c r="AA106">
        <v>271.10000000000002</v>
      </c>
      <c r="AB106" s="2" t="str">
        <f>CHOOSE(MATCH(AA106,{0;11;80;111;161;191;241;281;341},1),"North","NorthEast","East","SouthEast","South","SouthWest","West","NorthWest","North")</f>
        <v>West</v>
      </c>
      <c r="AC106" s="5">
        <f>CHOOSE(MATCH(AB106,{"South";"SouthEast";"SouthWest";"North";"NorthEast";"East";"West";"NorthWest"},0),1,2,3,4,5,6,7,8)</f>
        <v>7</v>
      </c>
      <c r="AD106" s="2">
        <f t="shared" si="24"/>
        <v>0</v>
      </c>
      <c r="AE106">
        <v>1009.9</v>
      </c>
      <c r="AF106" s="4" t="s">
        <v>237</v>
      </c>
      <c r="AG106" s="2">
        <f t="shared" si="25"/>
        <v>1</v>
      </c>
      <c r="AH106" t="s">
        <v>238</v>
      </c>
      <c r="AI106" s="2">
        <f t="shared" si="26"/>
        <v>4</v>
      </c>
      <c r="AJ106" s="2">
        <f t="shared" si="27"/>
        <v>0</v>
      </c>
      <c r="AK106" s="3">
        <v>114.0000000048894</v>
      </c>
      <c r="AM106" s="2">
        <v>0</v>
      </c>
      <c r="AN106">
        <v>0.1</v>
      </c>
      <c r="AO106">
        <v>0</v>
      </c>
      <c r="AP106">
        <v>0</v>
      </c>
      <c r="AQ106" s="2">
        <f>IF((2*G106 + M106 -P106 + 3*W106 + 2*Z106+2*AD106 + AG106+2*AJ106 + 4*AM106) &gt;=8,1,0)</f>
        <v>0</v>
      </c>
    </row>
    <row r="107" spans="1:43" x14ac:dyDescent="0.25">
      <c r="A107" t="s">
        <v>27</v>
      </c>
      <c r="B107" s="1">
        <v>37012</v>
      </c>
      <c r="C107" s="7">
        <f t="shared" si="19"/>
        <v>2001</v>
      </c>
      <c r="D107">
        <v>75.8</v>
      </c>
      <c r="E107">
        <v>63.6</v>
      </c>
      <c r="F107">
        <v>68.900000000000006</v>
      </c>
      <c r="G107" s="2">
        <f t="shared" si="28"/>
        <v>0</v>
      </c>
      <c r="H107">
        <v>75.8</v>
      </c>
      <c r="I107">
        <v>63.6</v>
      </c>
      <c r="J107">
        <v>68.900000000000006</v>
      </c>
      <c r="K107">
        <v>42.1</v>
      </c>
      <c r="L107">
        <v>39.299999999999997</v>
      </c>
      <c r="M107" s="2">
        <f t="shared" si="20"/>
        <v>1</v>
      </c>
      <c r="N107">
        <v>0</v>
      </c>
      <c r="P107" s="2">
        <f t="shared" si="21"/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2">
        <f t="shared" si="22"/>
        <v>0</v>
      </c>
      <c r="X107">
        <v>21.9</v>
      </c>
      <c r="Z107" s="2">
        <f t="shared" si="23"/>
        <v>1</v>
      </c>
      <c r="AA107">
        <v>349.8</v>
      </c>
      <c r="AB107" s="2" t="str">
        <f>CHOOSE(MATCH(AA107,{0;11;80;111;161;191;241;281;341},1),"North","NorthEast","East","SouthEast","South","SouthWest","West","NorthWest","North")</f>
        <v>North</v>
      </c>
      <c r="AC107" s="5">
        <f>CHOOSE(MATCH(AB107,{"South";"SouthEast";"SouthWest";"North";"NorthEast";"East";"West";"NorthWest"},0),1,2,3,4,5,6,7,8)</f>
        <v>4</v>
      </c>
      <c r="AD107" s="2">
        <f t="shared" si="24"/>
        <v>1</v>
      </c>
      <c r="AE107">
        <v>1014.1</v>
      </c>
      <c r="AF107" s="4" t="s">
        <v>42</v>
      </c>
      <c r="AG107" s="2">
        <f t="shared" si="25"/>
        <v>1</v>
      </c>
      <c r="AH107" t="s">
        <v>239</v>
      </c>
      <c r="AI107" s="2">
        <f t="shared" si="26"/>
        <v>5</v>
      </c>
      <c r="AJ107" s="2">
        <f t="shared" si="27"/>
        <v>0</v>
      </c>
      <c r="AK107" s="3">
        <v>4290.0000000069849</v>
      </c>
      <c r="AM107" s="2">
        <v>1</v>
      </c>
      <c r="AN107">
        <v>100</v>
      </c>
      <c r="AO107">
        <v>0</v>
      </c>
      <c r="AP107">
        <v>0</v>
      </c>
      <c r="AQ107" s="2">
        <f>IF((2*G107 + M107 -P107 + 3*W107 + 2*Z107+2*AD107 + AG107+2*AJ107 + 4*AM107) &gt;=8,1,0)</f>
        <v>1</v>
      </c>
    </row>
    <row r="108" spans="1:43" x14ac:dyDescent="0.25">
      <c r="A108" t="s">
        <v>27</v>
      </c>
      <c r="B108" s="1">
        <v>37015</v>
      </c>
      <c r="C108" s="7">
        <f t="shared" si="19"/>
        <v>2001</v>
      </c>
      <c r="D108">
        <v>76.2</v>
      </c>
      <c r="E108">
        <v>55.5</v>
      </c>
      <c r="F108">
        <v>66.7</v>
      </c>
      <c r="G108" s="2">
        <f t="shared" si="28"/>
        <v>0</v>
      </c>
      <c r="H108">
        <v>76.2</v>
      </c>
      <c r="I108">
        <v>55.5</v>
      </c>
      <c r="J108">
        <v>66.7</v>
      </c>
      <c r="K108">
        <v>47.3</v>
      </c>
      <c r="L108">
        <v>50.4</v>
      </c>
      <c r="M108" s="2">
        <f t="shared" si="20"/>
        <v>0</v>
      </c>
      <c r="N108">
        <v>0</v>
      </c>
      <c r="P108" s="2">
        <f t="shared" si="21"/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2">
        <f t="shared" si="22"/>
        <v>0</v>
      </c>
      <c r="X108">
        <v>9.1999999999999993</v>
      </c>
      <c r="Z108" s="2">
        <f t="shared" si="23"/>
        <v>0</v>
      </c>
      <c r="AA108">
        <v>226</v>
      </c>
      <c r="AB108" s="2" t="str">
        <f>CHOOSE(MATCH(AA108,{0;11;80;111;161;191;241;281;341},1),"North","NorthEast","East","SouthEast","South","SouthWest","West","NorthWest","North")</f>
        <v>SouthWest</v>
      </c>
      <c r="AC108" s="5">
        <f>CHOOSE(MATCH(AB108,{"South";"SouthEast";"SouthWest";"North";"NorthEast";"East";"West";"NorthWest"},0),1,2,3,4,5,6,7,8)</f>
        <v>3</v>
      </c>
      <c r="AD108" s="2">
        <f t="shared" si="24"/>
        <v>1</v>
      </c>
      <c r="AE108">
        <v>1008.4</v>
      </c>
      <c r="AF108" s="4" t="s">
        <v>240</v>
      </c>
      <c r="AG108" s="2">
        <f t="shared" si="25"/>
        <v>1</v>
      </c>
      <c r="AH108" t="s">
        <v>241</v>
      </c>
      <c r="AI108" s="2">
        <f t="shared" si="26"/>
        <v>5</v>
      </c>
      <c r="AJ108" s="2">
        <f t="shared" si="27"/>
        <v>0</v>
      </c>
      <c r="AK108" s="3">
        <v>129.99999999417921</v>
      </c>
      <c r="AM108" s="2">
        <v>0</v>
      </c>
      <c r="AN108">
        <v>0</v>
      </c>
      <c r="AO108">
        <v>0.2</v>
      </c>
      <c r="AP108">
        <v>0</v>
      </c>
      <c r="AQ108" s="2">
        <f>IF((2*G108 + M108 -P108 + 3*W108 + 2*Z108+2*AD108 + AG108+2*AJ108 + 4*AM108) &gt;=8,1,0)</f>
        <v>0</v>
      </c>
    </row>
    <row r="109" spans="1:43" x14ac:dyDescent="0.25">
      <c r="A109" t="s">
        <v>27</v>
      </c>
      <c r="B109" s="1">
        <v>37022</v>
      </c>
      <c r="C109" s="7">
        <f t="shared" si="19"/>
        <v>2001</v>
      </c>
      <c r="D109">
        <v>71.3</v>
      </c>
      <c r="E109">
        <v>55.5</v>
      </c>
      <c r="F109">
        <v>63.4</v>
      </c>
      <c r="G109" s="2">
        <f t="shared" si="28"/>
        <v>0</v>
      </c>
      <c r="H109">
        <v>71.3</v>
      </c>
      <c r="I109">
        <v>55.5</v>
      </c>
      <c r="J109">
        <v>63.4</v>
      </c>
      <c r="K109">
        <v>45.6</v>
      </c>
      <c r="L109">
        <v>52.9</v>
      </c>
      <c r="M109" s="2">
        <f t="shared" si="20"/>
        <v>0</v>
      </c>
      <c r="N109">
        <v>0</v>
      </c>
      <c r="P109" s="2">
        <f t="shared" si="21"/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2">
        <f t="shared" si="22"/>
        <v>0</v>
      </c>
      <c r="X109">
        <v>15</v>
      </c>
      <c r="Z109" s="2">
        <f t="shared" si="23"/>
        <v>0</v>
      </c>
      <c r="AA109">
        <v>255.4</v>
      </c>
      <c r="AB109" s="2" t="str">
        <f>CHOOSE(MATCH(AA109,{0;11;80;111;161;191;241;281;341},1),"North","NorthEast","East","SouthEast","South","SouthWest","West","NorthWest","North")</f>
        <v>West</v>
      </c>
      <c r="AC109" s="5">
        <f>CHOOSE(MATCH(AB109,{"South";"SouthEast";"SouthWest";"North";"NorthEast";"East";"West";"NorthWest"},0),1,2,3,4,5,6,7,8)</f>
        <v>7</v>
      </c>
      <c r="AD109" s="2">
        <f t="shared" si="24"/>
        <v>0</v>
      </c>
      <c r="AE109">
        <v>1011.2</v>
      </c>
      <c r="AF109" s="4" t="s">
        <v>242</v>
      </c>
      <c r="AG109" s="2">
        <f t="shared" si="25"/>
        <v>1</v>
      </c>
      <c r="AH109" t="s">
        <v>243</v>
      </c>
      <c r="AI109" s="2">
        <f t="shared" si="26"/>
        <v>5</v>
      </c>
      <c r="AJ109" s="2">
        <f t="shared" si="27"/>
        <v>0</v>
      </c>
      <c r="AK109" s="3">
        <v>74.999999993015081</v>
      </c>
      <c r="AM109" s="2">
        <v>0</v>
      </c>
      <c r="AN109">
        <v>0</v>
      </c>
      <c r="AO109">
        <v>0.1</v>
      </c>
      <c r="AP109">
        <v>0</v>
      </c>
      <c r="AQ109" s="2">
        <f>IF((2*G109 + M109 -P109 + 3*W109 + 2*Z109+2*AD109 + AG109+2*AJ109 + 4*AM109) &gt;=8,1,0)</f>
        <v>0</v>
      </c>
    </row>
    <row r="110" spans="1:43" x14ac:dyDescent="0.25">
      <c r="A110" t="s">
        <v>27</v>
      </c>
      <c r="B110" s="1">
        <v>37031</v>
      </c>
      <c r="C110" s="7">
        <f t="shared" si="19"/>
        <v>2001</v>
      </c>
      <c r="D110">
        <v>85.7</v>
      </c>
      <c r="E110">
        <v>69.400000000000006</v>
      </c>
      <c r="F110">
        <v>75.900000000000006</v>
      </c>
      <c r="G110" s="2">
        <f t="shared" si="28"/>
        <v>1</v>
      </c>
      <c r="H110">
        <v>84.3</v>
      </c>
      <c r="I110">
        <v>69.400000000000006</v>
      </c>
      <c r="J110">
        <v>75.8</v>
      </c>
      <c r="K110">
        <v>55.1</v>
      </c>
      <c r="L110">
        <v>49.7</v>
      </c>
      <c r="M110" s="2">
        <f t="shared" si="20"/>
        <v>0</v>
      </c>
      <c r="N110">
        <v>0</v>
      </c>
      <c r="P110" s="2">
        <f t="shared" si="21"/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2">
        <f t="shared" si="22"/>
        <v>0</v>
      </c>
      <c r="X110">
        <v>19.600000000000001</v>
      </c>
      <c r="Z110" s="2">
        <f t="shared" si="23"/>
        <v>1</v>
      </c>
      <c r="AA110">
        <v>53</v>
      </c>
      <c r="AB110" s="2" t="str">
        <f>CHOOSE(MATCH(AA110,{0;11;80;111;161;191;241;281;341},1),"North","NorthEast","East","SouthEast","South","SouthWest","West","NorthWest","North")</f>
        <v>NorthEast</v>
      </c>
      <c r="AC110" s="5">
        <f>CHOOSE(MATCH(AB110,{"South";"SouthEast";"SouthWest";"North";"NorthEast";"East";"West";"NorthWest"},0),1,2,3,4,5,6,7,8)</f>
        <v>5</v>
      </c>
      <c r="AD110" s="2">
        <f t="shared" si="24"/>
        <v>1</v>
      </c>
      <c r="AE110">
        <v>1016.4</v>
      </c>
      <c r="AF110" s="4" t="s">
        <v>244</v>
      </c>
      <c r="AG110" s="2">
        <f t="shared" si="25"/>
        <v>1</v>
      </c>
      <c r="AH110" t="s">
        <v>245</v>
      </c>
      <c r="AI110" s="2">
        <f t="shared" si="26"/>
        <v>5</v>
      </c>
      <c r="AJ110" s="2">
        <f t="shared" si="27"/>
        <v>0</v>
      </c>
      <c r="AK110" s="3">
        <v>10.00000000116415</v>
      </c>
      <c r="AM110" s="2">
        <v>0</v>
      </c>
      <c r="AN110">
        <v>0.1</v>
      </c>
      <c r="AO110">
        <v>0</v>
      </c>
      <c r="AP110">
        <v>0</v>
      </c>
      <c r="AQ110" s="2">
        <f>IF((2*G110 + M110 -P110 + 3*W110 + 2*Z110+2*AD110 + AG110+2*AJ110 + 4*AM110) &gt;=8,1,0)</f>
        <v>0</v>
      </c>
    </row>
    <row r="111" spans="1:43" x14ac:dyDescent="0.25">
      <c r="A111" t="s">
        <v>27</v>
      </c>
      <c r="B111" s="1">
        <v>37032</v>
      </c>
      <c r="C111" s="7">
        <f t="shared" si="19"/>
        <v>2001</v>
      </c>
      <c r="D111">
        <v>80.2</v>
      </c>
      <c r="E111">
        <v>64.3</v>
      </c>
      <c r="F111">
        <v>73</v>
      </c>
      <c r="G111" s="2">
        <f t="shared" si="28"/>
        <v>0</v>
      </c>
      <c r="H111">
        <v>80</v>
      </c>
      <c r="I111">
        <v>64.3</v>
      </c>
      <c r="J111">
        <v>73</v>
      </c>
      <c r="K111">
        <v>54.9</v>
      </c>
      <c r="L111">
        <v>54.5</v>
      </c>
      <c r="M111" s="2">
        <f t="shared" si="20"/>
        <v>0</v>
      </c>
      <c r="N111">
        <v>0</v>
      </c>
      <c r="P111" s="2">
        <f t="shared" si="21"/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2">
        <f t="shared" si="22"/>
        <v>0</v>
      </c>
      <c r="X111">
        <v>9.8000000000000007</v>
      </c>
      <c r="Z111" s="2">
        <f t="shared" si="23"/>
        <v>0</v>
      </c>
      <c r="AA111">
        <v>197.3</v>
      </c>
      <c r="AB111" s="2" t="str">
        <f>CHOOSE(MATCH(AA111,{0;11;80;111;161;191;241;281;341},1),"North","NorthEast","East","SouthEast","South","SouthWest","West","NorthWest","North")</f>
        <v>SouthWest</v>
      </c>
      <c r="AC111" s="5">
        <f>CHOOSE(MATCH(AB111,{"South";"SouthEast";"SouthWest";"North";"NorthEast";"East";"West";"NorthWest"},0),1,2,3,4,5,6,7,8)</f>
        <v>3</v>
      </c>
      <c r="AD111" s="2">
        <f t="shared" si="24"/>
        <v>1</v>
      </c>
      <c r="AE111">
        <v>1020</v>
      </c>
      <c r="AF111" s="4" t="s">
        <v>201</v>
      </c>
      <c r="AG111" s="2">
        <f t="shared" si="25"/>
        <v>1</v>
      </c>
      <c r="AH111" t="s">
        <v>246</v>
      </c>
      <c r="AI111" s="2">
        <f t="shared" si="26"/>
        <v>5</v>
      </c>
      <c r="AJ111" s="2">
        <f t="shared" si="27"/>
        <v>0</v>
      </c>
      <c r="AK111" s="3">
        <v>190.00000000116421</v>
      </c>
      <c r="AM111" s="2">
        <v>0</v>
      </c>
      <c r="AN111">
        <v>3</v>
      </c>
      <c r="AO111">
        <v>0</v>
      </c>
      <c r="AP111">
        <v>0</v>
      </c>
      <c r="AQ111" s="2">
        <f>IF((2*G111 + M111 -P111 + 3*W111 + 2*Z111+2*AD111 + AG111+2*AJ111 + 4*AM111) &gt;=8,1,0)</f>
        <v>0</v>
      </c>
    </row>
    <row r="112" spans="1:43" x14ac:dyDescent="0.25">
      <c r="A112" t="s">
        <v>27</v>
      </c>
      <c r="B112" s="1">
        <v>37033</v>
      </c>
      <c r="C112" s="7">
        <f t="shared" si="19"/>
        <v>2001</v>
      </c>
      <c r="D112">
        <v>75.400000000000006</v>
      </c>
      <c r="E112">
        <v>63.8</v>
      </c>
      <c r="F112">
        <v>69.599999999999994</v>
      </c>
      <c r="G112" s="2">
        <f t="shared" si="28"/>
        <v>0</v>
      </c>
      <c r="H112">
        <v>75.400000000000006</v>
      </c>
      <c r="I112">
        <v>63.8</v>
      </c>
      <c r="J112">
        <v>69.599999999999994</v>
      </c>
      <c r="K112">
        <v>56</v>
      </c>
      <c r="L112">
        <v>62.7</v>
      </c>
      <c r="M112" s="2">
        <f t="shared" si="20"/>
        <v>0</v>
      </c>
      <c r="N112">
        <v>0</v>
      </c>
      <c r="P112" s="2">
        <f t="shared" si="21"/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2">
        <f t="shared" si="22"/>
        <v>0</v>
      </c>
      <c r="X112">
        <v>9.3000000000000007</v>
      </c>
      <c r="Z112" s="2">
        <f t="shared" si="23"/>
        <v>0</v>
      </c>
      <c r="AA112">
        <v>187.6</v>
      </c>
      <c r="AB112" s="2" t="str">
        <f>CHOOSE(MATCH(AA112,{0;11;80;111;161;191;241;281;341},1),"North","NorthEast","East","SouthEast","South","SouthWest","West","NorthWest","North")</f>
        <v>South</v>
      </c>
      <c r="AC112" s="5">
        <f>CHOOSE(MATCH(AB112,{"South";"SouthEast";"SouthWest";"North";"NorthEast";"East";"West";"NorthWest"},0),1,2,3,4,5,6,7,8)</f>
        <v>1</v>
      </c>
      <c r="AD112" s="2">
        <f t="shared" si="24"/>
        <v>0</v>
      </c>
      <c r="AE112">
        <v>1016.2</v>
      </c>
      <c r="AF112" s="4" t="s">
        <v>247</v>
      </c>
      <c r="AG112" s="2">
        <f t="shared" si="25"/>
        <v>1</v>
      </c>
      <c r="AH112" t="s">
        <v>248</v>
      </c>
      <c r="AI112" s="2">
        <f t="shared" si="26"/>
        <v>5</v>
      </c>
      <c r="AJ112" s="2">
        <f t="shared" si="27"/>
        <v>0</v>
      </c>
      <c r="AK112" s="3">
        <v>2379.000000001397</v>
      </c>
      <c r="AM112" s="2">
        <v>1</v>
      </c>
      <c r="AN112">
        <v>2</v>
      </c>
      <c r="AO112">
        <v>0</v>
      </c>
      <c r="AP112">
        <v>0</v>
      </c>
      <c r="AQ112" s="2">
        <f>IF((2*G112 + M112 -P112 + 3*W112 + 2*Z112+2*AD112 + AG112+2*AJ112 + 4*AM112) &gt;=8,1,0)</f>
        <v>0</v>
      </c>
    </row>
    <row r="113" spans="1:43" x14ac:dyDescent="0.25">
      <c r="A113" t="s">
        <v>27</v>
      </c>
      <c r="B113" s="1">
        <v>37040</v>
      </c>
      <c r="C113" s="7">
        <f t="shared" si="19"/>
        <v>2001</v>
      </c>
      <c r="D113">
        <v>94</v>
      </c>
      <c r="E113">
        <v>64.3</v>
      </c>
      <c r="F113">
        <v>76.7</v>
      </c>
      <c r="G113" s="2">
        <f t="shared" si="28"/>
        <v>1</v>
      </c>
      <c r="H113">
        <v>90.1</v>
      </c>
      <c r="I113">
        <v>64.3</v>
      </c>
      <c r="J113">
        <v>76.2</v>
      </c>
      <c r="K113">
        <v>53.8</v>
      </c>
      <c r="L113">
        <v>46.9</v>
      </c>
      <c r="M113" s="2">
        <f t="shared" si="20"/>
        <v>1</v>
      </c>
      <c r="N113">
        <v>0</v>
      </c>
      <c r="P113" s="2">
        <f t="shared" si="21"/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2">
        <f t="shared" si="22"/>
        <v>0</v>
      </c>
      <c r="X113">
        <v>13</v>
      </c>
      <c r="Z113" s="2">
        <f t="shared" si="23"/>
        <v>0</v>
      </c>
      <c r="AA113">
        <v>287.7</v>
      </c>
      <c r="AB113" s="2" t="str">
        <f>CHOOSE(MATCH(AA113,{0;11;80;111;161;191;241;281;341},1),"North","NorthEast","East","SouthEast","South","SouthWest","West","NorthWest","North")</f>
        <v>NorthWest</v>
      </c>
      <c r="AC113" s="5">
        <f>CHOOSE(MATCH(AB113,{"South";"SouthEast";"SouthWest";"North";"NorthEast";"East";"West";"NorthWest"},0),1,2,3,4,5,6,7,8)</f>
        <v>8</v>
      </c>
      <c r="AD113" s="2">
        <f t="shared" si="24"/>
        <v>1</v>
      </c>
      <c r="AE113">
        <v>1014.6</v>
      </c>
      <c r="AF113" s="4" t="s">
        <v>55</v>
      </c>
      <c r="AG113" s="2">
        <f t="shared" si="25"/>
        <v>1</v>
      </c>
      <c r="AH113" t="s">
        <v>249</v>
      </c>
      <c r="AI113" s="2">
        <f t="shared" si="26"/>
        <v>5</v>
      </c>
      <c r="AJ113" s="2">
        <f t="shared" si="27"/>
        <v>0</v>
      </c>
      <c r="AK113" s="3">
        <v>145.00000000116421</v>
      </c>
      <c r="AM113" s="2">
        <v>0</v>
      </c>
      <c r="AN113">
        <v>1</v>
      </c>
      <c r="AO113">
        <v>0</v>
      </c>
      <c r="AP113">
        <v>0</v>
      </c>
      <c r="AQ113" s="2">
        <f>IF((2*G113 + M113 -P113 + 3*W113 + 2*Z113+2*AD113 + AG113+2*AJ113 + 4*AM113) &gt;=8,1,0)</f>
        <v>0</v>
      </c>
    </row>
    <row r="114" spans="1:43" x14ac:dyDescent="0.25">
      <c r="A114" t="s">
        <v>27</v>
      </c>
      <c r="B114" s="1">
        <v>37045</v>
      </c>
      <c r="C114" s="7">
        <f t="shared" ref="C114:C172" si="29">YEAR(B114)</f>
        <v>2001</v>
      </c>
      <c r="D114">
        <v>79.900000000000006</v>
      </c>
      <c r="E114">
        <v>67.2</v>
      </c>
      <c r="F114">
        <v>74.900000000000006</v>
      </c>
      <c r="G114" s="2">
        <f t="shared" si="28"/>
        <v>1</v>
      </c>
      <c r="H114">
        <v>79.900000000000006</v>
      </c>
      <c r="I114">
        <v>67.2</v>
      </c>
      <c r="J114">
        <v>74.900000000000006</v>
      </c>
      <c r="K114">
        <v>62.6</v>
      </c>
      <c r="L114">
        <v>66.5</v>
      </c>
      <c r="M114" s="2">
        <f t="shared" ref="M114:M172" si="30">IF(L114&lt;=49.3,1,0)</f>
        <v>0</v>
      </c>
      <c r="N114">
        <v>0</v>
      </c>
      <c r="P114" s="2">
        <f t="shared" ref="P114:P172" si="31">IF(N114&lt;=0.01,1,0)</f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2">
        <f t="shared" ref="W114:W172" si="32">IF(V114&lt;=10,0,1)</f>
        <v>0</v>
      </c>
      <c r="X114">
        <v>14.5</v>
      </c>
      <c r="Z114" s="2">
        <f t="shared" ref="Z114:Z172" si="33">IF(X114&gt;=16,1,0)</f>
        <v>0</v>
      </c>
      <c r="AA114">
        <v>222</v>
      </c>
      <c r="AB114" s="2" t="str">
        <f>CHOOSE(MATCH(AA114,{0;11;80;111;161;191;241;281;341},1),"North","NorthEast","East","SouthEast","South","SouthWest","West","NorthWest","North")</f>
        <v>SouthWest</v>
      </c>
      <c r="AC114" s="5">
        <f>CHOOSE(MATCH(AB114,{"South";"SouthEast";"SouthWest";"North";"NorthEast";"East";"West";"NorthWest"},0),1,2,3,4,5,6,7,8)</f>
        <v>3</v>
      </c>
      <c r="AD114" s="2">
        <f t="shared" ref="AD114:AD172" si="34">IF(OR(AC114=3,AC114=4,AC114=5,AC114=8),1,0)</f>
        <v>1</v>
      </c>
      <c r="AE114">
        <v>1011.7</v>
      </c>
      <c r="AF114" s="4" t="s">
        <v>251</v>
      </c>
      <c r="AG114" s="2">
        <f t="shared" ref="AG114:AG172" si="35">IF(TIMEVALUE(AF114)&lt;=TIME(12,30,0),0,1)</f>
        <v>1</v>
      </c>
      <c r="AH114" t="s">
        <v>252</v>
      </c>
      <c r="AI114" s="2">
        <f t="shared" ref="AI114:AI172" si="36">MONTH(AH114)</f>
        <v>6</v>
      </c>
      <c r="AJ114" s="2">
        <f t="shared" ref="AJ114:AJ172" si="37">IF(OR(AI114=6,AI114=7,AI114=8),1,0)</f>
        <v>1</v>
      </c>
      <c r="AK114" s="3">
        <v>1159.9999999988361</v>
      </c>
      <c r="AM114" s="2">
        <v>1</v>
      </c>
      <c r="AN114">
        <v>7</v>
      </c>
      <c r="AO114">
        <v>0</v>
      </c>
      <c r="AP114">
        <v>0</v>
      </c>
      <c r="AQ114" s="2">
        <f>IF((2*G114 + M114 -P114 + 3*W114 + 2*Z114+2*AD114 + AG114+2*AJ114 + 4*AM114) &gt;=8,1,0)</f>
        <v>1</v>
      </c>
    </row>
    <row r="115" spans="1:43" x14ac:dyDescent="0.25">
      <c r="A115" t="s">
        <v>27</v>
      </c>
      <c r="B115" s="1">
        <v>37045</v>
      </c>
      <c r="C115" s="7">
        <f t="shared" si="29"/>
        <v>2001</v>
      </c>
      <c r="D115">
        <v>79.900000000000006</v>
      </c>
      <c r="E115">
        <v>67.2</v>
      </c>
      <c r="F115">
        <v>74.900000000000006</v>
      </c>
      <c r="G115" s="2">
        <f t="shared" si="28"/>
        <v>1</v>
      </c>
      <c r="H115">
        <v>79.900000000000006</v>
      </c>
      <c r="I115">
        <v>67.2</v>
      </c>
      <c r="J115">
        <v>74.900000000000006</v>
      </c>
      <c r="K115">
        <v>62.6</v>
      </c>
      <c r="L115">
        <v>66.5</v>
      </c>
      <c r="M115" s="2">
        <f t="shared" si="30"/>
        <v>0</v>
      </c>
      <c r="N115">
        <v>0</v>
      </c>
      <c r="P115" s="2">
        <f t="shared" si="31"/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2">
        <f t="shared" si="32"/>
        <v>0</v>
      </c>
      <c r="X115">
        <v>14.5</v>
      </c>
      <c r="Z115" s="2">
        <f t="shared" si="33"/>
        <v>0</v>
      </c>
      <c r="AA115">
        <v>222</v>
      </c>
      <c r="AB115" s="2" t="str">
        <f>CHOOSE(MATCH(AA115,{0;11;80;111;161;191;241;281;341},1),"North","NorthEast","East","SouthEast","South","SouthWest","West","NorthWest","North")</f>
        <v>SouthWest</v>
      </c>
      <c r="AC115" s="5">
        <f>CHOOSE(MATCH(AB115,{"South";"SouthEast";"SouthWest";"North";"NorthEast";"East";"West";"NorthWest"},0),1,2,3,4,5,6,7,8)</f>
        <v>3</v>
      </c>
      <c r="AD115" s="2">
        <f t="shared" si="34"/>
        <v>1</v>
      </c>
      <c r="AE115">
        <v>1011.7</v>
      </c>
      <c r="AF115" s="4" t="s">
        <v>253</v>
      </c>
      <c r="AG115" s="2">
        <f t="shared" si="35"/>
        <v>1</v>
      </c>
      <c r="AH115" t="s">
        <v>254</v>
      </c>
      <c r="AI115" s="2">
        <f t="shared" si="36"/>
        <v>6</v>
      </c>
      <c r="AJ115" s="2">
        <f t="shared" si="37"/>
        <v>1</v>
      </c>
      <c r="AK115" s="3">
        <v>135</v>
      </c>
      <c r="AM115" s="2">
        <v>0</v>
      </c>
      <c r="AN115">
        <v>0</v>
      </c>
      <c r="AO115">
        <v>3</v>
      </c>
      <c r="AP115">
        <v>0</v>
      </c>
      <c r="AQ115" s="2">
        <f>IF((2*G115 + M115 -P115 + 3*W115 + 2*Z115+2*AD115 + AG115+2*AJ115 + 4*AM115) &gt;=8,1,0)</f>
        <v>0</v>
      </c>
    </row>
    <row r="116" spans="1:43" x14ac:dyDescent="0.25">
      <c r="A116" t="s">
        <v>27</v>
      </c>
      <c r="B116" s="1">
        <v>37055</v>
      </c>
      <c r="C116" s="7">
        <f t="shared" si="29"/>
        <v>2001</v>
      </c>
      <c r="D116">
        <v>97.3</v>
      </c>
      <c r="E116">
        <v>75.3</v>
      </c>
      <c r="F116">
        <v>85.8</v>
      </c>
      <c r="G116" s="2">
        <f t="shared" si="28"/>
        <v>1</v>
      </c>
      <c r="H116">
        <v>96.2</v>
      </c>
      <c r="I116">
        <v>75.3</v>
      </c>
      <c r="J116">
        <v>85.1</v>
      </c>
      <c r="K116">
        <v>56.7</v>
      </c>
      <c r="L116">
        <v>38.6</v>
      </c>
      <c r="M116" s="2">
        <f t="shared" si="30"/>
        <v>1</v>
      </c>
      <c r="N116">
        <v>0</v>
      </c>
      <c r="P116" s="2">
        <f t="shared" si="31"/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2">
        <f t="shared" si="32"/>
        <v>0</v>
      </c>
      <c r="X116">
        <v>17.399999999999999</v>
      </c>
      <c r="Z116" s="2">
        <f t="shared" si="33"/>
        <v>1</v>
      </c>
      <c r="AA116">
        <v>10.199999999999999</v>
      </c>
      <c r="AB116" s="2" t="str">
        <f>CHOOSE(MATCH(AA116,{0;11;80;111;161;191;241;281;341},1),"North","NorthEast","East","SouthEast","South","SouthWest","West","NorthWest","North")</f>
        <v>North</v>
      </c>
      <c r="AC116" s="5">
        <f>CHOOSE(MATCH(AB116,{"South";"SouthEast";"SouthWest";"North";"NorthEast";"East";"West";"NorthWest"},0),1,2,3,4,5,6,7,8)</f>
        <v>4</v>
      </c>
      <c r="AD116" s="2">
        <f t="shared" si="34"/>
        <v>1</v>
      </c>
      <c r="AE116">
        <v>1010.3</v>
      </c>
      <c r="AF116" s="4" t="s">
        <v>255</v>
      </c>
      <c r="AG116" s="2">
        <f t="shared" si="35"/>
        <v>1</v>
      </c>
      <c r="AH116" t="s">
        <v>256</v>
      </c>
      <c r="AI116" s="2">
        <f t="shared" si="36"/>
        <v>6</v>
      </c>
      <c r="AJ116" s="2">
        <f t="shared" si="37"/>
        <v>1</v>
      </c>
      <c r="AK116" s="3">
        <v>262.0000000053551</v>
      </c>
      <c r="AM116" s="2">
        <v>0</v>
      </c>
      <c r="AN116">
        <v>0</v>
      </c>
      <c r="AO116">
        <v>6</v>
      </c>
      <c r="AP116">
        <v>0</v>
      </c>
      <c r="AQ116" s="2">
        <f>IF((2*G116 + M116 -P116 + 3*W116 + 2*Z116+2*AD116 + AG116+2*AJ116 + 4*AM116) &gt;=8,1,0)</f>
        <v>1</v>
      </c>
    </row>
    <row r="117" spans="1:43" x14ac:dyDescent="0.25">
      <c r="A117" t="s">
        <v>27</v>
      </c>
      <c r="B117" s="1">
        <v>37057</v>
      </c>
      <c r="C117" s="7">
        <f t="shared" si="29"/>
        <v>2001</v>
      </c>
      <c r="D117">
        <v>88.6</v>
      </c>
      <c r="E117">
        <v>73.5</v>
      </c>
      <c r="F117">
        <v>80.400000000000006</v>
      </c>
      <c r="G117" s="2">
        <f t="shared" si="28"/>
        <v>1</v>
      </c>
      <c r="H117">
        <v>85.5</v>
      </c>
      <c r="I117">
        <v>73.5</v>
      </c>
      <c r="J117">
        <v>79.5</v>
      </c>
      <c r="K117">
        <v>55.7</v>
      </c>
      <c r="L117">
        <v>44.9</v>
      </c>
      <c r="M117" s="2">
        <f t="shared" si="30"/>
        <v>1</v>
      </c>
      <c r="N117">
        <v>0</v>
      </c>
      <c r="P117" s="2">
        <f t="shared" si="31"/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2">
        <f t="shared" si="32"/>
        <v>0</v>
      </c>
      <c r="X117">
        <v>17.3</v>
      </c>
      <c r="Z117" s="2">
        <f t="shared" si="33"/>
        <v>1</v>
      </c>
      <c r="AA117">
        <v>335.2</v>
      </c>
      <c r="AB117" s="2" t="str">
        <f>CHOOSE(MATCH(AA117,{0;11;80;111;161;191;241;281;341},1),"North","NorthEast","East","SouthEast","South","SouthWest","West","NorthWest","North")</f>
        <v>NorthWest</v>
      </c>
      <c r="AC117" s="5">
        <f>CHOOSE(MATCH(AB117,{"South";"SouthEast";"SouthWest";"North";"NorthEast";"East";"West";"NorthWest"},0),1,2,3,4,5,6,7,8)</f>
        <v>8</v>
      </c>
      <c r="AD117" s="2">
        <f t="shared" si="34"/>
        <v>1</v>
      </c>
      <c r="AE117">
        <v>1008</v>
      </c>
      <c r="AF117" s="4" t="s">
        <v>217</v>
      </c>
      <c r="AG117" s="2">
        <f t="shared" si="35"/>
        <v>1</v>
      </c>
      <c r="AH117" t="s">
        <v>257</v>
      </c>
      <c r="AI117" s="2">
        <f t="shared" si="36"/>
        <v>6</v>
      </c>
      <c r="AJ117" s="2">
        <f t="shared" si="37"/>
        <v>1</v>
      </c>
      <c r="AK117" s="3">
        <v>51.000000009080402</v>
      </c>
      <c r="AM117" s="2">
        <v>0</v>
      </c>
      <c r="AN117">
        <v>0</v>
      </c>
      <c r="AO117">
        <v>0</v>
      </c>
      <c r="AP117">
        <v>1</v>
      </c>
      <c r="AQ117" s="2">
        <f>IF((2*G117 + M117 -P117 + 3*W117 + 2*Z117+2*AD117 + AG117+2*AJ117 + 4*AM117) &gt;=8,1,0)</f>
        <v>1</v>
      </c>
    </row>
    <row r="118" spans="1:43" x14ac:dyDescent="0.25">
      <c r="A118" t="s">
        <v>27</v>
      </c>
      <c r="B118" s="1">
        <v>37057</v>
      </c>
      <c r="C118" s="7">
        <f t="shared" si="29"/>
        <v>2001</v>
      </c>
      <c r="D118">
        <v>88.6</v>
      </c>
      <c r="E118">
        <v>73.5</v>
      </c>
      <c r="F118">
        <v>80.400000000000006</v>
      </c>
      <c r="G118" s="2">
        <f t="shared" si="28"/>
        <v>1</v>
      </c>
      <c r="H118">
        <v>85.5</v>
      </c>
      <c r="I118">
        <v>73.5</v>
      </c>
      <c r="J118">
        <v>79.5</v>
      </c>
      <c r="K118">
        <v>55.7</v>
      </c>
      <c r="L118">
        <v>44.9</v>
      </c>
      <c r="M118" s="2">
        <f t="shared" si="30"/>
        <v>1</v>
      </c>
      <c r="N118">
        <v>0</v>
      </c>
      <c r="P118" s="2">
        <f t="shared" si="31"/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2">
        <f t="shared" si="32"/>
        <v>0</v>
      </c>
      <c r="X118">
        <v>17.3</v>
      </c>
      <c r="Z118" s="2">
        <f t="shared" si="33"/>
        <v>1</v>
      </c>
      <c r="AA118">
        <v>335.2</v>
      </c>
      <c r="AB118" s="2" t="str">
        <f>CHOOSE(MATCH(AA118,{0;11;80;111;161;191;241;281;341},1),"North","NorthEast","East","SouthEast","South","SouthWest","West","NorthWest","North")</f>
        <v>NorthWest</v>
      </c>
      <c r="AC118" s="5">
        <f>CHOOSE(MATCH(AB118,{"South";"SouthEast";"SouthWest";"North";"NorthEast";"East";"West";"NorthWest"},0),1,2,3,4,5,6,7,8)</f>
        <v>8</v>
      </c>
      <c r="AD118" s="2">
        <f t="shared" si="34"/>
        <v>1</v>
      </c>
      <c r="AE118">
        <v>1008</v>
      </c>
      <c r="AF118" s="4" t="s">
        <v>215</v>
      </c>
      <c r="AG118" s="2">
        <f t="shared" si="35"/>
        <v>0</v>
      </c>
      <c r="AH118" t="s">
        <v>258</v>
      </c>
      <c r="AI118" s="2">
        <f t="shared" si="36"/>
        <v>6</v>
      </c>
      <c r="AJ118" s="2">
        <f t="shared" si="37"/>
        <v>1</v>
      </c>
      <c r="AK118" s="3">
        <v>65.000000002328306</v>
      </c>
      <c r="AM118" s="2">
        <v>0</v>
      </c>
      <c r="AN118">
        <v>0</v>
      </c>
      <c r="AO118">
        <v>1</v>
      </c>
      <c r="AP118">
        <v>0</v>
      </c>
      <c r="AQ118" s="2">
        <f>IF((2*G118 + M118 -P118 + 3*W118 + 2*Z118+2*AD118 + AG118+2*AJ118 + 4*AM118) &gt;=8,1,0)</f>
        <v>1</v>
      </c>
    </row>
    <row r="119" spans="1:43" x14ac:dyDescent="0.25">
      <c r="A119" t="s">
        <v>27</v>
      </c>
      <c r="B119" s="1">
        <v>37062</v>
      </c>
      <c r="C119" s="7">
        <f t="shared" si="29"/>
        <v>2001</v>
      </c>
      <c r="D119">
        <v>80.7</v>
      </c>
      <c r="E119">
        <v>68</v>
      </c>
      <c r="F119">
        <v>73</v>
      </c>
      <c r="G119" s="2">
        <f t="shared" si="28"/>
        <v>0</v>
      </c>
      <c r="H119">
        <v>81.5</v>
      </c>
      <c r="I119">
        <v>68</v>
      </c>
      <c r="J119">
        <v>73</v>
      </c>
      <c r="K119">
        <v>56.1</v>
      </c>
      <c r="L119">
        <v>56.3</v>
      </c>
      <c r="M119" s="2">
        <f t="shared" si="30"/>
        <v>0</v>
      </c>
      <c r="N119">
        <v>0.03</v>
      </c>
      <c r="P119" s="2">
        <f t="shared" si="31"/>
        <v>0</v>
      </c>
      <c r="Q119">
        <v>100</v>
      </c>
      <c r="R119">
        <v>4.17</v>
      </c>
      <c r="S119" t="s">
        <v>87</v>
      </c>
      <c r="T119">
        <v>0</v>
      </c>
      <c r="U119">
        <v>0</v>
      </c>
      <c r="V119">
        <v>0</v>
      </c>
      <c r="W119" s="2">
        <f t="shared" si="32"/>
        <v>0</v>
      </c>
      <c r="X119">
        <v>16.100000000000001</v>
      </c>
      <c r="Z119" s="2">
        <f t="shared" si="33"/>
        <v>1</v>
      </c>
      <c r="AA119">
        <v>269.89999999999998</v>
      </c>
      <c r="AB119" s="2" t="str">
        <f>CHOOSE(MATCH(AA119,{0;11;80;111;161;191;241;281;341},1),"North","NorthEast","East","SouthEast","South","SouthWest","West","NorthWest","North")</f>
        <v>West</v>
      </c>
      <c r="AC119" s="5">
        <f>CHOOSE(MATCH(AB119,{"South";"SouthEast";"SouthWest";"North";"NorthEast";"East";"West";"NorthWest"},0),1,2,3,4,5,6,7,8)</f>
        <v>7</v>
      </c>
      <c r="AD119" s="2">
        <f t="shared" si="34"/>
        <v>0</v>
      </c>
      <c r="AE119">
        <v>1007.1</v>
      </c>
      <c r="AF119" s="4" t="s">
        <v>259</v>
      </c>
      <c r="AG119" s="2">
        <f t="shared" si="35"/>
        <v>1</v>
      </c>
      <c r="AH119" t="s">
        <v>260</v>
      </c>
      <c r="AI119" s="2">
        <f t="shared" si="36"/>
        <v>6</v>
      </c>
      <c r="AJ119" s="2">
        <f t="shared" si="37"/>
        <v>1</v>
      </c>
      <c r="AK119" s="3">
        <v>46.000000003259629</v>
      </c>
      <c r="AM119" s="2">
        <v>0</v>
      </c>
      <c r="AN119">
        <v>0.1</v>
      </c>
      <c r="AO119">
        <v>0</v>
      </c>
      <c r="AP119">
        <v>0</v>
      </c>
      <c r="AQ119" s="2">
        <f>IF((2*G119 + M119 -P119 + 3*W119 + 2*Z119+2*AD119 + AG119+2*AJ119 + 4*AM119) &gt;=8,1,0)</f>
        <v>0</v>
      </c>
    </row>
    <row r="120" spans="1:43" x14ac:dyDescent="0.25">
      <c r="A120" t="s">
        <v>27</v>
      </c>
      <c r="B120" s="1">
        <v>37062</v>
      </c>
      <c r="C120" s="7">
        <f t="shared" si="29"/>
        <v>2001</v>
      </c>
      <c r="D120">
        <v>80.7</v>
      </c>
      <c r="E120">
        <v>68</v>
      </c>
      <c r="F120">
        <v>73</v>
      </c>
      <c r="G120" s="2">
        <f t="shared" si="28"/>
        <v>0</v>
      </c>
      <c r="H120">
        <v>81.5</v>
      </c>
      <c r="I120">
        <v>68</v>
      </c>
      <c r="J120">
        <v>73</v>
      </c>
      <c r="K120">
        <v>56.1</v>
      </c>
      <c r="L120">
        <v>56.3</v>
      </c>
      <c r="M120" s="2">
        <f t="shared" si="30"/>
        <v>0</v>
      </c>
      <c r="N120">
        <v>0.03</v>
      </c>
      <c r="P120" s="2">
        <f t="shared" si="31"/>
        <v>0</v>
      </c>
      <c r="Q120">
        <v>100</v>
      </c>
      <c r="R120">
        <v>4.17</v>
      </c>
      <c r="S120" t="s">
        <v>87</v>
      </c>
      <c r="T120">
        <v>0</v>
      </c>
      <c r="U120">
        <v>0</v>
      </c>
      <c r="V120">
        <v>0</v>
      </c>
      <c r="W120" s="2">
        <f t="shared" si="32"/>
        <v>0</v>
      </c>
      <c r="X120">
        <v>16.100000000000001</v>
      </c>
      <c r="Z120" s="2">
        <f t="shared" si="33"/>
        <v>1</v>
      </c>
      <c r="AA120">
        <v>269.89999999999998</v>
      </c>
      <c r="AB120" s="2" t="str">
        <f>CHOOSE(MATCH(AA120,{0;11;80;111;161;191;241;281;341},1),"North","NorthEast","East","SouthEast","South","SouthWest","West","NorthWest","North")</f>
        <v>West</v>
      </c>
      <c r="AC120" s="5">
        <f>CHOOSE(MATCH(AB120,{"South";"SouthEast";"SouthWest";"North";"NorthEast";"East";"West";"NorthWest"},0),1,2,3,4,5,6,7,8)</f>
        <v>7</v>
      </c>
      <c r="AD120" s="2">
        <f t="shared" si="34"/>
        <v>0</v>
      </c>
      <c r="AE120">
        <v>1007.1</v>
      </c>
      <c r="AF120" s="4" t="s">
        <v>261</v>
      </c>
      <c r="AG120" s="2">
        <f t="shared" si="35"/>
        <v>1</v>
      </c>
      <c r="AH120" t="s">
        <v>262</v>
      </c>
      <c r="AI120" s="2">
        <f t="shared" si="36"/>
        <v>6</v>
      </c>
      <c r="AJ120" s="2">
        <f t="shared" si="37"/>
        <v>1</v>
      </c>
      <c r="AK120" s="3">
        <v>69.999999997671694</v>
      </c>
      <c r="AM120" s="2">
        <v>0</v>
      </c>
      <c r="AN120">
        <v>0</v>
      </c>
      <c r="AO120">
        <v>0.1</v>
      </c>
      <c r="AP120">
        <v>0</v>
      </c>
      <c r="AQ120" s="2">
        <f>IF((2*G120 + M120 -P120 + 3*W120 + 2*Z120+2*AD120 + AG120+2*AJ120 + 4*AM120) &gt;=8,1,0)</f>
        <v>0</v>
      </c>
    </row>
    <row r="121" spans="1:43" x14ac:dyDescent="0.25">
      <c r="A121" t="s">
        <v>27</v>
      </c>
      <c r="B121" s="1">
        <v>37062</v>
      </c>
      <c r="C121" s="7">
        <f t="shared" si="29"/>
        <v>2001</v>
      </c>
      <c r="D121">
        <v>80.7</v>
      </c>
      <c r="E121">
        <v>68</v>
      </c>
      <c r="F121">
        <v>73</v>
      </c>
      <c r="G121" s="2">
        <f t="shared" si="28"/>
        <v>0</v>
      </c>
      <c r="H121">
        <v>81.5</v>
      </c>
      <c r="I121">
        <v>68</v>
      </c>
      <c r="J121">
        <v>73</v>
      </c>
      <c r="K121">
        <v>56.1</v>
      </c>
      <c r="L121">
        <v>56.3</v>
      </c>
      <c r="M121" s="2">
        <f t="shared" si="30"/>
        <v>0</v>
      </c>
      <c r="N121">
        <v>0.03</v>
      </c>
      <c r="P121" s="2">
        <f t="shared" si="31"/>
        <v>0</v>
      </c>
      <c r="Q121">
        <v>100</v>
      </c>
      <c r="R121">
        <v>4.17</v>
      </c>
      <c r="S121" t="s">
        <v>87</v>
      </c>
      <c r="T121">
        <v>0</v>
      </c>
      <c r="U121">
        <v>0</v>
      </c>
      <c r="V121">
        <v>0</v>
      </c>
      <c r="W121" s="2">
        <f t="shared" si="32"/>
        <v>0</v>
      </c>
      <c r="X121">
        <v>16.100000000000001</v>
      </c>
      <c r="Z121" s="2">
        <f t="shared" si="33"/>
        <v>1</v>
      </c>
      <c r="AA121">
        <v>269.89999999999998</v>
      </c>
      <c r="AB121" s="2" t="str">
        <f>CHOOSE(MATCH(AA121,{0;11;80;111;161;191;241;281;341},1),"North","NorthEast","East","SouthEast","South","SouthWest","West","NorthWest","North")</f>
        <v>West</v>
      </c>
      <c r="AC121" s="5">
        <f>CHOOSE(MATCH(AB121,{"South";"SouthEast";"SouthWest";"North";"NorthEast";"East";"West";"NorthWest"},0),1,2,3,4,5,6,7,8)</f>
        <v>7</v>
      </c>
      <c r="AD121" s="2">
        <f t="shared" si="34"/>
        <v>0</v>
      </c>
      <c r="AE121">
        <v>1007.1</v>
      </c>
      <c r="AF121" s="4" t="s">
        <v>263</v>
      </c>
      <c r="AG121" s="2">
        <f t="shared" si="35"/>
        <v>1</v>
      </c>
      <c r="AH121" t="s">
        <v>264</v>
      </c>
      <c r="AI121" s="2">
        <f t="shared" si="36"/>
        <v>6</v>
      </c>
      <c r="AJ121" s="2">
        <f t="shared" si="37"/>
        <v>1</v>
      </c>
      <c r="AK121" s="3">
        <v>66.999999998370185</v>
      </c>
      <c r="AM121" s="2">
        <v>0</v>
      </c>
      <c r="AN121">
        <v>0</v>
      </c>
      <c r="AO121">
        <v>0.1</v>
      </c>
      <c r="AP121">
        <v>0</v>
      </c>
      <c r="AQ121" s="2">
        <f>IF((2*G121 + M121 -P121 + 3*W121 + 2*Z121+2*AD121 + AG121+2*AJ121 + 4*AM121) &gt;=8,1,0)</f>
        <v>0</v>
      </c>
    </row>
    <row r="122" spans="1:43" x14ac:dyDescent="0.25">
      <c r="A122" t="s">
        <v>27</v>
      </c>
      <c r="B122" s="1">
        <v>37062</v>
      </c>
      <c r="C122" s="7">
        <f t="shared" si="29"/>
        <v>2001</v>
      </c>
      <c r="D122">
        <v>80.7</v>
      </c>
      <c r="E122">
        <v>68</v>
      </c>
      <c r="F122">
        <v>73</v>
      </c>
      <c r="G122" s="2">
        <f t="shared" si="28"/>
        <v>0</v>
      </c>
      <c r="H122">
        <v>81.5</v>
      </c>
      <c r="I122">
        <v>68</v>
      </c>
      <c r="J122">
        <v>73</v>
      </c>
      <c r="K122">
        <v>56.1</v>
      </c>
      <c r="L122">
        <v>56.3</v>
      </c>
      <c r="M122" s="2">
        <f t="shared" si="30"/>
        <v>0</v>
      </c>
      <c r="N122">
        <v>0.03</v>
      </c>
      <c r="P122" s="2">
        <f t="shared" si="31"/>
        <v>0</v>
      </c>
      <c r="Q122">
        <v>100</v>
      </c>
      <c r="R122">
        <v>4.17</v>
      </c>
      <c r="S122" t="s">
        <v>87</v>
      </c>
      <c r="T122">
        <v>0</v>
      </c>
      <c r="U122">
        <v>0</v>
      </c>
      <c r="V122">
        <v>0</v>
      </c>
      <c r="W122" s="2">
        <f t="shared" si="32"/>
        <v>0</v>
      </c>
      <c r="X122">
        <v>16.100000000000001</v>
      </c>
      <c r="Z122" s="2">
        <f t="shared" si="33"/>
        <v>1</v>
      </c>
      <c r="AA122">
        <v>269.89999999999998</v>
      </c>
      <c r="AB122" s="2" t="str">
        <f>CHOOSE(MATCH(AA122,{0;11;80;111;161;191;241;281;341},1),"North","NorthEast","East","SouthEast","South","SouthWest","West","NorthWest","North")</f>
        <v>West</v>
      </c>
      <c r="AC122" s="5">
        <f>CHOOSE(MATCH(AB122,{"South";"SouthEast";"SouthWest";"North";"NorthEast";"East";"West";"NorthWest"},0),1,2,3,4,5,6,7,8)</f>
        <v>7</v>
      </c>
      <c r="AD122" s="2">
        <f t="shared" si="34"/>
        <v>0</v>
      </c>
      <c r="AE122">
        <v>1007.1</v>
      </c>
      <c r="AF122" s="4" t="s">
        <v>265</v>
      </c>
      <c r="AG122" s="2">
        <f t="shared" si="35"/>
        <v>1</v>
      </c>
      <c r="AH122" t="s">
        <v>266</v>
      </c>
      <c r="AI122" s="2">
        <f t="shared" si="36"/>
        <v>6</v>
      </c>
      <c r="AJ122" s="2">
        <f t="shared" si="37"/>
        <v>1</v>
      </c>
      <c r="AK122" s="3">
        <v>240.00000000698489</v>
      </c>
      <c r="AM122" s="2">
        <v>0</v>
      </c>
      <c r="AN122">
        <v>0</v>
      </c>
      <c r="AO122">
        <v>8</v>
      </c>
      <c r="AP122">
        <v>0</v>
      </c>
      <c r="AQ122" s="2">
        <f>IF((2*G122 + M122 -P122 + 3*W122 + 2*Z122+2*AD122 + AG122+2*AJ122 + 4*AM122) &gt;=8,1,0)</f>
        <v>0</v>
      </c>
    </row>
    <row r="123" spans="1:43" x14ac:dyDescent="0.25">
      <c r="A123" t="s">
        <v>27</v>
      </c>
      <c r="B123" s="1">
        <v>37065</v>
      </c>
      <c r="C123" s="7">
        <f t="shared" si="29"/>
        <v>2001</v>
      </c>
      <c r="D123">
        <v>84.8</v>
      </c>
      <c r="E123">
        <v>68</v>
      </c>
      <c r="F123">
        <v>76.400000000000006</v>
      </c>
      <c r="G123" s="2">
        <f t="shared" si="28"/>
        <v>1</v>
      </c>
      <c r="H123">
        <v>84.6</v>
      </c>
      <c r="I123">
        <v>68</v>
      </c>
      <c r="J123">
        <v>76.5</v>
      </c>
      <c r="K123">
        <v>59.2</v>
      </c>
      <c r="L123">
        <v>55.9</v>
      </c>
      <c r="M123" s="2">
        <f t="shared" si="30"/>
        <v>0</v>
      </c>
      <c r="N123">
        <v>0</v>
      </c>
      <c r="P123" s="2">
        <f t="shared" si="31"/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2">
        <f t="shared" si="32"/>
        <v>0</v>
      </c>
      <c r="X123">
        <v>13.1</v>
      </c>
      <c r="Z123" s="2">
        <f t="shared" si="33"/>
        <v>0</v>
      </c>
      <c r="AA123">
        <v>227</v>
      </c>
      <c r="AB123" s="2" t="str">
        <f>CHOOSE(MATCH(AA123,{0;11;80;111;161;191;241;281;341},1),"North","NorthEast","East","SouthEast","South","SouthWest","West","NorthWest","North")</f>
        <v>SouthWest</v>
      </c>
      <c r="AC123" s="5">
        <f>CHOOSE(MATCH(AB123,{"South";"SouthEast";"SouthWest";"North";"NorthEast";"East";"West";"NorthWest"},0),1,2,3,4,5,6,7,8)</f>
        <v>3</v>
      </c>
      <c r="AD123" s="2">
        <f t="shared" si="34"/>
        <v>1</v>
      </c>
      <c r="AE123">
        <v>1013.4</v>
      </c>
      <c r="AF123" s="4" t="s">
        <v>268</v>
      </c>
      <c r="AG123" s="2">
        <f t="shared" si="35"/>
        <v>1</v>
      </c>
      <c r="AH123" t="s">
        <v>269</v>
      </c>
      <c r="AI123" s="2">
        <f t="shared" si="36"/>
        <v>6</v>
      </c>
      <c r="AJ123" s="2">
        <f t="shared" si="37"/>
        <v>1</v>
      </c>
      <c r="AK123" s="3">
        <v>1368.9999999990689</v>
      </c>
      <c r="AM123" s="2">
        <v>1</v>
      </c>
      <c r="AN123">
        <v>3</v>
      </c>
      <c r="AO123">
        <v>0</v>
      </c>
      <c r="AP123">
        <v>0</v>
      </c>
      <c r="AQ123" s="2">
        <f>IF((2*G123 + M123 -P123 + 3*W123 + 2*Z123+2*AD123 + AG123+2*AJ123 + 4*AM123) &gt;=8,1,0)</f>
        <v>1</v>
      </c>
    </row>
    <row r="124" spans="1:43" x14ac:dyDescent="0.25">
      <c r="A124" t="s">
        <v>27</v>
      </c>
      <c r="B124" s="1">
        <v>37068</v>
      </c>
      <c r="C124" s="7">
        <f t="shared" si="29"/>
        <v>2001</v>
      </c>
      <c r="D124">
        <v>88.2</v>
      </c>
      <c r="E124">
        <v>68.8</v>
      </c>
      <c r="F124">
        <v>79.3</v>
      </c>
      <c r="G124" s="2">
        <f t="shared" si="28"/>
        <v>1</v>
      </c>
      <c r="H124">
        <v>87.8</v>
      </c>
      <c r="I124">
        <v>68.8</v>
      </c>
      <c r="J124">
        <v>78.7</v>
      </c>
      <c r="K124">
        <v>56.7</v>
      </c>
      <c r="L124">
        <v>47.9</v>
      </c>
      <c r="M124" s="2">
        <f t="shared" si="30"/>
        <v>1</v>
      </c>
      <c r="N124">
        <v>0</v>
      </c>
      <c r="P124" s="2">
        <f t="shared" si="31"/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2">
        <f t="shared" si="32"/>
        <v>0</v>
      </c>
      <c r="X124">
        <v>14.7</v>
      </c>
      <c r="Z124" s="2">
        <f t="shared" si="33"/>
        <v>0</v>
      </c>
      <c r="AA124">
        <v>324.2</v>
      </c>
      <c r="AB124" s="2" t="str">
        <f>CHOOSE(MATCH(AA124,{0;11;80;111;161;191;241;281;341},1),"North","NorthEast","East","SouthEast","South","SouthWest","West","NorthWest","North")</f>
        <v>NorthWest</v>
      </c>
      <c r="AC124" s="5">
        <f>CHOOSE(MATCH(AB124,{"South";"SouthEast";"SouthWest";"North";"NorthEast";"East";"West";"NorthWest"},0),1,2,3,4,5,6,7,8)</f>
        <v>8</v>
      </c>
      <c r="AD124" s="2">
        <f t="shared" si="34"/>
        <v>1</v>
      </c>
      <c r="AE124">
        <v>1013.5</v>
      </c>
      <c r="AF124" s="4" t="s">
        <v>270</v>
      </c>
      <c r="AG124" s="2">
        <f t="shared" si="35"/>
        <v>1</v>
      </c>
      <c r="AH124" t="s">
        <v>271</v>
      </c>
      <c r="AI124" s="2">
        <f t="shared" si="36"/>
        <v>6</v>
      </c>
      <c r="AJ124" s="2">
        <f t="shared" si="37"/>
        <v>1</v>
      </c>
      <c r="AK124" s="3">
        <v>1779.000000004889</v>
      </c>
      <c r="AM124" s="2">
        <v>1</v>
      </c>
      <c r="AN124">
        <v>6</v>
      </c>
      <c r="AO124">
        <v>0</v>
      </c>
      <c r="AP124">
        <v>0</v>
      </c>
      <c r="AQ124" s="2">
        <f>IF((2*G124 + M124 -P124 + 3*W124 + 2*Z124+2*AD124 + AG124+2*AJ124 + 4*AM124) &gt;=8,1,0)</f>
        <v>1</v>
      </c>
    </row>
    <row r="125" spans="1:43" x14ac:dyDescent="0.25">
      <c r="A125" t="s">
        <v>27</v>
      </c>
      <c r="B125" s="1">
        <v>37069</v>
      </c>
      <c r="C125" s="7">
        <f t="shared" si="29"/>
        <v>2001</v>
      </c>
      <c r="D125">
        <v>89.3</v>
      </c>
      <c r="E125">
        <v>68.099999999999994</v>
      </c>
      <c r="F125">
        <v>79.900000000000006</v>
      </c>
      <c r="G125" s="2">
        <f t="shared" si="28"/>
        <v>1</v>
      </c>
      <c r="H125">
        <v>86.2</v>
      </c>
      <c r="I125">
        <v>68.099999999999994</v>
      </c>
      <c r="J125">
        <v>78.7</v>
      </c>
      <c r="K125">
        <v>53.9</v>
      </c>
      <c r="L125">
        <v>44.5</v>
      </c>
      <c r="M125" s="2">
        <f t="shared" si="30"/>
        <v>1</v>
      </c>
      <c r="N125">
        <v>0</v>
      </c>
      <c r="P125" s="2">
        <f t="shared" si="31"/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2">
        <f t="shared" si="32"/>
        <v>0</v>
      </c>
      <c r="X125">
        <v>11.9</v>
      </c>
      <c r="Z125" s="2">
        <f t="shared" si="33"/>
        <v>0</v>
      </c>
      <c r="AA125">
        <v>46</v>
      </c>
      <c r="AB125" s="2" t="str">
        <f>CHOOSE(MATCH(AA125,{0;11;80;111;161;191;241;281;341},1),"North","NorthEast","East","SouthEast","South","SouthWest","West","NorthWest","North")</f>
        <v>NorthEast</v>
      </c>
      <c r="AC125" s="5">
        <f>CHOOSE(MATCH(AB125,{"South";"SouthEast";"SouthWest";"North";"NorthEast";"East";"West";"NorthWest"},0),1,2,3,4,5,6,7,8)</f>
        <v>5</v>
      </c>
      <c r="AD125" s="2">
        <f t="shared" si="34"/>
        <v>1</v>
      </c>
      <c r="AE125">
        <v>1013.4</v>
      </c>
      <c r="AF125" s="4" t="s">
        <v>272</v>
      </c>
      <c r="AG125" s="2">
        <f t="shared" si="35"/>
        <v>1</v>
      </c>
      <c r="AH125" t="s">
        <v>273</v>
      </c>
      <c r="AI125" s="2">
        <f t="shared" si="36"/>
        <v>6</v>
      </c>
      <c r="AJ125" s="2">
        <f t="shared" si="37"/>
        <v>1</v>
      </c>
      <c r="AK125" s="3">
        <v>391.00000000675209</v>
      </c>
      <c r="AM125" s="2">
        <v>1</v>
      </c>
      <c r="AN125">
        <v>3</v>
      </c>
      <c r="AO125">
        <v>0</v>
      </c>
      <c r="AP125">
        <v>0</v>
      </c>
      <c r="AQ125" s="2">
        <f>IF((2*G125 + M125 -P125 + 3*W125 + 2*Z125+2*AD125 + AG125+2*AJ125 + 4*AM125) &gt;=8,1,0)</f>
        <v>1</v>
      </c>
    </row>
    <row r="126" spans="1:43" x14ac:dyDescent="0.25">
      <c r="A126" t="s">
        <v>27</v>
      </c>
      <c r="B126" s="1">
        <v>37071</v>
      </c>
      <c r="C126" s="7">
        <f t="shared" si="29"/>
        <v>2001</v>
      </c>
      <c r="D126">
        <v>91.5</v>
      </c>
      <c r="E126">
        <v>68.5</v>
      </c>
      <c r="F126">
        <v>81.2</v>
      </c>
      <c r="G126" s="2">
        <f t="shared" si="28"/>
        <v>1</v>
      </c>
      <c r="H126">
        <v>91.6</v>
      </c>
      <c r="I126">
        <v>68.5</v>
      </c>
      <c r="J126">
        <v>81.099999999999994</v>
      </c>
      <c r="K126">
        <v>58.8</v>
      </c>
      <c r="L126">
        <v>49.1</v>
      </c>
      <c r="M126" s="2">
        <f t="shared" si="30"/>
        <v>1</v>
      </c>
      <c r="N126">
        <v>0</v>
      </c>
      <c r="P126" s="2">
        <f t="shared" si="31"/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2">
        <f t="shared" si="32"/>
        <v>0</v>
      </c>
      <c r="X126">
        <v>12.8</v>
      </c>
      <c r="Z126" s="2">
        <f t="shared" si="33"/>
        <v>0</v>
      </c>
      <c r="AA126">
        <v>253.1</v>
      </c>
      <c r="AB126" s="2" t="str">
        <f>CHOOSE(MATCH(AA126,{0;11;80;111;161;191;241;281;341},1),"North","NorthEast","East","SouthEast","South","SouthWest","West","NorthWest","North")</f>
        <v>West</v>
      </c>
      <c r="AC126" s="5">
        <f>CHOOSE(MATCH(AB126,{"South";"SouthEast";"SouthWest";"North";"NorthEast";"East";"West";"NorthWest"},0),1,2,3,4,5,6,7,8)</f>
        <v>7</v>
      </c>
      <c r="AD126" s="2">
        <f t="shared" si="34"/>
        <v>0</v>
      </c>
      <c r="AE126">
        <v>1013.7</v>
      </c>
      <c r="AF126" s="4" t="s">
        <v>274</v>
      </c>
      <c r="AG126" s="2">
        <f t="shared" si="35"/>
        <v>1</v>
      </c>
      <c r="AH126" t="s">
        <v>275</v>
      </c>
      <c r="AI126" s="2">
        <f t="shared" si="36"/>
        <v>6</v>
      </c>
      <c r="AJ126" s="2">
        <f t="shared" si="37"/>
        <v>1</v>
      </c>
      <c r="AK126" s="3">
        <v>145.00000000116421</v>
      </c>
      <c r="AM126" s="2">
        <v>0</v>
      </c>
      <c r="AN126">
        <v>0</v>
      </c>
      <c r="AO126">
        <v>8</v>
      </c>
      <c r="AP126">
        <v>0</v>
      </c>
      <c r="AQ126" s="2">
        <f>IF((2*G126 + M126 -P126 + 3*W126 + 2*Z126+2*AD126 + AG126+2*AJ126 + 4*AM126) &gt;=8,1,0)</f>
        <v>0</v>
      </c>
    </row>
    <row r="127" spans="1:43" x14ac:dyDescent="0.25">
      <c r="A127" t="s">
        <v>27</v>
      </c>
      <c r="B127" s="1">
        <v>37072</v>
      </c>
      <c r="C127" s="7">
        <f t="shared" si="29"/>
        <v>2001</v>
      </c>
      <c r="D127">
        <v>92.9</v>
      </c>
      <c r="E127">
        <v>75.3</v>
      </c>
      <c r="F127">
        <v>84.1</v>
      </c>
      <c r="G127" s="2">
        <f t="shared" si="28"/>
        <v>1</v>
      </c>
      <c r="H127">
        <v>89.8</v>
      </c>
      <c r="I127">
        <v>75.3</v>
      </c>
      <c r="J127">
        <v>82.8</v>
      </c>
      <c r="K127">
        <v>51.1</v>
      </c>
      <c r="L127">
        <v>32.799999999999997</v>
      </c>
      <c r="M127" s="2">
        <f t="shared" si="30"/>
        <v>1</v>
      </c>
      <c r="N127">
        <v>0</v>
      </c>
      <c r="P127" s="2">
        <f t="shared" si="31"/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2">
        <f t="shared" si="32"/>
        <v>0</v>
      </c>
      <c r="X127">
        <v>15.3</v>
      </c>
      <c r="Z127" s="2">
        <f t="shared" si="33"/>
        <v>0</v>
      </c>
      <c r="AA127">
        <v>356.9</v>
      </c>
      <c r="AB127" s="2" t="str">
        <f>CHOOSE(MATCH(AA127,{0;11;80;111;161;191;241;281;341},1),"North","NorthEast","East","SouthEast","South","SouthWest","West","NorthWest","North")</f>
        <v>North</v>
      </c>
      <c r="AC127" s="5">
        <f>CHOOSE(MATCH(AB127,{"South";"SouthEast";"SouthWest";"North";"NorthEast";"East";"West";"NorthWest"},0),1,2,3,4,5,6,7,8)</f>
        <v>4</v>
      </c>
      <c r="AD127" s="2">
        <f t="shared" si="34"/>
        <v>1</v>
      </c>
      <c r="AE127">
        <v>1013</v>
      </c>
      <c r="AF127" s="4" t="s">
        <v>276</v>
      </c>
      <c r="AG127" s="2">
        <f t="shared" si="35"/>
        <v>1</v>
      </c>
      <c r="AH127" t="s">
        <v>277</v>
      </c>
      <c r="AI127" s="2">
        <f t="shared" si="36"/>
        <v>6</v>
      </c>
      <c r="AJ127" s="2">
        <f t="shared" si="37"/>
        <v>1</v>
      </c>
      <c r="AK127" s="3">
        <v>300.99999999627471</v>
      </c>
      <c r="AM127" s="2">
        <v>0</v>
      </c>
      <c r="AN127">
        <v>0</v>
      </c>
      <c r="AO127">
        <v>70</v>
      </c>
      <c r="AP127">
        <v>0</v>
      </c>
      <c r="AQ127" s="2">
        <f>IF((2*G127 + M127 -P127 + 3*W127 + 2*Z127+2*AD127 + AG127+2*AJ127 + 4*AM127) &gt;=8,1,0)</f>
        <v>0</v>
      </c>
    </row>
    <row r="128" spans="1:43" x14ac:dyDescent="0.25">
      <c r="A128" t="s">
        <v>27</v>
      </c>
      <c r="B128" s="1">
        <v>37073</v>
      </c>
      <c r="C128" s="7">
        <f t="shared" si="29"/>
        <v>2001</v>
      </c>
      <c r="D128">
        <v>88.8</v>
      </c>
      <c r="E128">
        <v>73</v>
      </c>
      <c r="F128">
        <v>81.2</v>
      </c>
      <c r="G128" s="2">
        <f t="shared" si="28"/>
        <v>1</v>
      </c>
      <c r="H128">
        <v>87.3</v>
      </c>
      <c r="I128">
        <v>73</v>
      </c>
      <c r="J128">
        <v>80.8</v>
      </c>
      <c r="K128">
        <v>58.4</v>
      </c>
      <c r="L128">
        <v>47.4</v>
      </c>
      <c r="M128" s="2">
        <f t="shared" si="30"/>
        <v>1</v>
      </c>
      <c r="N128">
        <v>0</v>
      </c>
      <c r="P128" s="2">
        <f t="shared" si="31"/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2">
        <f t="shared" si="32"/>
        <v>0</v>
      </c>
      <c r="X128">
        <v>12.8</v>
      </c>
      <c r="Z128" s="2">
        <f t="shared" si="33"/>
        <v>0</v>
      </c>
      <c r="AA128">
        <v>26.1</v>
      </c>
      <c r="AB128" s="2" t="str">
        <f>CHOOSE(MATCH(AA128,{0;11;80;111;161;191;241;281;341},1),"North","NorthEast","East","SouthEast","South","SouthWest","West","NorthWest","North")</f>
        <v>NorthEast</v>
      </c>
      <c r="AC128" s="5">
        <f>CHOOSE(MATCH(AB128,{"South";"SouthEast";"SouthWest";"North";"NorthEast";"East";"West";"NorthWest"},0),1,2,3,4,5,6,7,8)</f>
        <v>5</v>
      </c>
      <c r="AD128" s="2">
        <f t="shared" si="34"/>
        <v>1</v>
      </c>
      <c r="AE128">
        <v>1012.5</v>
      </c>
      <c r="AF128" s="4" t="s">
        <v>278</v>
      </c>
      <c r="AG128" s="2">
        <f t="shared" si="35"/>
        <v>0</v>
      </c>
      <c r="AH128" t="s">
        <v>279</v>
      </c>
      <c r="AI128" s="2">
        <f t="shared" si="36"/>
        <v>7</v>
      </c>
      <c r="AJ128" s="2">
        <f t="shared" si="37"/>
        <v>1</v>
      </c>
      <c r="AK128" s="3">
        <v>101.0000000044238</v>
      </c>
      <c r="AM128" s="2">
        <v>0</v>
      </c>
      <c r="AN128">
        <v>0</v>
      </c>
      <c r="AO128">
        <v>0.5</v>
      </c>
      <c r="AP128">
        <v>0</v>
      </c>
      <c r="AQ128" s="2">
        <f>IF((2*G128 + M128 -P128 + 3*W128 + 2*Z128+2*AD128 + AG128+2*AJ128 + 4*AM128) &gt;=8,1,0)</f>
        <v>0</v>
      </c>
    </row>
    <row r="129" spans="1:43" x14ac:dyDescent="0.25">
      <c r="A129" t="s">
        <v>27</v>
      </c>
      <c r="B129" s="1">
        <v>37073</v>
      </c>
      <c r="C129" s="7">
        <f t="shared" si="29"/>
        <v>2001</v>
      </c>
      <c r="D129">
        <v>88.8</v>
      </c>
      <c r="E129">
        <v>73</v>
      </c>
      <c r="F129">
        <v>81.2</v>
      </c>
      <c r="G129" s="2">
        <f t="shared" si="28"/>
        <v>1</v>
      </c>
      <c r="H129">
        <v>87.3</v>
      </c>
      <c r="I129">
        <v>73</v>
      </c>
      <c r="J129">
        <v>80.8</v>
      </c>
      <c r="K129">
        <v>58.4</v>
      </c>
      <c r="L129">
        <v>47.4</v>
      </c>
      <c r="M129" s="2">
        <f t="shared" si="30"/>
        <v>1</v>
      </c>
      <c r="N129">
        <v>0</v>
      </c>
      <c r="P129" s="2">
        <f t="shared" si="31"/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2">
        <f t="shared" si="32"/>
        <v>0</v>
      </c>
      <c r="X129">
        <v>12.8</v>
      </c>
      <c r="Z129" s="2">
        <f t="shared" si="33"/>
        <v>0</v>
      </c>
      <c r="AA129">
        <v>26.1</v>
      </c>
      <c r="AB129" s="2" t="str">
        <f>CHOOSE(MATCH(AA129,{0;11;80;111;161;191;241;281;341},1),"North","NorthEast","East","SouthEast","South","SouthWest","West","NorthWest","North")</f>
        <v>NorthEast</v>
      </c>
      <c r="AC129" s="5">
        <f>CHOOSE(MATCH(AB129,{"South";"SouthEast";"SouthWest";"North";"NorthEast";"East";"West";"NorthWest"},0),1,2,3,4,5,6,7,8)</f>
        <v>5</v>
      </c>
      <c r="AD129" s="2">
        <f t="shared" si="34"/>
        <v>1</v>
      </c>
      <c r="AE129">
        <v>1012.5</v>
      </c>
      <c r="AF129" s="4" t="s">
        <v>280</v>
      </c>
      <c r="AG129" s="2">
        <f t="shared" si="35"/>
        <v>1</v>
      </c>
      <c r="AH129" t="s">
        <v>281</v>
      </c>
      <c r="AI129" s="2">
        <f t="shared" si="36"/>
        <v>7</v>
      </c>
      <c r="AJ129" s="2">
        <f t="shared" si="37"/>
        <v>1</v>
      </c>
      <c r="AK129" s="3">
        <v>281.00000000442378</v>
      </c>
      <c r="AM129" s="2">
        <v>0</v>
      </c>
      <c r="AN129">
        <v>5</v>
      </c>
      <c r="AO129">
        <v>7</v>
      </c>
      <c r="AP129">
        <v>0</v>
      </c>
      <c r="AQ129" s="2">
        <f>IF((2*G129 + M129 -P129 + 3*W129 + 2*Z129+2*AD129 + AG129+2*AJ129 + 4*AM129) &gt;=8,1,0)</f>
        <v>0</v>
      </c>
    </row>
    <row r="130" spans="1:43" x14ac:dyDescent="0.25">
      <c r="A130" t="s">
        <v>27</v>
      </c>
      <c r="B130" s="1">
        <v>37074</v>
      </c>
      <c r="C130" s="7">
        <f t="shared" si="29"/>
        <v>2001</v>
      </c>
      <c r="D130">
        <v>87.9</v>
      </c>
      <c r="E130">
        <v>66.3</v>
      </c>
      <c r="F130">
        <v>77.2</v>
      </c>
      <c r="G130" s="2">
        <f t="shared" ref="G130:G193" si="38">IF(F130&lt;=73.6,0,1)</f>
        <v>1</v>
      </c>
      <c r="H130">
        <v>86.9</v>
      </c>
      <c r="I130">
        <v>66.3</v>
      </c>
      <c r="J130">
        <v>76.900000000000006</v>
      </c>
      <c r="K130">
        <v>61.9</v>
      </c>
      <c r="L130">
        <v>62.7</v>
      </c>
      <c r="M130" s="2">
        <f t="shared" si="30"/>
        <v>0</v>
      </c>
      <c r="N130">
        <v>0.35599999999999998</v>
      </c>
      <c r="P130" s="2">
        <f t="shared" si="31"/>
        <v>0</v>
      </c>
      <c r="Q130">
        <v>100</v>
      </c>
      <c r="R130">
        <v>4.17</v>
      </c>
      <c r="S130" t="s">
        <v>87</v>
      </c>
      <c r="T130">
        <v>0</v>
      </c>
      <c r="U130">
        <v>0</v>
      </c>
      <c r="V130">
        <v>0</v>
      </c>
      <c r="W130" s="2">
        <f t="shared" si="32"/>
        <v>0</v>
      </c>
      <c r="X130">
        <v>23</v>
      </c>
      <c r="Z130" s="2">
        <f t="shared" si="33"/>
        <v>1</v>
      </c>
      <c r="AA130">
        <v>332.5</v>
      </c>
      <c r="AB130" s="2" t="str">
        <f>CHOOSE(MATCH(AA130,{0;11;80;111;161;191;241;281;341},1),"North","NorthEast","East","SouthEast","South","SouthWest","West","NorthWest","North")</f>
        <v>NorthWest</v>
      </c>
      <c r="AC130" s="5">
        <f>CHOOSE(MATCH(AB130,{"South";"SouthEast";"SouthWest";"North";"NorthEast";"East";"West";"NorthWest"},0),1,2,3,4,5,6,7,8)</f>
        <v>8</v>
      </c>
      <c r="AD130" s="2">
        <f t="shared" si="34"/>
        <v>1</v>
      </c>
      <c r="AE130">
        <v>1011.5</v>
      </c>
      <c r="AF130" s="4" t="s">
        <v>282</v>
      </c>
      <c r="AG130" s="2">
        <f t="shared" si="35"/>
        <v>1</v>
      </c>
      <c r="AH130" t="s">
        <v>283</v>
      </c>
      <c r="AI130" s="2">
        <f t="shared" si="36"/>
        <v>7</v>
      </c>
      <c r="AJ130" s="2">
        <f t="shared" si="37"/>
        <v>1</v>
      </c>
      <c r="AK130" s="3">
        <v>84.999999994179234</v>
      </c>
      <c r="AM130" s="2">
        <v>0</v>
      </c>
      <c r="AN130">
        <v>0</v>
      </c>
      <c r="AO130">
        <v>0.1</v>
      </c>
      <c r="AP130">
        <v>0</v>
      </c>
      <c r="AQ130" s="2">
        <f>IF((2*G130 + M130 -P130 + 3*W130 + 2*Z130+2*AD130 + AG130+2*AJ130 + 4*AM130) &gt;=8,1,0)</f>
        <v>1</v>
      </c>
    </row>
    <row r="131" spans="1:43" x14ac:dyDescent="0.25">
      <c r="A131" t="s">
        <v>27</v>
      </c>
      <c r="B131" s="1">
        <v>37075</v>
      </c>
      <c r="C131" s="7">
        <f t="shared" si="29"/>
        <v>2001</v>
      </c>
      <c r="D131">
        <v>82.5</v>
      </c>
      <c r="E131">
        <v>66.3</v>
      </c>
      <c r="F131">
        <v>74.3</v>
      </c>
      <c r="G131" s="2">
        <f t="shared" si="38"/>
        <v>1</v>
      </c>
      <c r="H131">
        <v>82.8</v>
      </c>
      <c r="I131">
        <v>66.3</v>
      </c>
      <c r="J131">
        <v>74.400000000000006</v>
      </c>
      <c r="K131">
        <v>58.9</v>
      </c>
      <c r="L131">
        <v>60</v>
      </c>
      <c r="M131" s="2">
        <f t="shared" si="30"/>
        <v>0</v>
      </c>
      <c r="N131">
        <v>0</v>
      </c>
      <c r="P131" s="2">
        <f t="shared" si="31"/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2">
        <f t="shared" si="32"/>
        <v>0</v>
      </c>
      <c r="X131">
        <v>14.1</v>
      </c>
      <c r="Z131" s="2">
        <f t="shared" si="33"/>
        <v>0</v>
      </c>
      <c r="AA131">
        <v>316.8</v>
      </c>
      <c r="AB131" s="2" t="str">
        <f>CHOOSE(MATCH(AA131,{0;11;80;111;161;191;241;281;341},1),"North","NorthEast","East","SouthEast","South","SouthWest","West","NorthWest","North")</f>
        <v>NorthWest</v>
      </c>
      <c r="AC131" s="5">
        <f>CHOOSE(MATCH(AB131,{"South";"SouthEast";"SouthWest";"North";"NorthEast";"East";"West";"NorthWest"},0),1,2,3,4,5,6,7,8)</f>
        <v>8</v>
      </c>
      <c r="AD131" s="2">
        <f t="shared" si="34"/>
        <v>1</v>
      </c>
      <c r="AE131">
        <v>1011.4</v>
      </c>
      <c r="AF131" s="4" t="s">
        <v>284</v>
      </c>
      <c r="AG131" s="2">
        <f t="shared" si="35"/>
        <v>0</v>
      </c>
      <c r="AH131" t="s">
        <v>285</v>
      </c>
      <c r="AI131" s="2">
        <f t="shared" si="36"/>
        <v>7</v>
      </c>
      <c r="AJ131" s="2">
        <f t="shared" si="37"/>
        <v>1</v>
      </c>
      <c r="AK131" s="3">
        <v>161.9999999937136</v>
      </c>
      <c r="AM131" s="2">
        <v>0</v>
      </c>
      <c r="AN131">
        <v>0.1</v>
      </c>
      <c r="AO131">
        <v>0</v>
      </c>
      <c r="AP131">
        <v>0</v>
      </c>
      <c r="AQ131" s="2">
        <f>IF((2*G131 + M131 -P131 + 3*W131 + 2*Z131+2*AD131 + AG131+2*AJ131 + 4*AM131) &gt;=8,1,0)</f>
        <v>0</v>
      </c>
    </row>
    <row r="132" spans="1:43" x14ac:dyDescent="0.25">
      <c r="A132" t="s">
        <v>27</v>
      </c>
      <c r="B132" s="1">
        <v>37076</v>
      </c>
      <c r="C132" s="7">
        <f t="shared" si="29"/>
        <v>2001</v>
      </c>
      <c r="D132">
        <v>86.1</v>
      </c>
      <c r="E132">
        <v>67.599999999999994</v>
      </c>
      <c r="F132">
        <v>77</v>
      </c>
      <c r="G132" s="2">
        <f t="shared" si="38"/>
        <v>1</v>
      </c>
      <c r="H132">
        <v>86.2</v>
      </c>
      <c r="I132">
        <v>67.599999999999994</v>
      </c>
      <c r="J132">
        <v>77.099999999999994</v>
      </c>
      <c r="K132">
        <v>59.5</v>
      </c>
      <c r="L132">
        <v>56.2</v>
      </c>
      <c r="M132" s="2">
        <f t="shared" si="30"/>
        <v>0</v>
      </c>
      <c r="N132">
        <v>0</v>
      </c>
      <c r="P132" s="2">
        <f t="shared" si="31"/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2">
        <f t="shared" si="32"/>
        <v>0</v>
      </c>
      <c r="X132">
        <v>10.9</v>
      </c>
      <c r="Z132" s="2">
        <f t="shared" si="33"/>
        <v>0</v>
      </c>
      <c r="AA132">
        <v>238.6</v>
      </c>
      <c r="AB132" s="2" t="str">
        <f>CHOOSE(MATCH(AA132,{0;11;80;111;161;191;241;281;341},1),"North","NorthEast","East","SouthEast","South","SouthWest","West","NorthWest","North")</f>
        <v>SouthWest</v>
      </c>
      <c r="AC132" s="5">
        <f>CHOOSE(MATCH(AB132,{"South";"SouthEast";"SouthWest";"North";"NorthEast";"East";"West";"NorthWest"},0),1,2,3,4,5,6,7,8)</f>
        <v>3</v>
      </c>
      <c r="AD132" s="2">
        <f t="shared" si="34"/>
        <v>1</v>
      </c>
      <c r="AE132">
        <v>1012.6</v>
      </c>
      <c r="AF132" s="4" t="s">
        <v>286</v>
      </c>
      <c r="AG132" s="2">
        <f t="shared" si="35"/>
        <v>1</v>
      </c>
      <c r="AH132" t="s">
        <v>287</v>
      </c>
      <c r="AI132" s="2">
        <f t="shared" si="36"/>
        <v>7</v>
      </c>
      <c r="AJ132" s="2">
        <f t="shared" si="37"/>
        <v>1</v>
      </c>
      <c r="AK132" s="3">
        <v>418.00000000046572</v>
      </c>
      <c r="AM132" s="2">
        <v>1</v>
      </c>
      <c r="AN132">
        <v>1</v>
      </c>
      <c r="AO132">
        <v>0</v>
      </c>
      <c r="AP132">
        <v>0</v>
      </c>
      <c r="AQ132" s="2">
        <f>IF((2*G132 + M132 -P132 + 3*W132 + 2*Z132+2*AD132 + AG132+2*AJ132 + 4*AM132) &gt;=8,1,0)</f>
        <v>1</v>
      </c>
    </row>
    <row r="133" spans="1:43" x14ac:dyDescent="0.25">
      <c r="A133" t="s">
        <v>27</v>
      </c>
      <c r="B133" s="1">
        <v>37076</v>
      </c>
      <c r="C133" s="7">
        <f t="shared" si="29"/>
        <v>2001</v>
      </c>
      <c r="D133">
        <v>86.1</v>
      </c>
      <c r="E133">
        <v>67.599999999999994</v>
      </c>
      <c r="F133">
        <v>77</v>
      </c>
      <c r="G133" s="2">
        <f t="shared" si="38"/>
        <v>1</v>
      </c>
      <c r="H133">
        <v>86.2</v>
      </c>
      <c r="I133">
        <v>67.599999999999994</v>
      </c>
      <c r="J133">
        <v>77.099999999999994</v>
      </c>
      <c r="K133">
        <v>59.5</v>
      </c>
      <c r="L133">
        <v>56.2</v>
      </c>
      <c r="M133" s="2">
        <f t="shared" si="30"/>
        <v>0</v>
      </c>
      <c r="N133">
        <v>0</v>
      </c>
      <c r="P133" s="2">
        <f t="shared" si="31"/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2">
        <f t="shared" si="32"/>
        <v>0</v>
      </c>
      <c r="X133">
        <v>10.9</v>
      </c>
      <c r="Z133" s="2">
        <f t="shared" si="33"/>
        <v>0</v>
      </c>
      <c r="AA133">
        <v>238.6</v>
      </c>
      <c r="AB133" s="2" t="str">
        <f>CHOOSE(MATCH(AA133,{0;11;80;111;161;191;241;281;341},1),"North","NorthEast","East","SouthEast","South","SouthWest","West","NorthWest","North")</f>
        <v>SouthWest</v>
      </c>
      <c r="AC133" s="5">
        <f>CHOOSE(MATCH(AB133,{"South";"SouthEast";"SouthWest";"North";"NorthEast";"East";"West";"NorthWest"},0),1,2,3,4,5,6,7,8)</f>
        <v>3</v>
      </c>
      <c r="AD133" s="2">
        <f t="shared" si="34"/>
        <v>1</v>
      </c>
      <c r="AE133">
        <v>1012.6</v>
      </c>
      <c r="AF133" s="4" t="s">
        <v>288</v>
      </c>
      <c r="AG133" s="2">
        <f t="shared" si="35"/>
        <v>0</v>
      </c>
      <c r="AH133" t="s">
        <v>289</v>
      </c>
      <c r="AI133" s="2">
        <f t="shared" si="36"/>
        <v>7</v>
      </c>
      <c r="AJ133" s="2">
        <f t="shared" si="37"/>
        <v>1</v>
      </c>
      <c r="AK133" s="3">
        <v>115.0000000081491</v>
      </c>
      <c r="AM133" s="2">
        <v>0</v>
      </c>
      <c r="AN133">
        <v>1</v>
      </c>
      <c r="AO133">
        <v>0</v>
      </c>
      <c r="AP133">
        <v>0</v>
      </c>
      <c r="AQ133" s="2">
        <f>IF((2*G133 + M133 -P133 + 3*W133 + 2*Z133+2*AD133 + AG133+2*AJ133 + 4*AM133) &gt;=8,1,0)</f>
        <v>0</v>
      </c>
    </row>
    <row r="134" spans="1:43" x14ac:dyDescent="0.25">
      <c r="A134" t="s">
        <v>27</v>
      </c>
      <c r="B134" s="1">
        <v>37077</v>
      </c>
      <c r="C134" s="7">
        <f t="shared" si="29"/>
        <v>2001</v>
      </c>
      <c r="D134">
        <v>89.7</v>
      </c>
      <c r="E134">
        <v>69.900000000000006</v>
      </c>
      <c r="F134">
        <v>79.900000000000006</v>
      </c>
      <c r="G134" s="2">
        <f t="shared" si="38"/>
        <v>1</v>
      </c>
      <c r="H134">
        <v>89.5</v>
      </c>
      <c r="I134">
        <v>69.900000000000006</v>
      </c>
      <c r="J134">
        <v>80.400000000000006</v>
      </c>
      <c r="K134">
        <v>63.3</v>
      </c>
      <c r="L134">
        <v>58.7</v>
      </c>
      <c r="M134" s="2">
        <f t="shared" si="30"/>
        <v>0</v>
      </c>
      <c r="N134">
        <v>0</v>
      </c>
      <c r="P134" s="2">
        <f t="shared" si="31"/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2">
        <f t="shared" si="32"/>
        <v>0</v>
      </c>
      <c r="X134">
        <v>12.7</v>
      </c>
      <c r="Z134" s="2">
        <f t="shared" si="33"/>
        <v>0</v>
      </c>
      <c r="AA134">
        <v>224.4</v>
      </c>
      <c r="AB134" s="2" t="str">
        <f>CHOOSE(MATCH(AA134,{0;11;80;111;161;191;241;281;341},1),"North","NorthEast","East","SouthEast","South","SouthWest","West","NorthWest","North")</f>
        <v>SouthWest</v>
      </c>
      <c r="AC134" s="5">
        <f>CHOOSE(MATCH(AB134,{"South";"SouthEast";"SouthWest";"North";"NorthEast";"East";"West";"NorthWest"},0),1,2,3,4,5,6,7,8)</f>
        <v>3</v>
      </c>
      <c r="AD134" s="2">
        <f t="shared" si="34"/>
        <v>1</v>
      </c>
      <c r="AE134">
        <v>1012.7</v>
      </c>
      <c r="AF134" s="4" t="s">
        <v>290</v>
      </c>
      <c r="AG134" s="2">
        <f t="shared" si="35"/>
        <v>1</v>
      </c>
      <c r="AH134" t="s">
        <v>291</v>
      </c>
      <c r="AI134" s="2">
        <f t="shared" si="36"/>
        <v>7</v>
      </c>
      <c r="AJ134" s="2">
        <f t="shared" si="37"/>
        <v>1</v>
      </c>
      <c r="AK134" s="3">
        <v>287.0000000030268</v>
      </c>
      <c r="AM134" s="2">
        <v>0</v>
      </c>
      <c r="AN134">
        <v>0</v>
      </c>
      <c r="AO134">
        <v>5</v>
      </c>
      <c r="AP134">
        <v>0</v>
      </c>
      <c r="AQ134" s="2">
        <f>IF((2*G134 + M134 -P134 + 3*W134 + 2*Z134+2*AD134 + AG134+2*AJ134 + 4*AM134) &gt;=8,1,0)</f>
        <v>0</v>
      </c>
    </row>
    <row r="135" spans="1:43" x14ac:dyDescent="0.25">
      <c r="A135" t="s">
        <v>27</v>
      </c>
      <c r="B135" s="1">
        <v>37078</v>
      </c>
      <c r="C135" s="7">
        <f t="shared" si="29"/>
        <v>2001</v>
      </c>
      <c r="D135">
        <v>93.7</v>
      </c>
      <c r="E135">
        <v>73.5</v>
      </c>
      <c r="F135">
        <v>82.7</v>
      </c>
      <c r="G135" s="2">
        <f t="shared" si="38"/>
        <v>1</v>
      </c>
      <c r="H135">
        <v>94.2</v>
      </c>
      <c r="I135">
        <v>73.5</v>
      </c>
      <c r="J135">
        <v>83.7</v>
      </c>
      <c r="K135">
        <v>63.7</v>
      </c>
      <c r="L135">
        <v>54.2</v>
      </c>
      <c r="M135" s="2">
        <f t="shared" si="30"/>
        <v>0</v>
      </c>
      <c r="N135">
        <v>0</v>
      </c>
      <c r="P135" s="2">
        <f t="shared" si="31"/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2">
        <f t="shared" si="32"/>
        <v>0</v>
      </c>
      <c r="X135">
        <v>12.8</v>
      </c>
      <c r="Z135" s="2">
        <f t="shared" si="33"/>
        <v>0</v>
      </c>
      <c r="AA135">
        <v>211.4</v>
      </c>
      <c r="AB135" s="2" t="str">
        <f>CHOOSE(MATCH(AA135,{0;11;80;111;161;191;241;281;341},1),"North","NorthEast","East","SouthEast","South","SouthWest","West","NorthWest","North")</f>
        <v>SouthWest</v>
      </c>
      <c r="AC135" s="5">
        <f>CHOOSE(MATCH(AB135,{"South";"SouthEast";"SouthWest";"North";"NorthEast";"East";"West";"NorthWest"},0),1,2,3,4,5,6,7,8)</f>
        <v>3</v>
      </c>
      <c r="AD135" s="2">
        <f t="shared" si="34"/>
        <v>1</v>
      </c>
      <c r="AE135">
        <v>1012.1</v>
      </c>
      <c r="AF135" s="4" t="s">
        <v>292</v>
      </c>
      <c r="AG135" s="2">
        <f t="shared" si="35"/>
        <v>1</v>
      </c>
      <c r="AH135" t="s">
        <v>293</v>
      </c>
      <c r="AI135" s="2">
        <f t="shared" si="36"/>
        <v>7</v>
      </c>
      <c r="AJ135" s="2">
        <f t="shared" si="37"/>
        <v>1</v>
      </c>
      <c r="AK135" s="3">
        <v>470.00000000232831</v>
      </c>
      <c r="AM135" s="2">
        <v>1</v>
      </c>
      <c r="AN135">
        <v>0</v>
      </c>
      <c r="AO135">
        <v>2</v>
      </c>
      <c r="AP135">
        <v>0</v>
      </c>
      <c r="AQ135" s="2">
        <f>IF((2*G135 + M135 -P135 + 3*W135 + 2*Z135+2*AD135 + AG135+2*AJ135 + 4*AM135) &gt;=8,1,0)</f>
        <v>1</v>
      </c>
    </row>
    <row r="136" spans="1:43" x14ac:dyDescent="0.25">
      <c r="A136" t="s">
        <v>27</v>
      </c>
      <c r="B136" s="1">
        <v>37083</v>
      </c>
      <c r="C136" s="7">
        <f t="shared" si="29"/>
        <v>2001</v>
      </c>
      <c r="D136">
        <v>93.9</v>
      </c>
      <c r="E136">
        <v>75.5</v>
      </c>
      <c r="F136">
        <v>84.3</v>
      </c>
      <c r="G136" s="2">
        <f t="shared" si="38"/>
        <v>1</v>
      </c>
      <c r="H136">
        <v>94.8</v>
      </c>
      <c r="I136">
        <v>75.5</v>
      </c>
      <c r="J136">
        <v>85.6</v>
      </c>
      <c r="K136">
        <v>65.099999999999994</v>
      </c>
      <c r="L136">
        <v>54.1</v>
      </c>
      <c r="M136" s="2">
        <f t="shared" si="30"/>
        <v>0</v>
      </c>
      <c r="N136">
        <v>0</v>
      </c>
      <c r="P136" s="2">
        <f t="shared" si="31"/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2">
        <f t="shared" si="32"/>
        <v>0</v>
      </c>
      <c r="X136">
        <v>17.2</v>
      </c>
      <c r="Z136" s="2">
        <f t="shared" si="33"/>
        <v>1</v>
      </c>
      <c r="AA136">
        <v>188.4</v>
      </c>
      <c r="AB136" s="2" t="str">
        <f>CHOOSE(MATCH(AA136,{0;11;80;111;161;191;241;281;341},1),"North","NorthEast","East","SouthEast","South","SouthWest","West","NorthWest","North")</f>
        <v>South</v>
      </c>
      <c r="AC136" s="5">
        <f>CHOOSE(MATCH(AB136,{"South";"SouthEast";"SouthWest";"North";"NorthEast";"East";"West";"NorthWest"},0),1,2,3,4,5,6,7,8)</f>
        <v>1</v>
      </c>
      <c r="AD136" s="2">
        <f t="shared" si="34"/>
        <v>0</v>
      </c>
      <c r="AE136">
        <v>1010.1</v>
      </c>
      <c r="AF136" s="4" t="s">
        <v>294</v>
      </c>
      <c r="AG136" s="2">
        <f t="shared" si="35"/>
        <v>1</v>
      </c>
      <c r="AH136" t="s">
        <v>295</v>
      </c>
      <c r="AI136" s="2">
        <f t="shared" si="36"/>
        <v>7</v>
      </c>
      <c r="AJ136" s="2">
        <f t="shared" si="37"/>
        <v>1</v>
      </c>
      <c r="AK136" s="3">
        <v>70.000000008149073</v>
      </c>
      <c r="AM136" s="2">
        <v>0</v>
      </c>
      <c r="AN136">
        <v>0</v>
      </c>
      <c r="AO136">
        <v>1</v>
      </c>
      <c r="AP136">
        <v>0</v>
      </c>
      <c r="AQ136" s="2">
        <f>IF((2*G136 + M136 -P136 + 3*W136 + 2*Z136+2*AD136 + AG136+2*AJ136 + 4*AM136) &gt;=8,1,0)</f>
        <v>0</v>
      </c>
    </row>
    <row r="137" spans="1:43" x14ac:dyDescent="0.25">
      <c r="A137" t="s">
        <v>27</v>
      </c>
      <c r="B137" s="1">
        <v>37083</v>
      </c>
      <c r="C137" s="7">
        <f t="shared" si="29"/>
        <v>2001</v>
      </c>
      <c r="D137">
        <v>93.9</v>
      </c>
      <c r="E137">
        <v>75.5</v>
      </c>
      <c r="F137">
        <v>84.3</v>
      </c>
      <c r="G137" s="2">
        <f t="shared" si="38"/>
        <v>1</v>
      </c>
      <c r="H137">
        <v>94.8</v>
      </c>
      <c r="I137">
        <v>75.5</v>
      </c>
      <c r="J137">
        <v>85.6</v>
      </c>
      <c r="K137">
        <v>65.099999999999994</v>
      </c>
      <c r="L137">
        <v>54.1</v>
      </c>
      <c r="M137" s="2">
        <f t="shared" si="30"/>
        <v>0</v>
      </c>
      <c r="N137">
        <v>0</v>
      </c>
      <c r="P137" s="2">
        <f t="shared" si="31"/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2">
        <f t="shared" si="32"/>
        <v>0</v>
      </c>
      <c r="X137">
        <v>17.2</v>
      </c>
      <c r="Z137" s="2">
        <f t="shared" si="33"/>
        <v>1</v>
      </c>
      <c r="AA137">
        <v>188.4</v>
      </c>
      <c r="AB137" s="2" t="str">
        <f>CHOOSE(MATCH(AA137,{0;11;80;111;161;191;241;281;341},1),"North","NorthEast","East","SouthEast","South","SouthWest","West","NorthWest","North")</f>
        <v>South</v>
      </c>
      <c r="AC137" s="5">
        <f>CHOOSE(MATCH(AB137,{"South";"SouthEast";"SouthWest";"North";"NorthEast";"East";"West";"NorthWest"},0),1,2,3,4,5,6,7,8)</f>
        <v>1</v>
      </c>
      <c r="AD137" s="2">
        <f t="shared" si="34"/>
        <v>0</v>
      </c>
      <c r="AE137">
        <v>1010.1</v>
      </c>
      <c r="AF137" s="4" t="s">
        <v>296</v>
      </c>
      <c r="AG137" s="2">
        <f t="shared" si="35"/>
        <v>1</v>
      </c>
      <c r="AH137" t="s">
        <v>297</v>
      </c>
      <c r="AI137" s="2">
        <f t="shared" si="36"/>
        <v>7</v>
      </c>
      <c r="AJ137" s="2">
        <f t="shared" si="37"/>
        <v>1</v>
      </c>
      <c r="AK137" s="3">
        <v>130.00000000465661</v>
      </c>
      <c r="AM137" s="2">
        <v>0</v>
      </c>
      <c r="AN137">
        <v>0</v>
      </c>
      <c r="AO137">
        <v>0.1</v>
      </c>
      <c r="AP137">
        <v>0</v>
      </c>
      <c r="AQ137" s="2">
        <f>IF((2*G137 + M137 -P137 + 3*W137 + 2*Z137+2*AD137 + AG137+2*AJ137 + 4*AM137) &gt;=8,1,0)</f>
        <v>0</v>
      </c>
    </row>
    <row r="138" spans="1:43" x14ac:dyDescent="0.25">
      <c r="A138" t="s">
        <v>27</v>
      </c>
      <c r="B138" s="1">
        <v>37083</v>
      </c>
      <c r="C138" s="7">
        <f t="shared" si="29"/>
        <v>2001</v>
      </c>
      <c r="D138">
        <v>93.9</v>
      </c>
      <c r="E138">
        <v>75.5</v>
      </c>
      <c r="F138">
        <v>84.3</v>
      </c>
      <c r="G138" s="2">
        <f t="shared" si="38"/>
        <v>1</v>
      </c>
      <c r="H138">
        <v>94.8</v>
      </c>
      <c r="I138">
        <v>75.5</v>
      </c>
      <c r="J138">
        <v>85.6</v>
      </c>
      <c r="K138">
        <v>65.099999999999994</v>
      </c>
      <c r="L138">
        <v>54.1</v>
      </c>
      <c r="M138" s="2">
        <f t="shared" si="30"/>
        <v>0</v>
      </c>
      <c r="N138">
        <v>0</v>
      </c>
      <c r="P138" s="2">
        <f t="shared" si="31"/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2">
        <f t="shared" si="32"/>
        <v>0</v>
      </c>
      <c r="X138">
        <v>17.2</v>
      </c>
      <c r="Z138" s="2">
        <f t="shared" si="33"/>
        <v>1</v>
      </c>
      <c r="AA138">
        <v>188.4</v>
      </c>
      <c r="AB138" s="2" t="str">
        <f>CHOOSE(MATCH(AA138,{0;11;80;111;161;191;241;281;341},1),"North","NorthEast","East","SouthEast","South","SouthWest","West","NorthWest","North")</f>
        <v>South</v>
      </c>
      <c r="AC138" s="5">
        <f>CHOOSE(MATCH(AB138,{"South";"SouthEast";"SouthWest";"North";"NorthEast";"East";"West";"NorthWest"},0),1,2,3,4,5,6,7,8)</f>
        <v>1</v>
      </c>
      <c r="AD138" s="2">
        <f t="shared" si="34"/>
        <v>0</v>
      </c>
      <c r="AE138">
        <v>1010.1</v>
      </c>
      <c r="AF138" s="4" t="s">
        <v>298</v>
      </c>
      <c r="AG138" s="2">
        <f t="shared" si="35"/>
        <v>1</v>
      </c>
      <c r="AH138" t="s">
        <v>299</v>
      </c>
      <c r="AI138" s="2">
        <f t="shared" si="36"/>
        <v>7</v>
      </c>
      <c r="AJ138" s="2">
        <f t="shared" si="37"/>
        <v>1</v>
      </c>
      <c r="AK138" s="3">
        <v>50.000000005820773</v>
      </c>
      <c r="AM138" s="2">
        <v>0</v>
      </c>
      <c r="AN138">
        <v>3</v>
      </c>
      <c r="AO138">
        <v>0</v>
      </c>
      <c r="AP138">
        <v>0</v>
      </c>
      <c r="AQ138" s="2">
        <f>IF((2*G138 + M138 -P138 + 3*W138 + 2*Z138+2*AD138 + AG138+2*AJ138 + 4*AM138) &gt;=8,1,0)</f>
        <v>0</v>
      </c>
    </row>
    <row r="139" spans="1:43" x14ac:dyDescent="0.25">
      <c r="A139" t="s">
        <v>27</v>
      </c>
      <c r="B139" s="1">
        <v>37083</v>
      </c>
      <c r="C139" s="7">
        <f t="shared" si="29"/>
        <v>2001</v>
      </c>
      <c r="D139">
        <v>93.9</v>
      </c>
      <c r="E139">
        <v>75.5</v>
      </c>
      <c r="F139">
        <v>84.3</v>
      </c>
      <c r="G139" s="2">
        <f t="shared" si="38"/>
        <v>1</v>
      </c>
      <c r="H139">
        <v>94.8</v>
      </c>
      <c r="I139">
        <v>75.5</v>
      </c>
      <c r="J139">
        <v>85.6</v>
      </c>
      <c r="K139">
        <v>65.099999999999994</v>
      </c>
      <c r="L139">
        <v>54.1</v>
      </c>
      <c r="M139" s="2">
        <f t="shared" si="30"/>
        <v>0</v>
      </c>
      <c r="N139">
        <v>0</v>
      </c>
      <c r="P139" s="2">
        <f t="shared" si="31"/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2">
        <f t="shared" si="32"/>
        <v>0</v>
      </c>
      <c r="X139">
        <v>17.2</v>
      </c>
      <c r="Z139" s="2">
        <f t="shared" si="33"/>
        <v>1</v>
      </c>
      <c r="AA139">
        <v>188.4</v>
      </c>
      <c r="AB139" s="2" t="str">
        <f>CHOOSE(MATCH(AA139,{0;11;80;111;161;191;241;281;341},1),"North","NorthEast","East","SouthEast","South","SouthWest","West","NorthWest","North")</f>
        <v>South</v>
      </c>
      <c r="AC139" s="5">
        <f>CHOOSE(MATCH(AB139,{"South";"SouthEast";"SouthWest";"North";"NorthEast";"East";"West";"NorthWest"},0),1,2,3,4,5,6,7,8)</f>
        <v>1</v>
      </c>
      <c r="AD139" s="2">
        <f t="shared" si="34"/>
        <v>0</v>
      </c>
      <c r="AE139">
        <v>1010.1</v>
      </c>
      <c r="AF139" s="4" t="s">
        <v>300</v>
      </c>
      <c r="AG139" s="2">
        <f t="shared" si="35"/>
        <v>1</v>
      </c>
      <c r="AH139" t="s">
        <v>301</v>
      </c>
      <c r="AI139" s="2">
        <f t="shared" si="36"/>
        <v>7</v>
      </c>
      <c r="AJ139" s="2">
        <f t="shared" si="37"/>
        <v>1</v>
      </c>
      <c r="AK139" s="3">
        <v>175.99999999743889</v>
      </c>
      <c r="AM139" s="2">
        <v>0</v>
      </c>
      <c r="AN139">
        <v>0.1</v>
      </c>
      <c r="AO139">
        <v>0</v>
      </c>
      <c r="AP139">
        <v>0</v>
      </c>
      <c r="AQ139" s="2">
        <f>IF((2*G139 + M139 -P139 + 3*W139 + 2*Z139+2*AD139 + AG139+2*AJ139 + 4*AM139) &gt;=8,1,0)</f>
        <v>0</v>
      </c>
    </row>
    <row r="140" spans="1:43" x14ac:dyDescent="0.25">
      <c r="A140" t="s">
        <v>27</v>
      </c>
      <c r="B140" s="1">
        <v>37084</v>
      </c>
      <c r="C140" s="7">
        <f t="shared" si="29"/>
        <v>2001</v>
      </c>
      <c r="D140">
        <v>91.2</v>
      </c>
      <c r="E140">
        <v>78</v>
      </c>
      <c r="F140">
        <v>84.4</v>
      </c>
      <c r="G140" s="2">
        <f t="shared" si="38"/>
        <v>1</v>
      </c>
      <c r="H140">
        <v>91</v>
      </c>
      <c r="I140">
        <v>78</v>
      </c>
      <c r="J140">
        <v>84</v>
      </c>
      <c r="K140">
        <v>59.1</v>
      </c>
      <c r="L140">
        <v>43.4</v>
      </c>
      <c r="M140" s="2">
        <f t="shared" si="30"/>
        <v>1</v>
      </c>
      <c r="N140">
        <v>0</v>
      </c>
      <c r="P140" s="2">
        <f t="shared" si="31"/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2">
        <f t="shared" si="32"/>
        <v>0</v>
      </c>
      <c r="X140">
        <v>20.5</v>
      </c>
      <c r="Z140" s="2">
        <f t="shared" si="33"/>
        <v>1</v>
      </c>
      <c r="AA140">
        <v>357.5</v>
      </c>
      <c r="AB140" s="2" t="str">
        <f>CHOOSE(MATCH(AA140,{0;11;80;111;161;191;241;281;341},1),"North","NorthEast","East","SouthEast","South","SouthWest","West","NorthWest","North")</f>
        <v>North</v>
      </c>
      <c r="AC140" s="5">
        <f>CHOOSE(MATCH(AB140,{"South";"SouthEast";"SouthWest";"North";"NorthEast";"East";"West";"NorthWest"},0),1,2,3,4,5,6,7,8)</f>
        <v>4</v>
      </c>
      <c r="AD140" s="2">
        <f t="shared" si="34"/>
        <v>1</v>
      </c>
      <c r="AE140">
        <v>1009.1</v>
      </c>
      <c r="AF140" s="4" t="s">
        <v>244</v>
      </c>
      <c r="AG140" s="2">
        <f t="shared" si="35"/>
        <v>1</v>
      </c>
      <c r="AH140" t="s">
        <v>302</v>
      </c>
      <c r="AI140" s="2">
        <f t="shared" si="36"/>
        <v>7</v>
      </c>
      <c r="AJ140" s="2">
        <f t="shared" si="37"/>
        <v>1</v>
      </c>
      <c r="AK140" s="3">
        <v>315</v>
      </c>
      <c r="AM140" s="2">
        <v>0</v>
      </c>
      <c r="AN140">
        <v>55</v>
      </c>
      <c r="AO140">
        <v>0</v>
      </c>
      <c r="AP140">
        <v>0</v>
      </c>
      <c r="AQ140" s="2">
        <f>IF((2*G140 + M140 -P140 + 3*W140 + 2*Z140+2*AD140 + AG140+2*AJ140 + 4*AM140) &gt;=8,1,0)</f>
        <v>1</v>
      </c>
    </row>
    <row r="141" spans="1:43" x14ac:dyDescent="0.25">
      <c r="A141" t="s">
        <v>27</v>
      </c>
      <c r="B141" s="1">
        <v>37087</v>
      </c>
      <c r="C141" s="7">
        <f t="shared" si="29"/>
        <v>2001</v>
      </c>
      <c r="D141">
        <v>95.8</v>
      </c>
      <c r="E141">
        <v>79.099999999999994</v>
      </c>
      <c r="F141">
        <v>88</v>
      </c>
      <c r="G141" s="2">
        <f t="shared" si="38"/>
        <v>1</v>
      </c>
      <c r="H141">
        <v>94.8</v>
      </c>
      <c r="I141">
        <v>79.099999999999994</v>
      </c>
      <c r="J141">
        <v>87.1</v>
      </c>
      <c r="K141">
        <v>57.4</v>
      </c>
      <c r="L141">
        <v>36.4</v>
      </c>
      <c r="M141" s="2">
        <f t="shared" si="30"/>
        <v>1</v>
      </c>
      <c r="N141">
        <v>0</v>
      </c>
      <c r="P141" s="2">
        <f t="shared" si="31"/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2">
        <f t="shared" si="32"/>
        <v>0</v>
      </c>
      <c r="X141">
        <v>16.899999999999999</v>
      </c>
      <c r="Z141" s="2">
        <f t="shared" si="33"/>
        <v>1</v>
      </c>
      <c r="AA141">
        <v>355.6</v>
      </c>
      <c r="AB141" s="2" t="str">
        <f>CHOOSE(MATCH(AA141,{0;11;80;111;161;191;241;281;341},1),"North","NorthEast","East","SouthEast","South","SouthWest","West","NorthWest","North")</f>
        <v>North</v>
      </c>
      <c r="AC141" s="5">
        <f>CHOOSE(MATCH(AB141,{"South";"SouthEast";"SouthWest";"North";"NorthEast";"East";"West";"NorthWest"},0),1,2,3,4,5,6,7,8)</f>
        <v>4</v>
      </c>
      <c r="AD141" s="2">
        <f t="shared" si="34"/>
        <v>1</v>
      </c>
      <c r="AE141">
        <v>1011.2</v>
      </c>
      <c r="AF141" s="4" t="s">
        <v>178</v>
      </c>
      <c r="AG141" s="2">
        <f t="shared" si="35"/>
        <v>1</v>
      </c>
      <c r="AH141" t="s">
        <v>303</v>
      </c>
      <c r="AI141" s="2">
        <f t="shared" si="36"/>
        <v>7</v>
      </c>
      <c r="AJ141" s="2">
        <f t="shared" si="37"/>
        <v>1</v>
      </c>
      <c r="AK141" s="3">
        <v>1440</v>
      </c>
      <c r="AM141" s="2">
        <v>1</v>
      </c>
      <c r="AN141">
        <v>0</v>
      </c>
      <c r="AO141">
        <v>10</v>
      </c>
      <c r="AP141">
        <v>0</v>
      </c>
      <c r="AQ141" s="2">
        <f>IF((2*G141 + M141 -P141 + 3*W141 + 2*Z141+2*AD141 + AG141+2*AJ141 + 4*AM141) &gt;=8,1,0)</f>
        <v>1</v>
      </c>
    </row>
    <row r="142" spans="1:43" x14ac:dyDescent="0.25">
      <c r="A142" t="s">
        <v>27</v>
      </c>
      <c r="B142" s="1">
        <v>37087</v>
      </c>
      <c r="C142" s="7">
        <f t="shared" si="29"/>
        <v>2001</v>
      </c>
      <c r="D142">
        <v>95.8</v>
      </c>
      <c r="E142">
        <v>79.099999999999994</v>
      </c>
      <c r="F142">
        <v>88</v>
      </c>
      <c r="G142" s="2">
        <f t="shared" si="38"/>
        <v>1</v>
      </c>
      <c r="H142">
        <v>94.8</v>
      </c>
      <c r="I142">
        <v>79.099999999999994</v>
      </c>
      <c r="J142">
        <v>87.1</v>
      </c>
      <c r="K142">
        <v>57.4</v>
      </c>
      <c r="L142">
        <v>36.4</v>
      </c>
      <c r="M142" s="2">
        <f t="shared" si="30"/>
        <v>1</v>
      </c>
      <c r="N142">
        <v>0</v>
      </c>
      <c r="P142" s="2">
        <f t="shared" si="31"/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2">
        <f t="shared" si="32"/>
        <v>0</v>
      </c>
      <c r="X142">
        <v>16.899999999999999</v>
      </c>
      <c r="Z142" s="2">
        <f t="shared" si="33"/>
        <v>1</v>
      </c>
      <c r="AA142">
        <v>355.6</v>
      </c>
      <c r="AB142" s="2" t="str">
        <f>CHOOSE(MATCH(AA142,{0;11;80;111;161;191;241;281;341},1),"North","NorthEast","East","SouthEast","South","SouthWest","West","NorthWest","North")</f>
        <v>North</v>
      </c>
      <c r="AC142" s="5">
        <f>CHOOSE(MATCH(AB142,{"South";"SouthEast";"SouthWest";"North";"NorthEast";"East";"West";"NorthWest"},0),1,2,3,4,5,6,7,8)</f>
        <v>4</v>
      </c>
      <c r="AD142" s="2">
        <f t="shared" si="34"/>
        <v>1</v>
      </c>
      <c r="AE142">
        <v>1011.2</v>
      </c>
      <c r="AF142" s="4" t="s">
        <v>304</v>
      </c>
      <c r="AG142" s="2">
        <f t="shared" si="35"/>
        <v>0</v>
      </c>
      <c r="AH142" t="s">
        <v>305</v>
      </c>
      <c r="AI142" s="2">
        <f t="shared" si="36"/>
        <v>7</v>
      </c>
      <c r="AJ142" s="2">
        <f t="shared" si="37"/>
        <v>1</v>
      </c>
      <c r="AK142" s="3">
        <v>59.99999999650754</v>
      </c>
      <c r="AM142" s="2">
        <v>0</v>
      </c>
      <c r="AN142">
        <v>4</v>
      </c>
      <c r="AO142">
        <v>0</v>
      </c>
      <c r="AP142">
        <v>0</v>
      </c>
      <c r="AQ142" s="2">
        <f>IF((2*G142 + M142 -P142 + 3*W142 + 2*Z142+2*AD142 + AG142+2*AJ142 + 4*AM142) &gt;=8,1,0)</f>
        <v>1</v>
      </c>
    </row>
    <row r="143" spans="1:43" x14ac:dyDescent="0.25">
      <c r="A143" t="s">
        <v>27</v>
      </c>
      <c r="B143" s="1">
        <v>37087</v>
      </c>
      <c r="C143" s="7">
        <f t="shared" si="29"/>
        <v>2001</v>
      </c>
      <c r="D143">
        <v>95.8</v>
      </c>
      <c r="E143">
        <v>79.099999999999994</v>
      </c>
      <c r="F143">
        <v>88</v>
      </c>
      <c r="G143" s="2">
        <f t="shared" si="38"/>
        <v>1</v>
      </c>
      <c r="H143">
        <v>94.8</v>
      </c>
      <c r="I143">
        <v>79.099999999999994</v>
      </c>
      <c r="J143">
        <v>87.1</v>
      </c>
      <c r="K143">
        <v>57.4</v>
      </c>
      <c r="L143">
        <v>36.4</v>
      </c>
      <c r="M143" s="2">
        <f t="shared" si="30"/>
        <v>1</v>
      </c>
      <c r="N143">
        <v>0</v>
      </c>
      <c r="P143" s="2">
        <f t="shared" si="31"/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2">
        <f t="shared" si="32"/>
        <v>0</v>
      </c>
      <c r="X143">
        <v>16.899999999999999</v>
      </c>
      <c r="Z143" s="2">
        <f t="shared" si="33"/>
        <v>1</v>
      </c>
      <c r="AA143">
        <v>355.6</v>
      </c>
      <c r="AB143" s="2" t="str">
        <f>CHOOSE(MATCH(AA143,{0;11;80;111;161;191;241;281;341},1),"North","NorthEast","East","SouthEast","South","SouthWest","West","NorthWest","North")</f>
        <v>North</v>
      </c>
      <c r="AC143" s="5">
        <f>CHOOSE(MATCH(AB143,{"South";"SouthEast";"SouthWest";"North";"NorthEast";"East";"West";"NorthWest"},0),1,2,3,4,5,6,7,8)</f>
        <v>4</v>
      </c>
      <c r="AD143" s="2">
        <f t="shared" si="34"/>
        <v>1</v>
      </c>
      <c r="AE143">
        <v>1011.2</v>
      </c>
      <c r="AF143" s="4" t="s">
        <v>306</v>
      </c>
      <c r="AG143" s="2">
        <f t="shared" si="35"/>
        <v>0</v>
      </c>
      <c r="AH143" t="s">
        <v>307</v>
      </c>
      <c r="AI143" s="2">
        <f t="shared" si="36"/>
        <v>7</v>
      </c>
      <c r="AJ143" s="2">
        <f t="shared" si="37"/>
        <v>1</v>
      </c>
      <c r="AK143" s="3">
        <v>1473.000000002794</v>
      </c>
      <c r="AM143" s="2">
        <v>1</v>
      </c>
      <c r="AN143">
        <v>2</v>
      </c>
      <c r="AO143">
        <v>0</v>
      </c>
      <c r="AP143">
        <v>0</v>
      </c>
      <c r="AQ143" s="2">
        <f>IF((2*G143 + M143 -P143 + 3*W143 + 2*Z143+2*AD143 + AG143+2*AJ143 + 4*AM143) &gt;=8,1,0)</f>
        <v>1</v>
      </c>
    </row>
    <row r="144" spans="1:43" x14ac:dyDescent="0.25">
      <c r="A144" t="s">
        <v>27</v>
      </c>
      <c r="B144" s="1">
        <v>37088</v>
      </c>
      <c r="C144" s="7">
        <f t="shared" si="29"/>
        <v>2001</v>
      </c>
      <c r="D144">
        <v>100.1</v>
      </c>
      <c r="E144">
        <v>78.099999999999994</v>
      </c>
      <c r="F144">
        <v>88.2</v>
      </c>
      <c r="G144" s="2">
        <f t="shared" si="38"/>
        <v>1</v>
      </c>
      <c r="H144">
        <v>101.4</v>
      </c>
      <c r="I144">
        <v>78.099999999999994</v>
      </c>
      <c r="J144">
        <v>88.7</v>
      </c>
      <c r="K144">
        <v>60.2</v>
      </c>
      <c r="L144">
        <v>40.5</v>
      </c>
      <c r="M144" s="2">
        <f t="shared" si="30"/>
        <v>1</v>
      </c>
      <c r="N144">
        <v>0</v>
      </c>
      <c r="P144" s="2">
        <f t="shared" si="31"/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2">
        <f t="shared" si="32"/>
        <v>0</v>
      </c>
      <c r="X144">
        <v>14.9</v>
      </c>
      <c r="Z144" s="2">
        <f t="shared" si="33"/>
        <v>0</v>
      </c>
      <c r="AA144">
        <v>330.5</v>
      </c>
      <c r="AB144" s="2" t="str">
        <f>CHOOSE(MATCH(AA144,{0;11;80;111;161;191;241;281;341},1),"North","NorthEast","East","SouthEast","South","SouthWest","West","NorthWest","North")</f>
        <v>NorthWest</v>
      </c>
      <c r="AC144" s="5">
        <f>CHOOSE(MATCH(AB144,{"South";"SouthEast";"SouthWest";"North";"NorthEast";"East";"West";"NorthWest"},0),1,2,3,4,5,6,7,8)</f>
        <v>8</v>
      </c>
      <c r="AD144" s="2">
        <f t="shared" si="34"/>
        <v>1</v>
      </c>
      <c r="AE144">
        <v>1011.5</v>
      </c>
      <c r="AF144" s="4" t="s">
        <v>308</v>
      </c>
      <c r="AG144" s="2">
        <f t="shared" si="35"/>
        <v>0</v>
      </c>
      <c r="AH144" t="s">
        <v>309</v>
      </c>
      <c r="AI144" s="2">
        <f t="shared" si="36"/>
        <v>7</v>
      </c>
      <c r="AJ144" s="2">
        <f t="shared" si="37"/>
        <v>1</v>
      </c>
      <c r="AK144" s="3">
        <v>370.9999999939464</v>
      </c>
      <c r="AM144" s="2">
        <v>1</v>
      </c>
      <c r="AN144">
        <v>0</v>
      </c>
      <c r="AO144">
        <v>5</v>
      </c>
      <c r="AP144">
        <v>0</v>
      </c>
      <c r="AQ144" s="2">
        <f>IF((2*G144 + M144 -P144 + 3*W144 + 2*Z144+2*AD144 + AG144+2*AJ144 + 4*AM144) &gt;=8,1,0)</f>
        <v>1</v>
      </c>
    </row>
    <row r="145" spans="1:43" x14ac:dyDescent="0.25">
      <c r="A145" t="s">
        <v>27</v>
      </c>
      <c r="B145" s="1">
        <v>37090</v>
      </c>
      <c r="C145" s="7">
        <f t="shared" si="29"/>
        <v>2001</v>
      </c>
      <c r="D145">
        <v>96.9</v>
      </c>
      <c r="E145">
        <v>78.599999999999994</v>
      </c>
      <c r="F145">
        <v>87.5</v>
      </c>
      <c r="G145" s="2">
        <f t="shared" si="38"/>
        <v>1</v>
      </c>
      <c r="H145">
        <v>99.9</v>
      </c>
      <c r="I145">
        <v>78.599999999999994</v>
      </c>
      <c r="J145">
        <v>88.2</v>
      </c>
      <c r="K145">
        <v>63.1</v>
      </c>
      <c r="L145">
        <v>47</v>
      </c>
      <c r="M145" s="2">
        <f t="shared" si="30"/>
        <v>1</v>
      </c>
      <c r="N145">
        <v>0</v>
      </c>
      <c r="P145" s="2">
        <f t="shared" si="31"/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2">
        <f t="shared" si="32"/>
        <v>0</v>
      </c>
      <c r="X145">
        <v>17.2</v>
      </c>
      <c r="Z145" s="2">
        <f t="shared" si="33"/>
        <v>1</v>
      </c>
      <c r="AA145">
        <v>310.10000000000002</v>
      </c>
      <c r="AB145" s="2" t="str">
        <f>CHOOSE(MATCH(AA145,{0;11;80;111;161;191;241;281;341},1),"North","NorthEast","East","SouthEast","South","SouthWest","West","NorthWest","North")</f>
        <v>NorthWest</v>
      </c>
      <c r="AC145" s="5">
        <f>CHOOSE(MATCH(AB145,{"South";"SouthEast";"SouthWest";"North";"NorthEast";"East";"West";"NorthWest"},0),1,2,3,4,5,6,7,8)</f>
        <v>8</v>
      </c>
      <c r="AD145" s="2">
        <f t="shared" si="34"/>
        <v>1</v>
      </c>
      <c r="AE145">
        <v>1002.6</v>
      </c>
      <c r="AF145" s="4" t="s">
        <v>310</v>
      </c>
      <c r="AG145" s="2">
        <f t="shared" si="35"/>
        <v>0</v>
      </c>
      <c r="AH145" t="s">
        <v>311</v>
      </c>
      <c r="AI145" s="2">
        <f t="shared" si="36"/>
        <v>7</v>
      </c>
      <c r="AJ145" s="2">
        <f t="shared" si="37"/>
        <v>1</v>
      </c>
      <c r="AK145" s="3">
        <v>564.99999999767169</v>
      </c>
      <c r="AM145" s="2">
        <v>1</v>
      </c>
      <c r="AN145">
        <v>0</v>
      </c>
      <c r="AO145">
        <v>3</v>
      </c>
      <c r="AP145">
        <v>0</v>
      </c>
      <c r="AQ145" s="2">
        <f>IF((2*G145 + M145 -P145 + 3*W145 + 2*Z145+2*AD145 + AG145+2*AJ145 + 4*AM145) &gt;=8,1,0)</f>
        <v>1</v>
      </c>
    </row>
    <row r="146" spans="1:43" x14ac:dyDescent="0.25">
      <c r="A146" t="s">
        <v>27</v>
      </c>
      <c r="B146" s="1">
        <v>37090</v>
      </c>
      <c r="C146" s="7">
        <f t="shared" si="29"/>
        <v>2001</v>
      </c>
      <c r="D146">
        <v>96.9</v>
      </c>
      <c r="E146">
        <v>78.599999999999994</v>
      </c>
      <c r="F146">
        <v>87.5</v>
      </c>
      <c r="G146" s="2">
        <f t="shared" si="38"/>
        <v>1</v>
      </c>
      <c r="H146">
        <v>99.9</v>
      </c>
      <c r="I146">
        <v>78.599999999999994</v>
      </c>
      <c r="J146">
        <v>88.2</v>
      </c>
      <c r="K146">
        <v>63.1</v>
      </c>
      <c r="L146">
        <v>47</v>
      </c>
      <c r="M146" s="2">
        <f t="shared" si="30"/>
        <v>1</v>
      </c>
      <c r="N146">
        <v>0</v>
      </c>
      <c r="P146" s="2">
        <f t="shared" si="31"/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2">
        <f t="shared" si="32"/>
        <v>0</v>
      </c>
      <c r="X146">
        <v>17.2</v>
      </c>
      <c r="Z146" s="2">
        <f t="shared" si="33"/>
        <v>1</v>
      </c>
      <c r="AA146">
        <v>310.10000000000002</v>
      </c>
      <c r="AB146" s="2" t="str">
        <f>CHOOSE(MATCH(AA146,{0;11;80;111;161;191;241;281;341},1),"North","NorthEast","East","SouthEast","South","SouthWest","West","NorthWest","North")</f>
        <v>NorthWest</v>
      </c>
      <c r="AC146" s="5">
        <f>CHOOSE(MATCH(AB146,{"South";"SouthEast";"SouthWest";"North";"NorthEast";"East";"West";"NorthWest"},0),1,2,3,4,5,6,7,8)</f>
        <v>8</v>
      </c>
      <c r="AD146" s="2">
        <f t="shared" si="34"/>
        <v>1</v>
      </c>
      <c r="AE146">
        <v>1002.6</v>
      </c>
      <c r="AF146" s="4" t="s">
        <v>312</v>
      </c>
      <c r="AG146" s="2">
        <f t="shared" si="35"/>
        <v>0</v>
      </c>
      <c r="AH146" t="s">
        <v>313</v>
      </c>
      <c r="AI146" s="2">
        <f t="shared" si="36"/>
        <v>7</v>
      </c>
      <c r="AJ146" s="2">
        <f t="shared" si="37"/>
        <v>1</v>
      </c>
      <c r="AK146" s="3">
        <v>1331.0000000009311</v>
      </c>
      <c r="AM146" s="2">
        <v>1</v>
      </c>
      <c r="AN146">
        <v>0</v>
      </c>
      <c r="AO146">
        <v>40</v>
      </c>
      <c r="AP146">
        <v>0</v>
      </c>
      <c r="AQ146" s="2">
        <f>IF((2*G146 + M146 -P146 + 3*W146 + 2*Z146+2*AD146 + AG146+2*AJ146 + 4*AM146) &gt;=8,1,0)</f>
        <v>1</v>
      </c>
    </row>
    <row r="147" spans="1:43" x14ac:dyDescent="0.25">
      <c r="A147" t="s">
        <v>27</v>
      </c>
      <c r="B147" s="1">
        <v>37092</v>
      </c>
      <c r="C147" s="7">
        <f t="shared" si="29"/>
        <v>2001</v>
      </c>
      <c r="D147">
        <v>96.9</v>
      </c>
      <c r="E147">
        <v>76.7</v>
      </c>
      <c r="F147">
        <v>87</v>
      </c>
      <c r="G147" s="2">
        <f t="shared" si="38"/>
        <v>1</v>
      </c>
      <c r="H147">
        <v>98.6</v>
      </c>
      <c r="I147">
        <v>76.7</v>
      </c>
      <c r="J147">
        <v>88.5</v>
      </c>
      <c r="K147">
        <v>63.3</v>
      </c>
      <c r="L147">
        <v>46</v>
      </c>
      <c r="M147" s="2">
        <f t="shared" si="30"/>
        <v>1</v>
      </c>
      <c r="N147">
        <v>0</v>
      </c>
      <c r="P147" s="2">
        <f t="shared" si="31"/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2">
        <f t="shared" si="32"/>
        <v>0</v>
      </c>
      <c r="X147">
        <v>11.4</v>
      </c>
      <c r="Z147" s="2">
        <f t="shared" si="33"/>
        <v>0</v>
      </c>
      <c r="AA147">
        <v>221.7</v>
      </c>
      <c r="AB147" s="2" t="str">
        <f>CHOOSE(MATCH(AA147,{0;11;80;111;161;191;241;281;341},1),"North","NorthEast","East","SouthEast","South","SouthWest","West","NorthWest","North")</f>
        <v>SouthWest</v>
      </c>
      <c r="AC147" s="5">
        <f>CHOOSE(MATCH(AB147,{"South";"SouthEast";"SouthWest";"North";"NorthEast";"East";"West";"NorthWest"},0),1,2,3,4,5,6,7,8)</f>
        <v>3</v>
      </c>
      <c r="AD147" s="2">
        <f t="shared" si="34"/>
        <v>1</v>
      </c>
      <c r="AE147">
        <v>1009.1</v>
      </c>
      <c r="AF147" s="4" t="s">
        <v>88</v>
      </c>
      <c r="AG147" s="2">
        <f t="shared" si="35"/>
        <v>1</v>
      </c>
      <c r="AH147" t="s">
        <v>314</v>
      </c>
      <c r="AI147" s="2">
        <f t="shared" si="36"/>
        <v>7</v>
      </c>
      <c r="AJ147" s="2">
        <f t="shared" si="37"/>
        <v>1</v>
      </c>
      <c r="AK147" s="3">
        <v>136.0000000032596</v>
      </c>
      <c r="AM147" s="2">
        <v>0</v>
      </c>
      <c r="AN147">
        <v>0</v>
      </c>
      <c r="AO147">
        <v>2</v>
      </c>
      <c r="AP147">
        <v>0</v>
      </c>
      <c r="AQ147" s="2">
        <f>IF((2*G147 + M147 -P147 + 3*W147 + 2*Z147+2*AD147 + AG147+2*AJ147 + 4*AM147) &gt;=8,1,0)</f>
        <v>0</v>
      </c>
    </row>
    <row r="148" spans="1:43" x14ac:dyDescent="0.25">
      <c r="A148" t="s">
        <v>27</v>
      </c>
      <c r="B148" s="1">
        <v>37092</v>
      </c>
      <c r="C148" s="7">
        <f t="shared" si="29"/>
        <v>2001</v>
      </c>
      <c r="D148">
        <v>96.9</v>
      </c>
      <c r="E148">
        <v>76.7</v>
      </c>
      <c r="F148">
        <v>87</v>
      </c>
      <c r="G148" s="2">
        <f t="shared" si="38"/>
        <v>1</v>
      </c>
      <c r="H148">
        <v>98.6</v>
      </c>
      <c r="I148">
        <v>76.7</v>
      </c>
      <c r="J148">
        <v>88.5</v>
      </c>
      <c r="K148">
        <v>63.3</v>
      </c>
      <c r="L148">
        <v>46</v>
      </c>
      <c r="M148" s="2">
        <f t="shared" si="30"/>
        <v>1</v>
      </c>
      <c r="N148">
        <v>0</v>
      </c>
      <c r="P148" s="2">
        <f t="shared" si="31"/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2">
        <f t="shared" si="32"/>
        <v>0</v>
      </c>
      <c r="X148">
        <v>11.4</v>
      </c>
      <c r="Z148" s="2">
        <f t="shared" si="33"/>
        <v>0</v>
      </c>
      <c r="AA148">
        <v>221.7</v>
      </c>
      <c r="AB148" s="2" t="str">
        <f>CHOOSE(MATCH(AA148,{0;11;80;111;161;191;241;281;341},1),"North","NorthEast","East","SouthEast","South","SouthWest","West","NorthWest","North")</f>
        <v>SouthWest</v>
      </c>
      <c r="AC148" s="5">
        <f>CHOOSE(MATCH(AB148,{"South";"SouthEast";"SouthWest";"North";"NorthEast";"East";"West";"NorthWest"},0),1,2,3,4,5,6,7,8)</f>
        <v>3</v>
      </c>
      <c r="AD148" s="2">
        <f t="shared" si="34"/>
        <v>1</v>
      </c>
      <c r="AE148">
        <v>1009.1</v>
      </c>
      <c r="AF148" s="4" t="s">
        <v>315</v>
      </c>
      <c r="AG148" s="2">
        <f t="shared" si="35"/>
        <v>1</v>
      </c>
      <c r="AH148" t="s">
        <v>316</v>
      </c>
      <c r="AI148" s="2">
        <f t="shared" si="36"/>
        <v>7</v>
      </c>
      <c r="AJ148" s="2">
        <f t="shared" si="37"/>
        <v>1</v>
      </c>
      <c r="AK148" s="3">
        <v>320.00000000582082</v>
      </c>
      <c r="AM148" s="2">
        <v>0</v>
      </c>
      <c r="AN148">
        <v>0</v>
      </c>
      <c r="AO148">
        <v>35</v>
      </c>
      <c r="AP148">
        <v>0</v>
      </c>
      <c r="AQ148" s="2">
        <f>IF((2*G148 + M148 -P148 + 3*W148 + 2*Z148+2*AD148 + AG148+2*AJ148 + 4*AM148) &gt;=8,1,0)</f>
        <v>0</v>
      </c>
    </row>
    <row r="149" spans="1:43" x14ac:dyDescent="0.25">
      <c r="A149" t="s">
        <v>27</v>
      </c>
      <c r="B149" s="1">
        <v>37093</v>
      </c>
      <c r="C149" s="7">
        <f t="shared" si="29"/>
        <v>2001</v>
      </c>
      <c r="D149">
        <v>92.4</v>
      </c>
      <c r="E149">
        <v>79.099999999999994</v>
      </c>
      <c r="F149">
        <v>84.9</v>
      </c>
      <c r="G149" s="2">
        <f t="shared" si="38"/>
        <v>1</v>
      </c>
      <c r="H149">
        <v>90.8</v>
      </c>
      <c r="I149">
        <v>79.099999999999994</v>
      </c>
      <c r="J149">
        <v>84.4</v>
      </c>
      <c r="K149">
        <v>58.4</v>
      </c>
      <c r="L149">
        <v>42.2</v>
      </c>
      <c r="M149" s="2">
        <f t="shared" si="30"/>
        <v>1</v>
      </c>
      <c r="N149">
        <v>0</v>
      </c>
      <c r="P149" s="2">
        <f t="shared" si="31"/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2">
        <f t="shared" si="32"/>
        <v>0</v>
      </c>
      <c r="X149">
        <v>20.6</v>
      </c>
      <c r="Z149" s="2">
        <f t="shared" si="33"/>
        <v>1</v>
      </c>
      <c r="AA149">
        <v>306.89999999999998</v>
      </c>
      <c r="AB149" s="2" t="str">
        <f>CHOOSE(MATCH(AA149,{0;11;80;111;161;191;241;281;341},1),"North","NorthEast","East","SouthEast","South","SouthWest","West","NorthWest","North")</f>
        <v>NorthWest</v>
      </c>
      <c r="AC149" s="5">
        <f>CHOOSE(MATCH(AB149,{"South";"SouthEast";"SouthWest";"North";"NorthEast";"East";"West";"NorthWest"},0),1,2,3,4,5,6,7,8)</f>
        <v>8</v>
      </c>
      <c r="AD149" s="2">
        <f t="shared" si="34"/>
        <v>1</v>
      </c>
      <c r="AE149">
        <v>1006.1</v>
      </c>
      <c r="AF149" s="4" t="s">
        <v>317</v>
      </c>
      <c r="AG149" s="2">
        <f t="shared" si="35"/>
        <v>0</v>
      </c>
      <c r="AH149" t="s">
        <v>318</v>
      </c>
      <c r="AI149" s="2">
        <f t="shared" si="36"/>
        <v>7</v>
      </c>
      <c r="AJ149" s="2">
        <f t="shared" si="37"/>
        <v>1</v>
      </c>
      <c r="AK149" s="3">
        <v>50.999999998603023</v>
      </c>
      <c r="AM149" s="2">
        <v>0</v>
      </c>
      <c r="AN149">
        <v>2</v>
      </c>
      <c r="AO149">
        <v>0</v>
      </c>
      <c r="AP149">
        <v>0</v>
      </c>
      <c r="AQ149" s="2">
        <f>IF((2*G149 + M149 -P149 + 3*W149 + 2*Z149+2*AD149 + AG149+2*AJ149 + 4*AM149) &gt;=8,1,0)</f>
        <v>1</v>
      </c>
    </row>
    <row r="150" spans="1:43" x14ac:dyDescent="0.25">
      <c r="A150" t="s">
        <v>27</v>
      </c>
      <c r="B150" s="1">
        <v>37094</v>
      </c>
      <c r="C150" s="7">
        <f t="shared" si="29"/>
        <v>2001</v>
      </c>
      <c r="D150">
        <v>89.6</v>
      </c>
      <c r="E150">
        <v>76.2</v>
      </c>
      <c r="F150">
        <v>82</v>
      </c>
      <c r="G150" s="2">
        <f t="shared" si="38"/>
        <v>1</v>
      </c>
      <c r="H150">
        <v>92</v>
      </c>
      <c r="I150">
        <v>76.2</v>
      </c>
      <c r="J150">
        <v>82.5</v>
      </c>
      <c r="K150">
        <v>61.6</v>
      </c>
      <c r="L150">
        <v>50.6</v>
      </c>
      <c r="M150" s="2">
        <f t="shared" si="30"/>
        <v>0</v>
      </c>
      <c r="N150">
        <v>0</v>
      </c>
      <c r="P150" s="2">
        <f t="shared" si="31"/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2">
        <f t="shared" si="32"/>
        <v>0</v>
      </c>
      <c r="X150">
        <v>15</v>
      </c>
      <c r="Z150" s="2">
        <f t="shared" si="33"/>
        <v>0</v>
      </c>
      <c r="AA150">
        <v>281.39999999999998</v>
      </c>
      <c r="AB150" s="2" t="str">
        <f>CHOOSE(MATCH(AA150,{0;11;80;111;161;191;241;281;341},1),"North","NorthEast","East","SouthEast","South","SouthWest","West","NorthWest","North")</f>
        <v>NorthWest</v>
      </c>
      <c r="AC150" s="5">
        <f>CHOOSE(MATCH(AB150,{"South";"SouthEast";"SouthWest";"North";"NorthEast";"East";"West";"NorthWest"},0),1,2,3,4,5,6,7,8)</f>
        <v>8</v>
      </c>
      <c r="AD150" s="2">
        <f t="shared" si="34"/>
        <v>1</v>
      </c>
      <c r="AE150">
        <v>1007.7</v>
      </c>
      <c r="AF150" s="4" t="s">
        <v>319</v>
      </c>
      <c r="AG150" s="2">
        <f t="shared" si="35"/>
        <v>1</v>
      </c>
      <c r="AH150" t="s">
        <v>320</v>
      </c>
      <c r="AI150" s="2">
        <f t="shared" si="36"/>
        <v>7</v>
      </c>
      <c r="AJ150" s="2">
        <f t="shared" si="37"/>
        <v>1</v>
      </c>
      <c r="AK150" s="3">
        <v>875.00000000232831</v>
      </c>
      <c r="AM150" s="2">
        <v>1</v>
      </c>
      <c r="AN150">
        <v>0</v>
      </c>
      <c r="AO150">
        <v>12</v>
      </c>
      <c r="AP150">
        <v>0</v>
      </c>
      <c r="AQ150" s="2">
        <f>IF((2*G150 + M150 -P150 + 3*W150 + 2*Z150+2*AD150 + AG150+2*AJ150 + 4*AM150) &gt;=8,1,0)</f>
        <v>1</v>
      </c>
    </row>
    <row r="151" spans="1:43" x14ac:dyDescent="0.25">
      <c r="A151" t="s">
        <v>27</v>
      </c>
      <c r="B151" s="1">
        <v>37095</v>
      </c>
      <c r="C151" s="7">
        <f t="shared" si="29"/>
        <v>2001</v>
      </c>
      <c r="D151">
        <v>87.9</v>
      </c>
      <c r="E151">
        <v>73.5</v>
      </c>
      <c r="F151">
        <v>80.599999999999994</v>
      </c>
      <c r="G151" s="2">
        <f t="shared" si="38"/>
        <v>1</v>
      </c>
      <c r="H151">
        <v>91.6</v>
      </c>
      <c r="I151">
        <v>73.5</v>
      </c>
      <c r="J151">
        <v>81.599999999999994</v>
      </c>
      <c r="K151">
        <v>63.9</v>
      </c>
      <c r="L151">
        <v>57.4</v>
      </c>
      <c r="M151" s="2">
        <f t="shared" si="30"/>
        <v>0</v>
      </c>
      <c r="N151">
        <v>0</v>
      </c>
      <c r="P151" s="2">
        <f t="shared" si="31"/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2">
        <f t="shared" si="32"/>
        <v>0</v>
      </c>
      <c r="X151">
        <v>13.6</v>
      </c>
      <c r="Z151" s="2">
        <f t="shared" si="33"/>
        <v>0</v>
      </c>
      <c r="AA151">
        <v>207.4</v>
      </c>
      <c r="AB151" s="2" t="str">
        <f>CHOOSE(MATCH(AA151,{0;11;80;111;161;191;241;281;341},1),"North","NorthEast","East","SouthEast","South","SouthWest","West","NorthWest","North")</f>
        <v>SouthWest</v>
      </c>
      <c r="AC151" s="5">
        <f>CHOOSE(MATCH(AB151,{"South";"SouthEast";"SouthWest";"North";"NorthEast";"East";"West";"NorthWest"},0),1,2,3,4,5,6,7,8)</f>
        <v>3</v>
      </c>
      <c r="AD151" s="2">
        <f t="shared" si="34"/>
        <v>1</v>
      </c>
      <c r="AE151">
        <v>1008.7</v>
      </c>
      <c r="AF151" s="4" t="s">
        <v>322</v>
      </c>
      <c r="AG151" s="2">
        <f t="shared" si="35"/>
        <v>1</v>
      </c>
      <c r="AH151" t="s">
        <v>323</v>
      </c>
      <c r="AI151" s="2">
        <f t="shared" si="36"/>
        <v>7</v>
      </c>
      <c r="AJ151" s="2">
        <f t="shared" si="37"/>
        <v>1</v>
      </c>
      <c r="AK151" s="3">
        <v>323.99999999790452</v>
      </c>
      <c r="AM151" s="2">
        <v>0</v>
      </c>
      <c r="AN151">
        <v>0</v>
      </c>
      <c r="AO151">
        <v>4</v>
      </c>
      <c r="AP151">
        <v>0</v>
      </c>
      <c r="AQ151" s="2">
        <f>IF((2*G151 + M151 -P151 + 3*W151 + 2*Z151+2*AD151 + AG151+2*AJ151 + 4*AM151) &gt;=8,1,0)</f>
        <v>0</v>
      </c>
    </row>
    <row r="152" spans="1:43" x14ac:dyDescent="0.25">
      <c r="A152" t="s">
        <v>27</v>
      </c>
      <c r="B152" s="1">
        <v>37097</v>
      </c>
      <c r="C152" s="7">
        <f t="shared" si="29"/>
        <v>2001</v>
      </c>
      <c r="D152">
        <v>91.5</v>
      </c>
      <c r="E152">
        <v>76.400000000000006</v>
      </c>
      <c r="F152">
        <v>83.3</v>
      </c>
      <c r="G152" s="2">
        <f t="shared" si="38"/>
        <v>1</v>
      </c>
      <c r="H152">
        <v>95.7</v>
      </c>
      <c r="I152">
        <v>76.400000000000006</v>
      </c>
      <c r="J152">
        <v>85.3</v>
      </c>
      <c r="K152">
        <v>65.900000000000006</v>
      </c>
      <c r="L152">
        <v>56.5</v>
      </c>
      <c r="M152" s="2">
        <f t="shared" si="30"/>
        <v>0</v>
      </c>
      <c r="N152">
        <v>0</v>
      </c>
      <c r="P152" s="2">
        <f t="shared" si="31"/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2">
        <f t="shared" si="32"/>
        <v>0</v>
      </c>
      <c r="X152">
        <v>13.6</v>
      </c>
      <c r="Z152" s="2">
        <f t="shared" si="33"/>
        <v>0</v>
      </c>
      <c r="AA152">
        <v>249.9</v>
      </c>
      <c r="AB152" s="2" t="str">
        <f>CHOOSE(MATCH(AA152,{0;11;80;111;161;191;241;281;341},1),"North","NorthEast","East","SouthEast","South","SouthWest","West","NorthWest","North")</f>
        <v>West</v>
      </c>
      <c r="AC152" s="5">
        <f>CHOOSE(MATCH(AB152,{"South";"SouthEast";"SouthWest";"North";"NorthEast";"East";"West";"NorthWest"},0),1,2,3,4,5,6,7,8)</f>
        <v>7</v>
      </c>
      <c r="AD152" s="2">
        <f t="shared" si="34"/>
        <v>0</v>
      </c>
      <c r="AE152">
        <v>1010</v>
      </c>
      <c r="AF152" s="4" t="s">
        <v>324</v>
      </c>
      <c r="AG152" s="2">
        <f t="shared" si="35"/>
        <v>0</v>
      </c>
      <c r="AH152" t="s">
        <v>325</v>
      </c>
      <c r="AI152" s="2">
        <f t="shared" si="36"/>
        <v>7</v>
      </c>
      <c r="AJ152" s="2">
        <f t="shared" si="37"/>
        <v>1</v>
      </c>
      <c r="AK152" s="3">
        <v>1052.000000003027</v>
      </c>
      <c r="AM152" s="2">
        <v>1</v>
      </c>
      <c r="AN152">
        <v>0</v>
      </c>
      <c r="AO152">
        <v>25</v>
      </c>
      <c r="AP152">
        <v>0</v>
      </c>
      <c r="AQ152" s="2">
        <f>IF((2*G152 + M152 -P152 + 3*W152 + 2*Z152+2*AD152 + AG152+2*AJ152 + 4*AM152) &gt;=8,1,0)</f>
        <v>0</v>
      </c>
    </row>
    <row r="153" spans="1:43" x14ac:dyDescent="0.25">
      <c r="A153" t="s">
        <v>27</v>
      </c>
      <c r="B153" s="1">
        <v>37098</v>
      </c>
      <c r="C153" s="7">
        <f t="shared" si="29"/>
        <v>2001</v>
      </c>
      <c r="D153">
        <v>93.9</v>
      </c>
      <c r="E153">
        <v>75.099999999999994</v>
      </c>
      <c r="F153">
        <v>84.5</v>
      </c>
      <c r="G153" s="2">
        <f t="shared" si="38"/>
        <v>1</v>
      </c>
      <c r="H153">
        <v>96.7</v>
      </c>
      <c r="I153">
        <v>75.099999999999994</v>
      </c>
      <c r="J153">
        <v>86.3</v>
      </c>
      <c r="K153">
        <v>66.099999999999994</v>
      </c>
      <c r="L153">
        <v>55.6</v>
      </c>
      <c r="M153" s="2">
        <f t="shared" si="30"/>
        <v>0</v>
      </c>
      <c r="N153">
        <v>0</v>
      </c>
      <c r="P153" s="2">
        <f t="shared" si="31"/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2">
        <f t="shared" si="32"/>
        <v>0</v>
      </c>
      <c r="X153">
        <v>11.5</v>
      </c>
      <c r="Z153" s="2">
        <f t="shared" si="33"/>
        <v>0</v>
      </c>
      <c r="AA153">
        <v>192.1</v>
      </c>
      <c r="AB153" s="2" t="str">
        <f>CHOOSE(MATCH(AA153,{0;11;80;111;161;191;241;281;341},1),"North","NorthEast","East","SouthEast","South","SouthWest","West","NorthWest","North")</f>
        <v>SouthWest</v>
      </c>
      <c r="AC153" s="5">
        <f>CHOOSE(MATCH(AB153,{"South";"SouthEast";"SouthWest";"North";"NorthEast";"East";"West";"NorthWest"},0),1,2,3,4,5,6,7,8)</f>
        <v>3</v>
      </c>
      <c r="AD153" s="2">
        <f t="shared" si="34"/>
        <v>1</v>
      </c>
      <c r="AE153">
        <v>1010.5</v>
      </c>
      <c r="AF153" s="4" t="s">
        <v>326</v>
      </c>
      <c r="AG153" s="2">
        <f t="shared" si="35"/>
        <v>0</v>
      </c>
      <c r="AH153" t="s">
        <v>327</v>
      </c>
      <c r="AI153" s="2">
        <f t="shared" si="36"/>
        <v>7</v>
      </c>
      <c r="AJ153" s="2">
        <f t="shared" si="37"/>
        <v>1</v>
      </c>
      <c r="AK153" s="3">
        <v>118.00000000745059</v>
      </c>
      <c r="AM153" s="2">
        <v>0</v>
      </c>
      <c r="AN153">
        <v>0</v>
      </c>
      <c r="AO153">
        <v>0.7</v>
      </c>
      <c r="AP153">
        <v>0</v>
      </c>
      <c r="AQ153" s="2">
        <f>IF((2*G153 + M153 -P153 + 3*W153 + 2*Z153+2*AD153 + AG153+2*AJ153 + 4*AM153) &gt;=8,1,0)</f>
        <v>0</v>
      </c>
    </row>
    <row r="154" spans="1:43" x14ac:dyDescent="0.25">
      <c r="A154" t="s">
        <v>27</v>
      </c>
      <c r="B154" s="1">
        <v>37098</v>
      </c>
      <c r="C154" s="7">
        <f t="shared" si="29"/>
        <v>2001</v>
      </c>
      <c r="D154">
        <v>93.9</v>
      </c>
      <c r="E154">
        <v>75.099999999999994</v>
      </c>
      <c r="F154">
        <v>84.5</v>
      </c>
      <c r="G154" s="2">
        <f t="shared" si="38"/>
        <v>1</v>
      </c>
      <c r="H154">
        <v>96.7</v>
      </c>
      <c r="I154">
        <v>75.099999999999994</v>
      </c>
      <c r="J154">
        <v>86.3</v>
      </c>
      <c r="K154">
        <v>66.099999999999994</v>
      </c>
      <c r="L154">
        <v>55.6</v>
      </c>
      <c r="M154" s="2">
        <f t="shared" si="30"/>
        <v>0</v>
      </c>
      <c r="N154">
        <v>0</v>
      </c>
      <c r="P154" s="2">
        <f t="shared" si="31"/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2">
        <f t="shared" si="32"/>
        <v>0</v>
      </c>
      <c r="X154">
        <v>11.5</v>
      </c>
      <c r="Z154" s="2">
        <f t="shared" si="33"/>
        <v>0</v>
      </c>
      <c r="AA154">
        <v>192.1</v>
      </c>
      <c r="AB154" s="2" t="str">
        <f>CHOOSE(MATCH(AA154,{0;11;80;111;161;191;241;281;341},1),"North","NorthEast","East","SouthEast","South","SouthWest","West","NorthWest","North")</f>
        <v>SouthWest</v>
      </c>
      <c r="AC154" s="5">
        <f>CHOOSE(MATCH(AB154,{"South";"SouthEast";"SouthWest";"North";"NorthEast";"East";"West";"NorthWest"},0),1,2,3,4,5,6,7,8)</f>
        <v>3</v>
      </c>
      <c r="AD154" s="2">
        <f t="shared" si="34"/>
        <v>1</v>
      </c>
      <c r="AE154">
        <v>1010.5</v>
      </c>
      <c r="AF154" s="4" t="s">
        <v>328</v>
      </c>
      <c r="AG154" s="2">
        <f t="shared" si="35"/>
        <v>0</v>
      </c>
      <c r="AH154" t="s">
        <v>329</v>
      </c>
      <c r="AI154" s="2">
        <f t="shared" si="36"/>
        <v>7</v>
      </c>
      <c r="AJ154" s="2">
        <f t="shared" si="37"/>
        <v>1</v>
      </c>
      <c r="AK154" s="3">
        <v>54.000000008381903</v>
      </c>
      <c r="AM154" s="2">
        <v>0</v>
      </c>
      <c r="AN154">
        <v>0.8</v>
      </c>
      <c r="AO154">
        <v>0</v>
      </c>
      <c r="AP154">
        <v>0</v>
      </c>
      <c r="AQ154" s="2">
        <f>IF((2*G154 + M154 -P154 + 3*W154 + 2*Z154+2*AD154 + AG154+2*AJ154 + 4*AM154) &gt;=8,1,0)</f>
        <v>0</v>
      </c>
    </row>
    <row r="155" spans="1:43" x14ac:dyDescent="0.25">
      <c r="A155" t="s">
        <v>27</v>
      </c>
      <c r="B155" s="1">
        <v>37100</v>
      </c>
      <c r="C155" s="7">
        <f t="shared" si="29"/>
        <v>2001</v>
      </c>
      <c r="D155">
        <v>95.6</v>
      </c>
      <c r="E155">
        <v>75.400000000000006</v>
      </c>
      <c r="F155">
        <v>86.4</v>
      </c>
      <c r="G155" s="2">
        <f t="shared" si="38"/>
        <v>1</v>
      </c>
      <c r="H155">
        <v>99.3</v>
      </c>
      <c r="I155">
        <v>75.400000000000006</v>
      </c>
      <c r="J155">
        <v>88</v>
      </c>
      <c r="K155">
        <v>65.599999999999994</v>
      </c>
      <c r="L155">
        <v>52.9</v>
      </c>
      <c r="M155" s="2">
        <f t="shared" si="30"/>
        <v>0</v>
      </c>
      <c r="N155">
        <v>0</v>
      </c>
      <c r="P155" s="2">
        <f t="shared" si="31"/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2">
        <f t="shared" si="32"/>
        <v>0</v>
      </c>
      <c r="X155">
        <v>15.7</v>
      </c>
      <c r="Z155" s="2">
        <f t="shared" si="33"/>
        <v>0</v>
      </c>
      <c r="AA155">
        <v>9.6</v>
      </c>
      <c r="AB155" s="2" t="str">
        <f>CHOOSE(MATCH(AA155,{0;11;80;111;161;191;241;281;341},1),"North","NorthEast","East","SouthEast","South","SouthWest","West","NorthWest","North")</f>
        <v>North</v>
      </c>
      <c r="AC155" s="5">
        <f>CHOOSE(MATCH(AB155,{"South";"SouthEast";"SouthWest";"North";"NorthEast";"East";"West";"NorthWest"},0),1,2,3,4,5,6,7,8)</f>
        <v>4</v>
      </c>
      <c r="AD155" s="2">
        <f t="shared" si="34"/>
        <v>1</v>
      </c>
      <c r="AE155">
        <v>1010.8</v>
      </c>
      <c r="AF155" s="4" t="s">
        <v>330</v>
      </c>
      <c r="AG155" s="2">
        <f t="shared" si="35"/>
        <v>1</v>
      </c>
      <c r="AH155" t="s">
        <v>331</v>
      </c>
      <c r="AI155" s="2">
        <f t="shared" si="36"/>
        <v>7</v>
      </c>
      <c r="AJ155" s="2">
        <f t="shared" si="37"/>
        <v>1</v>
      </c>
      <c r="AK155" s="3">
        <v>6806.0000000044238</v>
      </c>
      <c r="AM155" s="2">
        <v>1</v>
      </c>
      <c r="AN155">
        <v>0</v>
      </c>
      <c r="AO155">
        <v>200</v>
      </c>
      <c r="AP155">
        <v>0</v>
      </c>
      <c r="AQ155" s="2">
        <f>IF((2*G155 + M155 -P155 + 3*W155 + 2*Z155+2*AD155 + AG155+2*AJ155 + 4*AM155) &gt;=8,1,0)</f>
        <v>1</v>
      </c>
    </row>
    <row r="156" spans="1:43" x14ac:dyDescent="0.25">
      <c r="A156" t="s">
        <v>27</v>
      </c>
      <c r="B156" s="1">
        <v>37101</v>
      </c>
      <c r="C156" s="7">
        <f t="shared" si="29"/>
        <v>2001</v>
      </c>
      <c r="D156">
        <v>97.2</v>
      </c>
      <c r="E156">
        <v>77.099999999999994</v>
      </c>
      <c r="F156">
        <v>87.8</v>
      </c>
      <c r="G156" s="2">
        <f t="shared" si="38"/>
        <v>1</v>
      </c>
      <c r="H156">
        <v>100</v>
      </c>
      <c r="I156">
        <v>77.099999999999994</v>
      </c>
      <c r="J156">
        <v>89</v>
      </c>
      <c r="K156">
        <v>64.2</v>
      </c>
      <c r="L156">
        <v>48.6</v>
      </c>
      <c r="M156" s="2">
        <f t="shared" si="30"/>
        <v>1</v>
      </c>
      <c r="N156">
        <v>0</v>
      </c>
      <c r="P156" s="2">
        <f t="shared" si="31"/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2">
        <f t="shared" si="32"/>
        <v>0</v>
      </c>
      <c r="X156">
        <v>17.899999999999999</v>
      </c>
      <c r="Z156" s="2">
        <f t="shared" si="33"/>
        <v>1</v>
      </c>
      <c r="AA156">
        <v>27.6</v>
      </c>
      <c r="AB156" s="2" t="str">
        <f>CHOOSE(MATCH(AA156,{0;11;80;111;161;191;241;281;341},1),"North","NorthEast","East","SouthEast","South","SouthWest","West","NorthWest","North")</f>
        <v>NorthEast</v>
      </c>
      <c r="AC156" s="5">
        <f>CHOOSE(MATCH(AB156,{"South";"SouthEast";"SouthWest";"North";"NorthEast";"East";"West";"NorthWest"},0),1,2,3,4,5,6,7,8)</f>
        <v>5</v>
      </c>
      <c r="AD156" s="2">
        <f t="shared" si="34"/>
        <v>1</v>
      </c>
      <c r="AE156">
        <v>1010.8</v>
      </c>
      <c r="AF156" s="4" t="s">
        <v>332</v>
      </c>
      <c r="AG156" s="2">
        <f t="shared" si="35"/>
        <v>1</v>
      </c>
      <c r="AH156" t="s">
        <v>333</v>
      </c>
      <c r="AI156" s="2">
        <f t="shared" si="36"/>
        <v>7</v>
      </c>
      <c r="AJ156" s="2">
        <f t="shared" si="37"/>
        <v>1</v>
      </c>
      <c r="AK156" s="3">
        <v>81.999999994877726</v>
      </c>
      <c r="AM156" s="2">
        <v>0</v>
      </c>
      <c r="AN156">
        <v>0</v>
      </c>
      <c r="AO156">
        <v>3</v>
      </c>
      <c r="AP156">
        <v>0</v>
      </c>
      <c r="AQ156" s="2">
        <f>IF((2*G156 + M156 -P156 + 3*W156 + 2*Z156+2*AD156 + AG156+2*AJ156 + 4*AM156) &gt;=8,1,0)</f>
        <v>1</v>
      </c>
    </row>
    <row r="157" spans="1:43" x14ac:dyDescent="0.25">
      <c r="A157" t="s">
        <v>27</v>
      </c>
      <c r="B157" s="1">
        <v>37101</v>
      </c>
      <c r="C157" s="7">
        <f t="shared" si="29"/>
        <v>2001</v>
      </c>
      <c r="D157">
        <v>97.2</v>
      </c>
      <c r="E157">
        <v>77.099999999999994</v>
      </c>
      <c r="F157">
        <v>87.8</v>
      </c>
      <c r="G157" s="2">
        <f t="shared" si="38"/>
        <v>1</v>
      </c>
      <c r="H157">
        <v>100</v>
      </c>
      <c r="I157">
        <v>77.099999999999994</v>
      </c>
      <c r="J157">
        <v>89</v>
      </c>
      <c r="K157">
        <v>64.2</v>
      </c>
      <c r="L157">
        <v>48.6</v>
      </c>
      <c r="M157" s="2">
        <f t="shared" si="30"/>
        <v>1</v>
      </c>
      <c r="N157">
        <v>0</v>
      </c>
      <c r="P157" s="2">
        <f t="shared" si="31"/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2">
        <f t="shared" si="32"/>
        <v>0</v>
      </c>
      <c r="X157">
        <v>17.899999999999999</v>
      </c>
      <c r="Z157" s="2">
        <f t="shared" si="33"/>
        <v>1</v>
      </c>
      <c r="AA157">
        <v>27.6</v>
      </c>
      <c r="AB157" s="2" t="str">
        <f>CHOOSE(MATCH(AA157,{0;11;80;111;161;191;241;281;341},1),"North","NorthEast","East","SouthEast","South","SouthWest","West","NorthWest","North")</f>
        <v>NorthEast</v>
      </c>
      <c r="AC157" s="5">
        <f>CHOOSE(MATCH(AB157,{"South";"SouthEast";"SouthWest";"North";"NorthEast";"East";"West";"NorthWest"},0),1,2,3,4,5,6,7,8)</f>
        <v>5</v>
      </c>
      <c r="AD157" s="2">
        <f t="shared" si="34"/>
        <v>1</v>
      </c>
      <c r="AE157">
        <v>1010.8</v>
      </c>
      <c r="AF157" s="4" t="s">
        <v>334</v>
      </c>
      <c r="AG157" s="2">
        <f t="shared" si="35"/>
        <v>0</v>
      </c>
      <c r="AH157" t="s">
        <v>335</v>
      </c>
      <c r="AI157" s="2">
        <f t="shared" si="36"/>
        <v>7</v>
      </c>
      <c r="AJ157" s="2">
        <f t="shared" si="37"/>
        <v>1</v>
      </c>
      <c r="AK157" s="3">
        <v>76.000000006752089</v>
      </c>
      <c r="AM157" s="2">
        <v>0</v>
      </c>
      <c r="AN157">
        <v>0</v>
      </c>
      <c r="AO157">
        <v>0.5</v>
      </c>
      <c r="AP157">
        <v>0</v>
      </c>
      <c r="AQ157" s="2">
        <f>IF((2*G157 + M157 -P157 + 3*W157 + 2*Z157+2*AD157 + AG157+2*AJ157 + 4*AM157) &gt;=8,1,0)</f>
        <v>1</v>
      </c>
    </row>
    <row r="158" spans="1:43" x14ac:dyDescent="0.25">
      <c r="A158" t="s">
        <v>27</v>
      </c>
      <c r="B158" s="1">
        <v>37102</v>
      </c>
      <c r="C158" s="7">
        <f t="shared" si="29"/>
        <v>2001</v>
      </c>
      <c r="D158">
        <v>98.7</v>
      </c>
      <c r="E158">
        <v>77.099999999999994</v>
      </c>
      <c r="F158">
        <v>88.3</v>
      </c>
      <c r="G158" s="2">
        <f t="shared" si="38"/>
        <v>1</v>
      </c>
      <c r="H158">
        <v>98.7</v>
      </c>
      <c r="I158">
        <v>77.099999999999994</v>
      </c>
      <c r="J158">
        <v>88.5</v>
      </c>
      <c r="K158">
        <v>61.5</v>
      </c>
      <c r="L158">
        <v>43.2</v>
      </c>
      <c r="M158" s="2">
        <f t="shared" si="30"/>
        <v>1</v>
      </c>
      <c r="N158">
        <v>0</v>
      </c>
      <c r="P158" s="2">
        <f t="shared" si="31"/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2">
        <f t="shared" si="32"/>
        <v>0</v>
      </c>
      <c r="X158">
        <v>14.6</v>
      </c>
      <c r="Z158" s="2">
        <f t="shared" si="33"/>
        <v>0</v>
      </c>
      <c r="AA158">
        <v>9.9</v>
      </c>
      <c r="AB158" s="2" t="str">
        <f>CHOOSE(MATCH(AA158,{0;11;80;111;161;191;241;281;341},1),"North","NorthEast","East","SouthEast","South","SouthWest","West","NorthWest","North")</f>
        <v>North</v>
      </c>
      <c r="AC158" s="5">
        <f>CHOOSE(MATCH(AB158,{"South";"SouthEast";"SouthWest";"North";"NorthEast";"East";"West";"NorthWest"},0),1,2,3,4,5,6,7,8)</f>
        <v>4</v>
      </c>
      <c r="AD158" s="2">
        <f t="shared" si="34"/>
        <v>1</v>
      </c>
      <c r="AE158">
        <v>1010.5</v>
      </c>
      <c r="AF158" s="4" t="s">
        <v>336</v>
      </c>
      <c r="AG158" s="2">
        <f t="shared" si="35"/>
        <v>0</v>
      </c>
      <c r="AH158" t="s">
        <v>337</v>
      </c>
      <c r="AI158" s="2">
        <f t="shared" si="36"/>
        <v>7</v>
      </c>
      <c r="AJ158" s="2">
        <f t="shared" si="37"/>
        <v>1</v>
      </c>
      <c r="AK158" s="3">
        <v>1234.9999999918509</v>
      </c>
      <c r="AM158" s="2">
        <v>1</v>
      </c>
      <c r="AN158">
        <v>0</v>
      </c>
      <c r="AO158">
        <v>5</v>
      </c>
      <c r="AP158">
        <v>0</v>
      </c>
      <c r="AQ158" s="2">
        <f>IF((2*G158 + M158 -P158 + 3*W158 + 2*Z158+2*AD158 + AG158+2*AJ158 + 4*AM158) &gt;=8,1,0)</f>
        <v>1</v>
      </c>
    </row>
    <row r="159" spans="1:43" x14ac:dyDescent="0.25">
      <c r="A159" t="s">
        <v>27</v>
      </c>
      <c r="B159" s="1">
        <v>37103</v>
      </c>
      <c r="C159" s="7">
        <f t="shared" si="29"/>
        <v>2001</v>
      </c>
      <c r="D159">
        <v>91.1</v>
      </c>
      <c r="E159">
        <v>81.900000000000006</v>
      </c>
      <c r="F159">
        <v>86.7</v>
      </c>
      <c r="G159" s="2">
        <f t="shared" si="38"/>
        <v>1</v>
      </c>
      <c r="H159">
        <v>92.1</v>
      </c>
      <c r="I159">
        <v>82.5</v>
      </c>
      <c r="J159">
        <v>87.2</v>
      </c>
      <c r="K159">
        <v>61.7</v>
      </c>
      <c r="L159">
        <v>43.5</v>
      </c>
      <c r="M159" s="2">
        <f t="shared" si="30"/>
        <v>1</v>
      </c>
      <c r="N159">
        <v>0</v>
      </c>
      <c r="P159" s="2">
        <f t="shared" si="31"/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2">
        <f t="shared" si="32"/>
        <v>0</v>
      </c>
      <c r="X159">
        <v>21.9</v>
      </c>
      <c r="Z159" s="2">
        <f t="shared" si="33"/>
        <v>1</v>
      </c>
      <c r="AA159">
        <v>352.5</v>
      </c>
      <c r="AB159" s="2" t="str">
        <f>CHOOSE(MATCH(AA159,{0;11;80;111;161;191;241;281;341},1),"North","NorthEast","East","SouthEast","South","SouthWest","West","NorthWest","North")</f>
        <v>North</v>
      </c>
      <c r="AC159" s="5">
        <f>CHOOSE(MATCH(AB159,{"South";"SouthEast";"SouthWest";"North";"NorthEast";"East";"West";"NorthWest"},0),1,2,3,4,5,6,7,8)</f>
        <v>4</v>
      </c>
      <c r="AD159" s="2">
        <f t="shared" si="34"/>
        <v>1</v>
      </c>
      <c r="AE159">
        <v>1010.6</v>
      </c>
      <c r="AF159" s="4" t="s">
        <v>338</v>
      </c>
      <c r="AG159" s="2">
        <f t="shared" si="35"/>
        <v>1</v>
      </c>
      <c r="AH159" t="s">
        <v>339</v>
      </c>
      <c r="AI159" s="2">
        <f t="shared" si="36"/>
        <v>7</v>
      </c>
      <c r="AJ159" s="2">
        <f t="shared" si="37"/>
        <v>1</v>
      </c>
      <c r="AK159" s="3">
        <v>1135.0000000011639</v>
      </c>
      <c r="AM159" s="2">
        <v>1</v>
      </c>
      <c r="AN159">
        <v>0</v>
      </c>
      <c r="AO159">
        <v>20</v>
      </c>
      <c r="AP159">
        <v>0</v>
      </c>
      <c r="AQ159" s="2">
        <f>IF((2*G159 + M159 -P159 + 3*W159 + 2*Z159+2*AD159 + AG159+2*AJ159 + 4*AM159) &gt;=8,1,0)</f>
        <v>1</v>
      </c>
    </row>
    <row r="160" spans="1:43" x14ac:dyDescent="0.25">
      <c r="A160" t="s">
        <v>27</v>
      </c>
      <c r="B160" s="1">
        <v>37103</v>
      </c>
      <c r="C160" s="7">
        <f t="shared" si="29"/>
        <v>2001</v>
      </c>
      <c r="D160">
        <v>91.1</v>
      </c>
      <c r="E160">
        <v>81.900000000000006</v>
      </c>
      <c r="F160">
        <v>86.7</v>
      </c>
      <c r="G160" s="2">
        <f t="shared" si="38"/>
        <v>1</v>
      </c>
      <c r="H160">
        <v>92.1</v>
      </c>
      <c r="I160">
        <v>82.5</v>
      </c>
      <c r="J160">
        <v>87.2</v>
      </c>
      <c r="K160">
        <v>61.7</v>
      </c>
      <c r="L160">
        <v>43.5</v>
      </c>
      <c r="M160" s="2">
        <f t="shared" si="30"/>
        <v>1</v>
      </c>
      <c r="N160">
        <v>0</v>
      </c>
      <c r="P160" s="2">
        <f t="shared" si="31"/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2">
        <f t="shared" si="32"/>
        <v>0</v>
      </c>
      <c r="X160">
        <v>21.9</v>
      </c>
      <c r="Z160" s="2">
        <f t="shared" si="33"/>
        <v>1</v>
      </c>
      <c r="AA160">
        <v>352.5</v>
      </c>
      <c r="AB160" s="2" t="str">
        <f>CHOOSE(MATCH(AA160,{0;11;80;111;161;191;241;281;341},1),"North","NorthEast","East","SouthEast","South","SouthWest","West","NorthWest","North")</f>
        <v>North</v>
      </c>
      <c r="AC160" s="5">
        <f>CHOOSE(MATCH(AB160,{"South";"SouthEast";"SouthWest";"North";"NorthEast";"East";"West";"NorthWest"},0),1,2,3,4,5,6,7,8)</f>
        <v>4</v>
      </c>
      <c r="AD160" s="2">
        <f t="shared" si="34"/>
        <v>1</v>
      </c>
      <c r="AE160">
        <v>1010.6</v>
      </c>
      <c r="AF160" s="4" t="s">
        <v>340</v>
      </c>
      <c r="AG160" s="2">
        <f t="shared" si="35"/>
        <v>1</v>
      </c>
      <c r="AH160" t="s">
        <v>341</v>
      </c>
      <c r="AI160" s="2">
        <f t="shared" si="36"/>
        <v>7</v>
      </c>
      <c r="AJ160" s="2">
        <f t="shared" si="37"/>
        <v>1</v>
      </c>
      <c r="AK160" s="3">
        <v>46.000000003259629</v>
      </c>
      <c r="AM160" s="2">
        <v>0</v>
      </c>
      <c r="AN160">
        <v>0</v>
      </c>
      <c r="AO160">
        <v>1</v>
      </c>
      <c r="AP160">
        <v>0</v>
      </c>
      <c r="AQ160" s="2">
        <f>IF((2*G160 + M160 -P160 + 3*W160 + 2*Z160+2*AD160 + AG160+2*AJ160 + 4*AM160) &gt;=8,1,0)</f>
        <v>1</v>
      </c>
    </row>
    <row r="161" spans="1:43" x14ac:dyDescent="0.25">
      <c r="A161" t="s">
        <v>27</v>
      </c>
      <c r="B161" s="1">
        <v>37104</v>
      </c>
      <c r="C161" s="7">
        <f t="shared" si="29"/>
        <v>2001</v>
      </c>
      <c r="D161">
        <v>89.3</v>
      </c>
      <c r="E161">
        <v>76</v>
      </c>
      <c r="F161">
        <v>83.6</v>
      </c>
      <c r="G161" s="2">
        <f t="shared" si="38"/>
        <v>1</v>
      </c>
      <c r="H161">
        <v>89.1</v>
      </c>
      <c r="I161">
        <v>76</v>
      </c>
      <c r="J161">
        <v>83.7</v>
      </c>
      <c r="K161">
        <v>61.5</v>
      </c>
      <c r="L161">
        <v>48.2</v>
      </c>
      <c r="M161" s="2">
        <f t="shared" si="30"/>
        <v>1</v>
      </c>
      <c r="N161">
        <v>0</v>
      </c>
      <c r="P161" s="2">
        <f t="shared" si="31"/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2">
        <f t="shared" si="32"/>
        <v>0</v>
      </c>
      <c r="X161">
        <v>21.7</v>
      </c>
      <c r="Z161" s="2">
        <f t="shared" si="33"/>
        <v>1</v>
      </c>
      <c r="AA161">
        <v>349.6</v>
      </c>
      <c r="AB161" s="2" t="str">
        <f>CHOOSE(MATCH(AA161,{0;11;80;111;161;191;241;281;341},1),"North","NorthEast","East","SouthEast","South","SouthWest","West","NorthWest","North")</f>
        <v>North</v>
      </c>
      <c r="AC161" s="5">
        <f>CHOOSE(MATCH(AB161,{"South";"SouthEast";"SouthWest";"North";"NorthEast";"East";"West";"NorthWest"},0),1,2,3,4,5,6,7,8)</f>
        <v>4</v>
      </c>
      <c r="AD161" s="2">
        <f t="shared" si="34"/>
        <v>1</v>
      </c>
      <c r="AE161">
        <v>1009.8</v>
      </c>
      <c r="AF161" s="4" t="s">
        <v>342</v>
      </c>
      <c r="AG161" s="2">
        <f t="shared" si="35"/>
        <v>1</v>
      </c>
      <c r="AH161" t="s">
        <v>343</v>
      </c>
      <c r="AI161" s="2">
        <f t="shared" si="36"/>
        <v>8</v>
      </c>
      <c r="AJ161" s="2">
        <f t="shared" si="37"/>
        <v>1</v>
      </c>
      <c r="AK161" s="3">
        <v>348.00000000279402</v>
      </c>
      <c r="AM161" s="2">
        <v>0</v>
      </c>
      <c r="AN161">
        <v>0</v>
      </c>
      <c r="AO161">
        <v>2</v>
      </c>
      <c r="AP161">
        <v>0</v>
      </c>
      <c r="AQ161" s="2">
        <f>IF((2*G161 + M161 -P161 + 3*W161 + 2*Z161+2*AD161 + AG161+2*AJ161 + 4*AM161) &gt;=8,1,0)</f>
        <v>1</v>
      </c>
    </row>
    <row r="162" spans="1:43" x14ac:dyDescent="0.25">
      <c r="A162" t="s">
        <v>27</v>
      </c>
      <c r="B162" s="1">
        <v>37104</v>
      </c>
      <c r="C162" s="7">
        <f t="shared" si="29"/>
        <v>2001</v>
      </c>
      <c r="D162">
        <v>89.3</v>
      </c>
      <c r="E162">
        <v>76</v>
      </c>
      <c r="F162">
        <v>83.6</v>
      </c>
      <c r="G162" s="2">
        <f t="shared" si="38"/>
        <v>1</v>
      </c>
      <c r="H162">
        <v>89.1</v>
      </c>
      <c r="I162">
        <v>76</v>
      </c>
      <c r="J162">
        <v>83.7</v>
      </c>
      <c r="K162">
        <v>61.5</v>
      </c>
      <c r="L162">
        <v>48.2</v>
      </c>
      <c r="M162" s="2">
        <f t="shared" si="30"/>
        <v>1</v>
      </c>
      <c r="N162">
        <v>0</v>
      </c>
      <c r="P162" s="2">
        <f t="shared" si="31"/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2">
        <f t="shared" si="32"/>
        <v>0</v>
      </c>
      <c r="X162">
        <v>21.7</v>
      </c>
      <c r="Z162" s="2">
        <f t="shared" si="33"/>
        <v>1</v>
      </c>
      <c r="AA162">
        <v>349.6</v>
      </c>
      <c r="AB162" s="2" t="str">
        <f>CHOOSE(MATCH(AA162,{0;11;80;111;161;191;241;281;341},1),"North","NorthEast","East","SouthEast","South","SouthWest","West","NorthWest","North")</f>
        <v>North</v>
      </c>
      <c r="AC162" s="5">
        <f>CHOOSE(MATCH(AB162,{"South";"SouthEast";"SouthWest";"North";"NorthEast";"East";"West";"NorthWest"},0),1,2,3,4,5,6,7,8)</f>
        <v>4</v>
      </c>
      <c r="AD162" s="2">
        <f t="shared" si="34"/>
        <v>1</v>
      </c>
      <c r="AE162">
        <v>1009.8</v>
      </c>
      <c r="AF162" s="4" t="s">
        <v>92</v>
      </c>
      <c r="AG162" s="2">
        <f t="shared" si="35"/>
        <v>1</v>
      </c>
      <c r="AH162" t="s">
        <v>344</v>
      </c>
      <c r="AI162" s="2">
        <f t="shared" si="36"/>
        <v>8</v>
      </c>
      <c r="AJ162" s="2">
        <f t="shared" si="37"/>
        <v>1</v>
      </c>
      <c r="AK162" s="3">
        <v>119.99999999301509</v>
      </c>
      <c r="AM162" s="2">
        <v>0</v>
      </c>
      <c r="AN162">
        <v>1</v>
      </c>
      <c r="AO162">
        <v>0</v>
      </c>
      <c r="AP162">
        <v>0</v>
      </c>
      <c r="AQ162" s="2">
        <f>IF((2*G162 + M162 -P162 + 3*W162 + 2*Z162+2*AD162 + AG162+2*AJ162 + 4*AM162) &gt;=8,1,0)</f>
        <v>1</v>
      </c>
    </row>
    <row r="163" spans="1:43" x14ac:dyDescent="0.25">
      <c r="A163" t="s">
        <v>27</v>
      </c>
      <c r="B163" s="1">
        <v>37105</v>
      </c>
      <c r="C163" s="7">
        <f t="shared" si="29"/>
        <v>2001</v>
      </c>
      <c r="D163">
        <v>94.7</v>
      </c>
      <c r="E163">
        <v>79.099999999999994</v>
      </c>
      <c r="F163">
        <v>87</v>
      </c>
      <c r="G163" s="2">
        <f t="shared" si="38"/>
        <v>1</v>
      </c>
      <c r="H163">
        <v>92.3</v>
      </c>
      <c r="I163">
        <v>79.099999999999994</v>
      </c>
      <c r="J163">
        <v>86.2</v>
      </c>
      <c r="K163">
        <v>57.3</v>
      </c>
      <c r="L163">
        <v>38.1</v>
      </c>
      <c r="M163" s="2">
        <f t="shared" si="30"/>
        <v>1</v>
      </c>
      <c r="N163">
        <v>0</v>
      </c>
      <c r="P163" s="2">
        <f t="shared" si="31"/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2">
        <f t="shared" si="32"/>
        <v>0</v>
      </c>
      <c r="X163">
        <v>26.9</v>
      </c>
      <c r="Z163" s="2">
        <f t="shared" si="33"/>
        <v>1</v>
      </c>
      <c r="AA163">
        <v>8.4</v>
      </c>
      <c r="AB163" s="2" t="str">
        <f>CHOOSE(MATCH(AA163,{0;11;80;111;161;191;241;281;341},1),"North","NorthEast","East","SouthEast","South","SouthWest","West","NorthWest","North")</f>
        <v>North</v>
      </c>
      <c r="AC163" s="5">
        <f>CHOOSE(MATCH(AB163,{"South";"SouthEast";"SouthWest";"North";"NorthEast";"East";"West";"NorthWest"},0),1,2,3,4,5,6,7,8)</f>
        <v>4</v>
      </c>
      <c r="AD163" s="2">
        <f t="shared" si="34"/>
        <v>1</v>
      </c>
      <c r="AE163">
        <v>1010.7</v>
      </c>
      <c r="AF163" s="4" t="s">
        <v>345</v>
      </c>
      <c r="AG163" s="2">
        <f t="shared" si="35"/>
        <v>1</v>
      </c>
      <c r="AH163" t="s">
        <v>346</v>
      </c>
      <c r="AI163" s="2">
        <f t="shared" si="36"/>
        <v>8</v>
      </c>
      <c r="AJ163" s="2">
        <f t="shared" si="37"/>
        <v>1</v>
      </c>
      <c r="AK163" s="3">
        <v>209.99999999301511</v>
      </c>
      <c r="AM163" s="2">
        <v>0</v>
      </c>
      <c r="AN163">
        <v>3</v>
      </c>
      <c r="AO163">
        <v>0</v>
      </c>
      <c r="AP163">
        <v>0</v>
      </c>
      <c r="AQ163" s="2">
        <f>IF((2*G163 + M163 -P163 + 3*W163 + 2*Z163+2*AD163 + AG163+2*AJ163 + 4*AM163) &gt;=8,1,0)</f>
        <v>1</v>
      </c>
    </row>
    <row r="164" spans="1:43" x14ac:dyDescent="0.25">
      <c r="A164" t="s">
        <v>27</v>
      </c>
      <c r="B164" s="1">
        <v>37105</v>
      </c>
      <c r="C164" s="7">
        <f t="shared" si="29"/>
        <v>2001</v>
      </c>
      <c r="D164">
        <v>94.7</v>
      </c>
      <c r="E164">
        <v>79.099999999999994</v>
      </c>
      <c r="F164">
        <v>87</v>
      </c>
      <c r="G164" s="2">
        <f t="shared" si="38"/>
        <v>1</v>
      </c>
      <c r="H164">
        <v>92.3</v>
      </c>
      <c r="I164">
        <v>79.099999999999994</v>
      </c>
      <c r="J164">
        <v>86.2</v>
      </c>
      <c r="K164">
        <v>57.3</v>
      </c>
      <c r="L164">
        <v>38.1</v>
      </c>
      <c r="M164" s="2">
        <f t="shared" si="30"/>
        <v>1</v>
      </c>
      <c r="N164">
        <v>0</v>
      </c>
      <c r="P164" s="2">
        <f t="shared" si="31"/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2">
        <f t="shared" si="32"/>
        <v>0</v>
      </c>
      <c r="X164">
        <v>26.9</v>
      </c>
      <c r="Z164" s="2">
        <f t="shared" si="33"/>
        <v>1</v>
      </c>
      <c r="AA164">
        <v>8.4</v>
      </c>
      <c r="AB164" s="2" t="str">
        <f>CHOOSE(MATCH(AA164,{0;11;80;111;161;191;241;281;341},1),"North","NorthEast","East","SouthEast","South","SouthWest","West","NorthWest","North")</f>
        <v>North</v>
      </c>
      <c r="AC164" s="5">
        <f>CHOOSE(MATCH(AB164,{"South";"SouthEast";"SouthWest";"North";"NorthEast";"East";"West";"NorthWest"},0),1,2,3,4,5,6,7,8)</f>
        <v>4</v>
      </c>
      <c r="AD164" s="2">
        <f t="shared" si="34"/>
        <v>1</v>
      </c>
      <c r="AE164">
        <v>1010.7</v>
      </c>
      <c r="AF164" s="4" t="s">
        <v>347</v>
      </c>
      <c r="AG164" s="2">
        <f t="shared" si="35"/>
        <v>1</v>
      </c>
      <c r="AH164" t="s">
        <v>348</v>
      </c>
      <c r="AI164" s="2">
        <f t="shared" si="36"/>
        <v>8</v>
      </c>
      <c r="AJ164" s="2">
        <f t="shared" si="37"/>
        <v>1</v>
      </c>
      <c r="AK164" s="3">
        <v>405</v>
      </c>
      <c r="AM164" s="2">
        <v>1</v>
      </c>
      <c r="AN164">
        <v>0</v>
      </c>
      <c r="AO164">
        <v>150</v>
      </c>
      <c r="AP164">
        <v>0</v>
      </c>
      <c r="AQ164" s="2">
        <f>IF((2*G164 + M164 -P164 + 3*W164 + 2*Z164+2*AD164 + AG164+2*AJ164 + 4*AM164) &gt;=8,1,0)</f>
        <v>1</v>
      </c>
    </row>
    <row r="165" spans="1:43" x14ac:dyDescent="0.25">
      <c r="A165" t="s">
        <v>27</v>
      </c>
      <c r="B165" s="1">
        <v>37105</v>
      </c>
      <c r="C165" s="7">
        <f t="shared" si="29"/>
        <v>2001</v>
      </c>
      <c r="D165">
        <v>94.7</v>
      </c>
      <c r="E165">
        <v>79.099999999999994</v>
      </c>
      <c r="F165">
        <v>87</v>
      </c>
      <c r="G165" s="2">
        <f t="shared" si="38"/>
        <v>1</v>
      </c>
      <c r="H165">
        <v>92.3</v>
      </c>
      <c r="I165">
        <v>79.099999999999994</v>
      </c>
      <c r="J165">
        <v>86.2</v>
      </c>
      <c r="K165">
        <v>57.3</v>
      </c>
      <c r="L165">
        <v>38.1</v>
      </c>
      <c r="M165" s="2">
        <f t="shared" si="30"/>
        <v>1</v>
      </c>
      <c r="N165">
        <v>0</v>
      </c>
      <c r="P165" s="2">
        <f t="shared" si="31"/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2">
        <f t="shared" si="32"/>
        <v>0</v>
      </c>
      <c r="X165">
        <v>26.9</v>
      </c>
      <c r="Z165" s="2">
        <f t="shared" si="33"/>
        <v>1</v>
      </c>
      <c r="AA165">
        <v>8.4</v>
      </c>
      <c r="AB165" s="2" t="str">
        <f>CHOOSE(MATCH(AA165,{0;11;80;111;161;191;241;281;341},1),"North","NorthEast","East","SouthEast","South","SouthWest","West","NorthWest","North")</f>
        <v>North</v>
      </c>
      <c r="AC165" s="5">
        <f>CHOOSE(MATCH(AB165,{"South";"SouthEast";"SouthWest";"North";"NorthEast";"East";"West";"NorthWest"},0),1,2,3,4,5,6,7,8)</f>
        <v>4</v>
      </c>
      <c r="AD165" s="2">
        <f t="shared" si="34"/>
        <v>1</v>
      </c>
      <c r="AE165">
        <v>1010.7</v>
      </c>
      <c r="AF165" s="4" t="s">
        <v>349</v>
      </c>
      <c r="AG165" s="2">
        <f t="shared" si="35"/>
        <v>0</v>
      </c>
      <c r="AH165" t="s">
        <v>350</v>
      </c>
      <c r="AI165" s="2">
        <f t="shared" si="36"/>
        <v>8</v>
      </c>
      <c r="AJ165" s="2">
        <f t="shared" si="37"/>
        <v>1</v>
      </c>
      <c r="AK165" s="3">
        <v>341.00000000093132</v>
      </c>
      <c r="AM165" s="2">
        <v>0</v>
      </c>
      <c r="AN165">
        <v>0</v>
      </c>
      <c r="AO165">
        <v>2</v>
      </c>
      <c r="AP165">
        <v>0</v>
      </c>
      <c r="AQ165" s="2">
        <f>IF((2*G165 + M165 -P165 + 3*W165 + 2*Z165+2*AD165 + AG165+2*AJ165 + 4*AM165) &gt;=8,1,0)</f>
        <v>1</v>
      </c>
    </row>
    <row r="166" spans="1:43" x14ac:dyDescent="0.25">
      <c r="A166" t="s">
        <v>27</v>
      </c>
      <c r="B166" s="1">
        <v>37108</v>
      </c>
      <c r="C166" s="7">
        <f t="shared" si="29"/>
        <v>2001</v>
      </c>
      <c r="D166">
        <v>96.2</v>
      </c>
      <c r="E166">
        <v>79.099999999999994</v>
      </c>
      <c r="F166">
        <v>87</v>
      </c>
      <c r="G166" s="2">
        <f t="shared" si="38"/>
        <v>1</v>
      </c>
      <c r="H166">
        <v>96.8</v>
      </c>
      <c r="I166">
        <v>79.099999999999994</v>
      </c>
      <c r="J166">
        <v>85.7</v>
      </c>
      <c r="K166">
        <v>52.8</v>
      </c>
      <c r="L166">
        <v>31.9</v>
      </c>
      <c r="M166" s="2">
        <f t="shared" si="30"/>
        <v>1</v>
      </c>
      <c r="N166">
        <v>0</v>
      </c>
      <c r="P166" s="2">
        <f t="shared" si="31"/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2">
        <f t="shared" si="32"/>
        <v>0</v>
      </c>
      <c r="X166">
        <v>19.5</v>
      </c>
      <c r="Z166" s="2">
        <f t="shared" si="33"/>
        <v>1</v>
      </c>
      <c r="AA166">
        <v>344.6</v>
      </c>
      <c r="AB166" s="2" t="str">
        <f>CHOOSE(MATCH(AA166,{0;11;80;111;161;191;241;281;341},1),"North","NorthEast","East","SouthEast","South","SouthWest","West","NorthWest","North")</f>
        <v>North</v>
      </c>
      <c r="AC166" s="5">
        <f>CHOOSE(MATCH(AB166,{"South";"SouthEast";"SouthWest";"North";"NorthEast";"East";"West";"NorthWest"},0),1,2,3,4,5,6,7,8)</f>
        <v>4</v>
      </c>
      <c r="AD166" s="2">
        <f t="shared" si="34"/>
        <v>1</v>
      </c>
      <c r="AE166">
        <v>1012.9</v>
      </c>
      <c r="AF166" s="4" t="s">
        <v>30</v>
      </c>
      <c r="AG166" s="2">
        <f t="shared" si="35"/>
        <v>1</v>
      </c>
      <c r="AH166" t="s">
        <v>351</v>
      </c>
      <c r="AI166" s="2">
        <f t="shared" si="36"/>
        <v>8</v>
      </c>
      <c r="AJ166" s="2">
        <f t="shared" si="37"/>
        <v>1</v>
      </c>
      <c r="AK166" s="3">
        <v>1114.9999999988361</v>
      </c>
      <c r="AM166" s="2">
        <v>1</v>
      </c>
      <c r="AN166">
        <v>0</v>
      </c>
      <c r="AO166">
        <v>500</v>
      </c>
      <c r="AP166">
        <v>0</v>
      </c>
      <c r="AQ166" s="2">
        <f>IF((2*G166 + M166 -P166 + 3*W166 + 2*Z166+2*AD166 + AG166+2*AJ166 + 4*AM166) &gt;=8,1,0)</f>
        <v>1</v>
      </c>
    </row>
    <row r="167" spans="1:43" x14ac:dyDescent="0.25">
      <c r="A167" t="s">
        <v>27</v>
      </c>
      <c r="B167" s="1">
        <v>37109</v>
      </c>
      <c r="C167" s="7">
        <f t="shared" si="29"/>
        <v>2001</v>
      </c>
      <c r="D167">
        <v>97.4</v>
      </c>
      <c r="E167">
        <v>74.3</v>
      </c>
      <c r="F167">
        <v>85.3</v>
      </c>
      <c r="G167" s="2">
        <f t="shared" si="38"/>
        <v>1</v>
      </c>
      <c r="H167">
        <v>99.1</v>
      </c>
      <c r="I167">
        <v>74.3</v>
      </c>
      <c r="J167">
        <v>86.4</v>
      </c>
      <c r="K167">
        <v>60.7</v>
      </c>
      <c r="L167">
        <v>44.9</v>
      </c>
      <c r="M167" s="2">
        <f t="shared" si="30"/>
        <v>1</v>
      </c>
      <c r="N167">
        <v>0</v>
      </c>
      <c r="P167" s="2">
        <f t="shared" si="31"/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2">
        <f t="shared" si="32"/>
        <v>0</v>
      </c>
      <c r="X167">
        <v>15</v>
      </c>
      <c r="Z167" s="2">
        <f t="shared" si="33"/>
        <v>0</v>
      </c>
      <c r="AA167">
        <v>240.5</v>
      </c>
      <c r="AB167" s="2" t="str">
        <f>CHOOSE(MATCH(AA167,{0;11;80;111;161;191;241;281;341},1),"North","NorthEast","East","SouthEast","South","SouthWest","West","NorthWest","North")</f>
        <v>SouthWest</v>
      </c>
      <c r="AC167" s="5">
        <f>CHOOSE(MATCH(AB167,{"South";"SouthEast";"SouthWest";"North";"NorthEast";"East";"West";"NorthWest"},0),1,2,3,4,5,6,7,8)</f>
        <v>3</v>
      </c>
      <c r="AD167" s="2">
        <f t="shared" si="34"/>
        <v>1</v>
      </c>
      <c r="AE167">
        <v>1010.3</v>
      </c>
      <c r="AF167" s="4" t="s">
        <v>352</v>
      </c>
      <c r="AG167" s="2">
        <f t="shared" si="35"/>
        <v>1</v>
      </c>
      <c r="AH167" t="s">
        <v>353</v>
      </c>
      <c r="AI167" s="2">
        <f t="shared" si="36"/>
        <v>8</v>
      </c>
      <c r="AJ167" s="2">
        <f t="shared" si="37"/>
        <v>1</v>
      </c>
      <c r="AK167" s="3">
        <v>1685.0000000023281</v>
      </c>
      <c r="AM167" s="2">
        <v>1</v>
      </c>
      <c r="AN167">
        <v>4</v>
      </c>
      <c r="AO167">
        <v>0</v>
      </c>
      <c r="AP167">
        <v>0</v>
      </c>
      <c r="AQ167" s="2">
        <f>IF((2*G167 + M167 -P167 + 3*W167 + 2*Z167+2*AD167 + AG167+2*AJ167 + 4*AM167) &gt;=8,1,0)</f>
        <v>1</v>
      </c>
    </row>
    <row r="168" spans="1:43" x14ac:dyDescent="0.25">
      <c r="A168" t="s">
        <v>27</v>
      </c>
      <c r="B168" s="1">
        <v>37109</v>
      </c>
      <c r="C168" s="7">
        <f t="shared" si="29"/>
        <v>2001</v>
      </c>
      <c r="D168">
        <v>97.4</v>
      </c>
      <c r="E168">
        <v>74.3</v>
      </c>
      <c r="F168">
        <v>85.3</v>
      </c>
      <c r="G168" s="2">
        <f t="shared" si="38"/>
        <v>1</v>
      </c>
      <c r="H168">
        <v>99.1</v>
      </c>
      <c r="I168">
        <v>74.3</v>
      </c>
      <c r="J168">
        <v>86.4</v>
      </c>
      <c r="K168">
        <v>60.7</v>
      </c>
      <c r="L168">
        <v>44.9</v>
      </c>
      <c r="M168" s="2">
        <f t="shared" si="30"/>
        <v>1</v>
      </c>
      <c r="N168">
        <v>0</v>
      </c>
      <c r="P168" s="2">
        <f t="shared" si="31"/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2">
        <f t="shared" si="32"/>
        <v>0</v>
      </c>
      <c r="X168">
        <v>15</v>
      </c>
      <c r="Z168" s="2">
        <f t="shared" si="33"/>
        <v>0</v>
      </c>
      <c r="AA168">
        <v>240.5</v>
      </c>
      <c r="AB168" s="2" t="str">
        <f>CHOOSE(MATCH(AA168,{0;11;80;111;161;191;241;281;341},1),"North","NorthEast","East","SouthEast","South","SouthWest","West","NorthWest","North")</f>
        <v>SouthWest</v>
      </c>
      <c r="AC168" s="5">
        <f>CHOOSE(MATCH(AB168,{"South";"SouthEast";"SouthWest";"North";"NorthEast";"East";"West";"NorthWest"},0),1,2,3,4,5,6,7,8)</f>
        <v>3</v>
      </c>
      <c r="AD168" s="2">
        <f t="shared" si="34"/>
        <v>1</v>
      </c>
      <c r="AE168">
        <v>1010.3</v>
      </c>
      <c r="AF168" s="4" t="s">
        <v>354</v>
      </c>
      <c r="AG168" s="2">
        <f t="shared" si="35"/>
        <v>1</v>
      </c>
      <c r="AH168" t="s">
        <v>355</v>
      </c>
      <c r="AI168" s="2">
        <f t="shared" si="36"/>
        <v>8</v>
      </c>
      <c r="AJ168" s="2">
        <f t="shared" si="37"/>
        <v>1</v>
      </c>
      <c r="AK168" s="3">
        <v>172.99999999813741</v>
      </c>
      <c r="AM168" s="2">
        <v>0</v>
      </c>
      <c r="AN168">
        <v>0.5</v>
      </c>
      <c r="AO168">
        <v>9.5</v>
      </c>
      <c r="AP168">
        <v>0</v>
      </c>
      <c r="AQ168" s="2">
        <f>IF((2*G168 + M168 -P168 + 3*W168 + 2*Z168+2*AD168 + AG168+2*AJ168 + 4*AM168) &gt;=8,1,0)</f>
        <v>0</v>
      </c>
    </row>
    <row r="169" spans="1:43" x14ac:dyDescent="0.25">
      <c r="A169" t="s">
        <v>27</v>
      </c>
      <c r="B169" s="1">
        <v>37111</v>
      </c>
      <c r="C169" s="7">
        <f t="shared" si="29"/>
        <v>2001</v>
      </c>
      <c r="D169">
        <v>97.3</v>
      </c>
      <c r="E169">
        <v>75.400000000000006</v>
      </c>
      <c r="F169">
        <v>87</v>
      </c>
      <c r="G169" s="2">
        <f t="shared" si="38"/>
        <v>1</v>
      </c>
      <c r="H169">
        <v>99.3</v>
      </c>
      <c r="I169">
        <v>75.400000000000006</v>
      </c>
      <c r="J169">
        <v>86.7</v>
      </c>
      <c r="K169">
        <v>58.3</v>
      </c>
      <c r="L169">
        <v>40.700000000000003</v>
      </c>
      <c r="M169" s="2">
        <f t="shared" si="30"/>
        <v>1</v>
      </c>
      <c r="N169">
        <v>0</v>
      </c>
      <c r="P169" s="2">
        <f t="shared" si="31"/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2">
        <f t="shared" si="32"/>
        <v>0</v>
      </c>
      <c r="X169">
        <v>12.3</v>
      </c>
      <c r="Z169" s="2">
        <f t="shared" si="33"/>
        <v>0</v>
      </c>
      <c r="AA169">
        <v>326.3</v>
      </c>
      <c r="AB169" s="2" t="str">
        <f>CHOOSE(MATCH(AA169,{0;11;80;111;161;191;241;281;341},1),"North","NorthEast","East","SouthEast","South","SouthWest","West","NorthWest","North")</f>
        <v>NorthWest</v>
      </c>
      <c r="AC169" s="5">
        <f>CHOOSE(MATCH(AB169,{"South";"SouthEast";"SouthWest";"North";"NorthEast";"East";"West";"NorthWest"},0),1,2,3,4,5,6,7,8)</f>
        <v>8</v>
      </c>
      <c r="AD169" s="2">
        <f t="shared" si="34"/>
        <v>1</v>
      </c>
      <c r="AE169">
        <v>1010</v>
      </c>
      <c r="AF169" s="4" t="s">
        <v>304</v>
      </c>
      <c r="AG169" s="2">
        <f t="shared" si="35"/>
        <v>0</v>
      </c>
      <c r="AH169" t="s">
        <v>356</v>
      </c>
      <c r="AI169" s="2">
        <f t="shared" si="36"/>
        <v>8</v>
      </c>
      <c r="AJ169" s="2">
        <f t="shared" si="37"/>
        <v>1</v>
      </c>
      <c r="AK169" s="3">
        <v>26.000000000931319</v>
      </c>
      <c r="AM169" s="2">
        <v>0</v>
      </c>
      <c r="AN169">
        <v>0</v>
      </c>
      <c r="AO169">
        <v>15</v>
      </c>
      <c r="AP169">
        <v>0</v>
      </c>
      <c r="AQ169" s="2">
        <f>IF((2*G169 + M169 -P169 + 3*W169 + 2*Z169+2*AD169 + AG169+2*AJ169 + 4*AM169) &gt;=8,1,0)</f>
        <v>0</v>
      </c>
    </row>
    <row r="170" spans="1:43" x14ac:dyDescent="0.25">
      <c r="A170" t="s">
        <v>27</v>
      </c>
      <c r="B170" s="1">
        <v>37112</v>
      </c>
      <c r="C170" s="7">
        <f t="shared" si="29"/>
        <v>2001</v>
      </c>
      <c r="D170">
        <v>101.6</v>
      </c>
      <c r="E170">
        <v>80.7</v>
      </c>
      <c r="F170">
        <v>91.1</v>
      </c>
      <c r="G170" s="2">
        <f t="shared" si="38"/>
        <v>1</v>
      </c>
      <c r="H170">
        <v>98.3</v>
      </c>
      <c r="I170">
        <v>80.099999999999994</v>
      </c>
      <c r="J170">
        <v>88.7</v>
      </c>
      <c r="K170">
        <v>50.4</v>
      </c>
      <c r="L170">
        <v>27.1</v>
      </c>
      <c r="M170" s="2">
        <f t="shared" si="30"/>
        <v>1</v>
      </c>
      <c r="N170">
        <v>0</v>
      </c>
      <c r="P170" s="2">
        <f t="shared" si="31"/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2">
        <f t="shared" si="32"/>
        <v>0</v>
      </c>
      <c r="X170">
        <v>23.7</v>
      </c>
      <c r="Z170" s="2">
        <f t="shared" si="33"/>
        <v>1</v>
      </c>
      <c r="AA170">
        <v>348.9</v>
      </c>
      <c r="AB170" s="2" t="str">
        <f>CHOOSE(MATCH(AA170,{0;11;80;111;161;191;241;281;341},1),"North","NorthEast","East","SouthEast","South","SouthWest","West","NorthWest","North")</f>
        <v>North</v>
      </c>
      <c r="AC170" s="5">
        <f>CHOOSE(MATCH(AB170,{"South";"SouthEast";"SouthWest";"North";"NorthEast";"East";"West";"NorthWest"},0),1,2,3,4,5,6,7,8)</f>
        <v>4</v>
      </c>
      <c r="AD170" s="2">
        <f t="shared" si="34"/>
        <v>1</v>
      </c>
      <c r="AE170">
        <v>1010.9</v>
      </c>
      <c r="AF170" s="4" t="s">
        <v>357</v>
      </c>
      <c r="AG170" s="2">
        <f t="shared" si="35"/>
        <v>0</v>
      </c>
      <c r="AH170" t="s">
        <v>358</v>
      </c>
      <c r="AI170" s="2">
        <f t="shared" si="36"/>
        <v>8</v>
      </c>
      <c r="AJ170" s="2">
        <f t="shared" si="37"/>
        <v>1</v>
      </c>
      <c r="AK170" s="3">
        <v>1409.999999996508</v>
      </c>
      <c r="AM170" s="2">
        <v>1</v>
      </c>
      <c r="AN170">
        <v>500</v>
      </c>
      <c r="AO170">
        <v>0</v>
      </c>
      <c r="AP170">
        <v>0</v>
      </c>
      <c r="AQ170" s="2">
        <f>IF((2*G170 + M170 -P170 + 3*W170 + 2*Z170+2*AD170 + AG170+2*AJ170 + 4*AM170) &gt;=8,1,0)</f>
        <v>1</v>
      </c>
    </row>
    <row r="171" spans="1:43" x14ac:dyDescent="0.25">
      <c r="A171" t="s">
        <v>27</v>
      </c>
      <c r="B171" s="1">
        <v>37112</v>
      </c>
      <c r="C171" s="7">
        <f t="shared" si="29"/>
        <v>2001</v>
      </c>
      <c r="D171">
        <v>101.6</v>
      </c>
      <c r="E171">
        <v>80.7</v>
      </c>
      <c r="F171">
        <v>91.1</v>
      </c>
      <c r="G171" s="2">
        <f t="shared" si="38"/>
        <v>1</v>
      </c>
      <c r="H171">
        <v>98.3</v>
      </c>
      <c r="I171">
        <v>80.099999999999994</v>
      </c>
      <c r="J171">
        <v>88.7</v>
      </c>
      <c r="K171">
        <v>50.4</v>
      </c>
      <c r="L171">
        <v>27.1</v>
      </c>
      <c r="M171" s="2">
        <f t="shared" si="30"/>
        <v>1</v>
      </c>
      <c r="N171">
        <v>0</v>
      </c>
      <c r="P171" s="2">
        <f t="shared" si="31"/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2">
        <f t="shared" si="32"/>
        <v>0</v>
      </c>
      <c r="X171">
        <v>23.7</v>
      </c>
      <c r="Z171" s="2">
        <f t="shared" si="33"/>
        <v>1</v>
      </c>
      <c r="AA171">
        <v>348.9</v>
      </c>
      <c r="AB171" s="2" t="str">
        <f>CHOOSE(MATCH(AA171,{0;11;80;111;161;191;241;281;341},1),"North","NorthEast","East","SouthEast","South","SouthWest","West","NorthWest","North")</f>
        <v>North</v>
      </c>
      <c r="AC171" s="5">
        <f>CHOOSE(MATCH(AB171,{"South";"SouthEast";"SouthWest";"North";"NorthEast";"East";"West";"NorthWest"},0),1,2,3,4,5,6,7,8)</f>
        <v>4</v>
      </c>
      <c r="AD171" s="2">
        <f t="shared" si="34"/>
        <v>1</v>
      </c>
      <c r="AE171">
        <v>1010.9</v>
      </c>
      <c r="AF171" s="4" t="s">
        <v>359</v>
      </c>
      <c r="AG171" s="2">
        <f t="shared" si="35"/>
        <v>1</v>
      </c>
      <c r="AH171" t="s">
        <v>360</v>
      </c>
      <c r="AI171" s="2">
        <f t="shared" si="36"/>
        <v>8</v>
      </c>
      <c r="AJ171" s="2">
        <f t="shared" si="37"/>
        <v>1</v>
      </c>
      <c r="AK171" s="3">
        <v>95.000000005820766</v>
      </c>
      <c r="AM171" s="2">
        <v>0</v>
      </c>
      <c r="AN171">
        <v>0</v>
      </c>
      <c r="AO171">
        <v>7</v>
      </c>
      <c r="AP171">
        <v>0</v>
      </c>
      <c r="AQ171" s="2">
        <f>IF((2*G171 + M171 -P171 + 3*W171 + 2*Z171+2*AD171 + AG171+2*AJ171 + 4*AM171) &gt;=8,1,0)</f>
        <v>1</v>
      </c>
    </row>
    <row r="172" spans="1:43" x14ac:dyDescent="0.25">
      <c r="A172" t="s">
        <v>27</v>
      </c>
      <c r="B172" s="1">
        <v>37112</v>
      </c>
      <c r="C172" s="7">
        <f t="shared" si="29"/>
        <v>2001</v>
      </c>
      <c r="D172">
        <v>101.6</v>
      </c>
      <c r="E172">
        <v>80.7</v>
      </c>
      <c r="F172">
        <v>91.1</v>
      </c>
      <c r="G172" s="2">
        <f t="shared" si="38"/>
        <v>1</v>
      </c>
      <c r="H172">
        <v>98.3</v>
      </c>
      <c r="I172">
        <v>80.099999999999994</v>
      </c>
      <c r="J172">
        <v>88.7</v>
      </c>
      <c r="K172">
        <v>50.4</v>
      </c>
      <c r="L172">
        <v>27.1</v>
      </c>
      <c r="M172" s="2">
        <f t="shared" si="30"/>
        <v>1</v>
      </c>
      <c r="N172">
        <v>0</v>
      </c>
      <c r="P172" s="2">
        <f t="shared" si="31"/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2">
        <f t="shared" si="32"/>
        <v>0</v>
      </c>
      <c r="X172">
        <v>23.7</v>
      </c>
      <c r="Z172" s="2">
        <f t="shared" si="33"/>
        <v>1</v>
      </c>
      <c r="AA172">
        <v>348.9</v>
      </c>
      <c r="AB172" s="2" t="str">
        <f>CHOOSE(MATCH(AA172,{0;11;80;111;161;191;241;281;341},1),"North","NorthEast","East","SouthEast","South","SouthWest","West","NorthWest","North")</f>
        <v>North</v>
      </c>
      <c r="AC172" s="5">
        <f>CHOOSE(MATCH(AB172,{"South";"SouthEast";"SouthWest";"North";"NorthEast";"East";"West";"NorthWest"},0),1,2,3,4,5,6,7,8)</f>
        <v>4</v>
      </c>
      <c r="AD172" s="2">
        <f t="shared" si="34"/>
        <v>1</v>
      </c>
      <c r="AE172">
        <v>1010.9</v>
      </c>
      <c r="AF172" s="4" t="s">
        <v>361</v>
      </c>
      <c r="AG172" s="2">
        <f t="shared" si="35"/>
        <v>1</v>
      </c>
      <c r="AH172" t="s">
        <v>362</v>
      </c>
      <c r="AI172" s="2">
        <f t="shared" si="36"/>
        <v>8</v>
      </c>
      <c r="AJ172" s="2">
        <f t="shared" si="37"/>
        <v>1</v>
      </c>
      <c r="AK172" s="3">
        <v>790.00000000814907</v>
      </c>
      <c r="AM172" s="2">
        <v>1</v>
      </c>
      <c r="AN172">
        <v>0</v>
      </c>
      <c r="AO172">
        <v>12</v>
      </c>
      <c r="AP172">
        <v>0</v>
      </c>
      <c r="AQ172" s="2">
        <f>IF((2*G172 + M172 -P172 + 3*W172 + 2*Z172+2*AD172 + AG172+2*AJ172 + 4*AM172) &gt;=8,1,0)</f>
        <v>1</v>
      </c>
    </row>
    <row r="173" spans="1:43" x14ac:dyDescent="0.25">
      <c r="A173" t="s">
        <v>27</v>
      </c>
      <c r="B173" s="1">
        <v>37113</v>
      </c>
      <c r="C173" s="7">
        <f t="shared" ref="C173:C231" si="39">YEAR(B173)</f>
        <v>2001</v>
      </c>
      <c r="D173">
        <v>101.9</v>
      </c>
      <c r="E173">
        <v>83.3</v>
      </c>
      <c r="F173">
        <v>92.4</v>
      </c>
      <c r="G173" s="2">
        <f t="shared" si="38"/>
        <v>1</v>
      </c>
      <c r="H173">
        <v>99.3</v>
      </c>
      <c r="I173">
        <v>83</v>
      </c>
      <c r="J173">
        <v>90.8</v>
      </c>
      <c r="K173">
        <v>55.1</v>
      </c>
      <c r="L173">
        <v>29.8</v>
      </c>
      <c r="M173" s="2">
        <f t="shared" ref="M173:M231" si="40">IF(L173&lt;=49.3,1,0)</f>
        <v>1</v>
      </c>
      <c r="N173">
        <v>0</v>
      </c>
      <c r="P173" s="2">
        <f t="shared" ref="P173:P231" si="41">IF(N173&lt;=0.01,1,0)</f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2">
        <f t="shared" ref="W173:W231" si="42">IF(V173&lt;=10,0,1)</f>
        <v>0</v>
      </c>
      <c r="X173">
        <v>19.2</v>
      </c>
      <c r="Z173" s="2">
        <f t="shared" ref="Z173:Z231" si="43">IF(X173&gt;=16,1,0)</f>
        <v>1</v>
      </c>
      <c r="AA173">
        <v>353.9</v>
      </c>
      <c r="AB173" s="2" t="str">
        <f>CHOOSE(MATCH(AA173,{0;11;80;111;161;191;241;281;341},1),"North","NorthEast","East","SouthEast","South","SouthWest","West","NorthWest","North")</f>
        <v>North</v>
      </c>
      <c r="AC173" s="5">
        <f>CHOOSE(MATCH(AB173,{"South";"SouthEast";"SouthWest";"North";"NorthEast";"East";"West";"NorthWest"},0),1,2,3,4,5,6,7,8)</f>
        <v>4</v>
      </c>
      <c r="AD173" s="2">
        <f t="shared" ref="AD173:AD231" si="44">IF(OR(AC173=3,AC173=4,AC173=5,AC173=8),1,0)</f>
        <v>1</v>
      </c>
      <c r="AE173">
        <v>1011.9</v>
      </c>
      <c r="AF173" s="4" t="s">
        <v>363</v>
      </c>
      <c r="AG173" s="2">
        <f t="shared" ref="AG173:AG231" si="45">IF(TIMEVALUE(AF173)&lt;=TIME(12,30,0),0,1)</f>
        <v>1</v>
      </c>
      <c r="AH173" t="s">
        <v>364</v>
      </c>
      <c r="AI173" s="2">
        <f t="shared" ref="AI173:AI231" si="46">MONTH(AH173)</f>
        <v>8</v>
      </c>
      <c r="AJ173" s="2">
        <f t="shared" ref="AJ173:AJ231" si="47">IF(OR(AI173=6,AI173=7,AI173=8),1,0)</f>
        <v>1</v>
      </c>
      <c r="AK173" s="3">
        <v>1085.999999998603</v>
      </c>
      <c r="AM173" s="2">
        <v>1</v>
      </c>
      <c r="AN173">
        <v>0</v>
      </c>
      <c r="AO173">
        <v>15</v>
      </c>
      <c r="AP173">
        <v>0</v>
      </c>
      <c r="AQ173" s="2">
        <f>IF((2*G173 + M173 -P173 + 3*W173 + 2*Z173+2*AD173 + AG173+2*AJ173 + 4*AM173) &gt;=8,1,0)</f>
        <v>1</v>
      </c>
    </row>
    <row r="174" spans="1:43" x14ac:dyDescent="0.25">
      <c r="A174" t="s">
        <v>27</v>
      </c>
      <c r="B174" s="1">
        <v>37117</v>
      </c>
      <c r="C174" s="7">
        <f t="shared" si="39"/>
        <v>2001</v>
      </c>
      <c r="D174">
        <v>89.7</v>
      </c>
      <c r="E174">
        <v>74.900000000000006</v>
      </c>
      <c r="F174">
        <v>82.1</v>
      </c>
      <c r="G174" s="2">
        <f t="shared" si="38"/>
        <v>1</v>
      </c>
      <c r="H174">
        <v>88.7</v>
      </c>
      <c r="I174">
        <v>74.900000000000006</v>
      </c>
      <c r="J174">
        <v>81.8</v>
      </c>
      <c r="K174">
        <v>58.7</v>
      </c>
      <c r="L174">
        <v>46</v>
      </c>
      <c r="M174" s="2">
        <f t="shared" si="40"/>
        <v>1</v>
      </c>
      <c r="N174">
        <v>0</v>
      </c>
      <c r="P174" s="2">
        <f t="shared" si="41"/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2">
        <f t="shared" si="42"/>
        <v>0</v>
      </c>
      <c r="X174">
        <v>16.8</v>
      </c>
      <c r="Z174" s="2">
        <f t="shared" si="43"/>
        <v>1</v>
      </c>
      <c r="AA174">
        <v>0</v>
      </c>
      <c r="AB174" s="2" t="str">
        <f>CHOOSE(MATCH(AA174,{0;11;80;111;161;191;241;281;341},1),"North","NorthEast","East","SouthEast","South","SouthWest","West","NorthWest","North")</f>
        <v>North</v>
      </c>
      <c r="AC174" s="5">
        <f>CHOOSE(MATCH(AB174,{"South";"SouthEast";"SouthWest";"North";"NorthEast";"East";"West";"NorthWest"},0),1,2,3,4,5,6,7,8)</f>
        <v>4</v>
      </c>
      <c r="AD174" s="2">
        <f t="shared" si="44"/>
        <v>1</v>
      </c>
      <c r="AE174">
        <v>1012.9</v>
      </c>
      <c r="AF174" s="4" t="s">
        <v>365</v>
      </c>
      <c r="AG174" s="2">
        <f t="shared" si="45"/>
        <v>1</v>
      </c>
      <c r="AH174" t="s">
        <v>366</v>
      </c>
      <c r="AI174" s="2">
        <f t="shared" si="46"/>
        <v>8</v>
      </c>
      <c r="AJ174" s="2">
        <f t="shared" si="47"/>
        <v>1</v>
      </c>
      <c r="AK174" s="3">
        <v>54.999999990686767</v>
      </c>
      <c r="AM174" s="2">
        <v>0</v>
      </c>
      <c r="AN174">
        <v>0</v>
      </c>
      <c r="AO174">
        <v>1</v>
      </c>
      <c r="AP174">
        <v>0</v>
      </c>
      <c r="AQ174" s="2">
        <f>IF((2*G174 + M174 -P174 + 3*W174 + 2*Z174+2*AD174 + AG174+2*AJ174 + 4*AM174) &gt;=8,1,0)</f>
        <v>1</v>
      </c>
    </row>
    <row r="175" spans="1:43" x14ac:dyDescent="0.25">
      <c r="A175" t="s">
        <v>27</v>
      </c>
      <c r="B175" s="1">
        <v>37120</v>
      </c>
      <c r="C175" s="7">
        <f t="shared" si="39"/>
        <v>2001</v>
      </c>
      <c r="D175">
        <v>91.1</v>
      </c>
      <c r="E175">
        <v>74.3</v>
      </c>
      <c r="F175">
        <v>83.5</v>
      </c>
      <c r="G175" s="2">
        <f t="shared" si="38"/>
        <v>1</v>
      </c>
      <c r="H175">
        <v>89.8</v>
      </c>
      <c r="I175">
        <v>74.3</v>
      </c>
      <c r="J175">
        <v>82.9</v>
      </c>
      <c r="K175">
        <v>57.6</v>
      </c>
      <c r="L175">
        <v>42.5</v>
      </c>
      <c r="M175" s="2">
        <f t="shared" si="40"/>
        <v>1</v>
      </c>
      <c r="N175">
        <v>0</v>
      </c>
      <c r="P175" s="2">
        <f t="shared" si="41"/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2">
        <f t="shared" si="42"/>
        <v>0</v>
      </c>
      <c r="X175">
        <v>22</v>
      </c>
      <c r="Z175" s="2">
        <f t="shared" si="43"/>
        <v>1</v>
      </c>
      <c r="AA175">
        <v>354.6</v>
      </c>
      <c r="AB175" s="2" t="str">
        <f>CHOOSE(MATCH(AA175,{0;11;80;111;161;191;241;281;341},1),"North","NorthEast","East","SouthEast","South","SouthWest","West","NorthWest","North")</f>
        <v>North</v>
      </c>
      <c r="AC175" s="5">
        <f>CHOOSE(MATCH(AB175,{"South";"SouthEast";"SouthWest";"North";"NorthEast";"East";"West";"NorthWest"},0),1,2,3,4,5,6,7,8)</f>
        <v>4</v>
      </c>
      <c r="AD175" s="2">
        <f t="shared" si="44"/>
        <v>1</v>
      </c>
      <c r="AE175">
        <v>1012.3</v>
      </c>
      <c r="AF175" s="4" t="s">
        <v>367</v>
      </c>
      <c r="AG175" s="2">
        <f t="shared" si="45"/>
        <v>1</v>
      </c>
      <c r="AH175" t="s">
        <v>368</v>
      </c>
      <c r="AI175" s="2">
        <f t="shared" si="46"/>
        <v>8</v>
      </c>
      <c r="AJ175" s="2">
        <f t="shared" si="47"/>
        <v>1</v>
      </c>
      <c r="AK175" s="3">
        <v>463.00000000046572</v>
      </c>
      <c r="AM175" s="2">
        <v>1</v>
      </c>
      <c r="AN175">
        <v>5</v>
      </c>
      <c r="AO175">
        <v>5</v>
      </c>
      <c r="AP175">
        <v>0</v>
      </c>
      <c r="AQ175" s="2">
        <f>IF((2*G175 + M175 -P175 + 3*W175 + 2*Z175+2*AD175 + AG175+2*AJ175 + 4*AM175) &gt;=8,1,0)</f>
        <v>1</v>
      </c>
    </row>
    <row r="176" spans="1:43" x14ac:dyDescent="0.25">
      <c r="A176" t="s">
        <v>27</v>
      </c>
      <c r="B176" s="1">
        <v>37120</v>
      </c>
      <c r="C176" s="7">
        <f t="shared" si="39"/>
        <v>2001</v>
      </c>
      <c r="D176">
        <v>91.1</v>
      </c>
      <c r="E176">
        <v>74.3</v>
      </c>
      <c r="F176">
        <v>83.5</v>
      </c>
      <c r="G176" s="2">
        <f t="shared" si="38"/>
        <v>1</v>
      </c>
      <c r="H176">
        <v>89.8</v>
      </c>
      <c r="I176">
        <v>74.3</v>
      </c>
      <c r="J176">
        <v>82.9</v>
      </c>
      <c r="K176">
        <v>57.6</v>
      </c>
      <c r="L176">
        <v>42.5</v>
      </c>
      <c r="M176" s="2">
        <f t="shared" si="40"/>
        <v>1</v>
      </c>
      <c r="N176">
        <v>0</v>
      </c>
      <c r="P176" s="2">
        <f t="shared" si="41"/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2">
        <f t="shared" si="42"/>
        <v>0</v>
      </c>
      <c r="X176">
        <v>22</v>
      </c>
      <c r="Z176" s="2">
        <f t="shared" si="43"/>
        <v>1</v>
      </c>
      <c r="AA176">
        <v>354.6</v>
      </c>
      <c r="AB176" s="2" t="str">
        <f>CHOOSE(MATCH(AA176,{0;11;80;111;161;191;241;281;341},1),"North","NorthEast","East","SouthEast","South","SouthWest","West","NorthWest","North")</f>
        <v>North</v>
      </c>
      <c r="AC176" s="5">
        <f>CHOOSE(MATCH(AB176,{"South";"SouthEast";"SouthWest";"North";"NorthEast";"East";"West";"NorthWest"},0),1,2,3,4,5,6,7,8)</f>
        <v>4</v>
      </c>
      <c r="AD176" s="2">
        <f t="shared" si="44"/>
        <v>1</v>
      </c>
      <c r="AE176">
        <v>1012.3</v>
      </c>
      <c r="AF176" s="4" t="s">
        <v>92</v>
      </c>
      <c r="AG176" s="2">
        <f t="shared" si="45"/>
        <v>1</v>
      </c>
      <c r="AH176" t="s">
        <v>369</v>
      </c>
      <c r="AI176" s="2">
        <f t="shared" si="46"/>
        <v>8</v>
      </c>
      <c r="AJ176" s="2">
        <f t="shared" si="47"/>
        <v>1</v>
      </c>
      <c r="AK176" s="3">
        <v>3150</v>
      </c>
      <c r="AM176" s="2">
        <v>1</v>
      </c>
      <c r="AN176">
        <v>40</v>
      </c>
      <c r="AO176">
        <v>0</v>
      </c>
      <c r="AP176">
        <v>0</v>
      </c>
      <c r="AQ176" s="2">
        <f>IF((2*G176 + M176 -P176 + 3*W176 + 2*Z176+2*AD176 + AG176+2*AJ176 + 4*AM176) &gt;=8,1,0)</f>
        <v>1</v>
      </c>
    </row>
    <row r="177" spans="1:43" x14ac:dyDescent="0.25">
      <c r="A177" t="s">
        <v>27</v>
      </c>
      <c r="B177" s="1">
        <v>37120</v>
      </c>
      <c r="C177" s="7">
        <f t="shared" si="39"/>
        <v>2001</v>
      </c>
      <c r="D177">
        <v>91.1</v>
      </c>
      <c r="E177">
        <v>74.3</v>
      </c>
      <c r="F177">
        <v>83.5</v>
      </c>
      <c r="G177" s="2">
        <f t="shared" si="38"/>
        <v>1</v>
      </c>
      <c r="H177">
        <v>89.8</v>
      </c>
      <c r="I177">
        <v>74.3</v>
      </c>
      <c r="J177">
        <v>82.9</v>
      </c>
      <c r="K177">
        <v>57.6</v>
      </c>
      <c r="L177">
        <v>42.5</v>
      </c>
      <c r="M177" s="2">
        <f t="shared" si="40"/>
        <v>1</v>
      </c>
      <c r="N177">
        <v>0</v>
      </c>
      <c r="P177" s="2">
        <f t="shared" si="41"/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2">
        <f t="shared" si="42"/>
        <v>0</v>
      </c>
      <c r="X177">
        <v>22</v>
      </c>
      <c r="Z177" s="2">
        <f t="shared" si="43"/>
        <v>1</v>
      </c>
      <c r="AA177">
        <v>354.6</v>
      </c>
      <c r="AB177" s="2" t="str">
        <f>CHOOSE(MATCH(AA177,{0;11;80;111;161;191;241;281;341},1),"North","NorthEast","East","SouthEast","South","SouthWest","West","NorthWest","North")</f>
        <v>North</v>
      </c>
      <c r="AC177" s="5">
        <f>CHOOSE(MATCH(AB177,{"South";"SouthEast";"SouthWest";"North";"NorthEast";"East";"West";"NorthWest"},0),1,2,3,4,5,6,7,8)</f>
        <v>4</v>
      </c>
      <c r="AD177" s="2">
        <f t="shared" si="44"/>
        <v>1</v>
      </c>
      <c r="AE177">
        <v>1012.3</v>
      </c>
      <c r="AF177" s="4" t="s">
        <v>370</v>
      </c>
      <c r="AG177" s="2">
        <f t="shared" si="45"/>
        <v>1</v>
      </c>
      <c r="AH177" t="s">
        <v>371</v>
      </c>
      <c r="AI177" s="2">
        <f t="shared" si="46"/>
        <v>8</v>
      </c>
      <c r="AJ177" s="2">
        <f t="shared" si="47"/>
        <v>1</v>
      </c>
      <c r="AK177" s="3">
        <v>920.00000000232831</v>
      </c>
      <c r="AM177" s="2">
        <v>1</v>
      </c>
      <c r="AN177">
        <v>0.5</v>
      </c>
      <c r="AO177">
        <v>0</v>
      </c>
      <c r="AP177">
        <v>0</v>
      </c>
      <c r="AQ177" s="2">
        <f>IF((2*G177 + M177 -P177 + 3*W177 + 2*Z177+2*AD177 + AG177+2*AJ177 + 4*AM177) &gt;=8,1,0)</f>
        <v>1</v>
      </c>
    </row>
    <row r="178" spans="1:43" x14ac:dyDescent="0.25">
      <c r="A178" t="s">
        <v>27</v>
      </c>
      <c r="B178" s="1">
        <v>37121</v>
      </c>
      <c r="C178" s="7">
        <f t="shared" si="39"/>
        <v>2001</v>
      </c>
      <c r="D178">
        <v>92.6</v>
      </c>
      <c r="E178">
        <v>76.400000000000006</v>
      </c>
      <c r="F178">
        <v>84.4</v>
      </c>
      <c r="G178" s="2">
        <f t="shared" si="38"/>
        <v>1</v>
      </c>
      <c r="H178">
        <v>89.9</v>
      </c>
      <c r="I178">
        <v>76.400000000000006</v>
      </c>
      <c r="J178">
        <v>83.3</v>
      </c>
      <c r="K178">
        <v>54.7</v>
      </c>
      <c r="L178">
        <v>37.5</v>
      </c>
      <c r="M178" s="2">
        <f t="shared" si="40"/>
        <v>1</v>
      </c>
      <c r="N178">
        <v>0</v>
      </c>
      <c r="P178" s="2">
        <f t="shared" si="41"/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2">
        <f t="shared" si="42"/>
        <v>0</v>
      </c>
      <c r="X178">
        <v>16.399999999999999</v>
      </c>
      <c r="Z178" s="2">
        <f t="shared" si="43"/>
        <v>1</v>
      </c>
      <c r="AA178">
        <v>359.6</v>
      </c>
      <c r="AB178" s="2" t="str">
        <f>CHOOSE(MATCH(AA178,{0;11;80;111;161;191;241;281;341},1),"North","NorthEast","East","SouthEast","South","SouthWest","West","NorthWest","North")</f>
        <v>North</v>
      </c>
      <c r="AC178" s="5">
        <f>CHOOSE(MATCH(AB178,{"South";"SouthEast";"SouthWest";"North";"NorthEast";"East";"West";"NorthWest"},0),1,2,3,4,5,6,7,8)</f>
        <v>4</v>
      </c>
      <c r="AD178" s="2">
        <f t="shared" si="44"/>
        <v>1</v>
      </c>
      <c r="AE178">
        <v>1011</v>
      </c>
      <c r="AF178" s="4" t="s">
        <v>372</v>
      </c>
      <c r="AG178" s="2">
        <f t="shared" si="45"/>
        <v>1</v>
      </c>
      <c r="AH178" t="s">
        <v>373</v>
      </c>
      <c r="AI178" s="2">
        <f t="shared" si="46"/>
        <v>8</v>
      </c>
      <c r="AJ178" s="2">
        <f t="shared" si="47"/>
        <v>1</v>
      </c>
      <c r="AK178" s="3">
        <v>39.999999994179227</v>
      </c>
      <c r="AM178" s="2">
        <v>0</v>
      </c>
      <c r="AN178">
        <v>0</v>
      </c>
      <c r="AO178">
        <v>0.1</v>
      </c>
      <c r="AP178">
        <v>0</v>
      </c>
      <c r="AQ178" s="2">
        <f>IF((2*G178 + M178 -P178 + 3*W178 + 2*Z178+2*AD178 + AG178+2*AJ178 + 4*AM178) &gt;=8,1,0)</f>
        <v>1</v>
      </c>
    </row>
    <row r="179" spans="1:43" x14ac:dyDescent="0.25">
      <c r="A179" t="s">
        <v>27</v>
      </c>
      <c r="B179" s="1">
        <v>37121</v>
      </c>
      <c r="C179" s="7">
        <f t="shared" si="39"/>
        <v>2001</v>
      </c>
      <c r="D179">
        <v>92.6</v>
      </c>
      <c r="E179">
        <v>76.400000000000006</v>
      </c>
      <c r="F179">
        <v>84.4</v>
      </c>
      <c r="G179" s="2">
        <f t="shared" si="38"/>
        <v>1</v>
      </c>
      <c r="H179">
        <v>89.9</v>
      </c>
      <c r="I179">
        <v>76.400000000000006</v>
      </c>
      <c r="J179">
        <v>83.3</v>
      </c>
      <c r="K179">
        <v>54.7</v>
      </c>
      <c r="L179">
        <v>37.5</v>
      </c>
      <c r="M179" s="2">
        <f t="shared" si="40"/>
        <v>1</v>
      </c>
      <c r="N179">
        <v>0</v>
      </c>
      <c r="P179" s="2">
        <f t="shared" si="41"/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2">
        <f t="shared" si="42"/>
        <v>0</v>
      </c>
      <c r="X179">
        <v>16.399999999999999</v>
      </c>
      <c r="Z179" s="2">
        <f t="shared" si="43"/>
        <v>1</v>
      </c>
      <c r="AA179">
        <v>359.6</v>
      </c>
      <c r="AB179" s="2" t="str">
        <f>CHOOSE(MATCH(AA179,{0;11;80;111;161;191;241;281;341},1),"North","NorthEast","East","SouthEast","South","SouthWest","West","NorthWest","North")</f>
        <v>North</v>
      </c>
      <c r="AC179" s="5">
        <f>CHOOSE(MATCH(AB179,{"South";"SouthEast";"SouthWest";"North";"NorthEast";"East";"West";"NorthWest"},0),1,2,3,4,5,6,7,8)</f>
        <v>4</v>
      </c>
      <c r="AD179" s="2">
        <f t="shared" si="44"/>
        <v>1</v>
      </c>
      <c r="AE179">
        <v>1011</v>
      </c>
      <c r="AF179" s="4" t="s">
        <v>374</v>
      </c>
      <c r="AG179" s="2">
        <f t="shared" si="45"/>
        <v>1</v>
      </c>
      <c r="AH179" t="s">
        <v>375</v>
      </c>
      <c r="AI179" s="2">
        <f t="shared" si="46"/>
        <v>8</v>
      </c>
      <c r="AJ179" s="2">
        <f t="shared" si="47"/>
        <v>1</v>
      </c>
      <c r="AK179" s="3">
        <v>400.00000000465661</v>
      </c>
      <c r="AM179" s="2">
        <v>1</v>
      </c>
      <c r="AN179">
        <v>10</v>
      </c>
      <c r="AO179">
        <v>50</v>
      </c>
      <c r="AP179">
        <v>0</v>
      </c>
      <c r="AQ179" s="2">
        <f>IF((2*G179 + M179 -P179 + 3*W179 + 2*Z179+2*AD179 + AG179+2*AJ179 + 4*AM179) &gt;=8,1,0)</f>
        <v>1</v>
      </c>
    </row>
    <row r="180" spans="1:43" x14ac:dyDescent="0.25">
      <c r="A180" t="s">
        <v>27</v>
      </c>
      <c r="B180" s="1">
        <v>37122</v>
      </c>
      <c r="C180" s="7">
        <f t="shared" si="39"/>
        <v>2001</v>
      </c>
      <c r="D180">
        <v>93.6</v>
      </c>
      <c r="E180">
        <v>75.7</v>
      </c>
      <c r="F180">
        <v>83.7</v>
      </c>
      <c r="G180" s="2">
        <f t="shared" si="38"/>
        <v>1</v>
      </c>
      <c r="H180">
        <v>93.5</v>
      </c>
      <c r="I180">
        <v>75.7</v>
      </c>
      <c r="J180">
        <v>83.5</v>
      </c>
      <c r="K180">
        <v>57.1</v>
      </c>
      <c r="L180">
        <v>41.5</v>
      </c>
      <c r="M180" s="2">
        <f t="shared" si="40"/>
        <v>1</v>
      </c>
      <c r="N180">
        <v>0</v>
      </c>
      <c r="P180" s="2">
        <f t="shared" si="41"/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2">
        <f t="shared" si="42"/>
        <v>0</v>
      </c>
      <c r="X180">
        <v>11.3</v>
      </c>
      <c r="Z180" s="2">
        <f t="shared" si="43"/>
        <v>0</v>
      </c>
      <c r="AA180">
        <v>339</v>
      </c>
      <c r="AB180" s="2" t="str">
        <f>CHOOSE(MATCH(AA180,{0;11;80;111;161;191;241;281;341},1),"North","NorthEast","East","SouthEast","South","SouthWest","West","NorthWest","North")</f>
        <v>NorthWest</v>
      </c>
      <c r="AC180" s="5">
        <f>CHOOSE(MATCH(AB180,{"South";"SouthEast";"SouthWest";"North";"NorthEast";"East";"West";"NorthWest"},0),1,2,3,4,5,6,7,8)</f>
        <v>8</v>
      </c>
      <c r="AD180" s="2">
        <f t="shared" si="44"/>
        <v>1</v>
      </c>
      <c r="AE180">
        <v>1010.4</v>
      </c>
      <c r="AF180" s="4" t="s">
        <v>221</v>
      </c>
      <c r="AG180" s="2">
        <f t="shared" si="45"/>
        <v>1</v>
      </c>
      <c r="AH180" t="s">
        <v>376</v>
      </c>
      <c r="AI180" s="2">
        <f t="shared" si="46"/>
        <v>8</v>
      </c>
      <c r="AJ180" s="2">
        <f t="shared" si="47"/>
        <v>1</v>
      </c>
      <c r="AK180" s="3">
        <v>95.999999998603016</v>
      </c>
      <c r="AM180" s="2">
        <v>0</v>
      </c>
      <c r="AN180">
        <v>0</v>
      </c>
      <c r="AO180">
        <v>0.1</v>
      </c>
      <c r="AP180">
        <v>0</v>
      </c>
      <c r="AQ180" s="2">
        <f>IF((2*G180 + M180 -P180 + 3*W180 + 2*Z180+2*AD180 + AG180+2*AJ180 + 4*AM180) &gt;=8,1,0)</f>
        <v>0</v>
      </c>
    </row>
    <row r="181" spans="1:43" x14ac:dyDescent="0.25">
      <c r="A181" t="s">
        <v>27</v>
      </c>
      <c r="B181" s="1">
        <v>37123</v>
      </c>
      <c r="C181" s="7">
        <f t="shared" si="39"/>
        <v>2001</v>
      </c>
      <c r="D181">
        <v>92.4</v>
      </c>
      <c r="E181">
        <v>71.900000000000006</v>
      </c>
      <c r="F181">
        <v>82.5</v>
      </c>
      <c r="G181" s="2">
        <f t="shared" si="38"/>
        <v>1</v>
      </c>
      <c r="H181">
        <v>95</v>
      </c>
      <c r="I181">
        <v>71.900000000000006</v>
      </c>
      <c r="J181">
        <v>83.4</v>
      </c>
      <c r="K181">
        <v>64.5</v>
      </c>
      <c r="L181">
        <v>56.5</v>
      </c>
      <c r="M181" s="2">
        <f t="shared" si="40"/>
        <v>0</v>
      </c>
      <c r="N181">
        <v>0</v>
      </c>
      <c r="P181" s="2">
        <f t="shared" si="41"/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2">
        <f t="shared" si="42"/>
        <v>0</v>
      </c>
      <c r="X181">
        <v>10.6</v>
      </c>
      <c r="Z181" s="2">
        <f t="shared" si="43"/>
        <v>0</v>
      </c>
      <c r="AA181">
        <v>251.4</v>
      </c>
      <c r="AB181" s="2" t="str">
        <f>CHOOSE(MATCH(AA181,{0;11;80;111;161;191;241;281;341},1),"North","NorthEast","East","SouthEast","South","SouthWest","West","NorthWest","North")</f>
        <v>West</v>
      </c>
      <c r="AC181" s="5">
        <f>CHOOSE(MATCH(AB181,{"South";"SouthEast";"SouthWest";"North";"NorthEast";"East";"West";"NorthWest"},0),1,2,3,4,5,6,7,8)</f>
        <v>7</v>
      </c>
      <c r="AD181" s="2">
        <f t="shared" si="44"/>
        <v>0</v>
      </c>
      <c r="AE181">
        <v>1010.8</v>
      </c>
      <c r="AF181" s="4" t="s">
        <v>237</v>
      </c>
      <c r="AG181" s="2">
        <f t="shared" si="45"/>
        <v>1</v>
      </c>
      <c r="AH181" t="s">
        <v>377</v>
      </c>
      <c r="AI181" s="2">
        <f t="shared" si="46"/>
        <v>8</v>
      </c>
      <c r="AJ181" s="2">
        <f t="shared" si="47"/>
        <v>1</v>
      </c>
      <c r="AK181" s="3">
        <v>2334.000000001397</v>
      </c>
      <c r="AM181" s="2">
        <v>1</v>
      </c>
      <c r="AN181">
        <v>40</v>
      </c>
      <c r="AO181">
        <v>40</v>
      </c>
      <c r="AP181">
        <v>0</v>
      </c>
      <c r="AQ181" s="2">
        <f>IF((2*G181 + M181 -P181 + 3*W181 + 2*Z181+2*AD181 + AG181+2*AJ181 + 4*AM181) &gt;=8,1,0)</f>
        <v>1</v>
      </c>
    </row>
    <row r="182" spans="1:43" x14ac:dyDescent="0.25">
      <c r="A182" t="s">
        <v>27</v>
      </c>
      <c r="B182" s="1">
        <v>37125</v>
      </c>
      <c r="C182" s="7">
        <f t="shared" si="39"/>
        <v>2001</v>
      </c>
      <c r="D182">
        <v>91.5</v>
      </c>
      <c r="E182">
        <v>70.3</v>
      </c>
      <c r="F182">
        <v>81.599999999999994</v>
      </c>
      <c r="G182" s="2">
        <f t="shared" si="38"/>
        <v>1</v>
      </c>
      <c r="H182">
        <v>92.9</v>
      </c>
      <c r="I182">
        <v>70.3</v>
      </c>
      <c r="J182">
        <v>81.900000000000006</v>
      </c>
      <c r="K182">
        <v>57.5</v>
      </c>
      <c r="L182">
        <v>44.2</v>
      </c>
      <c r="M182" s="2">
        <f t="shared" si="40"/>
        <v>1</v>
      </c>
      <c r="N182">
        <v>0</v>
      </c>
      <c r="P182" s="2">
        <f t="shared" si="41"/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2">
        <f t="shared" si="42"/>
        <v>0</v>
      </c>
      <c r="X182">
        <v>11.1</v>
      </c>
      <c r="Z182" s="2">
        <f t="shared" si="43"/>
        <v>0</v>
      </c>
      <c r="AA182">
        <v>198.8</v>
      </c>
      <c r="AB182" s="2" t="str">
        <f>CHOOSE(MATCH(AA182,{0;11;80;111;161;191;241;281;341},1),"North","NorthEast","East","SouthEast","South","SouthWest","West","NorthWest","North")</f>
        <v>SouthWest</v>
      </c>
      <c r="AC182" s="5">
        <f>CHOOSE(MATCH(AB182,{"South";"SouthEast";"SouthWest";"North";"NorthEast";"East";"West";"NorthWest"},0),1,2,3,4,5,6,7,8)</f>
        <v>3</v>
      </c>
      <c r="AD182" s="2">
        <f t="shared" si="44"/>
        <v>1</v>
      </c>
      <c r="AE182">
        <v>1012.4</v>
      </c>
      <c r="AF182" s="4" t="s">
        <v>378</v>
      </c>
      <c r="AG182" s="2">
        <f t="shared" si="45"/>
        <v>1</v>
      </c>
      <c r="AH182" t="s">
        <v>379</v>
      </c>
      <c r="AI182" s="2">
        <f t="shared" si="46"/>
        <v>8</v>
      </c>
      <c r="AJ182" s="2">
        <f t="shared" si="47"/>
        <v>1</v>
      </c>
      <c r="AK182" s="3">
        <v>132.00000000069849</v>
      </c>
      <c r="AM182" s="2">
        <v>0</v>
      </c>
      <c r="AN182">
        <v>1</v>
      </c>
      <c r="AO182">
        <v>1</v>
      </c>
      <c r="AP182">
        <v>0</v>
      </c>
      <c r="AQ182" s="2">
        <f>IF((2*G182 + M182 -P182 + 3*W182 + 2*Z182+2*AD182 + AG182+2*AJ182 + 4*AM182) &gt;=8,1,0)</f>
        <v>0</v>
      </c>
    </row>
    <row r="183" spans="1:43" x14ac:dyDescent="0.25">
      <c r="A183" t="s">
        <v>27</v>
      </c>
      <c r="B183" s="1">
        <v>37125</v>
      </c>
      <c r="C183" s="7">
        <f t="shared" si="39"/>
        <v>2001</v>
      </c>
      <c r="D183">
        <v>91.5</v>
      </c>
      <c r="E183">
        <v>70.3</v>
      </c>
      <c r="F183">
        <v>81.599999999999994</v>
      </c>
      <c r="G183" s="2">
        <f t="shared" si="38"/>
        <v>1</v>
      </c>
      <c r="H183">
        <v>92.9</v>
      </c>
      <c r="I183">
        <v>70.3</v>
      </c>
      <c r="J183">
        <v>81.900000000000006</v>
      </c>
      <c r="K183">
        <v>57.5</v>
      </c>
      <c r="L183">
        <v>44.2</v>
      </c>
      <c r="M183" s="2">
        <f t="shared" si="40"/>
        <v>1</v>
      </c>
      <c r="N183">
        <v>0</v>
      </c>
      <c r="P183" s="2">
        <f t="shared" si="41"/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2">
        <f t="shared" si="42"/>
        <v>0</v>
      </c>
      <c r="X183">
        <v>11.1</v>
      </c>
      <c r="Z183" s="2">
        <f t="shared" si="43"/>
        <v>0</v>
      </c>
      <c r="AA183">
        <v>198.8</v>
      </c>
      <c r="AB183" s="2" t="str">
        <f>CHOOSE(MATCH(AA183,{0;11;80;111;161;191;241;281;341},1),"North","NorthEast","East","SouthEast","South","SouthWest","West","NorthWest","North")</f>
        <v>SouthWest</v>
      </c>
      <c r="AC183" s="5">
        <f>CHOOSE(MATCH(AB183,{"South";"SouthEast";"SouthWest";"North";"NorthEast";"East";"West";"NorthWest"},0),1,2,3,4,5,6,7,8)</f>
        <v>3</v>
      </c>
      <c r="AD183" s="2">
        <f t="shared" si="44"/>
        <v>1</v>
      </c>
      <c r="AE183">
        <v>1012.4</v>
      </c>
      <c r="AF183" s="4" t="s">
        <v>267</v>
      </c>
      <c r="AG183" s="2">
        <f t="shared" si="45"/>
        <v>0</v>
      </c>
      <c r="AH183" t="s">
        <v>380</v>
      </c>
      <c r="AI183" s="2">
        <f t="shared" si="46"/>
        <v>8</v>
      </c>
      <c r="AJ183" s="2">
        <f t="shared" si="47"/>
        <v>1</v>
      </c>
      <c r="AK183" s="3">
        <v>65.000000002328306</v>
      </c>
      <c r="AM183" s="2">
        <v>0</v>
      </c>
      <c r="AN183">
        <v>0</v>
      </c>
      <c r="AO183">
        <v>3</v>
      </c>
      <c r="AP183">
        <v>0</v>
      </c>
      <c r="AQ183" s="2">
        <f>IF((2*G183 + M183 -P183 + 3*W183 + 2*Z183+2*AD183 + AG183+2*AJ183 + 4*AM183) &gt;=8,1,0)</f>
        <v>0</v>
      </c>
    </row>
    <row r="184" spans="1:43" x14ac:dyDescent="0.25">
      <c r="A184" t="s">
        <v>27</v>
      </c>
      <c r="B184" s="1">
        <v>37126</v>
      </c>
      <c r="C184" s="7">
        <f t="shared" si="39"/>
        <v>2001</v>
      </c>
      <c r="D184">
        <v>93.3</v>
      </c>
      <c r="E184">
        <v>73.5</v>
      </c>
      <c r="F184">
        <v>82.7</v>
      </c>
      <c r="G184" s="2">
        <f t="shared" si="38"/>
        <v>1</v>
      </c>
      <c r="H184">
        <v>93.5</v>
      </c>
      <c r="I184">
        <v>73.5</v>
      </c>
      <c r="J184">
        <v>82.9</v>
      </c>
      <c r="K184">
        <v>59.3</v>
      </c>
      <c r="L184">
        <v>46.3</v>
      </c>
      <c r="M184" s="2">
        <f t="shared" si="40"/>
        <v>1</v>
      </c>
      <c r="N184">
        <v>0</v>
      </c>
      <c r="P184" s="2">
        <f t="shared" si="41"/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2">
        <f t="shared" si="42"/>
        <v>0</v>
      </c>
      <c r="X184">
        <v>15</v>
      </c>
      <c r="Z184" s="2">
        <f t="shared" si="43"/>
        <v>0</v>
      </c>
      <c r="AA184">
        <v>87.2</v>
      </c>
      <c r="AB184" s="2" t="str">
        <f>CHOOSE(MATCH(AA184,{0;11;80;111;161;191;241;281;341},1),"North","NorthEast","East","SouthEast","South","SouthWest","West","NorthWest","North")</f>
        <v>East</v>
      </c>
      <c r="AC184" s="5">
        <f>CHOOSE(MATCH(AB184,{"South";"SouthEast";"SouthWest";"North";"NorthEast";"East";"West";"NorthWest"},0),1,2,3,4,5,6,7,8)</f>
        <v>6</v>
      </c>
      <c r="AD184" s="2">
        <f t="shared" si="44"/>
        <v>0</v>
      </c>
      <c r="AE184">
        <v>1011.1</v>
      </c>
      <c r="AF184" s="4" t="s">
        <v>265</v>
      </c>
      <c r="AG184" s="2">
        <f t="shared" si="45"/>
        <v>1</v>
      </c>
      <c r="AH184" t="s">
        <v>381</v>
      </c>
      <c r="AI184" s="2">
        <f t="shared" si="46"/>
        <v>8</v>
      </c>
      <c r="AJ184" s="2">
        <f t="shared" si="47"/>
        <v>1</v>
      </c>
      <c r="AK184" s="3">
        <v>240.00000000698489</v>
      </c>
      <c r="AM184" s="2">
        <v>0</v>
      </c>
      <c r="AN184">
        <v>0.5</v>
      </c>
      <c r="AO184">
        <v>0</v>
      </c>
      <c r="AP184">
        <v>0</v>
      </c>
      <c r="AQ184" s="2">
        <f>IF((2*G184 + M184 -P184 + 3*W184 + 2*Z184+2*AD184 + AG184+2*AJ184 + 4*AM184) &gt;=8,1,0)</f>
        <v>0</v>
      </c>
    </row>
    <row r="185" spans="1:43" x14ac:dyDescent="0.25">
      <c r="A185" t="s">
        <v>27</v>
      </c>
      <c r="B185" s="1">
        <v>37126</v>
      </c>
      <c r="C185" s="7">
        <f t="shared" si="39"/>
        <v>2001</v>
      </c>
      <c r="D185">
        <v>93.3</v>
      </c>
      <c r="E185">
        <v>73.5</v>
      </c>
      <c r="F185">
        <v>82.7</v>
      </c>
      <c r="G185" s="2">
        <f t="shared" si="38"/>
        <v>1</v>
      </c>
      <c r="H185">
        <v>93.5</v>
      </c>
      <c r="I185">
        <v>73.5</v>
      </c>
      <c r="J185">
        <v>82.9</v>
      </c>
      <c r="K185">
        <v>59.3</v>
      </c>
      <c r="L185">
        <v>46.3</v>
      </c>
      <c r="M185" s="2">
        <f t="shared" si="40"/>
        <v>1</v>
      </c>
      <c r="N185">
        <v>0</v>
      </c>
      <c r="P185" s="2">
        <f t="shared" si="41"/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2">
        <f t="shared" si="42"/>
        <v>0</v>
      </c>
      <c r="X185">
        <v>15</v>
      </c>
      <c r="Z185" s="2">
        <f t="shared" si="43"/>
        <v>0</v>
      </c>
      <c r="AA185">
        <v>87.2</v>
      </c>
      <c r="AB185" s="2" t="str">
        <f>CHOOSE(MATCH(AA185,{0;11;80;111;161;191;241;281;341},1),"North","NorthEast","East","SouthEast","South","SouthWest","West","NorthWest","North")</f>
        <v>East</v>
      </c>
      <c r="AC185" s="5">
        <f>CHOOSE(MATCH(AB185,{"South";"SouthEast";"SouthWest";"North";"NorthEast";"East";"West";"NorthWest"},0),1,2,3,4,5,6,7,8)</f>
        <v>6</v>
      </c>
      <c r="AD185" s="2">
        <f t="shared" si="44"/>
        <v>0</v>
      </c>
      <c r="AE185">
        <v>1011.1</v>
      </c>
      <c r="AF185" s="4" t="s">
        <v>117</v>
      </c>
      <c r="AG185" s="2">
        <f t="shared" si="45"/>
        <v>1</v>
      </c>
      <c r="AH185" t="s">
        <v>382</v>
      </c>
      <c r="AI185" s="2">
        <f t="shared" si="46"/>
        <v>8</v>
      </c>
      <c r="AJ185" s="2">
        <f t="shared" si="47"/>
        <v>1</v>
      </c>
      <c r="AK185" s="3">
        <v>150.9999999997672</v>
      </c>
      <c r="AM185" s="2">
        <v>0</v>
      </c>
      <c r="AN185">
        <v>0.5</v>
      </c>
      <c r="AO185">
        <v>0</v>
      </c>
      <c r="AP185">
        <v>0</v>
      </c>
      <c r="AQ185" s="2">
        <f>IF((2*G185 + M185 -P185 + 3*W185 + 2*Z185+2*AD185 + AG185+2*AJ185 + 4*AM185) &gt;=8,1,0)</f>
        <v>0</v>
      </c>
    </row>
    <row r="186" spans="1:43" x14ac:dyDescent="0.25">
      <c r="A186" t="s">
        <v>27</v>
      </c>
      <c r="B186" s="1">
        <v>37126</v>
      </c>
      <c r="C186" s="7">
        <f t="shared" si="39"/>
        <v>2001</v>
      </c>
      <c r="D186">
        <v>93.3</v>
      </c>
      <c r="E186">
        <v>73.5</v>
      </c>
      <c r="F186">
        <v>82.7</v>
      </c>
      <c r="G186" s="2">
        <f t="shared" si="38"/>
        <v>1</v>
      </c>
      <c r="H186">
        <v>93.5</v>
      </c>
      <c r="I186">
        <v>73.5</v>
      </c>
      <c r="J186">
        <v>82.9</v>
      </c>
      <c r="K186">
        <v>59.3</v>
      </c>
      <c r="L186">
        <v>46.3</v>
      </c>
      <c r="M186" s="2">
        <f t="shared" si="40"/>
        <v>1</v>
      </c>
      <c r="N186">
        <v>0</v>
      </c>
      <c r="P186" s="2">
        <f t="shared" si="41"/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2">
        <f t="shared" si="42"/>
        <v>0</v>
      </c>
      <c r="X186">
        <v>15</v>
      </c>
      <c r="Z186" s="2">
        <f t="shared" si="43"/>
        <v>0</v>
      </c>
      <c r="AA186">
        <v>87.2</v>
      </c>
      <c r="AB186" s="2" t="str">
        <f>CHOOSE(MATCH(AA186,{0;11;80;111;161;191;241;281;341},1),"North","NorthEast","East","SouthEast","South","SouthWest","West","NorthWest","North")</f>
        <v>East</v>
      </c>
      <c r="AC186" s="5">
        <f>CHOOSE(MATCH(AB186,{"South";"SouthEast";"SouthWest";"North";"NorthEast";"East";"West";"NorthWest"},0),1,2,3,4,5,6,7,8)</f>
        <v>6</v>
      </c>
      <c r="AD186" s="2">
        <f t="shared" si="44"/>
        <v>0</v>
      </c>
      <c r="AE186">
        <v>1011.1</v>
      </c>
      <c r="AF186" s="4" t="s">
        <v>92</v>
      </c>
      <c r="AG186" s="2">
        <f t="shared" si="45"/>
        <v>1</v>
      </c>
      <c r="AH186" t="s">
        <v>383</v>
      </c>
      <c r="AI186" s="2">
        <f t="shared" si="46"/>
        <v>8</v>
      </c>
      <c r="AJ186" s="2">
        <f t="shared" si="47"/>
        <v>1</v>
      </c>
      <c r="AK186" s="3">
        <v>100.0000000011642</v>
      </c>
      <c r="AM186" s="2">
        <v>0</v>
      </c>
      <c r="AN186">
        <v>0.5</v>
      </c>
      <c r="AO186">
        <v>0.5</v>
      </c>
      <c r="AP186">
        <v>0</v>
      </c>
      <c r="AQ186" s="2">
        <f>IF((2*G186 + M186 -P186 + 3*W186 + 2*Z186+2*AD186 + AG186+2*AJ186 + 4*AM186) &gt;=8,1,0)</f>
        <v>0</v>
      </c>
    </row>
    <row r="187" spans="1:43" x14ac:dyDescent="0.25">
      <c r="A187" t="s">
        <v>27</v>
      </c>
      <c r="B187" s="1">
        <v>37127</v>
      </c>
      <c r="C187" s="7">
        <f t="shared" si="39"/>
        <v>2001</v>
      </c>
      <c r="D187">
        <v>92.9</v>
      </c>
      <c r="E187">
        <v>79.8</v>
      </c>
      <c r="F187">
        <v>85.2</v>
      </c>
      <c r="G187" s="2">
        <f t="shared" si="38"/>
        <v>1</v>
      </c>
      <c r="H187">
        <v>93.3</v>
      </c>
      <c r="I187">
        <v>79.8</v>
      </c>
      <c r="J187">
        <v>85.6</v>
      </c>
      <c r="K187">
        <v>61</v>
      </c>
      <c r="L187">
        <v>45</v>
      </c>
      <c r="M187" s="2">
        <f t="shared" si="40"/>
        <v>1</v>
      </c>
      <c r="N187">
        <v>2.1000000000000001E-2</v>
      </c>
      <c r="P187" s="2">
        <f t="shared" si="41"/>
        <v>0</v>
      </c>
      <c r="Q187">
        <v>100</v>
      </c>
      <c r="R187">
        <v>4.17</v>
      </c>
      <c r="S187" t="s">
        <v>87</v>
      </c>
      <c r="T187">
        <v>0</v>
      </c>
      <c r="U187">
        <v>0</v>
      </c>
      <c r="V187">
        <v>0</v>
      </c>
      <c r="W187" s="2">
        <f t="shared" si="42"/>
        <v>0</v>
      </c>
      <c r="X187">
        <v>16.7</v>
      </c>
      <c r="Z187" s="2">
        <f t="shared" si="43"/>
        <v>1</v>
      </c>
      <c r="AA187">
        <v>3.9</v>
      </c>
      <c r="AB187" s="2" t="str">
        <f>CHOOSE(MATCH(AA187,{0;11;80;111;161;191;241;281;341},1),"North","NorthEast","East","SouthEast","South","SouthWest","West","NorthWest","North")</f>
        <v>North</v>
      </c>
      <c r="AC187" s="5">
        <f>CHOOSE(MATCH(AB187,{"South";"SouthEast";"SouthWest";"North";"NorthEast";"East";"West";"NorthWest"},0),1,2,3,4,5,6,7,8)</f>
        <v>4</v>
      </c>
      <c r="AD187" s="2">
        <f t="shared" si="44"/>
        <v>1</v>
      </c>
      <c r="AE187">
        <v>1011.3</v>
      </c>
      <c r="AF187" s="4" t="s">
        <v>52</v>
      </c>
      <c r="AG187" s="2">
        <f t="shared" si="45"/>
        <v>1</v>
      </c>
      <c r="AH187" t="s">
        <v>384</v>
      </c>
      <c r="AI187" s="2">
        <f t="shared" si="46"/>
        <v>8</v>
      </c>
      <c r="AJ187" s="2">
        <f t="shared" si="47"/>
        <v>1</v>
      </c>
      <c r="AK187" s="3">
        <v>66.000000005587935</v>
      </c>
      <c r="AM187" s="2">
        <v>0</v>
      </c>
      <c r="AN187">
        <v>0</v>
      </c>
      <c r="AO187">
        <v>0.1</v>
      </c>
      <c r="AP187">
        <v>0</v>
      </c>
      <c r="AQ187" s="2">
        <f>IF((2*G187 + M187 -P187 + 3*W187 + 2*Z187+2*AD187 + AG187+2*AJ187 + 4*AM187) &gt;=8,1,0)</f>
        <v>1</v>
      </c>
    </row>
    <row r="188" spans="1:43" x14ac:dyDescent="0.25">
      <c r="A188" t="s">
        <v>27</v>
      </c>
      <c r="B188" s="1">
        <v>37129</v>
      </c>
      <c r="C188" s="7">
        <f t="shared" si="39"/>
        <v>2001</v>
      </c>
      <c r="D188">
        <v>92.4</v>
      </c>
      <c r="E188">
        <v>75.3</v>
      </c>
      <c r="F188">
        <v>84.5</v>
      </c>
      <c r="G188" s="2">
        <f t="shared" si="38"/>
        <v>1</v>
      </c>
      <c r="H188">
        <v>90.3</v>
      </c>
      <c r="I188">
        <v>75.3</v>
      </c>
      <c r="J188">
        <v>83.7</v>
      </c>
      <c r="K188">
        <v>57.8</v>
      </c>
      <c r="L188">
        <v>41.9</v>
      </c>
      <c r="M188" s="2">
        <f t="shared" si="40"/>
        <v>1</v>
      </c>
      <c r="N188">
        <v>0</v>
      </c>
      <c r="P188" s="2">
        <f t="shared" si="41"/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2">
        <f t="shared" si="42"/>
        <v>0</v>
      </c>
      <c r="X188">
        <v>23.1</v>
      </c>
      <c r="Z188" s="2">
        <f t="shared" si="43"/>
        <v>1</v>
      </c>
      <c r="AA188">
        <v>5.7</v>
      </c>
      <c r="AB188" s="2" t="str">
        <f>CHOOSE(MATCH(AA188,{0;11;80;111;161;191;241;281;341},1),"North","NorthEast","East","SouthEast","South","SouthWest","West","NorthWest","North")</f>
        <v>North</v>
      </c>
      <c r="AC188" s="5">
        <f>CHOOSE(MATCH(AB188,{"South";"SouthEast";"SouthWest";"North";"NorthEast";"East";"West";"NorthWest"},0),1,2,3,4,5,6,7,8)</f>
        <v>4</v>
      </c>
      <c r="AD188" s="2">
        <f t="shared" si="44"/>
        <v>1</v>
      </c>
      <c r="AE188">
        <v>1012.8</v>
      </c>
      <c r="AF188" s="4" t="s">
        <v>385</v>
      </c>
      <c r="AG188" s="2">
        <f t="shared" si="45"/>
        <v>1</v>
      </c>
      <c r="AH188" t="s">
        <v>386</v>
      </c>
      <c r="AI188" s="2">
        <f t="shared" si="46"/>
        <v>8</v>
      </c>
      <c r="AJ188" s="2">
        <f t="shared" si="47"/>
        <v>1</v>
      </c>
      <c r="AK188" s="3">
        <v>84.999999994179234</v>
      </c>
      <c r="AM188" s="2">
        <v>0</v>
      </c>
      <c r="AN188">
        <v>1</v>
      </c>
      <c r="AO188">
        <v>1</v>
      </c>
      <c r="AP188">
        <v>0</v>
      </c>
      <c r="AQ188" s="2">
        <f>IF((2*G188 + M188 -P188 + 3*W188 + 2*Z188+2*AD188 + AG188+2*AJ188 + 4*AM188) &gt;=8,1,0)</f>
        <v>1</v>
      </c>
    </row>
    <row r="189" spans="1:43" x14ac:dyDescent="0.25">
      <c r="A189" t="s">
        <v>27</v>
      </c>
      <c r="B189" s="1">
        <v>37138</v>
      </c>
      <c r="C189" s="7">
        <f t="shared" si="39"/>
        <v>2001</v>
      </c>
      <c r="D189">
        <v>87.5</v>
      </c>
      <c r="E189">
        <v>72.599999999999994</v>
      </c>
      <c r="F189">
        <v>79.8</v>
      </c>
      <c r="G189" s="2">
        <f t="shared" si="38"/>
        <v>1</v>
      </c>
      <c r="H189">
        <v>88.4</v>
      </c>
      <c r="I189">
        <v>72.599999999999994</v>
      </c>
      <c r="J189">
        <v>80.5</v>
      </c>
      <c r="K189">
        <v>64.3</v>
      </c>
      <c r="L189">
        <v>60</v>
      </c>
      <c r="M189" s="2">
        <f t="shared" si="40"/>
        <v>0</v>
      </c>
      <c r="N189">
        <v>0</v>
      </c>
      <c r="P189" s="2">
        <f t="shared" si="41"/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2">
        <f t="shared" si="42"/>
        <v>0</v>
      </c>
      <c r="X189">
        <v>13.3</v>
      </c>
      <c r="Z189" s="2">
        <f t="shared" si="43"/>
        <v>0</v>
      </c>
      <c r="AA189">
        <v>198.4</v>
      </c>
      <c r="AB189" s="2" t="str">
        <f>CHOOSE(MATCH(AA189,{0;11;80;111;161;191;241;281;341},1),"North","NorthEast","East","SouthEast","South","SouthWest","West","NorthWest","North")</f>
        <v>SouthWest</v>
      </c>
      <c r="AC189" s="5">
        <f>CHOOSE(MATCH(AB189,{"South";"SouthEast";"SouthWest";"North";"NorthEast";"East";"West";"NorthWest"},0),1,2,3,4,5,6,7,8)</f>
        <v>3</v>
      </c>
      <c r="AD189" s="2">
        <f t="shared" si="44"/>
        <v>1</v>
      </c>
      <c r="AE189">
        <v>1013.6</v>
      </c>
      <c r="AF189" s="4" t="s">
        <v>387</v>
      </c>
      <c r="AG189" s="2">
        <f t="shared" si="45"/>
        <v>0</v>
      </c>
      <c r="AH189" t="s">
        <v>388</v>
      </c>
      <c r="AI189" s="2">
        <f t="shared" si="46"/>
        <v>9</v>
      </c>
      <c r="AJ189" s="2">
        <f t="shared" si="47"/>
        <v>0</v>
      </c>
      <c r="AK189" s="3">
        <v>80.000000009313226</v>
      </c>
      <c r="AM189" s="2">
        <v>0</v>
      </c>
      <c r="AN189">
        <v>1</v>
      </c>
      <c r="AO189">
        <v>0</v>
      </c>
      <c r="AP189">
        <v>0</v>
      </c>
      <c r="AQ189" s="2">
        <f>IF((2*G189 + M189 -P189 + 3*W189 + 2*Z189+2*AD189 + AG189+2*AJ189 + 4*AM189) &gt;=8,1,0)</f>
        <v>0</v>
      </c>
    </row>
    <row r="190" spans="1:43" x14ac:dyDescent="0.25">
      <c r="A190" t="s">
        <v>27</v>
      </c>
      <c r="B190" s="1">
        <v>37139</v>
      </c>
      <c r="C190" s="7">
        <f t="shared" si="39"/>
        <v>2001</v>
      </c>
      <c r="D190">
        <v>87.5</v>
      </c>
      <c r="E190">
        <v>72.599999999999994</v>
      </c>
      <c r="F190">
        <v>79.099999999999994</v>
      </c>
      <c r="G190" s="2">
        <f t="shared" si="38"/>
        <v>1</v>
      </c>
      <c r="H190">
        <v>87.3</v>
      </c>
      <c r="I190">
        <v>72.599999999999994</v>
      </c>
      <c r="J190">
        <v>79.400000000000006</v>
      </c>
      <c r="K190">
        <v>64</v>
      </c>
      <c r="L190">
        <v>61.4</v>
      </c>
      <c r="M190" s="2">
        <f t="shared" si="40"/>
        <v>0</v>
      </c>
      <c r="N190">
        <v>0</v>
      </c>
      <c r="P190" s="2">
        <f t="shared" si="41"/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2">
        <f t="shared" si="42"/>
        <v>0</v>
      </c>
      <c r="X190">
        <v>14.1</v>
      </c>
      <c r="Z190" s="2">
        <f t="shared" si="43"/>
        <v>0</v>
      </c>
      <c r="AA190">
        <v>213.7</v>
      </c>
      <c r="AB190" s="2" t="str">
        <f>CHOOSE(MATCH(AA190,{0;11;80;111;161;191;241;281;341},1),"North","NorthEast","East","SouthEast","South","SouthWest","West","NorthWest","North")</f>
        <v>SouthWest</v>
      </c>
      <c r="AC190" s="5">
        <f>CHOOSE(MATCH(AB190,{"South";"SouthEast";"SouthWest";"North";"NorthEast";"East";"West";"NorthWest"},0),1,2,3,4,5,6,7,8)</f>
        <v>3</v>
      </c>
      <c r="AD190" s="2">
        <f t="shared" si="44"/>
        <v>1</v>
      </c>
      <c r="AE190">
        <v>1008.6</v>
      </c>
      <c r="AF190" s="4" t="s">
        <v>387</v>
      </c>
      <c r="AG190" s="2">
        <f t="shared" si="45"/>
        <v>0</v>
      </c>
      <c r="AH190" t="s">
        <v>389</v>
      </c>
      <c r="AI190" s="2">
        <f t="shared" si="46"/>
        <v>9</v>
      </c>
      <c r="AJ190" s="2">
        <f t="shared" si="47"/>
        <v>0</v>
      </c>
      <c r="AK190" s="3">
        <v>910.00000000116415</v>
      </c>
      <c r="AM190" s="2">
        <v>1</v>
      </c>
      <c r="AN190">
        <v>10</v>
      </c>
      <c r="AO190">
        <v>0</v>
      </c>
      <c r="AP190">
        <v>0</v>
      </c>
      <c r="AQ190" s="2">
        <f>IF((2*G190 + M190 -P190 + 3*W190 + 2*Z190+2*AD190 + AG190+2*AJ190 + 4*AM190) &gt;=8,1,0)</f>
        <v>0</v>
      </c>
    </row>
    <row r="191" spans="1:43" x14ac:dyDescent="0.25">
      <c r="A191" t="s">
        <v>27</v>
      </c>
      <c r="B191" s="1">
        <v>37140</v>
      </c>
      <c r="C191" s="7">
        <f t="shared" si="39"/>
        <v>2001</v>
      </c>
      <c r="D191">
        <v>84.3</v>
      </c>
      <c r="E191">
        <v>72.2</v>
      </c>
      <c r="F191">
        <v>77.599999999999994</v>
      </c>
      <c r="G191" s="2">
        <f t="shared" si="38"/>
        <v>1</v>
      </c>
      <c r="H191">
        <v>83.4</v>
      </c>
      <c r="I191">
        <v>72.2</v>
      </c>
      <c r="J191">
        <v>77.400000000000006</v>
      </c>
      <c r="K191">
        <v>60.3</v>
      </c>
      <c r="L191">
        <v>57.8</v>
      </c>
      <c r="M191" s="2">
        <f t="shared" si="40"/>
        <v>0</v>
      </c>
      <c r="N191">
        <v>0.09</v>
      </c>
      <c r="P191" s="2">
        <f t="shared" si="41"/>
        <v>0</v>
      </c>
      <c r="Q191">
        <v>100</v>
      </c>
      <c r="R191">
        <v>4.17</v>
      </c>
      <c r="S191" t="s">
        <v>87</v>
      </c>
      <c r="T191">
        <v>0</v>
      </c>
      <c r="U191">
        <v>0</v>
      </c>
      <c r="V191">
        <v>0</v>
      </c>
      <c r="W191" s="2">
        <f t="shared" si="42"/>
        <v>0</v>
      </c>
      <c r="X191">
        <v>28.9</v>
      </c>
      <c r="Z191" s="2">
        <f t="shared" si="43"/>
        <v>1</v>
      </c>
      <c r="AA191">
        <v>301.3</v>
      </c>
      <c r="AB191" s="2" t="str">
        <f>CHOOSE(MATCH(AA191,{0;11;80;111;161;191;241;281;341},1),"North","NorthEast","East","SouthEast","South","SouthWest","West","NorthWest","North")</f>
        <v>NorthWest</v>
      </c>
      <c r="AC191" s="5">
        <f>CHOOSE(MATCH(AB191,{"South";"SouthEast";"SouthWest";"North";"NorthEast";"East";"West";"NorthWest"},0),1,2,3,4,5,6,7,8)</f>
        <v>8</v>
      </c>
      <c r="AD191" s="2">
        <f t="shared" si="44"/>
        <v>1</v>
      </c>
      <c r="AE191">
        <v>1002.8</v>
      </c>
      <c r="AF191" s="4" t="s">
        <v>390</v>
      </c>
      <c r="AG191" s="2">
        <f t="shared" si="45"/>
        <v>1</v>
      </c>
      <c r="AH191" t="s">
        <v>391</v>
      </c>
      <c r="AI191" s="2">
        <f t="shared" si="46"/>
        <v>9</v>
      </c>
      <c r="AJ191" s="2">
        <f t="shared" si="47"/>
        <v>0</v>
      </c>
      <c r="AK191" s="3">
        <v>89.00000000721775</v>
      </c>
      <c r="AM191" s="2">
        <v>0</v>
      </c>
      <c r="AN191">
        <v>5</v>
      </c>
      <c r="AO191">
        <v>5</v>
      </c>
      <c r="AP191">
        <v>0</v>
      </c>
      <c r="AQ191" s="2">
        <f>IF((2*G191 + M191 -P191 + 3*W191 + 2*Z191+2*AD191 + AG191+2*AJ191 + 4*AM191) &gt;=8,1,0)</f>
        <v>0</v>
      </c>
    </row>
    <row r="192" spans="1:43" x14ac:dyDescent="0.25">
      <c r="A192" t="s">
        <v>27</v>
      </c>
      <c r="B192" s="1">
        <v>37140</v>
      </c>
      <c r="C192" s="7">
        <f t="shared" si="39"/>
        <v>2001</v>
      </c>
      <c r="D192">
        <v>84.3</v>
      </c>
      <c r="E192">
        <v>72.2</v>
      </c>
      <c r="F192">
        <v>77.599999999999994</v>
      </c>
      <c r="G192" s="2">
        <f t="shared" si="38"/>
        <v>1</v>
      </c>
      <c r="H192">
        <v>83.4</v>
      </c>
      <c r="I192">
        <v>72.2</v>
      </c>
      <c r="J192">
        <v>77.400000000000006</v>
      </c>
      <c r="K192">
        <v>60.3</v>
      </c>
      <c r="L192">
        <v>57.8</v>
      </c>
      <c r="M192" s="2">
        <f t="shared" si="40"/>
        <v>0</v>
      </c>
      <c r="N192">
        <v>0.09</v>
      </c>
      <c r="P192" s="2">
        <f t="shared" si="41"/>
        <v>0</v>
      </c>
      <c r="Q192">
        <v>100</v>
      </c>
      <c r="R192">
        <v>4.17</v>
      </c>
      <c r="S192" t="s">
        <v>87</v>
      </c>
      <c r="T192">
        <v>0</v>
      </c>
      <c r="U192">
        <v>0</v>
      </c>
      <c r="V192">
        <v>0</v>
      </c>
      <c r="W192" s="2">
        <f t="shared" si="42"/>
        <v>0</v>
      </c>
      <c r="X192">
        <v>28.9</v>
      </c>
      <c r="Z192" s="2">
        <f t="shared" si="43"/>
        <v>1</v>
      </c>
      <c r="AA192">
        <v>301.3</v>
      </c>
      <c r="AB192" s="2" t="str">
        <f>CHOOSE(MATCH(AA192,{0;11;80;111;161;191;241;281;341},1),"North","NorthEast","East","SouthEast","South","SouthWest","West","NorthWest","North")</f>
        <v>NorthWest</v>
      </c>
      <c r="AC192" s="5">
        <f>CHOOSE(MATCH(AB192,{"South";"SouthEast";"SouthWest";"North";"NorthEast";"East";"West";"NorthWest"},0),1,2,3,4,5,6,7,8)</f>
        <v>8</v>
      </c>
      <c r="AD192" s="2">
        <f t="shared" si="44"/>
        <v>1</v>
      </c>
      <c r="AE192">
        <v>1002.8</v>
      </c>
      <c r="AF192" s="4" t="s">
        <v>392</v>
      </c>
      <c r="AG192" s="2">
        <f t="shared" si="45"/>
        <v>1</v>
      </c>
      <c r="AH192" t="s">
        <v>393</v>
      </c>
      <c r="AI192" s="2">
        <f t="shared" si="46"/>
        <v>9</v>
      </c>
      <c r="AJ192" s="2">
        <f t="shared" si="47"/>
        <v>0</v>
      </c>
      <c r="AK192" s="3">
        <v>36.000000002095483</v>
      </c>
      <c r="AM192" s="2">
        <v>0</v>
      </c>
      <c r="AN192">
        <v>0</v>
      </c>
      <c r="AO192">
        <v>0.5</v>
      </c>
      <c r="AP192">
        <v>0</v>
      </c>
      <c r="AQ192" s="2">
        <f>IF((2*G192 + M192 -P192 + 3*W192 + 2*Z192+2*AD192 + AG192+2*AJ192 + 4*AM192) &gt;=8,1,0)</f>
        <v>0</v>
      </c>
    </row>
    <row r="193" spans="1:43" x14ac:dyDescent="0.25">
      <c r="A193" t="s">
        <v>27</v>
      </c>
      <c r="B193" s="1">
        <v>37141</v>
      </c>
      <c r="C193" s="7">
        <f t="shared" si="39"/>
        <v>2001</v>
      </c>
      <c r="D193">
        <v>82.5</v>
      </c>
      <c r="E193">
        <v>70.400000000000006</v>
      </c>
      <c r="F193">
        <v>76</v>
      </c>
      <c r="G193" s="2">
        <f t="shared" si="38"/>
        <v>1</v>
      </c>
      <c r="H193">
        <v>81.3</v>
      </c>
      <c r="I193">
        <v>70.400000000000006</v>
      </c>
      <c r="J193">
        <v>75.7</v>
      </c>
      <c r="K193">
        <v>53.7</v>
      </c>
      <c r="L193">
        <v>46.9</v>
      </c>
      <c r="M193" s="2">
        <f t="shared" si="40"/>
        <v>1</v>
      </c>
      <c r="N193">
        <v>0</v>
      </c>
      <c r="P193" s="2">
        <f t="shared" si="41"/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2">
        <f t="shared" si="42"/>
        <v>0</v>
      </c>
      <c r="X193">
        <v>23.6</v>
      </c>
      <c r="Z193" s="2">
        <f t="shared" si="43"/>
        <v>1</v>
      </c>
      <c r="AA193">
        <v>298.89999999999998</v>
      </c>
      <c r="AB193" s="2" t="str">
        <f>CHOOSE(MATCH(AA193,{0;11;80;111;161;191;241;281;341},1),"North","NorthEast","East","SouthEast","South","SouthWest","West","NorthWest","North")</f>
        <v>NorthWest</v>
      </c>
      <c r="AC193" s="5">
        <f>CHOOSE(MATCH(AB193,{"South";"SouthEast";"SouthWest";"North";"NorthEast";"East";"West";"NorthWest"},0),1,2,3,4,5,6,7,8)</f>
        <v>8</v>
      </c>
      <c r="AD193" s="2">
        <f t="shared" si="44"/>
        <v>1</v>
      </c>
      <c r="AE193">
        <v>1006.5</v>
      </c>
      <c r="AF193" s="4" t="s">
        <v>394</v>
      </c>
      <c r="AG193" s="2">
        <f t="shared" si="45"/>
        <v>0</v>
      </c>
      <c r="AH193" t="s">
        <v>395</v>
      </c>
      <c r="AI193" s="2">
        <f t="shared" si="46"/>
        <v>9</v>
      </c>
      <c r="AJ193" s="2">
        <f t="shared" si="47"/>
        <v>0</v>
      </c>
      <c r="AK193" s="3">
        <v>1847.999999999302</v>
      </c>
      <c r="AM193" s="2">
        <v>1</v>
      </c>
      <c r="AN193">
        <v>3</v>
      </c>
      <c r="AO193">
        <v>3</v>
      </c>
      <c r="AP193">
        <v>0</v>
      </c>
      <c r="AQ193" s="2">
        <f>IF((2*G193 + M193 -P193 + 3*W193 + 2*Z193+2*AD193 + AG193+2*AJ193 + 4*AM193) &gt;=8,1,0)</f>
        <v>1</v>
      </c>
    </row>
    <row r="194" spans="1:43" x14ac:dyDescent="0.25">
      <c r="A194" t="s">
        <v>27</v>
      </c>
      <c r="B194" s="1">
        <v>37141</v>
      </c>
      <c r="C194" s="7">
        <f t="shared" si="39"/>
        <v>2001</v>
      </c>
      <c r="D194">
        <v>82.5</v>
      </c>
      <c r="E194">
        <v>70.400000000000006</v>
      </c>
      <c r="F194">
        <v>76</v>
      </c>
      <c r="G194" s="2">
        <f t="shared" ref="G194:G257" si="48">IF(F194&lt;=73.6,0,1)</f>
        <v>1</v>
      </c>
      <c r="H194">
        <v>81.3</v>
      </c>
      <c r="I194">
        <v>70.400000000000006</v>
      </c>
      <c r="J194">
        <v>75.7</v>
      </c>
      <c r="K194">
        <v>53.7</v>
      </c>
      <c r="L194">
        <v>46.9</v>
      </c>
      <c r="M194" s="2">
        <f t="shared" si="40"/>
        <v>1</v>
      </c>
      <c r="N194">
        <v>0</v>
      </c>
      <c r="P194" s="2">
        <f t="shared" si="41"/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2">
        <f t="shared" si="42"/>
        <v>0</v>
      </c>
      <c r="X194">
        <v>23.6</v>
      </c>
      <c r="Z194" s="2">
        <f t="shared" si="43"/>
        <v>1</v>
      </c>
      <c r="AA194">
        <v>298.89999999999998</v>
      </c>
      <c r="AB194" s="2" t="str">
        <f>CHOOSE(MATCH(AA194,{0;11;80;111;161;191;241;281;341},1),"North","NorthEast","East","SouthEast","South","SouthWest","West","NorthWest","North")</f>
        <v>NorthWest</v>
      </c>
      <c r="AC194" s="5">
        <f>CHOOSE(MATCH(AB194,{"South";"SouthEast";"SouthWest";"North";"NorthEast";"East";"West";"NorthWest"},0),1,2,3,4,5,6,7,8)</f>
        <v>8</v>
      </c>
      <c r="AD194" s="2">
        <f t="shared" si="44"/>
        <v>1</v>
      </c>
      <c r="AE194">
        <v>1006.5</v>
      </c>
      <c r="AF194" s="4" t="s">
        <v>396</v>
      </c>
      <c r="AG194" s="2">
        <f t="shared" si="45"/>
        <v>0</v>
      </c>
      <c r="AH194" t="s">
        <v>397</v>
      </c>
      <c r="AI194" s="2">
        <f t="shared" si="46"/>
        <v>9</v>
      </c>
      <c r="AJ194" s="2">
        <f t="shared" si="47"/>
        <v>0</v>
      </c>
      <c r="AK194" s="3">
        <v>108.0000000062864</v>
      </c>
      <c r="AM194" s="2">
        <v>0</v>
      </c>
      <c r="AN194">
        <v>0</v>
      </c>
      <c r="AO194">
        <v>1</v>
      </c>
      <c r="AP194">
        <v>0</v>
      </c>
      <c r="AQ194" s="2">
        <f>IF((2*G194 + M194 -P194 + 3*W194 + 2*Z194+2*AD194 + AG194+2*AJ194 + 4*AM194) &gt;=8,1,0)</f>
        <v>0</v>
      </c>
    </row>
    <row r="195" spans="1:43" x14ac:dyDescent="0.25">
      <c r="A195" t="s">
        <v>27</v>
      </c>
      <c r="B195" s="1">
        <v>37141</v>
      </c>
      <c r="C195" s="7">
        <f t="shared" si="39"/>
        <v>2001</v>
      </c>
      <c r="D195">
        <v>82.5</v>
      </c>
      <c r="E195">
        <v>70.400000000000006</v>
      </c>
      <c r="F195">
        <v>76</v>
      </c>
      <c r="G195" s="2">
        <f t="shared" si="48"/>
        <v>1</v>
      </c>
      <c r="H195">
        <v>81.3</v>
      </c>
      <c r="I195">
        <v>70.400000000000006</v>
      </c>
      <c r="J195">
        <v>75.7</v>
      </c>
      <c r="K195">
        <v>53.7</v>
      </c>
      <c r="L195">
        <v>46.9</v>
      </c>
      <c r="M195" s="2">
        <f t="shared" si="40"/>
        <v>1</v>
      </c>
      <c r="N195">
        <v>0</v>
      </c>
      <c r="P195" s="2">
        <f t="shared" si="41"/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2">
        <f t="shared" si="42"/>
        <v>0</v>
      </c>
      <c r="X195">
        <v>23.6</v>
      </c>
      <c r="Z195" s="2">
        <f t="shared" si="43"/>
        <v>1</v>
      </c>
      <c r="AA195">
        <v>298.89999999999998</v>
      </c>
      <c r="AB195" s="2" t="str">
        <f>CHOOSE(MATCH(AA195,{0;11;80;111;161;191;241;281;341},1),"North","NorthEast","East","SouthEast","South","SouthWest","West","NorthWest","North")</f>
        <v>NorthWest</v>
      </c>
      <c r="AC195" s="5">
        <f>CHOOSE(MATCH(AB195,{"South";"SouthEast";"SouthWest";"North";"NorthEast";"East";"West";"NorthWest"},0),1,2,3,4,5,6,7,8)</f>
        <v>8</v>
      </c>
      <c r="AD195" s="2">
        <f t="shared" si="44"/>
        <v>1</v>
      </c>
      <c r="AE195">
        <v>1006.5</v>
      </c>
      <c r="AF195" s="4" t="s">
        <v>398</v>
      </c>
      <c r="AG195" s="2">
        <f t="shared" si="45"/>
        <v>0</v>
      </c>
      <c r="AH195" t="s">
        <v>399</v>
      </c>
      <c r="AI195" s="2">
        <f t="shared" si="46"/>
        <v>9</v>
      </c>
      <c r="AJ195" s="2">
        <f t="shared" si="47"/>
        <v>0</v>
      </c>
      <c r="AK195" s="3">
        <v>91.000000003259629</v>
      </c>
      <c r="AM195" s="2">
        <v>0</v>
      </c>
      <c r="AN195">
        <v>0</v>
      </c>
      <c r="AO195">
        <v>1</v>
      </c>
      <c r="AP195">
        <v>0</v>
      </c>
      <c r="AQ195" s="2">
        <f>IF((2*G195 + M195 -P195 + 3*W195 + 2*Z195+2*AD195 + AG195+2*AJ195 + 4*AM195) &gt;=8,1,0)</f>
        <v>0</v>
      </c>
    </row>
    <row r="196" spans="1:43" x14ac:dyDescent="0.25">
      <c r="A196" t="s">
        <v>27</v>
      </c>
      <c r="B196" s="1">
        <v>37143</v>
      </c>
      <c r="C196" s="7">
        <f t="shared" si="39"/>
        <v>2001</v>
      </c>
      <c r="D196">
        <v>83.4</v>
      </c>
      <c r="E196">
        <v>67.7</v>
      </c>
      <c r="F196">
        <v>75.3</v>
      </c>
      <c r="G196" s="2">
        <f t="shared" si="48"/>
        <v>1</v>
      </c>
      <c r="H196">
        <v>85.1</v>
      </c>
      <c r="I196">
        <v>67.7</v>
      </c>
      <c r="J196">
        <v>75.7</v>
      </c>
      <c r="K196">
        <v>62.7</v>
      </c>
      <c r="L196">
        <v>65.7</v>
      </c>
      <c r="M196" s="2">
        <f t="shared" si="40"/>
        <v>0</v>
      </c>
      <c r="N196">
        <v>0</v>
      </c>
      <c r="P196" s="2">
        <f t="shared" si="41"/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2">
        <f t="shared" si="42"/>
        <v>0</v>
      </c>
      <c r="X196">
        <v>15</v>
      </c>
      <c r="Z196" s="2">
        <f t="shared" si="43"/>
        <v>0</v>
      </c>
      <c r="AA196">
        <v>169.7</v>
      </c>
      <c r="AB196" s="2" t="str">
        <f>CHOOSE(MATCH(AA196,{0;11;80;111;161;191;241;281;341},1),"North","NorthEast","East","SouthEast","South","SouthWest","West","NorthWest","North")</f>
        <v>South</v>
      </c>
      <c r="AC196" s="5">
        <f>CHOOSE(MATCH(AB196,{"South";"SouthEast";"SouthWest";"North";"NorthEast";"East";"West";"NorthWest"},0),1,2,3,4,5,6,7,8)</f>
        <v>1</v>
      </c>
      <c r="AD196" s="2">
        <f t="shared" si="44"/>
        <v>0</v>
      </c>
      <c r="AE196">
        <v>1011.7</v>
      </c>
      <c r="AF196" s="4" t="s">
        <v>400</v>
      </c>
      <c r="AG196" s="2">
        <f t="shared" si="45"/>
        <v>0</v>
      </c>
      <c r="AH196" t="s">
        <v>401</v>
      </c>
      <c r="AI196" s="2">
        <f t="shared" si="46"/>
        <v>9</v>
      </c>
      <c r="AJ196" s="2">
        <f t="shared" si="47"/>
        <v>0</v>
      </c>
      <c r="AK196" s="3">
        <v>56.000000004423782</v>
      </c>
      <c r="AM196" s="2">
        <v>0</v>
      </c>
      <c r="AN196">
        <v>0</v>
      </c>
      <c r="AO196">
        <v>2</v>
      </c>
      <c r="AP196">
        <v>0</v>
      </c>
      <c r="AQ196" s="2">
        <f>IF((2*G196 + M196 -P196 + 3*W196 + 2*Z196+2*AD196 + AG196+2*AJ196 + 4*AM196) &gt;=8,1,0)</f>
        <v>0</v>
      </c>
    </row>
    <row r="197" spans="1:43" x14ac:dyDescent="0.25">
      <c r="A197" t="s">
        <v>27</v>
      </c>
      <c r="B197" s="1">
        <v>37157</v>
      </c>
      <c r="C197" s="7">
        <f t="shared" si="39"/>
        <v>2001</v>
      </c>
      <c r="D197">
        <v>86.4</v>
      </c>
      <c r="E197">
        <v>69.7</v>
      </c>
      <c r="F197">
        <v>77.599999999999994</v>
      </c>
      <c r="G197" s="2">
        <f t="shared" si="48"/>
        <v>1</v>
      </c>
      <c r="H197">
        <v>88</v>
      </c>
      <c r="I197">
        <v>69.7</v>
      </c>
      <c r="J197">
        <v>78.2</v>
      </c>
      <c r="K197">
        <v>63.3</v>
      </c>
      <c r="L197">
        <v>62.4</v>
      </c>
      <c r="M197" s="2">
        <f t="shared" si="40"/>
        <v>0</v>
      </c>
      <c r="N197">
        <v>0</v>
      </c>
      <c r="P197" s="2">
        <f t="shared" si="41"/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2">
        <f t="shared" si="42"/>
        <v>0</v>
      </c>
      <c r="X197">
        <v>11</v>
      </c>
      <c r="Z197" s="2">
        <f t="shared" si="43"/>
        <v>0</v>
      </c>
      <c r="AA197">
        <v>183.1</v>
      </c>
      <c r="AB197" s="2" t="str">
        <f>CHOOSE(MATCH(AA197,{0;11;80;111;161;191;241;281;341},1),"North","NorthEast","East","SouthEast","South","SouthWest","West","NorthWest","North")</f>
        <v>South</v>
      </c>
      <c r="AC197" s="5">
        <f>CHOOSE(MATCH(AB197,{"South";"SouthEast";"SouthWest";"North";"NorthEast";"East";"West";"NorthWest"},0),1,2,3,4,5,6,7,8)</f>
        <v>1</v>
      </c>
      <c r="AD197" s="2">
        <f t="shared" si="44"/>
        <v>0</v>
      </c>
      <c r="AE197">
        <v>1014.3</v>
      </c>
      <c r="AF197" s="4" t="s">
        <v>402</v>
      </c>
      <c r="AG197" s="2">
        <f t="shared" si="45"/>
        <v>1</v>
      </c>
      <c r="AH197" t="s">
        <v>403</v>
      </c>
      <c r="AI197" s="2">
        <f t="shared" si="46"/>
        <v>9</v>
      </c>
      <c r="AJ197" s="2">
        <f t="shared" si="47"/>
        <v>0</v>
      </c>
      <c r="AK197" s="3">
        <v>90</v>
      </c>
      <c r="AM197" s="2">
        <v>0</v>
      </c>
      <c r="AN197">
        <v>2</v>
      </c>
      <c r="AO197">
        <v>2</v>
      </c>
      <c r="AP197">
        <v>0</v>
      </c>
      <c r="AQ197" s="2">
        <f>IF((2*G197 + M197 -P197 + 3*W197 + 2*Z197+2*AD197 + AG197+2*AJ197 + 4*AM197) &gt;=8,1,0)</f>
        <v>0</v>
      </c>
    </row>
    <row r="198" spans="1:43" x14ac:dyDescent="0.25">
      <c r="A198" t="s">
        <v>27</v>
      </c>
      <c r="B198" s="1">
        <v>37159</v>
      </c>
      <c r="C198" s="7">
        <f t="shared" si="39"/>
        <v>2001</v>
      </c>
      <c r="D198">
        <v>88.8</v>
      </c>
      <c r="E198">
        <v>70.400000000000006</v>
      </c>
      <c r="F198">
        <v>80.400000000000006</v>
      </c>
      <c r="G198" s="2">
        <f t="shared" si="48"/>
        <v>1</v>
      </c>
      <c r="H198">
        <v>91.2</v>
      </c>
      <c r="I198">
        <v>70.400000000000006</v>
      </c>
      <c r="J198">
        <v>81.099999999999994</v>
      </c>
      <c r="K198">
        <v>62.7</v>
      </c>
      <c r="L198">
        <v>56.1</v>
      </c>
      <c r="M198" s="2">
        <f t="shared" si="40"/>
        <v>0</v>
      </c>
      <c r="N198">
        <v>0</v>
      </c>
      <c r="P198" s="2">
        <f t="shared" si="41"/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2">
        <f t="shared" si="42"/>
        <v>0</v>
      </c>
      <c r="X198">
        <v>9.8000000000000007</v>
      </c>
      <c r="Z198" s="2">
        <f t="shared" si="43"/>
        <v>0</v>
      </c>
      <c r="AA198">
        <v>188.2</v>
      </c>
      <c r="AB198" s="2" t="str">
        <f>CHOOSE(MATCH(AA198,{0;11;80;111;161;191;241;281;341},1),"North","NorthEast","East","SouthEast","South","SouthWest","West","NorthWest","North")</f>
        <v>South</v>
      </c>
      <c r="AC198" s="5">
        <f>CHOOSE(MATCH(AB198,{"South";"SouthEast";"SouthWest";"North";"NorthEast";"East";"West";"NorthWest"},0),1,2,3,4,5,6,7,8)</f>
        <v>1</v>
      </c>
      <c r="AD198" s="2">
        <f t="shared" si="44"/>
        <v>0</v>
      </c>
      <c r="AE198">
        <v>1011.6</v>
      </c>
      <c r="AF198" s="4" t="s">
        <v>404</v>
      </c>
      <c r="AG198" s="2">
        <f t="shared" si="45"/>
        <v>1</v>
      </c>
      <c r="AH198" t="s">
        <v>405</v>
      </c>
      <c r="AI198" s="2">
        <f t="shared" si="46"/>
        <v>9</v>
      </c>
      <c r="AJ198" s="2">
        <f t="shared" si="47"/>
        <v>0</v>
      </c>
      <c r="AK198" s="3">
        <v>1010.999999995111</v>
      </c>
      <c r="AM198" s="2">
        <v>1</v>
      </c>
      <c r="AN198">
        <v>0</v>
      </c>
      <c r="AO198">
        <v>20</v>
      </c>
      <c r="AP198">
        <v>0</v>
      </c>
      <c r="AQ198" s="2">
        <f>IF((2*G198 + M198 -P198 + 3*W198 + 2*Z198+2*AD198 + AG198+2*AJ198 + 4*AM198) &gt;=8,1,0)</f>
        <v>0</v>
      </c>
    </row>
    <row r="199" spans="1:43" x14ac:dyDescent="0.25">
      <c r="A199" t="s">
        <v>27</v>
      </c>
      <c r="B199" s="1">
        <v>37162</v>
      </c>
      <c r="C199" s="7">
        <f t="shared" si="39"/>
        <v>2001</v>
      </c>
      <c r="D199">
        <v>79.099999999999994</v>
      </c>
      <c r="E199">
        <v>64.099999999999994</v>
      </c>
      <c r="F199">
        <v>70.7</v>
      </c>
      <c r="G199" s="2">
        <f t="shared" si="48"/>
        <v>0</v>
      </c>
      <c r="H199">
        <v>79.099999999999994</v>
      </c>
      <c r="I199">
        <v>64.099999999999994</v>
      </c>
      <c r="J199">
        <v>70.7</v>
      </c>
      <c r="K199">
        <v>53.4</v>
      </c>
      <c r="L199">
        <v>54.8</v>
      </c>
      <c r="M199" s="2">
        <f t="shared" si="40"/>
        <v>0</v>
      </c>
      <c r="N199">
        <v>0</v>
      </c>
      <c r="P199" s="2">
        <f t="shared" si="41"/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2">
        <f t="shared" si="42"/>
        <v>0</v>
      </c>
      <c r="X199">
        <v>14.4</v>
      </c>
      <c r="Z199" s="2">
        <f t="shared" si="43"/>
        <v>0</v>
      </c>
      <c r="AA199">
        <v>18.8</v>
      </c>
      <c r="AB199" s="2" t="str">
        <f>CHOOSE(MATCH(AA199,{0;11;80;111;161;191;241;281;341},1),"North","NorthEast","East","SouthEast","South","SouthWest","West","NorthWest","North")</f>
        <v>NorthEast</v>
      </c>
      <c r="AC199" s="5">
        <f>CHOOSE(MATCH(AB199,{"South";"SouthEast";"SouthWest";"North";"NorthEast";"East";"West";"NorthWest"},0),1,2,3,4,5,6,7,8)</f>
        <v>5</v>
      </c>
      <c r="AD199" s="2">
        <f t="shared" si="44"/>
        <v>1</v>
      </c>
      <c r="AE199">
        <v>1017.1</v>
      </c>
      <c r="AF199" s="4" t="s">
        <v>406</v>
      </c>
      <c r="AG199" s="2">
        <f t="shared" si="45"/>
        <v>0</v>
      </c>
      <c r="AH199" t="s">
        <v>407</v>
      </c>
      <c r="AI199" s="2">
        <f t="shared" si="46"/>
        <v>9</v>
      </c>
      <c r="AJ199" s="2">
        <f t="shared" si="47"/>
        <v>0</v>
      </c>
      <c r="AK199" s="3">
        <v>1845</v>
      </c>
      <c r="AM199" s="2">
        <v>1</v>
      </c>
      <c r="AN199">
        <v>0</v>
      </c>
      <c r="AO199">
        <v>6</v>
      </c>
      <c r="AP199">
        <v>0</v>
      </c>
      <c r="AQ199" s="2">
        <f>IF((2*G199 + M199 -P199 + 3*W199 + 2*Z199+2*AD199 + AG199+2*AJ199 + 4*AM199) &gt;=8,1,0)</f>
        <v>0</v>
      </c>
    </row>
    <row r="200" spans="1:43" x14ac:dyDescent="0.25">
      <c r="A200" t="s">
        <v>27</v>
      </c>
      <c r="B200" s="1">
        <v>37179</v>
      </c>
      <c r="C200" s="7">
        <f t="shared" si="39"/>
        <v>2001</v>
      </c>
      <c r="D200">
        <v>74.7</v>
      </c>
      <c r="E200">
        <v>59.8</v>
      </c>
      <c r="F200">
        <v>67</v>
      </c>
      <c r="G200" s="2">
        <f t="shared" si="48"/>
        <v>0</v>
      </c>
      <c r="H200">
        <v>74.7</v>
      </c>
      <c r="I200">
        <v>59.8</v>
      </c>
      <c r="J200">
        <v>67</v>
      </c>
      <c r="K200">
        <v>49.5</v>
      </c>
      <c r="L200">
        <v>54.2</v>
      </c>
      <c r="M200" s="2">
        <f t="shared" si="40"/>
        <v>0</v>
      </c>
      <c r="N200">
        <v>0</v>
      </c>
      <c r="P200" s="2">
        <f t="shared" si="41"/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2">
        <f t="shared" si="42"/>
        <v>0</v>
      </c>
      <c r="X200">
        <v>15.3</v>
      </c>
      <c r="Z200" s="2">
        <f t="shared" si="43"/>
        <v>0</v>
      </c>
      <c r="AA200">
        <v>3.6</v>
      </c>
      <c r="AB200" s="2" t="str">
        <f>CHOOSE(MATCH(AA200,{0;11;80;111;161;191;241;281;341},1),"North","NorthEast","East","SouthEast","South","SouthWest","West","NorthWest","North")</f>
        <v>North</v>
      </c>
      <c r="AC200" s="5">
        <f>CHOOSE(MATCH(AB200,{"South";"SouthEast";"SouthWest";"North";"NorthEast";"East";"West";"NorthWest"},0),1,2,3,4,5,6,7,8)</f>
        <v>4</v>
      </c>
      <c r="AD200" s="2">
        <f t="shared" si="44"/>
        <v>1</v>
      </c>
      <c r="AE200">
        <v>1017.7</v>
      </c>
      <c r="AF200" s="4" t="s">
        <v>408</v>
      </c>
      <c r="AG200" s="2">
        <f t="shared" si="45"/>
        <v>0</v>
      </c>
      <c r="AH200" t="s">
        <v>409</v>
      </c>
      <c r="AI200" s="2">
        <f t="shared" si="46"/>
        <v>10</v>
      </c>
      <c r="AJ200" s="2">
        <f t="shared" si="47"/>
        <v>0</v>
      </c>
      <c r="AK200" s="3">
        <v>221.00000000791621</v>
      </c>
      <c r="AM200" s="2">
        <v>0</v>
      </c>
      <c r="AN200">
        <v>0</v>
      </c>
      <c r="AO200">
        <v>0.2</v>
      </c>
      <c r="AP200">
        <v>0</v>
      </c>
      <c r="AQ200" s="2">
        <f>IF((2*G200 + M200 -P200 + 3*W200 + 2*Z200+2*AD200 + AG200+2*AJ200 + 4*AM200) &gt;=8,1,0)</f>
        <v>0</v>
      </c>
    </row>
    <row r="201" spans="1:43" x14ac:dyDescent="0.25">
      <c r="A201" t="s">
        <v>27</v>
      </c>
      <c r="B201" s="1">
        <v>37181</v>
      </c>
      <c r="C201" s="7">
        <f t="shared" si="39"/>
        <v>2001</v>
      </c>
      <c r="D201">
        <v>75.099999999999994</v>
      </c>
      <c r="E201">
        <v>64.3</v>
      </c>
      <c r="F201">
        <v>69.400000000000006</v>
      </c>
      <c r="G201" s="2">
        <f t="shared" si="48"/>
        <v>0</v>
      </c>
      <c r="H201">
        <v>75.099999999999994</v>
      </c>
      <c r="I201">
        <v>64.3</v>
      </c>
      <c r="J201">
        <v>69.400000000000006</v>
      </c>
      <c r="K201">
        <v>50</v>
      </c>
      <c r="L201">
        <v>51.3</v>
      </c>
      <c r="M201" s="2">
        <f t="shared" si="40"/>
        <v>0</v>
      </c>
      <c r="N201">
        <v>0</v>
      </c>
      <c r="P201" s="2">
        <f t="shared" si="41"/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2">
        <f t="shared" si="42"/>
        <v>0</v>
      </c>
      <c r="X201">
        <v>20.6</v>
      </c>
      <c r="Z201" s="2">
        <f t="shared" si="43"/>
        <v>1</v>
      </c>
      <c r="AA201">
        <v>358.9</v>
      </c>
      <c r="AB201" s="2" t="str">
        <f>CHOOSE(MATCH(AA201,{0;11;80;111;161;191;241;281;341},1),"North","NorthEast","East","SouthEast","South","SouthWest","West","NorthWest","North")</f>
        <v>North</v>
      </c>
      <c r="AC201" s="5">
        <f>CHOOSE(MATCH(AB201,{"South";"SouthEast";"SouthWest";"North";"NorthEast";"East";"West";"NorthWest"},0),1,2,3,4,5,6,7,8)</f>
        <v>4</v>
      </c>
      <c r="AD201" s="2">
        <f t="shared" si="44"/>
        <v>1</v>
      </c>
      <c r="AE201">
        <v>1021.1</v>
      </c>
      <c r="AF201" s="4" t="s">
        <v>410</v>
      </c>
      <c r="AG201" s="2">
        <f t="shared" si="45"/>
        <v>0</v>
      </c>
      <c r="AH201" t="s">
        <v>411</v>
      </c>
      <c r="AI201" s="2">
        <f t="shared" si="46"/>
        <v>10</v>
      </c>
      <c r="AJ201" s="2">
        <f t="shared" si="47"/>
        <v>0</v>
      </c>
      <c r="AK201" s="3">
        <v>204.99999999767169</v>
      </c>
      <c r="AM201" s="2">
        <v>0</v>
      </c>
      <c r="AN201">
        <v>10</v>
      </c>
      <c r="AO201">
        <v>0</v>
      </c>
      <c r="AP201">
        <v>0</v>
      </c>
      <c r="AQ201" s="2">
        <f>IF((2*G201 + M201 -P201 + 3*W201 + 2*Z201+2*AD201 + AG201+2*AJ201 + 4*AM201) &gt;=8,1,0)</f>
        <v>0</v>
      </c>
    </row>
    <row r="202" spans="1:43" x14ac:dyDescent="0.25">
      <c r="A202" t="s">
        <v>27</v>
      </c>
      <c r="B202" s="1">
        <v>37190</v>
      </c>
      <c r="C202" s="7">
        <f t="shared" si="39"/>
        <v>2001</v>
      </c>
      <c r="D202">
        <v>62.7</v>
      </c>
      <c r="E202">
        <v>56</v>
      </c>
      <c r="F202">
        <v>59.1</v>
      </c>
      <c r="G202" s="2">
        <f t="shared" si="48"/>
        <v>0</v>
      </c>
      <c r="H202">
        <v>62.7</v>
      </c>
      <c r="I202">
        <v>56</v>
      </c>
      <c r="J202">
        <v>59.1</v>
      </c>
      <c r="K202">
        <v>43.5</v>
      </c>
      <c r="L202">
        <v>56.9</v>
      </c>
      <c r="M202" s="2">
        <f t="shared" si="40"/>
        <v>0</v>
      </c>
      <c r="N202">
        <v>2.1000000000000001E-2</v>
      </c>
      <c r="P202" s="2">
        <f t="shared" si="41"/>
        <v>0</v>
      </c>
      <c r="Q202">
        <v>100</v>
      </c>
      <c r="R202">
        <v>4.17</v>
      </c>
      <c r="S202" t="s">
        <v>87</v>
      </c>
      <c r="T202">
        <v>0</v>
      </c>
      <c r="U202">
        <v>0</v>
      </c>
      <c r="V202">
        <v>0</v>
      </c>
      <c r="W202" s="2">
        <f t="shared" si="42"/>
        <v>0</v>
      </c>
      <c r="X202">
        <v>18.899999999999999</v>
      </c>
      <c r="Z202" s="2">
        <f t="shared" si="43"/>
        <v>1</v>
      </c>
      <c r="AA202">
        <v>2.8</v>
      </c>
      <c r="AB202" s="2" t="str">
        <f>CHOOSE(MATCH(AA202,{0;11;80;111;161;191;241;281;341},1),"North","NorthEast","East","SouthEast","South","SouthWest","West","NorthWest","North")</f>
        <v>North</v>
      </c>
      <c r="AC202" s="5">
        <f>CHOOSE(MATCH(AB202,{"South";"SouthEast";"SouthWest";"North";"NorthEast";"East";"West";"NorthWest"},0),1,2,3,4,5,6,7,8)</f>
        <v>4</v>
      </c>
      <c r="AD202" s="2">
        <f t="shared" si="44"/>
        <v>1</v>
      </c>
      <c r="AE202">
        <v>1020.6</v>
      </c>
      <c r="AF202" s="4" t="s">
        <v>412</v>
      </c>
      <c r="AG202" s="2">
        <f t="shared" si="45"/>
        <v>0</v>
      </c>
      <c r="AH202" t="s">
        <v>413</v>
      </c>
      <c r="AI202" s="2">
        <f t="shared" si="46"/>
        <v>10</v>
      </c>
      <c r="AJ202" s="2">
        <f t="shared" si="47"/>
        <v>0</v>
      </c>
      <c r="AK202" s="3">
        <v>184.99999999534339</v>
      </c>
      <c r="AM202" s="2">
        <v>0</v>
      </c>
      <c r="AN202">
        <v>0</v>
      </c>
      <c r="AO202">
        <v>1</v>
      </c>
      <c r="AP202">
        <v>0</v>
      </c>
      <c r="AQ202" s="2">
        <f>IF((2*G202 + M202 -P202 + 3*W202 + 2*Z202+2*AD202 + AG202+2*AJ202 + 4*AM202) &gt;=8,1,0)</f>
        <v>0</v>
      </c>
    </row>
    <row r="203" spans="1:43" x14ac:dyDescent="0.25">
      <c r="A203" t="s">
        <v>27</v>
      </c>
      <c r="B203" s="1">
        <v>37190</v>
      </c>
      <c r="C203" s="7">
        <f t="shared" si="39"/>
        <v>2001</v>
      </c>
      <c r="D203">
        <v>62.7</v>
      </c>
      <c r="E203">
        <v>56</v>
      </c>
      <c r="F203">
        <v>59.1</v>
      </c>
      <c r="G203" s="2">
        <f t="shared" si="48"/>
        <v>0</v>
      </c>
      <c r="H203">
        <v>62.7</v>
      </c>
      <c r="I203">
        <v>56</v>
      </c>
      <c r="J203">
        <v>59.1</v>
      </c>
      <c r="K203">
        <v>43.5</v>
      </c>
      <c r="L203">
        <v>56.9</v>
      </c>
      <c r="M203" s="2">
        <f t="shared" si="40"/>
        <v>0</v>
      </c>
      <c r="N203">
        <v>2.1000000000000001E-2</v>
      </c>
      <c r="P203" s="2">
        <f t="shared" si="41"/>
        <v>0</v>
      </c>
      <c r="Q203">
        <v>100</v>
      </c>
      <c r="R203">
        <v>4.17</v>
      </c>
      <c r="S203" t="s">
        <v>87</v>
      </c>
      <c r="T203">
        <v>0</v>
      </c>
      <c r="U203">
        <v>0</v>
      </c>
      <c r="V203">
        <v>0</v>
      </c>
      <c r="W203" s="2">
        <f t="shared" si="42"/>
        <v>0</v>
      </c>
      <c r="X203">
        <v>18.899999999999999</v>
      </c>
      <c r="Z203" s="2">
        <f t="shared" si="43"/>
        <v>1</v>
      </c>
      <c r="AA203">
        <v>2.8</v>
      </c>
      <c r="AB203" s="2" t="str">
        <f>CHOOSE(MATCH(AA203,{0;11;80;111;161;191;241;281;341},1),"North","NorthEast","East","SouthEast","South","SouthWest","West","NorthWest","North")</f>
        <v>North</v>
      </c>
      <c r="AC203" s="5">
        <f>CHOOSE(MATCH(AB203,{"South";"SouthEast";"SouthWest";"North";"NorthEast";"East";"West";"NorthWest"},0),1,2,3,4,5,6,7,8)</f>
        <v>4</v>
      </c>
      <c r="AD203" s="2">
        <f t="shared" si="44"/>
        <v>1</v>
      </c>
      <c r="AE203">
        <v>1020.6</v>
      </c>
      <c r="AF203" s="4" t="s">
        <v>414</v>
      </c>
      <c r="AG203" s="2">
        <f t="shared" si="45"/>
        <v>0</v>
      </c>
      <c r="AH203" t="s">
        <v>415</v>
      </c>
      <c r="AI203" s="2">
        <f t="shared" si="46"/>
        <v>10</v>
      </c>
      <c r="AJ203" s="2">
        <f t="shared" si="47"/>
        <v>0</v>
      </c>
      <c r="AK203" s="3">
        <v>2254.9999999953429</v>
      </c>
      <c r="AM203" s="2">
        <v>1</v>
      </c>
      <c r="AN203">
        <v>0</v>
      </c>
      <c r="AO203">
        <v>120</v>
      </c>
      <c r="AP203">
        <v>0</v>
      </c>
      <c r="AQ203" s="2">
        <f>IF((2*G203 + M203 -P203 + 3*W203 + 2*Z203+2*AD203 + AG203+2*AJ203 + 4*AM203) &gt;=8,1,0)</f>
        <v>1</v>
      </c>
    </row>
    <row r="204" spans="1:43" x14ac:dyDescent="0.25">
      <c r="A204" t="s">
        <v>27</v>
      </c>
      <c r="B204" s="1">
        <v>37193</v>
      </c>
      <c r="C204" s="7">
        <f t="shared" si="39"/>
        <v>2001</v>
      </c>
      <c r="D204">
        <v>68</v>
      </c>
      <c r="E204">
        <v>48.3</v>
      </c>
      <c r="F204">
        <v>57.9</v>
      </c>
      <c r="G204" s="2">
        <f t="shared" si="48"/>
        <v>0</v>
      </c>
      <c r="H204">
        <v>68</v>
      </c>
      <c r="I204">
        <v>48.3</v>
      </c>
      <c r="J204">
        <v>57.9</v>
      </c>
      <c r="K204">
        <v>43.2</v>
      </c>
      <c r="L204">
        <v>59.4</v>
      </c>
      <c r="M204" s="2">
        <f t="shared" si="40"/>
        <v>0</v>
      </c>
      <c r="N204">
        <v>0</v>
      </c>
      <c r="P204" s="2">
        <f t="shared" si="41"/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s="2">
        <f t="shared" si="42"/>
        <v>0</v>
      </c>
      <c r="X204">
        <v>10.4</v>
      </c>
      <c r="Z204" s="2">
        <f t="shared" si="43"/>
        <v>0</v>
      </c>
      <c r="AA204">
        <v>346</v>
      </c>
      <c r="AB204" s="2" t="str">
        <f>CHOOSE(MATCH(AA204,{0;11;80;111;161;191;241;281;341},1),"North","NorthEast","East","SouthEast","South","SouthWest","West","NorthWest","North")</f>
        <v>North</v>
      </c>
      <c r="AC204" s="5">
        <f>CHOOSE(MATCH(AB204,{"South";"SouthEast";"SouthWest";"North";"NorthEast";"East";"West";"NorthWest"},0),1,2,3,4,5,6,7,8)</f>
        <v>4</v>
      </c>
      <c r="AD204" s="2">
        <f t="shared" si="44"/>
        <v>1</v>
      </c>
      <c r="AE204">
        <v>1023.8</v>
      </c>
      <c r="AF204" s="4" t="s">
        <v>416</v>
      </c>
      <c r="AG204" s="2">
        <f t="shared" si="45"/>
        <v>0</v>
      </c>
      <c r="AH204" t="s">
        <v>417</v>
      </c>
      <c r="AI204" s="2">
        <f t="shared" si="46"/>
        <v>10</v>
      </c>
      <c r="AJ204" s="2">
        <f t="shared" si="47"/>
        <v>0</v>
      </c>
      <c r="AK204" s="3">
        <v>595.00000000116415</v>
      </c>
      <c r="AM204" s="2">
        <v>1</v>
      </c>
      <c r="AN204">
        <v>0</v>
      </c>
      <c r="AO204">
        <v>1</v>
      </c>
      <c r="AP204">
        <v>0</v>
      </c>
      <c r="AQ204" s="2">
        <f>IF((2*G204 + M204 -P204 + 3*W204 + 2*Z204+2*AD204 + AG204+2*AJ204 + 4*AM204) &gt;=8,1,0)</f>
        <v>0</v>
      </c>
    </row>
    <row r="205" spans="1:43" x14ac:dyDescent="0.25">
      <c r="A205" t="s">
        <v>27</v>
      </c>
      <c r="B205" s="1">
        <v>37197</v>
      </c>
      <c r="C205" s="7">
        <f t="shared" si="39"/>
        <v>2001</v>
      </c>
      <c r="D205">
        <v>68.099999999999994</v>
      </c>
      <c r="E205">
        <v>56.2</v>
      </c>
      <c r="F205">
        <v>61.2</v>
      </c>
      <c r="G205" s="2">
        <f t="shared" si="48"/>
        <v>0</v>
      </c>
      <c r="H205">
        <v>68.099999999999994</v>
      </c>
      <c r="I205">
        <v>56.2</v>
      </c>
      <c r="J205">
        <v>61.2</v>
      </c>
      <c r="K205">
        <v>48.8</v>
      </c>
      <c r="L205">
        <v>64.5</v>
      </c>
      <c r="M205" s="2">
        <f t="shared" si="40"/>
        <v>0</v>
      </c>
      <c r="N205">
        <v>0</v>
      </c>
      <c r="P205" s="2">
        <f t="shared" si="41"/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2">
        <f t="shared" si="42"/>
        <v>0</v>
      </c>
      <c r="X205">
        <v>17.899999999999999</v>
      </c>
      <c r="Z205" s="2">
        <f t="shared" si="43"/>
        <v>1</v>
      </c>
      <c r="AA205">
        <v>359.6</v>
      </c>
      <c r="AB205" s="2" t="str">
        <f>CHOOSE(MATCH(AA205,{0;11;80;111;161;191;241;281;341},1),"North","NorthEast","East","SouthEast","South","SouthWest","West","NorthWest","North")</f>
        <v>North</v>
      </c>
      <c r="AC205" s="5">
        <f>CHOOSE(MATCH(AB205,{"South";"SouthEast";"SouthWest";"North";"NorthEast";"East";"West";"NorthWest"},0),1,2,3,4,5,6,7,8)</f>
        <v>4</v>
      </c>
      <c r="AD205" s="2">
        <f t="shared" si="44"/>
        <v>1</v>
      </c>
      <c r="AE205">
        <v>1018.6</v>
      </c>
      <c r="AF205" s="4" t="s">
        <v>261</v>
      </c>
      <c r="AG205" s="2">
        <f t="shared" si="45"/>
        <v>1</v>
      </c>
      <c r="AH205" t="s">
        <v>418</v>
      </c>
      <c r="AI205" s="2">
        <f t="shared" si="46"/>
        <v>11</v>
      </c>
      <c r="AJ205" s="2">
        <f t="shared" si="47"/>
        <v>0</v>
      </c>
      <c r="AK205" s="3">
        <v>860.00000000582077</v>
      </c>
      <c r="AM205" s="2">
        <v>1</v>
      </c>
      <c r="AN205">
        <v>0</v>
      </c>
      <c r="AO205">
        <v>10</v>
      </c>
      <c r="AP205">
        <v>0</v>
      </c>
      <c r="AQ205" s="2">
        <f>IF((2*G205 + M205 -P205 + 3*W205 + 2*Z205+2*AD205 + AG205+2*AJ205 + 4*AM205) &gt;=8,1,0)</f>
        <v>1</v>
      </c>
    </row>
    <row r="206" spans="1:43" x14ac:dyDescent="0.25">
      <c r="A206" t="s">
        <v>27</v>
      </c>
      <c r="B206" s="1">
        <v>37208</v>
      </c>
      <c r="C206" s="7">
        <f t="shared" si="39"/>
        <v>2001</v>
      </c>
      <c r="D206">
        <v>71.7</v>
      </c>
      <c r="E206">
        <v>59.1</v>
      </c>
      <c r="F206">
        <v>68</v>
      </c>
      <c r="G206" s="2">
        <f t="shared" si="48"/>
        <v>0</v>
      </c>
      <c r="H206">
        <v>71.7</v>
      </c>
      <c r="I206">
        <v>59.1</v>
      </c>
      <c r="J206">
        <v>68</v>
      </c>
      <c r="K206">
        <v>60.4</v>
      </c>
      <c r="L206">
        <v>77.099999999999994</v>
      </c>
      <c r="M206" s="2">
        <f t="shared" si="40"/>
        <v>0</v>
      </c>
      <c r="N206">
        <v>0</v>
      </c>
      <c r="P206" s="2">
        <f t="shared" si="41"/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2">
        <f t="shared" si="42"/>
        <v>0</v>
      </c>
      <c r="X206">
        <v>22.5</v>
      </c>
      <c r="Z206" s="2">
        <f t="shared" si="43"/>
        <v>1</v>
      </c>
      <c r="AA206">
        <v>149.1</v>
      </c>
      <c r="AB206" s="2" t="str">
        <f>CHOOSE(MATCH(AA206,{0;11;80;111;161;191;241;281;341},1),"North","NorthEast","East","SouthEast","South","SouthWest","West","NorthWest","North")</f>
        <v>SouthEast</v>
      </c>
      <c r="AC206" s="5">
        <f>CHOOSE(MATCH(AB206,{"South";"SouthEast";"SouthWest";"North";"NorthEast";"East";"West";"NorthWest"},0),1,2,3,4,5,6,7,8)</f>
        <v>2</v>
      </c>
      <c r="AD206" s="2">
        <f t="shared" si="44"/>
        <v>0</v>
      </c>
      <c r="AE206">
        <v>1010</v>
      </c>
      <c r="AF206" s="4" t="s">
        <v>267</v>
      </c>
      <c r="AG206" s="2">
        <f t="shared" si="45"/>
        <v>0</v>
      </c>
      <c r="AH206" t="s">
        <v>419</v>
      </c>
      <c r="AI206" s="2">
        <f t="shared" si="46"/>
        <v>11</v>
      </c>
      <c r="AJ206" s="2">
        <f t="shared" si="47"/>
        <v>0</v>
      </c>
      <c r="AK206" s="3">
        <v>254.0000000002328</v>
      </c>
      <c r="AM206" s="2">
        <v>0</v>
      </c>
      <c r="AN206">
        <v>0</v>
      </c>
      <c r="AO206">
        <v>3</v>
      </c>
      <c r="AP206">
        <v>0</v>
      </c>
      <c r="AQ206" s="2">
        <f>IF((2*G206 + M206 -P206 + 3*W206 + 2*Z206+2*AD206 + AG206+2*AJ206 + 4*AM206) &gt;=8,1,0)</f>
        <v>0</v>
      </c>
    </row>
    <row r="207" spans="1:43" x14ac:dyDescent="0.25">
      <c r="A207" t="s">
        <v>27</v>
      </c>
      <c r="B207" s="1">
        <v>37243</v>
      </c>
      <c r="C207" s="7">
        <f t="shared" si="39"/>
        <v>2001</v>
      </c>
      <c r="D207">
        <v>38.200000000000003</v>
      </c>
      <c r="E207">
        <v>33.299999999999997</v>
      </c>
      <c r="F207">
        <v>35.700000000000003</v>
      </c>
      <c r="G207" s="2">
        <f t="shared" si="48"/>
        <v>0</v>
      </c>
      <c r="H207">
        <v>30.7</v>
      </c>
      <c r="I207">
        <v>23.7</v>
      </c>
      <c r="J207">
        <v>27.2</v>
      </c>
      <c r="K207">
        <v>27.2</v>
      </c>
      <c r="L207">
        <v>71.2</v>
      </c>
      <c r="M207" s="2">
        <f t="shared" si="40"/>
        <v>0</v>
      </c>
      <c r="N207">
        <v>0</v>
      </c>
      <c r="P207" s="2">
        <f t="shared" si="41"/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2">
        <f t="shared" si="42"/>
        <v>0</v>
      </c>
      <c r="X207">
        <v>18.8</v>
      </c>
      <c r="Z207" s="2">
        <f t="shared" si="43"/>
        <v>1</v>
      </c>
      <c r="AA207">
        <v>339.5</v>
      </c>
      <c r="AB207" s="2" t="str">
        <f>CHOOSE(MATCH(AA207,{0;11;80;111;161;191;241;281;341},1),"North","NorthEast","East","SouthEast","South","SouthWest","West","NorthWest","North")</f>
        <v>NorthWest</v>
      </c>
      <c r="AC207" s="5">
        <f>CHOOSE(MATCH(AB207,{"South";"SouthEast";"SouthWest";"North";"NorthEast";"East";"West";"NorthWest"},0),1,2,3,4,5,6,7,8)</f>
        <v>8</v>
      </c>
      <c r="AD207" s="2">
        <f t="shared" si="44"/>
        <v>1</v>
      </c>
      <c r="AE207">
        <v>1014.5</v>
      </c>
      <c r="AF207" s="4" t="s">
        <v>420</v>
      </c>
      <c r="AG207" s="2">
        <f t="shared" si="45"/>
        <v>1</v>
      </c>
      <c r="AH207" t="s">
        <v>421</v>
      </c>
      <c r="AI207" s="2">
        <f t="shared" si="46"/>
        <v>12</v>
      </c>
      <c r="AJ207" s="2">
        <f t="shared" si="47"/>
        <v>0</v>
      </c>
      <c r="AK207" s="3">
        <v>47.000000006519258</v>
      </c>
      <c r="AM207" s="2">
        <v>0</v>
      </c>
      <c r="AN207">
        <v>0</v>
      </c>
      <c r="AO207">
        <v>3</v>
      </c>
      <c r="AP207">
        <v>0</v>
      </c>
      <c r="AQ207" s="2">
        <f>IF((2*G207 + M207 -P207 + 3*W207 + 2*Z207+2*AD207 + AG207+2*AJ207 + 4*AM207) &gt;=8,1,0)</f>
        <v>0</v>
      </c>
    </row>
    <row r="208" spans="1:43" x14ac:dyDescent="0.25">
      <c r="A208" t="s">
        <v>27</v>
      </c>
      <c r="B208" s="1">
        <v>37259</v>
      </c>
      <c r="C208" s="7">
        <f t="shared" si="39"/>
        <v>2002</v>
      </c>
      <c r="D208">
        <v>49.8</v>
      </c>
      <c r="E208">
        <v>35.299999999999997</v>
      </c>
      <c r="F208">
        <v>40.9</v>
      </c>
      <c r="G208" s="2">
        <f t="shared" si="48"/>
        <v>0</v>
      </c>
      <c r="H208">
        <v>48.3</v>
      </c>
      <c r="I208">
        <v>28.6</v>
      </c>
      <c r="J208">
        <v>35.9</v>
      </c>
      <c r="K208">
        <v>25.8</v>
      </c>
      <c r="L208">
        <v>56.2</v>
      </c>
      <c r="M208" s="2">
        <f t="shared" si="40"/>
        <v>0</v>
      </c>
      <c r="N208">
        <v>0</v>
      </c>
      <c r="O208">
        <f>AVERAGE(N208:N280)</f>
        <v>7.9452054794520541E-2</v>
      </c>
      <c r="P208" s="2">
        <f t="shared" si="41"/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2">
        <f t="shared" si="42"/>
        <v>0</v>
      </c>
      <c r="X208">
        <v>12.9</v>
      </c>
      <c r="Y208">
        <f>AVERAGE(X208:X280)</f>
        <v>15.017808219178075</v>
      </c>
      <c r="Z208" s="2">
        <f t="shared" si="43"/>
        <v>0</v>
      </c>
      <c r="AA208">
        <v>23.1</v>
      </c>
      <c r="AB208" s="2" t="str">
        <f>CHOOSE(MATCH(AA208,{0;11;80;111;161;191;241;281;341},1),"North","NorthEast","East","SouthEast","South","SouthWest","West","NorthWest","North")</f>
        <v>NorthEast</v>
      </c>
      <c r="AC208" s="5">
        <f>CHOOSE(MATCH(AB208,{"South";"SouthEast";"SouthWest";"North";"NorthEast";"East";"West";"NorthWest"},0),1,2,3,4,5,6,7,8)</f>
        <v>5</v>
      </c>
      <c r="AD208" s="2">
        <f t="shared" si="44"/>
        <v>1</v>
      </c>
      <c r="AE208">
        <v>1019.9</v>
      </c>
      <c r="AF208" s="4" t="s">
        <v>267</v>
      </c>
      <c r="AG208" s="2">
        <f t="shared" si="45"/>
        <v>0</v>
      </c>
      <c r="AH208" t="s">
        <v>422</v>
      </c>
      <c r="AI208" s="2">
        <f t="shared" si="46"/>
        <v>1</v>
      </c>
      <c r="AJ208" s="2">
        <f t="shared" si="47"/>
        <v>0</v>
      </c>
      <c r="AK208" s="3">
        <v>90</v>
      </c>
      <c r="AL208" s="3">
        <f>AVERAGE(AK208:AK280)</f>
        <v>643.79452054841727</v>
      </c>
      <c r="AM208" s="2">
        <v>0</v>
      </c>
      <c r="AN208">
        <v>0</v>
      </c>
      <c r="AO208">
        <v>2</v>
      </c>
      <c r="AP208">
        <v>0</v>
      </c>
      <c r="AQ208" s="2">
        <f>IF((2*G208 + M208 -P208 + 3*W208 + 2*Z208+2*AD208 + AG208+2*AJ208 + 4*AM208) &gt;=8,1,0)</f>
        <v>0</v>
      </c>
    </row>
    <row r="209" spans="1:43" x14ac:dyDescent="0.25">
      <c r="A209" t="s">
        <v>27</v>
      </c>
      <c r="B209" s="1">
        <v>37266</v>
      </c>
      <c r="C209" s="7">
        <f t="shared" si="39"/>
        <v>2002</v>
      </c>
      <c r="D209">
        <v>48.8</v>
      </c>
      <c r="E209">
        <v>41.1</v>
      </c>
      <c r="F209">
        <v>44.2</v>
      </c>
      <c r="G209" s="2">
        <f t="shared" si="48"/>
        <v>0</v>
      </c>
      <c r="H209">
        <v>42.8</v>
      </c>
      <c r="I209">
        <v>36.200000000000003</v>
      </c>
      <c r="J209">
        <v>39.5</v>
      </c>
      <c r="K209">
        <v>34.1</v>
      </c>
      <c r="L209">
        <v>67.900000000000006</v>
      </c>
      <c r="M209" s="2">
        <f t="shared" si="40"/>
        <v>0</v>
      </c>
      <c r="N209">
        <v>0</v>
      </c>
      <c r="P209" s="2">
        <f t="shared" si="41"/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s="2">
        <f t="shared" si="42"/>
        <v>0</v>
      </c>
      <c r="X209">
        <v>16.100000000000001</v>
      </c>
      <c r="Z209" s="2">
        <f t="shared" si="43"/>
        <v>1</v>
      </c>
      <c r="AA209">
        <v>1.4</v>
      </c>
      <c r="AB209" s="2" t="str">
        <f>CHOOSE(MATCH(AA209,{0;11;80;111;161;191;241;281;341},1),"North","NorthEast","East","SouthEast","South","SouthWest","West","NorthWest","North")</f>
        <v>North</v>
      </c>
      <c r="AC209" s="5">
        <f>CHOOSE(MATCH(AB209,{"South";"SouthEast";"SouthWest";"North";"NorthEast";"East";"West";"NorthWest"},0),1,2,3,4,5,6,7,8)</f>
        <v>4</v>
      </c>
      <c r="AD209" s="2">
        <f t="shared" si="44"/>
        <v>1</v>
      </c>
      <c r="AE209">
        <v>1033.0999999999999</v>
      </c>
      <c r="AF209" s="4" t="s">
        <v>423</v>
      </c>
      <c r="AG209" s="2">
        <f t="shared" si="45"/>
        <v>0</v>
      </c>
      <c r="AH209" t="s">
        <v>424</v>
      </c>
      <c r="AI209" s="2">
        <f t="shared" si="46"/>
        <v>1</v>
      </c>
      <c r="AJ209" s="2">
        <f t="shared" si="47"/>
        <v>0</v>
      </c>
      <c r="AK209" s="3">
        <v>160.0000000081491</v>
      </c>
      <c r="AM209" s="2">
        <v>0</v>
      </c>
      <c r="AN209">
        <v>0</v>
      </c>
      <c r="AO209">
        <v>2</v>
      </c>
      <c r="AP209">
        <v>0</v>
      </c>
      <c r="AQ209" s="2">
        <f>IF((2*G209 + M209 -P209 + 3*W209 + 2*Z209+2*AD209 + AG209+2*AJ209 + 4*AM209) &gt;=8,1,0)</f>
        <v>0</v>
      </c>
    </row>
    <row r="210" spans="1:43" x14ac:dyDescent="0.25">
      <c r="A210" t="s">
        <v>27</v>
      </c>
      <c r="B210" s="1">
        <v>37291</v>
      </c>
      <c r="C210" s="7">
        <f t="shared" si="39"/>
        <v>2002</v>
      </c>
      <c r="D210">
        <v>60.8</v>
      </c>
      <c r="E210">
        <v>41.4</v>
      </c>
      <c r="F210">
        <v>52.2</v>
      </c>
      <c r="G210" s="2">
        <f t="shared" si="48"/>
        <v>0</v>
      </c>
      <c r="H210">
        <v>60.8</v>
      </c>
      <c r="I210">
        <v>36.9</v>
      </c>
      <c r="J210">
        <v>51</v>
      </c>
      <c r="K210">
        <v>40.200000000000003</v>
      </c>
      <c r="L210">
        <v>64.5</v>
      </c>
      <c r="M210" s="2">
        <f t="shared" si="40"/>
        <v>0</v>
      </c>
      <c r="N210">
        <v>0</v>
      </c>
      <c r="P210" s="2">
        <f t="shared" si="41"/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2">
        <f t="shared" si="42"/>
        <v>0</v>
      </c>
      <c r="X210">
        <v>12.8</v>
      </c>
      <c r="Z210" s="2">
        <f t="shared" si="43"/>
        <v>0</v>
      </c>
      <c r="AA210">
        <v>325.3</v>
      </c>
      <c r="AB210" s="2" t="str">
        <f>CHOOSE(MATCH(AA210,{0;11;80;111;161;191;241;281;341},1),"North","NorthEast","East","SouthEast","South","SouthWest","West","NorthWest","North")</f>
        <v>NorthWest</v>
      </c>
      <c r="AC210" s="5">
        <f>CHOOSE(MATCH(AB210,{"South";"SouthEast";"SouthWest";"North";"NorthEast";"East";"West";"NorthWest"},0),1,2,3,4,5,6,7,8)</f>
        <v>8</v>
      </c>
      <c r="AD210" s="2">
        <f t="shared" si="44"/>
        <v>1</v>
      </c>
      <c r="AE210">
        <v>1025</v>
      </c>
      <c r="AF210" s="4" t="s">
        <v>92</v>
      </c>
      <c r="AG210" s="2">
        <f t="shared" si="45"/>
        <v>1</v>
      </c>
      <c r="AH210" t="s">
        <v>425</v>
      </c>
      <c r="AI210" s="2">
        <f t="shared" si="46"/>
        <v>2</v>
      </c>
      <c r="AJ210" s="2">
        <f t="shared" si="47"/>
        <v>0</v>
      </c>
      <c r="AK210" s="3">
        <v>149.99999999650751</v>
      </c>
      <c r="AM210" s="2">
        <v>0</v>
      </c>
      <c r="AN210">
        <v>0</v>
      </c>
      <c r="AO210">
        <v>10</v>
      </c>
      <c r="AP210">
        <v>0</v>
      </c>
      <c r="AQ210" s="2">
        <f>IF((2*G210 + M210 -P210 + 3*W210 + 2*Z210+2*AD210 + AG210+2*AJ210 + 4*AM210) &gt;=8,1,0)</f>
        <v>0</v>
      </c>
    </row>
    <row r="211" spans="1:43" x14ac:dyDescent="0.25">
      <c r="A211" t="s">
        <v>27</v>
      </c>
      <c r="B211" s="1">
        <v>37296</v>
      </c>
      <c r="C211" s="7">
        <f t="shared" si="39"/>
        <v>2002</v>
      </c>
      <c r="D211">
        <v>61.7</v>
      </c>
      <c r="E211">
        <v>44.5</v>
      </c>
      <c r="F211">
        <v>53.5</v>
      </c>
      <c r="G211" s="2">
        <f t="shared" si="48"/>
        <v>0</v>
      </c>
      <c r="H211">
        <v>61.7</v>
      </c>
      <c r="I211">
        <v>42.9</v>
      </c>
      <c r="J211">
        <v>53.3</v>
      </c>
      <c r="K211">
        <v>43.8</v>
      </c>
      <c r="L211">
        <v>71.2</v>
      </c>
      <c r="M211" s="2">
        <f t="shared" si="40"/>
        <v>0</v>
      </c>
      <c r="N211">
        <v>0</v>
      </c>
      <c r="P211" s="2">
        <f t="shared" si="41"/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2">
        <f t="shared" si="42"/>
        <v>0</v>
      </c>
      <c r="X211">
        <v>7.8</v>
      </c>
      <c r="Z211" s="2">
        <f t="shared" si="43"/>
        <v>0</v>
      </c>
      <c r="AA211">
        <v>346.7</v>
      </c>
      <c r="AB211" s="2" t="str">
        <f>CHOOSE(MATCH(AA211,{0;11;80;111;161;191;241;281;341},1),"North","NorthEast","East","SouthEast","South","SouthWest","West","NorthWest","North")</f>
        <v>North</v>
      </c>
      <c r="AC211" s="5">
        <f>CHOOSE(MATCH(AB211,{"South";"SouthEast";"SouthWest";"North";"NorthEast";"East";"West";"NorthWest"},0),1,2,3,4,5,6,7,8)</f>
        <v>4</v>
      </c>
      <c r="AD211" s="2">
        <f t="shared" si="44"/>
        <v>1</v>
      </c>
      <c r="AE211">
        <v>1018.6</v>
      </c>
      <c r="AF211" s="4" t="s">
        <v>426</v>
      </c>
      <c r="AG211" s="2">
        <f t="shared" si="45"/>
        <v>1</v>
      </c>
      <c r="AH211" t="s">
        <v>427</v>
      </c>
      <c r="AI211" s="2">
        <f t="shared" si="46"/>
        <v>2</v>
      </c>
      <c r="AJ211" s="2">
        <f t="shared" si="47"/>
        <v>0</v>
      </c>
      <c r="AK211" s="3">
        <v>1080</v>
      </c>
      <c r="AM211" s="2">
        <v>1</v>
      </c>
      <c r="AN211">
        <v>0</v>
      </c>
      <c r="AO211">
        <v>100</v>
      </c>
      <c r="AP211">
        <v>0</v>
      </c>
      <c r="AQ211" s="2">
        <f>IF((2*G211 + M211 -P211 + 3*W211 + 2*Z211+2*AD211 + AG211+2*AJ211 + 4*AM211) &gt;=8,1,0)</f>
        <v>0</v>
      </c>
    </row>
    <row r="212" spans="1:43" x14ac:dyDescent="0.25">
      <c r="A212" t="s">
        <v>27</v>
      </c>
      <c r="B212" s="1">
        <v>37301</v>
      </c>
      <c r="C212" s="7">
        <f t="shared" si="39"/>
        <v>2002</v>
      </c>
      <c r="D212">
        <v>65.900000000000006</v>
      </c>
      <c r="E212">
        <v>48.3</v>
      </c>
      <c r="F212">
        <v>56.3</v>
      </c>
      <c r="G212" s="2">
        <f t="shared" si="48"/>
        <v>0</v>
      </c>
      <c r="H212">
        <v>65.900000000000006</v>
      </c>
      <c r="I212">
        <v>47.6</v>
      </c>
      <c r="J212">
        <v>56.2</v>
      </c>
      <c r="K212">
        <v>45.7</v>
      </c>
      <c r="L212">
        <v>68.8</v>
      </c>
      <c r="M212" s="2">
        <f t="shared" si="40"/>
        <v>0</v>
      </c>
      <c r="N212">
        <v>0</v>
      </c>
      <c r="P212" s="2">
        <f t="shared" si="41"/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s="2">
        <f t="shared" si="42"/>
        <v>0</v>
      </c>
      <c r="X212">
        <v>10.3</v>
      </c>
      <c r="Z212" s="2">
        <f t="shared" si="43"/>
        <v>0</v>
      </c>
      <c r="AA212">
        <v>259</v>
      </c>
      <c r="AB212" s="2" t="str">
        <f>CHOOSE(MATCH(AA212,{0;11;80;111;161;191;241;281;341},1),"North","NorthEast","East","SouthEast","South","SouthWest","West","NorthWest","North")</f>
        <v>West</v>
      </c>
      <c r="AC212" s="5">
        <f>CHOOSE(MATCH(AB212,{"South";"SouthEast";"SouthWest";"North";"NorthEast";"East";"West";"NorthWest"},0),1,2,3,4,5,6,7,8)</f>
        <v>7</v>
      </c>
      <c r="AD212" s="2">
        <f t="shared" si="44"/>
        <v>0</v>
      </c>
      <c r="AE212">
        <v>1015.6</v>
      </c>
      <c r="AF212" s="4" t="s">
        <v>428</v>
      </c>
      <c r="AG212" s="2">
        <f t="shared" si="45"/>
        <v>1</v>
      </c>
      <c r="AH212" t="s">
        <v>429</v>
      </c>
      <c r="AI212" s="2">
        <f t="shared" si="46"/>
        <v>2</v>
      </c>
      <c r="AJ212" s="2">
        <f t="shared" si="47"/>
        <v>0</v>
      </c>
      <c r="AK212" s="3">
        <v>88.999999996740371</v>
      </c>
      <c r="AM212" s="2">
        <v>0</v>
      </c>
      <c r="AN212">
        <v>0</v>
      </c>
      <c r="AO212">
        <v>1</v>
      </c>
      <c r="AP212">
        <v>0</v>
      </c>
      <c r="AQ212" s="2">
        <f>IF((2*G212 + M212 -P212 + 3*W212 + 2*Z212+2*AD212 + AG212+2*AJ212 + 4*AM212) &gt;=8,1,0)</f>
        <v>0</v>
      </c>
    </row>
    <row r="213" spans="1:43" x14ac:dyDescent="0.25">
      <c r="A213" t="s">
        <v>27</v>
      </c>
      <c r="B213" s="1">
        <v>37309</v>
      </c>
      <c r="C213" s="7">
        <f t="shared" si="39"/>
        <v>2002</v>
      </c>
      <c r="D213">
        <v>62.6</v>
      </c>
      <c r="E213">
        <v>48.5</v>
      </c>
      <c r="F213">
        <v>56.5</v>
      </c>
      <c r="G213" s="2">
        <f t="shared" si="48"/>
        <v>0</v>
      </c>
      <c r="H213">
        <v>62.6</v>
      </c>
      <c r="I213">
        <v>48.5</v>
      </c>
      <c r="J213">
        <v>56.5</v>
      </c>
      <c r="K213">
        <v>48.8</v>
      </c>
      <c r="L213">
        <v>76</v>
      </c>
      <c r="M213" s="2">
        <f t="shared" si="40"/>
        <v>0</v>
      </c>
      <c r="N213">
        <v>5.1210000000000004</v>
      </c>
      <c r="P213" s="2">
        <f t="shared" si="41"/>
        <v>0</v>
      </c>
      <c r="Q213">
        <v>100</v>
      </c>
      <c r="R213">
        <v>4.17</v>
      </c>
      <c r="S213" t="s">
        <v>87</v>
      </c>
      <c r="T213">
        <v>0</v>
      </c>
      <c r="U213">
        <v>0</v>
      </c>
      <c r="V213">
        <v>0</v>
      </c>
      <c r="W213" s="2">
        <f t="shared" si="42"/>
        <v>0</v>
      </c>
      <c r="X213">
        <v>9</v>
      </c>
      <c r="Z213" s="2">
        <f t="shared" si="43"/>
        <v>0</v>
      </c>
      <c r="AA213">
        <v>203.9</v>
      </c>
      <c r="AB213" s="2" t="str">
        <f>CHOOSE(MATCH(AA213,{0;11;80;111;161;191;241;281;341},1),"North","NorthEast","East","SouthEast","South","SouthWest","West","NorthWest","North")</f>
        <v>SouthWest</v>
      </c>
      <c r="AC213" s="5">
        <f>CHOOSE(MATCH(AB213,{"South";"SouthEast";"SouthWest";"North";"NorthEast";"East";"West";"NorthWest"},0),1,2,3,4,5,6,7,8)</f>
        <v>3</v>
      </c>
      <c r="AD213" s="2">
        <f t="shared" si="44"/>
        <v>1</v>
      </c>
      <c r="AE213">
        <v>1009.9</v>
      </c>
      <c r="AF213" s="4" t="s">
        <v>430</v>
      </c>
      <c r="AG213" s="2">
        <f t="shared" si="45"/>
        <v>1</v>
      </c>
      <c r="AH213" t="s">
        <v>431</v>
      </c>
      <c r="AI213" s="2">
        <f t="shared" si="46"/>
        <v>2</v>
      </c>
      <c r="AJ213" s="2">
        <f t="shared" si="47"/>
        <v>0</v>
      </c>
      <c r="AK213" s="3">
        <v>271.00000000325957</v>
      </c>
      <c r="AM213" s="2">
        <v>0</v>
      </c>
      <c r="AN213">
        <v>0</v>
      </c>
      <c r="AO213">
        <v>0.5</v>
      </c>
      <c r="AP213">
        <v>0</v>
      </c>
      <c r="AQ213" s="2">
        <f>IF((2*G213 + M213 -P213 + 3*W213 + 2*Z213+2*AD213 + AG213+2*AJ213 + 4*AM213) &gt;=8,1,0)</f>
        <v>0</v>
      </c>
    </row>
    <row r="214" spans="1:43" x14ac:dyDescent="0.25">
      <c r="A214" t="s">
        <v>27</v>
      </c>
      <c r="B214" s="1">
        <v>37322</v>
      </c>
      <c r="C214" s="7">
        <f t="shared" si="39"/>
        <v>2002</v>
      </c>
      <c r="D214">
        <v>70.8</v>
      </c>
      <c r="E214">
        <v>49</v>
      </c>
      <c r="F214">
        <v>58.8</v>
      </c>
      <c r="G214" s="2">
        <f t="shared" si="48"/>
        <v>0</v>
      </c>
      <c r="H214">
        <v>70.8</v>
      </c>
      <c r="I214">
        <v>49</v>
      </c>
      <c r="J214">
        <v>58.8</v>
      </c>
      <c r="K214">
        <v>50.2</v>
      </c>
      <c r="L214">
        <v>73.900000000000006</v>
      </c>
      <c r="M214" s="2">
        <f t="shared" si="40"/>
        <v>0</v>
      </c>
      <c r="N214">
        <v>0</v>
      </c>
      <c r="P214" s="2">
        <f t="shared" si="41"/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s="2">
        <f t="shared" si="42"/>
        <v>0</v>
      </c>
      <c r="X214">
        <v>7.5</v>
      </c>
      <c r="Z214" s="2">
        <f t="shared" si="43"/>
        <v>0</v>
      </c>
      <c r="AA214">
        <v>182.2</v>
      </c>
      <c r="AB214" s="2" t="str">
        <f>CHOOSE(MATCH(AA214,{0;11;80;111;161;191;241;281;341},1),"North","NorthEast","East","SouthEast","South","SouthWest","West","NorthWest","North")</f>
        <v>South</v>
      </c>
      <c r="AC214" s="5">
        <f>CHOOSE(MATCH(AB214,{"South";"SouthEast";"SouthWest";"North";"NorthEast";"East";"West";"NorthWest"},0),1,2,3,4,5,6,7,8)</f>
        <v>1</v>
      </c>
      <c r="AD214" s="2">
        <f t="shared" si="44"/>
        <v>0</v>
      </c>
      <c r="AE214">
        <v>1021</v>
      </c>
      <c r="AF214" s="4" t="s">
        <v>276</v>
      </c>
      <c r="AG214" s="2">
        <f t="shared" si="45"/>
        <v>1</v>
      </c>
      <c r="AH214" t="s">
        <v>432</v>
      </c>
      <c r="AI214" s="2">
        <f t="shared" si="46"/>
        <v>3</v>
      </c>
      <c r="AJ214" s="2">
        <f t="shared" si="47"/>
        <v>0</v>
      </c>
      <c r="AK214" s="3">
        <v>662.99999999231659</v>
      </c>
      <c r="AM214" s="2">
        <v>1</v>
      </c>
      <c r="AN214">
        <v>0</v>
      </c>
      <c r="AO214">
        <v>42</v>
      </c>
      <c r="AP214">
        <v>0</v>
      </c>
      <c r="AQ214" s="2">
        <f>IF((2*G214 + M214 -P214 + 3*W214 + 2*Z214+2*AD214 + AG214+2*AJ214 + 4*AM214) &gt;=8,1,0)</f>
        <v>0</v>
      </c>
    </row>
    <row r="215" spans="1:43" x14ac:dyDescent="0.25">
      <c r="A215" t="s">
        <v>27</v>
      </c>
      <c r="B215" s="1">
        <v>37325</v>
      </c>
      <c r="C215" s="7">
        <f t="shared" si="39"/>
        <v>2002</v>
      </c>
      <c r="D215">
        <v>63.6</v>
      </c>
      <c r="E215">
        <v>55.2</v>
      </c>
      <c r="F215">
        <v>60</v>
      </c>
      <c r="G215" s="2">
        <f t="shared" si="48"/>
        <v>0</v>
      </c>
      <c r="H215">
        <v>63.6</v>
      </c>
      <c r="I215">
        <v>55.2</v>
      </c>
      <c r="J215">
        <v>60</v>
      </c>
      <c r="K215">
        <v>45.2</v>
      </c>
      <c r="L215">
        <v>58.5</v>
      </c>
      <c r="M215" s="2">
        <f t="shared" si="40"/>
        <v>0</v>
      </c>
      <c r="N215">
        <v>0</v>
      </c>
      <c r="P215" s="2">
        <f t="shared" si="41"/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2">
        <f t="shared" si="42"/>
        <v>0</v>
      </c>
      <c r="X215">
        <v>9.6</v>
      </c>
      <c r="Z215" s="2">
        <f t="shared" si="43"/>
        <v>0</v>
      </c>
      <c r="AA215">
        <v>47.8</v>
      </c>
      <c r="AB215" s="2" t="str">
        <f>CHOOSE(MATCH(AA215,{0;11;80;111;161;191;241;281;341},1),"North","NorthEast","East","SouthEast","South","SouthWest","West","NorthWest","North")</f>
        <v>NorthEast</v>
      </c>
      <c r="AC215" s="5">
        <f>CHOOSE(MATCH(AB215,{"South";"SouthEast";"SouthWest";"North";"NorthEast";"East";"West";"NorthWest"},0),1,2,3,4,5,6,7,8)</f>
        <v>5</v>
      </c>
      <c r="AD215" s="2">
        <f t="shared" si="44"/>
        <v>1</v>
      </c>
      <c r="AE215">
        <v>1013.5</v>
      </c>
      <c r="AF215" s="4" t="s">
        <v>433</v>
      </c>
      <c r="AG215" s="2">
        <f t="shared" si="45"/>
        <v>1</v>
      </c>
      <c r="AH215" t="s">
        <v>434</v>
      </c>
      <c r="AI215" s="2">
        <f t="shared" si="46"/>
        <v>3</v>
      </c>
      <c r="AJ215" s="2">
        <f t="shared" si="47"/>
        <v>0</v>
      </c>
      <c r="AK215" s="3">
        <v>250.0000000081491</v>
      </c>
      <c r="AM215" s="2">
        <v>0</v>
      </c>
      <c r="AN215">
        <v>0</v>
      </c>
      <c r="AO215">
        <v>2</v>
      </c>
      <c r="AP215">
        <v>0</v>
      </c>
      <c r="AQ215" s="2">
        <f>IF((2*G215 + M215 -P215 + 3*W215 + 2*Z215+2*AD215 + AG215+2*AJ215 + 4*AM215) &gt;=8,1,0)</f>
        <v>0</v>
      </c>
    </row>
    <row r="216" spans="1:43" x14ac:dyDescent="0.25">
      <c r="A216" t="s">
        <v>27</v>
      </c>
      <c r="B216" s="1">
        <v>37331</v>
      </c>
      <c r="C216" s="7">
        <f t="shared" si="39"/>
        <v>2002</v>
      </c>
      <c r="D216">
        <v>67</v>
      </c>
      <c r="E216">
        <v>48.1</v>
      </c>
      <c r="F216">
        <v>58.2</v>
      </c>
      <c r="G216" s="2">
        <f t="shared" si="48"/>
        <v>0</v>
      </c>
      <c r="H216">
        <v>67</v>
      </c>
      <c r="I216">
        <v>48.1</v>
      </c>
      <c r="J216">
        <v>58.2</v>
      </c>
      <c r="K216">
        <v>48.9</v>
      </c>
      <c r="L216">
        <v>72.7</v>
      </c>
      <c r="M216" s="2">
        <f t="shared" si="40"/>
        <v>0</v>
      </c>
      <c r="N216">
        <v>0</v>
      </c>
      <c r="P216" s="2">
        <f t="shared" si="41"/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2">
        <f t="shared" si="42"/>
        <v>0</v>
      </c>
      <c r="X216">
        <v>11.4</v>
      </c>
      <c r="Z216" s="2">
        <f t="shared" si="43"/>
        <v>0</v>
      </c>
      <c r="AA216">
        <v>356.1</v>
      </c>
      <c r="AB216" s="2" t="str">
        <f>CHOOSE(MATCH(AA216,{0;11;80;111;161;191;241;281;341},1),"North","NorthEast","East","SouthEast","South","SouthWest","West","NorthWest","North")</f>
        <v>North</v>
      </c>
      <c r="AC216" s="5">
        <f>CHOOSE(MATCH(AB216,{"South";"SouthEast";"SouthWest";"North";"NorthEast";"East";"West";"NorthWest"},0),1,2,3,4,5,6,7,8)</f>
        <v>4</v>
      </c>
      <c r="AD216" s="2">
        <f t="shared" si="44"/>
        <v>1</v>
      </c>
      <c r="AE216">
        <v>1015.2</v>
      </c>
      <c r="AF216" s="4" t="s">
        <v>30</v>
      </c>
      <c r="AG216" s="2">
        <f t="shared" si="45"/>
        <v>1</v>
      </c>
      <c r="AH216" t="s">
        <v>435</v>
      </c>
      <c r="AI216" s="2">
        <f t="shared" si="46"/>
        <v>3</v>
      </c>
      <c r="AJ216" s="2">
        <f t="shared" si="47"/>
        <v>0</v>
      </c>
      <c r="AK216" s="3">
        <v>120.0000000034925</v>
      </c>
      <c r="AM216" s="2">
        <v>0</v>
      </c>
      <c r="AN216">
        <v>0</v>
      </c>
      <c r="AO216">
        <v>1</v>
      </c>
      <c r="AP216">
        <v>0</v>
      </c>
      <c r="AQ216" s="2">
        <f>IF((2*G216 + M216 -P216 + 3*W216 + 2*Z216+2*AD216 + AG216+2*AJ216 + 4*AM216) &gt;=8,1,0)</f>
        <v>0</v>
      </c>
    </row>
    <row r="217" spans="1:43" x14ac:dyDescent="0.25">
      <c r="A217" t="s">
        <v>27</v>
      </c>
      <c r="B217" s="1">
        <v>37341</v>
      </c>
      <c r="C217" s="7">
        <f t="shared" si="39"/>
        <v>2002</v>
      </c>
      <c r="D217">
        <v>59.1</v>
      </c>
      <c r="E217">
        <v>42.9</v>
      </c>
      <c r="F217">
        <v>49.9</v>
      </c>
      <c r="G217" s="2">
        <f t="shared" si="48"/>
        <v>0</v>
      </c>
      <c r="H217">
        <v>59.1</v>
      </c>
      <c r="I217">
        <v>42.8</v>
      </c>
      <c r="J217">
        <v>49.6</v>
      </c>
      <c r="K217">
        <v>38.6</v>
      </c>
      <c r="L217">
        <v>66.3</v>
      </c>
      <c r="M217" s="2">
        <f t="shared" si="40"/>
        <v>0</v>
      </c>
      <c r="N217">
        <v>2.1000000000000001E-2</v>
      </c>
      <c r="P217" s="2">
        <f t="shared" si="41"/>
        <v>0</v>
      </c>
      <c r="Q217">
        <v>100</v>
      </c>
      <c r="R217">
        <v>4.17</v>
      </c>
      <c r="S217" t="s">
        <v>87</v>
      </c>
      <c r="T217">
        <v>0</v>
      </c>
      <c r="U217">
        <v>0</v>
      </c>
      <c r="V217">
        <v>0</v>
      </c>
      <c r="W217" s="2">
        <f t="shared" si="42"/>
        <v>0</v>
      </c>
      <c r="X217">
        <v>11.9</v>
      </c>
      <c r="Z217" s="2">
        <f t="shared" si="43"/>
        <v>0</v>
      </c>
      <c r="AA217">
        <v>21.8</v>
      </c>
      <c r="AB217" s="2" t="str">
        <f>CHOOSE(MATCH(AA217,{0;11;80;111;161;191;241;281;341},1),"North","NorthEast","East","SouthEast","South","SouthWest","West","NorthWest","North")</f>
        <v>NorthEast</v>
      </c>
      <c r="AC217" s="5">
        <f>CHOOSE(MATCH(AB217,{"South";"SouthEast";"SouthWest";"North";"NorthEast";"East";"West";"NorthWest"},0),1,2,3,4,5,6,7,8)</f>
        <v>5</v>
      </c>
      <c r="AD217" s="2">
        <f t="shared" si="44"/>
        <v>1</v>
      </c>
      <c r="AE217">
        <v>1009.1</v>
      </c>
      <c r="AF217" s="4" t="s">
        <v>436</v>
      </c>
      <c r="AG217" s="2">
        <f t="shared" si="45"/>
        <v>0</v>
      </c>
      <c r="AH217" t="s">
        <v>437</v>
      </c>
      <c r="AI217" s="2">
        <f t="shared" si="46"/>
        <v>3</v>
      </c>
      <c r="AJ217" s="2">
        <f t="shared" si="47"/>
        <v>0</v>
      </c>
      <c r="AK217" s="3">
        <v>50.999999998603023</v>
      </c>
      <c r="AM217" s="2">
        <v>0</v>
      </c>
      <c r="AN217">
        <v>0</v>
      </c>
      <c r="AO217">
        <v>0.1</v>
      </c>
      <c r="AP217">
        <v>0</v>
      </c>
      <c r="AQ217" s="2">
        <f>IF((2*G217 + M217 -P217 + 3*W217 + 2*Z217+2*AD217 + AG217+2*AJ217 + 4*AM217) &gt;=8,1,0)</f>
        <v>0</v>
      </c>
    </row>
    <row r="218" spans="1:43" x14ac:dyDescent="0.25">
      <c r="A218" t="s">
        <v>27</v>
      </c>
      <c r="B218" s="1">
        <v>37380</v>
      </c>
      <c r="C218" s="7">
        <f t="shared" si="39"/>
        <v>2002</v>
      </c>
      <c r="D218">
        <v>78.7</v>
      </c>
      <c r="E218">
        <v>54.7</v>
      </c>
      <c r="F218">
        <v>68</v>
      </c>
      <c r="G218" s="2">
        <f t="shared" si="48"/>
        <v>0</v>
      </c>
      <c r="H218">
        <v>78.7</v>
      </c>
      <c r="I218">
        <v>54.7</v>
      </c>
      <c r="J218">
        <v>68</v>
      </c>
      <c r="K218">
        <v>51.9</v>
      </c>
      <c r="L218">
        <v>58.5</v>
      </c>
      <c r="M218" s="2">
        <f t="shared" si="40"/>
        <v>0</v>
      </c>
      <c r="N218">
        <v>0</v>
      </c>
      <c r="P218" s="2">
        <f t="shared" si="41"/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2">
        <f t="shared" si="42"/>
        <v>0</v>
      </c>
      <c r="X218">
        <v>9.9</v>
      </c>
      <c r="Z218" s="2">
        <f t="shared" si="43"/>
        <v>0</v>
      </c>
      <c r="AA218">
        <v>209.6</v>
      </c>
      <c r="AB218" s="2" t="str">
        <f>CHOOSE(MATCH(AA218,{0;11;80;111;161;191;241;281;341},1),"North","NorthEast","East","SouthEast","South","SouthWest","West","NorthWest","North")</f>
        <v>SouthWest</v>
      </c>
      <c r="AC218" s="5">
        <f>CHOOSE(MATCH(AB218,{"South";"SouthEast";"SouthWest";"North";"NorthEast";"East";"West";"NorthWest"},0),1,2,3,4,5,6,7,8)</f>
        <v>3</v>
      </c>
      <c r="AD218" s="2">
        <f t="shared" si="44"/>
        <v>1</v>
      </c>
      <c r="AE218">
        <v>1015.4</v>
      </c>
      <c r="AF218" s="4" t="s">
        <v>438</v>
      </c>
      <c r="AG218" s="2">
        <f t="shared" si="45"/>
        <v>1</v>
      </c>
      <c r="AH218" t="s">
        <v>439</v>
      </c>
      <c r="AI218" s="2">
        <f t="shared" si="46"/>
        <v>5</v>
      </c>
      <c r="AJ218" s="2">
        <f t="shared" si="47"/>
        <v>0</v>
      </c>
      <c r="AK218" s="3">
        <v>117.9999999969732</v>
      </c>
      <c r="AM218" s="2">
        <v>0</v>
      </c>
      <c r="AN218">
        <v>0</v>
      </c>
      <c r="AO218">
        <v>3</v>
      </c>
      <c r="AP218">
        <v>0</v>
      </c>
      <c r="AQ218" s="2">
        <f>IF((2*G218 + M218 -P218 + 3*W218 + 2*Z218+2*AD218 + AG218+2*AJ218 + 4*AM218) &gt;=8,1,0)</f>
        <v>0</v>
      </c>
    </row>
    <row r="219" spans="1:43" x14ac:dyDescent="0.25">
      <c r="A219" t="s">
        <v>27</v>
      </c>
      <c r="B219" s="1">
        <v>37380</v>
      </c>
      <c r="C219" s="7">
        <f t="shared" si="39"/>
        <v>2002</v>
      </c>
      <c r="D219">
        <v>78.7</v>
      </c>
      <c r="E219">
        <v>54.7</v>
      </c>
      <c r="F219">
        <v>68</v>
      </c>
      <c r="G219" s="2">
        <f t="shared" si="48"/>
        <v>0</v>
      </c>
      <c r="H219">
        <v>78.7</v>
      </c>
      <c r="I219">
        <v>54.7</v>
      </c>
      <c r="J219">
        <v>68</v>
      </c>
      <c r="K219">
        <v>51.9</v>
      </c>
      <c r="L219">
        <v>58.5</v>
      </c>
      <c r="M219" s="2">
        <f t="shared" si="40"/>
        <v>0</v>
      </c>
      <c r="N219">
        <v>0</v>
      </c>
      <c r="P219" s="2">
        <f t="shared" si="41"/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2">
        <f t="shared" si="42"/>
        <v>0</v>
      </c>
      <c r="X219">
        <v>9.9</v>
      </c>
      <c r="Z219" s="2">
        <f t="shared" si="43"/>
        <v>0</v>
      </c>
      <c r="AA219">
        <v>209.6</v>
      </c>
      <c r="AB219" s="2" t="str">
        <f>CHOOSE(MATCH(AA219,{0;11;80;111;161;191;241;281;341},1),"North","NorthEast","East","SouthEast","South","SouthWest","West","NorthWest","North")</f>
        <v>SouthWest</v>
      </c>
      <c r="AC219" s="5">
        <f>CHOOSE(MATCH(AB219,{"South";"SouthEast";"SouthWest";"North";"NorthEast";"East";"West";"NorthWest"},0),1,2,3,4,5,6,7,8)</f>
        <v>3</v>
      </c>
      <c r="AD219" s="2">
        <f t="shared" si="44"/>
        <v>1</v>
      </c>
      <c r="AE219">
        <v>1015.4</v>
      </c>
      <c r="AF219" s="4" t="s">
        <v>440</v>
      </c>
      <c r="AG219" s="2">
        <f t="shared" si="45"/>
        <v>1</v>
      </c>
      <c r="AH219" t="s">
        <v>441</v>
      </c>
      <c r="AI219" s="2">
        <f t="shared" si="46"/>
        <v>5</v>
      </c>
      <c r="AJ219" s="2">
        <f t="shared" si="47"/>
        <v>0</v>
      </c>
      <c r="AK219" s="3">
        <v>2569.9999999953429</v>
      </c>
      <c r="AM219" s="2">
        <v>1</v>
      </c>
      <c r="AN219">
        <v>0</v>
      </c>
      <c r="AO219">
        <v>15</v>
      </c>
      <c r="AP219">
        <v>0</v>
      </c>
      <c r="AQ219" s="2">
        <f>IF((2*G219 + M219 -P219 + 3*W219 + 2*Z219+2*AD219 + AG219+2*AJ219 + 4*AM219) &gt;=8,1,0)</f>
        <v>0</v>
      </c>
    </row>
    <row r="220" spans="1:43" x14ac:dyDescent="0.25">
      <c r="A220" t="s">
        <v>27</v>
      </c>
      <c r="B220" s="1">
        <v>37386</v>
      </c>
      <c r="C220" s="7">
        <f t="shared" si="39"/>
        <v>2002</v>
      </c>
      <c r="D220">
        <v>78.5</v>
      </c>
      <c r="E220">
        <v>60.5</v>
      </c>
      <c r="F220">
        <v>68.900000000000006</v>
      </c>
      <c r="G220" s="2">
        <f t="shared" si="48"/>
        <v>0</v>
      </c>
      <c r="H220">
        <v>78.5</v>
      </c>
      <c r="I220">
        <v>60.5</v>
      </c>
      <c r="J220">
        <v>68.900000000000006</v>
      </c>
      <c r="K220">
        <v>46.6</v>
      </c>
      <c r="L220">
        <v>48.2</v>
      </c>
      <c r="M220" s="2">
        <f t="shared" si="40"/>
        <v>1</v>
      </c>
      <c r="N220">
        <v>0</v>
      </c>
      <c r="P220" s="2">
        <f t="shared" si="41"/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2">
        <f t="shared" si="42"/>
        <v>0</v>
      </c>
      <c r="X220">
        <v>12.7</v>
      </c>
      <c r="Z220" s="2">
        <f t="shared" si="43"/>
        <v>0</v>
      </c>
      <c r="AA220">
        <v>3.5</v>
      </c>
      <c r="AB220" s="2" t="str">
        <f>CHOOSE(MATCH(AA220,{0;11;80;111;161;191;241;281;341},1),"North","NorthEast","East","SouthEast","South","SouthWest","West","NorthWest","North")</f>
        <v>North</v>
      </c>
      <c r="AC220" s="5">
        <f>CHOOSE(MATCH(AB220,{"South";"SouthEast";"SouthWest";"North";"NorthEast";"East";"West";"NorthWest"},0),1,2,3,4,5,6,7,8)</f>
        <v>4</v>
      </c>
      <c r="AD220" s="2">
        <f t="shared" si="44"/>
        <v>1</v>
      </c>
      <c r="AE220">
        <v>1014</v>
      </c>
      <c r="AF220" s="4" t="s">
        <v>442</v>
      </c>
      <c r="AG220" s="2">
        <f t="shared" si="45"/>
        <v>1</v>
      </c>
      <c r="AH220" t="s">
        <v>443</v>
      </c>
      <c r="AI220" s="2">
        <f t="shared" si="46"/>
        <v>5</v>
      </c>
      <c r="AJ220" s="2">
        <f t="shared" si="47"/>
        <v>0</v>
      </c>
      <c r="AK220" s="3">
        <v>201.00000000558791</v>
      </c>
      <c r="AM220" s="2">
        <v>0</v>
      </c>
      <c r="AN220">
        <v>0</v>
      </c>
      <c r="AO220">
        <v>2</v>
      </c>
      <c r="AP220">
        <v>0</v>
      </c>
      <c r="AQ220" s="2">
        <f>IF((2*G220 + M220 -P220 + 3*W220 + 2*Z220+2*AD220 + AG220+2*AJ220 + 4*AM220) &gt;=8,1,0)</f>
        <v>0</v>
      </c>
    </row>
    <row r="221" spans="1:43" x14ac:dyDescent="0.25">
      <c r="A221" t="s">
        <v>27</v>
      </c>
      <c r="B221" s="1">
        <v>37397</v>
      </c>
      <c r="C221" s="7">
        <f t="shared" si="39"/>
        <v>2002</v>
      </c>
      <c r="D221">
        <v>78.7</v>
      </c>
      <c r="E221">
        <v>66.2</v>
      </c>
      <c r="F221">
        <v>71</v>
      </c>
      <c r="G221" s="2">
        <f t="shared" si="48"/>
        <v>0</v>
      </c>
      <c r="H221">
        <v>78.7</v>
      </c>
      <c r="I221">
        <v>66.2</v>
      </c>
      <c r="J221">
        <v>71</v>
      </c>
      <c r="K221">
        <v>56.8</v>
      </c>
      <c r="L221">
        <v>61.5</v>
      </c>
      <c r="M221" s="2">
        <f t="shared" si="40"/>
        <v>0</v>
      </c>
      <c r="N221">
        <v>2.1000000000000001E-2</v>
      </c>
      <c r="P221" s="2">
        <f t="shared" si="41"/>
        <v>0</v>
      </c>
      <c r="Q221">
        <v>100</v>
      </c>
      <c r="R221">
        <v>4.17</v>
      </c>
      <c r="S221" t="s">
        <v>87</v>
      </c>
      <c r="T221">
        <v>0</v>
      </c>
      <c r="U221">
        <v>0</v>
      </c>
      <c r="V221">
        <v>0</v>
      </c>
      <c r="W221" s="2">
        <f t="shared" si="42"/>
        <v>0</v>
      </c>
      <c r="X221">
        <v>11</v>
      </c>
      <c r="Z221" s="2">
        <f t="shared" si="43"/>
        <v>0</v>
      </c>
      <c r="AA221">
        <v>299.60000000000002</v>
      </c>
      <c r="AB221" s="2" t="str">
        <f>CHOOSE(MATCH(AA221,{0;11;80;111;161;191;241;281;341},1),"North","NorthEast","East","SouthEast","South","SouthWest","West","NorthWest","North")</f>
        <v>NorthWest</v>
      </c>
      <c r="AC221" s="5">
        <f>CHOOSE(MATCH(AB221,{"South";"SouthEast";"SouthWest";"North";"NorthEast";"East";"West";"NorthWest"},0),1,2,3,4,5,6,7,8)</f>
        <v>8</v>
      </c>
      <c r="AD221" s="2">
        <f t="shared" si="44"/>
        <v>1</v>
      </c>
      <c r="AE221">
        <v>1009.1</v>
      </c>
      <c r="AF221" s="4" t="s">
        <v>61</v>
      </c>
      <c r="AG221" s="2">
        <f t="shared" si="45"/>
        <v>1</v>
      </c>
      <c r="AH221" t="s">
        <v>444</v>
      </c>
      <c r="AI221" s="2">
        <f t="shared" si="46"/>
        <v>5</v>
      </c>
      <c r="AJ221" s="2">
        <f t="shared" si="47"/>
        <v>0</v>
      </c>
      <c r="AK221" s="3">
        <v>69.999999997671694</v>
      </c>
      <c r="AM221" s="2">
        <v>0</v>
      </c>
      <c r="AN221">
        <v>0.6</v>
      </c>
      <c r="AO221">
        <v>0</v>
      </c>
      <c r="AP221">
        <v>0</v>
      </c>
      <c r="AQ221" s="2">
        <f>IF((2*G221 + M221 -P221 + 3*W221 + 2*Z221+2*AD221 + AG221+2*AJ221 + 4*AM221) &gt;=8,1,0)</f>
        <v>0</v>
      </c>
    </row>
    <row r="222" spans="1:43" x14ac:dyDescent="0.25">
      <c r="A222" t="s">
        <v>27</v>
      </c>
      <c r="B222" s="1">
        <v>37397</v>
      </c>
      <c r="C222" s="7">
        <f t="shared" si="39"/>
        <v>2002</v>
      </c>
      <c r="D222">
        <v>78.7</v>
      </c>
      <c r="E222">
        <v>66.2</v>
      </c>
      <c r="F222">
        <v>71</v>
      </c>
      <c r="G222" s="2">
        <f t="shared" si="48"/>
        <v>0</v>
      </c>
      <c r="H222">
        <v>78.7</v>
      </c>
      <c r="I222">
        <v>66.2</v>
      </c>
      <c r="J222">
        <v>71</v>
      </c>
      <c r="K222">
        <v>56.8</v>
      </c>
      <c r="L222">
        <v>61.5</v>
      </c>
      <c r="M222" s="2">
        <f t="shared" si="40"/>
        <v>0</v>
      </c>
      <c r="N222">
        <v>2.1000000000000001E-2</v>
      </c>
      <c r="P222" s="2">
        <f t="shared" si="41"/>
        <v>0</v>
      </c>
      <c r="Q222">
        <v>100</v>
      </c>
      <c r="R222">
        <v>4.17</v>
      </c>
      <c r="S222" t="s">
        <v>87</v>
      </c>
      <c r="T222">
        <v>0</v>
      </c>
      <c r="U222">
        <v>0</v>
      </c>
      <c r="V222">
        <v>0</v>
      </c>
      <c r="W222" s="2">
        <f t="shared" si="42"/>
        <v>0</v>
      </c>
      <c r="X222">
        <v>11</v>
      </c>
      <c r="Z222" s="2">
        <f t="shared" si="43"/>
        <v>0</v>
      </c>
      <c r="AA222">
        <v>299.60000000000002</v>
      </c>
      <c r="AB222" s="2" t="str">
        <f>CHOOSE(MATCH(AA222,{0;11;80;111;161;191;241;281;341},1),"North","NorthEast","East","SouthEast","South","SouthWest","West","NorthWest","North")</f>
        <v>NorthWest</v>
      </c>
      <c r="AC222" s="5">
        <f>CHOOSE(MATCH(AB222,{"South";"SouthEast";"SouthWest";"North";"NorthEast";"East";"West";"NorthWest"},0),1,2,3,4,5,6,7,8)</f>
        <v>8</v>
      </c>
      <c r="AD222" s="2">
        <f t="shared" si="44"/>
        <v>1</v>
      </c>
      <c r="AE222">
        <v>1009.1</v>
      </c>
      <c r="AF222" s="4" t="s">
        <v>445</v>
      </c>
      <c r="AG222" s="2">
        <f t="shared" si="45"/>
        <v>1</v>
      </c>
      <c r="AH222" t="s">
        <v>446</v>
      </c>
      <c r="AI222" s="2">
        <f t="shared" si="46"/>
        <v>5</v>
      </c>
      <c r="AJ222" s="2">
        <f t="shared" si="47"/>
        <v>0</v>
      </c>
      <c r="AK222" s="3">
        <v>30.99999999627471</v>
      </c>
      <c r="AM222" s="2">
        <v>0</v>
      </c>
      <c r="AN222">
        <v>0</v>
      </c>
      <c r="AO222">
        <v>0</v>
      </c>
      <c r="AP222">
        <v>1</v>
      </c>
      <c r="AQ222" s="2">
        <f>IF((2*G222 + M222 -P222 + 3*W222 + 2*Z222+2*AD222 + AG222+2*AJ222 + 4*AM222) &gt;=8,1,0)</f>
        <v>0</v>
      </c>
    </row>
    <row r="223" spans="1:43" x14ac:dyDescent="0.25">
      <c r="A223" t="s">
        <v>27</v>
      </c>
      <c r="B223" s="1">
        <v>37407</v>
      </c>
      <c r="C223" s="7">
        <f t="shared" si="39"/>
        <v>2002</v>
      </c>
      <c r="D223">
        <v>79.599999999999994</v>
      </c>
      <c r="E223">
        <v>64.7</v>
      </c>
      <c r="F223">
        <v>72.599999999999994</v>
      </c>
      <c r="G223" s="2">
        <f t="shared" si="48"/>
        <v>0</v>
      </c>
      <c r="H223">
        <v>79.599999999999994</v>
      </c>
      <c r="I223">
        <v>64.7</v>
      </c>
      <c r="J223">
        <v>72.599999999999994</v>
      </c>
      <c r="K223">
        <v>54.1</v>
      </c>
      <c r="L223">
        <v>53.4</v>
      </c>
      <c r="M223" s="2">
        <f t="shared" si="40"/>
        <v>0</v>
      </c>
      <c r="N223">
        <v>0</v>
      </c>
      <c r="P223" s="2">
        <f t="shared" si="41"/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2">
        <f t="shared" si="42"/>
        <v>0</v>
      </c>
      <c r="X223">
        <v>14.4</v>
      </c>
      <c r="Z223" s="2">
        <f t="shared" si="43"/>
        <v>0</v>
      </c>
      <c r="AA223">
        <v>30.3</v>
      </c>
      <c r="AB223" s="2" t="str">
        <f>CHOOSE(MATCH(AA223,{0;11;80;111;161;191;241;281;341},1),"North","NorthEast","East","SouthEast","South","SouthWest","West","NorthWest","North")</f>
        <v>NorthEast</v>
      </c>
      <c r="AC223" s="5">
        <f>CHOOSE(MATCH(AB223,{"South";"SouthEast";"SouthWest";"North";"NorthEast";"East";"West";"NorthWest"},0),1,2,3,4,5,6,7,8)</f>
        <v>5</v>
      </c>
      <c r="AD223" s="2">
        <f t="shared" si="44"/>
        <v>1</v>
      </c>
      <c r="AE223">
        <v>1014</v>
      </c>
      <c r="AF223" s="4" t="s">
        <v>447</v>
      </c>
      <c r="AG223" s="2">
        <f t="shared" si="45"/>
        <v>1</v>
      </c>
      <c r="AH223" t="s">
        <v>448</v>
      </c>
      <c r="AI223" s="2">
        <f t="shared" si="46"/>
        <v>5</v>
      </c>
      <c r="AJ223" s="2">
        <f t="shared" si="47"/>
        <v>0</v>
      </c>
      <c r="AK223" s="3">
        <v>74.000000000232831</v>
      </c>
      <c r="AM223" s="2">
        <v>0</v>
      </c>
      <c r="AN223">
        <v>0</v>
      </c>
      <c r="AO223">
        <v>0.3</v>
      </c>
      <c r="AP223">
        <v>0</v>
      </c>
      <c r="AQ223" s="2">
        <f>IF((2*G223 + M223 -P223 + 3*W223 + 2*Z223+2*AD223 + AG223+2*AJ223 + 4*AM223) &gt;=8,1,0)</f>
        <v>0</v>
      </c>
    </row>
    <row r="224" spans="1:43" x14ac:dyDescent="0.25">
      <c r="A224" t="s">
        <v>27</v>
      </c>
      <c r="B224" s="1">
        <v>37410</v>
      </c>
      <c r="C224" s="7">
        <f t="shared" si="39"/>
        <v>2002</v>
      </c>
      <c r="D224">
        <v>81.099999999999994</v>
      </c>
      <c r="E224">
        <v>65.599999999999994</v>
      </c>
      <c r="F224">
        <v>73</v>
      </c>
      <c r="G224" s="2">
        <f t="shared" si="48"/>
        <v>0</v>
      </c>
      <c r="H224">
        <v>81</v>
      </c>
      <c r="I224">
        <v>65.599999999999994</v>
      </c>
      <c r="J224">
        <v>73</v>
      </c>
      <c r="K224">
        <v>58.2</v>
      </c>
      <c r="L224">
        <v>61.2</v>
      </c>
      <c r="M224" s="2">
        <f t="shared" si="40"/>
        <v>0</v>
      </c>
      <c r="N224">
        <v>0</v>
      </c>
      <c r="P224" s="2">
        <f t="shared" si="41"/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2">
        <f t="shared" si="42"/>
        <v>0</v>
      </c>
      <c r="X224">
        <v>14</v>
      </c>
      <c r="Z224" s="2">
        <f t="shared" si="43"/>
        <v>0</v>
      </c>
      <c r="AA224">
        <v>174.5</v>
      </c>
      <c r="AB224" s="2" t="str">
        <f>CHOOSE(MATCH(AA224,{0;11;80;111;161;191;241;281;341},1),"North","NorthEast","East","SouthEast","South","SouthWest","West","NorthWest","North")</f>
        <v>South</v>
      </c>
      <c r="AC224" s="5">
        <f>CHOOSE(MATCH(AB224,{"South";"SouthEast";"SouthWest";"North";"NorthEast";"East";"West";"NorthWest"},0),1,2,3,4,5,6,7,8)</f>
        <v>1</v>
      </c>
      <c r="AD224" s="2">
        <f t="shared" si="44"/>
        <v>0</v>
      </c>
      <c r="AE224">
        <v>1011.7</v>
      </c>
      <c r="AF224" s="4" t="s">
        <v>63</v>
      </c>
      <c r="AG224" s="2">
        <f t="shared" si="45"/>
        <v>1</v>
      </c>
      <c r="AH224" t="s">
        <v>449</v>
      </c>
      <c r="AI224" s="2">
        <f t="shared" si="46"/>
        <v>6</v>
      </c>
      <c r="AJ224" s="2">
        <f t="shared" si="47"/>
        <v>1</v>
      </c>
      <c r="AK224" s="3">
        <v>1126.0000000032601</v>
      </c>
      <c r="AM224" s="2">
        <v>1</v>
      </c>
      <c r="AN224">
        <v>10</v>
      </c>
      <c r="AO224">
        <v>10</v>
      </c>
      <c r="AP224">
        <v>0</v>
      </c>
      <c r="AQ224" s="2">
        <f>IF((2*G224 + M224 -P224 + 3*W224 + 2*Z224+2*AD224 + AG224+2*AJ224 + 4*AM224) &gt;=8,1,0)</f>
        <v>0</v>
      </c>
    </row>
    <row r="225" spans="1:43" x14ac:dyDescent="0.25">
      <c r="A225" t="s">
        <v>27</v>
      </c>
      <c r="B225" s="1">
        <v>37418</v>
      </c>
      <c r="C225" s="7">
        <f t="shared" si="39"/>
        <v>2002</v>
      </c>
      <c r="D225">
        <v>82.1</v>
      </c>
      <c r="E225">
        <v>67.8</v>
      </c>
      <c r="F225">
        <v>75.099999999999994</v>
      </c>
      <c r="G225" s="2">
        <f t="shared" si="48"/>
        <v>1</v>
      </c>
      <c r="H225">
        <v>81.900000000000006</v>
      </c>
      <c r="I225">
        <v>67.8</v>
      </c>
      <c r="J225">
        <v>75</v>
      </c>
      <c r="K225">
        <v>56.6</v>
      </c>
      <c r="L225">
        <v>53.5</v>
      </c>
      <c r="M225" s="2">
        <f t="shared" si="40"/>
        <v>0</v>
      </c>
      <c r="N225">
        <v>0</v>
      </c>
      <c r="P225" s="2">
        <f t="shared" si="41"/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2">
        <f t="shared" si="42"/>
        <v>0</v>
      </c>
      <c r="X225">
        <v>19.899999999999999</v>
      </c>
      <c r="Z225" s="2">
        <f t="shared" si="43"/>
        <v>1</v>
      </c>
      <c r="AA225">
        <v>296.2</v>
      </c>
      <c r="AB225" s="2" t="str">
        <f>CHOOSE(MATCH(AA225,{0;11;80;111;161;191;241;281;341},1),"North","NorthEast","East","SouthEast","South","SouthWest","West","NorthWest","North")</f>
        <v>NorthWest</v>
      </c>
      <c r="AC225" s="5">
        <f>CHOOSE(MATCH(AB225,{"South";"SouthEast";"SouthWest";"North";"NorthEast";"East";"West";"NorthWest"},0),1,2,3,4,5,6,7,8)</f>
        <v>8</v>
      </c>
      <c r="AD225" s="2">
        <f t="shared" si="44"/>
        <v>1</v>
      </c>
      <c r="AE225">
        <v>1007</v>
      </c>
      <c r="AF225" s="4" t="s">
        <v>450</v>
      </c>
      <c r="AG225" s="2">
        <f t="shared" si="45"/>
        <v>0</v>
      </c>
      <c r="AH225" t="s">
        <v>451</v>
      </c>
      <c r="AI225" s="2">
        <f t="shared" si="46"/>
        <v>6</v>
      </c>
      <c r="AJ225" s="2">
        <f t="shared" si="47"/>
        <v>1</v>
      </c>
      <c r="AK225" s="3">
        <v>349.99999999883579</v>
      </c>
      <c r="AM225" s="2">
        <v>0</v>
      </c>
      <c r="AN225">
        <v>0</v>
      </c>
      <c r="AO225">
        <v>2</v>
      </c>
      <c r="AP225">
        <v>0</v>
      </c>
      <c r="AQ225" s="2">
        <f>IF((2*G225 + M225 -P225 + 3*W225 + 2*Z225+2*AD225 + AG225+2*AJ225 + 4*AM225) &gt;=8,1,0)</f>
        <v>0</v>
      </c>
    </row>
    <row r="226" spans="1:43" x14ac:dyDescent="0.25">
      <c r="A226" t="s">
        <v>27</v>
      </c>
      <c r="B226" s="1">
        <v>37418</v>
      </c>
      <c r="C226" s="7">
        <f t="shared" si="39"/>
        <v>2002</v>
      </c>
      <c r="D226">
        <v>82.1</v>
      </c>
      <c r="E226">
        <v>67.8</v>
      </c>
      <c r="F226">
        <v>75.099999999999994</v>
      </c>
      <c r="G226" s="2">
        <f t="shared" si="48"/>
        <v>1</v>
      </c>
      <c r="H226">
        <v>81.900000000000006</v>
      </c>
      <c r="I226">
        <v>67.8</v>
      </c>
      <c r="J226">
        <v>75</v>
      </c>
      <c r="K226">
        <v>56.6</v>
      </c>
      <c r="L226">
        <v>53.5</v>
      </c>
      <c r="M226" s="2">
        <f t="shared" si="40"/>
        <v>0</v>
      </c>
      <c r="N226">
        <v>0</v>
      </c>
      <c r="P226" s="2">
        <f t="shared" si="41"/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2">
        <f t="shared" si="42"/>
        <v>0</v>
      </c>
      <c r="X226">
        <v>19.899999999999999</v>
      </c>
      <c r="Z226" s="2">
        <f t="shared" si="43"/>
        <v>1</v>
      </c>
      <c r="AA226">
        <v>296.2</v>
      </c>
      <c r="AB226" s="2" t="str">
        <f>CHOOSE(MATCH(AA226,{0;11;80;111;161;191;241;281;341},1),"North","NorthEast","East","SouthEast","South","SouthWest","West","NorthWest","North")</f>
        <v>NorthWest</v>
      </c>
      <c r="AC226" s="5">
        <f>CHOOSE(MATCH(AB226,{"South";"SouthEast";"SouthWest";"North";"NorthEast";"East";"West";"NorthWest"},0),1,2,3,4,5,6,7,8)</f>
        <v>8</v>
      </c>
      <c r="AD226" s="2">
        <f t="shared" si="44"/>
        <v>1</v>
      </c>
      <c r="AE226">
        <v>1007</v>
      </c>
      <c r="AF226" s="4" t="s">
        <v>452</v>
      </c>
      <c r="AG226" s="2">
        <f t="shared" si="45"/>
        <v>1</v>
      </c>
      <c r="AH226" t="s">
        <v>453</v>
      </c>
      <c r="AI226" s="2">
        <f t="shared" si="46"/>
        <v>6</v>
      </c>
      <c r="AJ226" s="2">
        <f t="shared" si="47"/>
        <v>1</v>
      </c>
      <c r="AK226" s="3">
        <v>65.000000002328306</v>
      </c>
      <c r="AM226" s="2">
        <v>0</v>
      </c>
      <c r="AN226">
        <v>0.5</v>
      </c>
      <c r="AO226">
        <v>0</v>
      </c>
      <c r="AP226">
        <v>0</v>
      </c>
      <c r="AQ226" s="2">
        <f>IF((2*G226 + M226 -P226 + 3*W226 + 2*Z226+2*AD226 + AG226+2*AJ226 + 4*AM226) &gt;=8,1,0)</f>
        <v>1</v>
      </c>
    </row>
    <row r="227" spans="1:43" x14ac:dyDescent="0.25">
      <c r="A227" t="s">
        <v>27</v>
      </c>
      <c r="B227" s="1">
        <v>37421</v>
      </c>
      <c r="C227" s="7">
        <f t="shared" si="39"/>
        <v>2002</v>
      </c>
      <c r="D227">
        <v>85.9</v>
      </c>
      <c r="E227">
        <v>62.7</v>
      </c>
      <c r="F227">
        <v>79.900000000000006</v>
      </c>
      <c r="G227" s="2">
        <f t="shared" si="48"/>
        <v>1</v>
      </c>
      <c r="H227">
        <v>83</v>
      </c>
      <c r="I227">
        <v>62.7</v>
      </c>
      <c r="J227">
        <v>78.599999999999994</v>
      </c>
      <c r="K227">
        <v>46.8</v>
      </c>
      <c r="L227">
        <v>33.299999999999997</v>
      </c>
      <c r="M227" s="2">
        <f t="shared" si="40"/>
        <v>1</v>
      </c>
      <c r="N227">
        <v>0</v>
      </c>
      <c r="P227" s="2">
        <f t="shared" si="41"/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2">
        <f t="shared" si="42"/>
        <v>0</v>
      </c>
      <c r="X227">
        <v>23.3</v>
      </c>
      <c r="Z227" s="2">
        <f t="shared" si="43"/>
        <v>1</v>
      </c>
      <c r="AA227">
        <v>358.5</v>
      </c>
      <c r="AB227" s="2" t="str">
        <f>CHOOSE(MATCH(AA227,{0;11;80;111;161;191;241;281;341},1),"North","NorthEast","East","SouthEast","South","SouthWest","West","NorthWest","North")</f>
        <v>North</v>
      </c>
      <c r="AC227" s="5">
        <f>CHOOSE(MATCH(AB227,{"South";"SouthEast";"SouthWest";"North";"NorthEast";"East";"West";"NorthWest"},0),1,2,3,4,5,6,7,8)</f>
        <v>4</v>
      </c>
      <c r="AD227" s="2">
        <f t="shared" si="44"/>
        <v>1</v>
      </c>
      <c r="AE227">
        <v>1013.9</v>
      </c>
      <c r="AF227" s="4" t="s">
        <v>454</v>
      </c>
      <c r="AG227" s="2">
        <f t="shared" si="45"/>
        <v>1</v>
      </c>
      <c r="AH227" t="s">
        <v>455</v>
      </c>
      <c r="AI227" s="2">
        <f t="shared" si="46"/>
        <v>6</v>
      </c>
      <c r="AJ227" s="2">
        <f t="shared" si="47"/>
        <v>1</v>
      </c>
      <c r="AK227" s="3">
        <v>200.99999999511061</v>
      </c>
      <c r="AM227" s="2">
        <v>0</v>
      </c>
      <c r="AN227">
        <v>0</v>
      </c>
      <c r="AO227">
        <v>6</v>
      </c>
      <c r="AP227">
        <v>0</v>
      </c>
      <c r="AQ227" s="2">
        <f>IF((2*G227 + M227 -P227 + 3*W227 + 2*Z227+2*AD227 + AG227+2*AJ227 + 4*AM227) &gt;=8,1,0)</f>
        <v>1</v>
      </c>
    </row>
    <row r="228" spans="1:43" x14ac:dyDescent="0.25">
      <c r="A228" t="s">
        <v>27</v>
      </c>
      <c r="B228" s="1">
        <v>37421</v>
      </c>
      <c r="C228" s="7">
        <f t="shared" si="39"/>
        <v>2002</v>
      </c>
      <c r="D228">
        <v>85.9</v>
      </c>
      <c r="E228">
        <v>62.7</v>
      </c>
      <c r="F228">
        <v>79.900000000000006</v>
      </c>
      <c r="G228" s="2">
        <f t="shared" si="48"/>
        <v>1</v>
      </c>
      <c r="H228">
        <v>83</v>
      </c>
      <c r="I228">
        <v>62.7</v>
      </c>
      <c r="J228">
        <v>78.599999999999994</v>
      </c>
      <c r="K228">
        <v>46.8</v>
      </c>
      <c r="L228">
        <v>33.299999999999997</v>
      </c>
      <c r="M228" s="2">
        <f t="shared" si="40"/>
        <v>1</v>
      </c>
      <c r="N228">
        <v>0</v>
      </c>
      <c r="P228" s="2">
        <f t="shared" si="41"/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2">
        <f t="shared" si="42"/>
        <v>0</v>
      </c>
      <c r="X228">
        <v>23.3</v>
      </c>
      <c r="Z228" s="2">
        <f t="shared" si="43"/>
        <v>1</v>
      </c>
      <c r="AA228">
        <v>358.5</v>
      </c>
      <c r="AB228" s="2" t="str">
        <f>CHOOSE(MATCH(AA228,{0;11;80;111;161;191;241;281;341},1),"North","NorthEast","East","SouthEast","South","SouthWest","West","NorthWest","North")</f>
        <v>North</v>
      </c>
      <c r="AC228" s="5">
        <f>CHOOSE(MATCH(AB228,{"South";"SouthEast";"SouthWest";"North";"NorthEast";"East";"West";"NorthWest"},0),1,2,3,4,5,6,7,8)</f>
        <v>4</v>
      </c>
      <c r="AD228" s="2">
        <f t="shared" si="44"/>
        <v>1</v>
      </c>
      <c r="AE228">
        <v>1013.9</v>
      </c>
      <c r="AF228" s="4" t="s">
        <v>456</v>
      </c>
      <c r="AG228" s="2">
        <f t="shared" si="45"/>
        <v>1</v>
      </c>
      <c r="AH228" t="s">
        <v>457</v>
      </c>
      <c r="AI228" s="2">
        <f t="shared" si="46"/>
        <v>6</v>
      </c>
      <c r="AJ228" s="2">
        <f t="shared" si="47"/>
        <v>1</v>
      </c>
      <c r="AK228" s="3">
        <v>3170.0000000023279</v>
      </c>
      <c r="AM228" s="2">
        <v>1</v>
      </c>
      <c r="AN228">
        <v>0</v>
      </c>
      <c r="AO228">
        <v>100</v>
      </c>
      <c r="AP228">
        <v>0</v>
      </c>
      <c r="AQ228" s="2">
        <f>IF((2*G228 + M228 -P228 + 3*W228 + 2*Z228+2*AD228 + AG228+2*AJ228 + 4*AM228) &gt;=8,1,0)</f>
        <v>1</v>
      </c>
    </row>
    <row r="229" spans="1:43" x14ac:dyDescent="0.25">
      <c r="A229" t="s">
        <v>27</v>
      </c>
      <c r="B229" s="1">
        <v>37423</v>
      </c>
      <c r="C229" s="7">
        <f t="shared" si="39"/>
        <v>2002</v>
      </c>
      <c r="D229">
        <v>91.3</v>
      </c>
      <c r="E229">
        <v>76.5</v>
      </c>
      <c r="F229">
        <v>82.6</v>
      </c>
      <c r="G229" s="2">
        <f t="shared" si="48"/>
        <v>1</v>
      </c>
      <c r="H229">
        <v>88.1</v>
      </c>
      <c r="I229">
        <v>76.5</v>
      </c>
      <c r="J229">
        <v>81.599999999999994</v>
      </c>
      <c r="K229">
        <v>54.6</v>
      </c>
      <c r="L229">
        <v>39.9</v>
      </c>
      <c r="M229" s="2">
        <f t="shared" si="40"/>
        <v>1</v>
      </c>
      <c r="N229">
        <v>0</v>
      </c>
      <c r="P229" s="2">
        <f t="shared" si="41"/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2">
        <f t="shared" si="42"/>
        <v>0</v>
      </c>
      <c r="X229">
        <v>21.9</v>
      </c>
      <c r="Z229" s="2">
        <f t="shared" si="43"/>
        <v>1</v>
      </c>
      <c r="AA229">
        <v>2.8</v>
      </c>
      <c r="AB229" s="2" t="str">
        <f>CHOOSE(MATCH(AA229,{0;11;80;111;161;191;241;281;341},1),"North","NorthEast","East","SouthEast","South","SouthWest","West","NorthWest","North")</f>
        <v>North</v>
      </c>
      <c r="AC229" s="5">
        <f>CHOOSE(MATCH(AB229,{"South";"SouthEast";"SouthWest";"North";"NorthEast";"East";"West";"NorthWest"},0),1,2,3,4,5,6,7,8)</f>
        <v>4</v>
      </c>
      <c r="AD229" s="2">
        <f t="shared" si="44"/>
        <v>1</v>
      </c>
      <c r="AE229">
        <v>1014.1</v>
      </c>
      <c r="AF229" s="4" t="s">
        <v>458</v>
      </c>
      <c r="AG229" s="2">
        <f t="shared" si="45"/>
        <v>0</v>
      </c>
      <c r="AH229" t="s">
        <v>459</v>
      </c>
      <c r="AI229" s="2">
        <f t="shared" si="46"/>
        <v>6</v>
      </c>
      <c r="AJ229" s="2">
        <f t="shared" si="47"/>
        <v>1</v>
      </c>
      <c r="AK229" s="3">
        <v>47.000000006519258</v>
      </c>
      <c r="AM229" s="2">
        <v>0</v>
      </c>
      <c r="AN229">
        <v>0</v>
      </c>
      <c r="AO229">
        <v>3</v>
      </c>
      <c r="AP229">
        <v>0</v>
      </c>
      <c r="AQ229" s="2">
        <f>IF((2*G229 + M229 -P229 + 3*W229 + 2*Z229+2*AD229 + AG229+2*AJ229 + 4*AM229) &gt;=8,1,0)</f>
        <v>1</v>
      </c>
    </row>
    <row r="230" spans="1:43" x14ac:dyDescent="0.25">
      <c r="A230" t="s">
        <v>27</v>
      </c>
      <c r="B230" s="1">
        <v>37423</v>
      </c>
      <c r="C230" s="7">
        <f t="shared" si="39"/>
        <v>2002</v>
      </c>
      <c r="D230">
        <v>91.3</v>
      </c>
      <c r="E230">
        <v>76.5</v>
      </c>
      <c r="F230">
        <v>82.6</v>
      </c>
      <c r="G230" s="2">
        <f t="shared" si="48"/>
        <v>1</v>
      </c>
      <c r="H230">
        <v>88.1</v>
      </c>
      <c r="I230">
        <v>76.5</v>
      </c>
      <c r="J230">
        <v>81.599999999999994</v>
      </c>
      <c r="K230">
        <v>54.6</v>
      </c>
      <c r="L230">
        <v>39.9</v>
      </c>
      <c r="M230" s="2">
        <f t="shared" si="40"/>
        <v>1</v>
      </c>
      <c r="N230">
        <v>0</v>
      </c>
      <c r="P230" s="2">
        <f t="shared" si="41"/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2">
        <f t="shared" si="42"/>
        <v>0</v>
      </c>
      <c r="X230">
        <v>21.9</v>
      </c>
      <c r="Z230" s="2">
        <f t="shared" si="43"/>
        <v>1</v>
      </c>
      <c r="AA230">
        <v>2.8</v>
      </c>
      <c r="AB230" s="2" t="str">
        <f>CHOOSE(MATCH(AA230,{0;11;80;111;161;191;241;281;341},1),"North","NorthEast","East","SouthEast","South","SouthWest","West","NorthWest","North")</f>
        <v>North</v>
      </c>
      <c r="AC230" s="5">
        <f>CHOOSE(MATCH(AB230,{"South";"SouthEast";"SouthWest";"North";"NorthEast";"East";"West";"NorthWest"},0),1,2,3,4,5,6,7,8)</f>
        <v>4</v>
      </c>
      <c r="AD230" s="2">
        <f t="shared" si="44"/>
        <v>1</v>
      </c>
      <c r="AE230">
        <v>1014.1</v>
      </c>
      <c r="AF230" s="4" t="s">
        <v>460</v>
      </c>
      <c r="AG230" s="2">
        <f t="shared" si="45"/>
        <v>0</v>
      </c>
      <c r="AH230" t="s">
        <v>461</v>
      </c>
      <c r="AI230" s="2">
        <f t="shared" si="46"/>
        <v>6</v>
      </c>
      <c r="AJ230" s="2">
        <f t="shared" si="47"/>
        <v>1</v>
      </c>
      <c r="AK230" s="3">
        <v>37.000000005355098</v>
      </c>
      <c r="AM230" s="2">
        <v>0</v>
      </c>
      <c r="AN230">
        <v>1.5</v>
      </c>
      <c r="AO230">
        <v>0</v>
      </c>
      <c r="AP230">
        <v>0</v>
      </c>
      <c r="AQ230" s="2">
        <f>IF((2*G230 + M230 -P230 + 3*W230 + 2*Z230+2*AD230 + AG230+2*AJ230 + 4*AM230) &gt;=8,1,0)</f>
        <v>1</v>
      </c>
    </row>
    <row r="231" spans="1:43" x14ac:dyDescent="0.25">
      <c r="A231" t="s">
        <v>27</v>
      </c>
      <c r="B231" s="1">
        <v>37427</v>
      </c>
      <c r="C231" s="7">
        <f t="shared" si="39"/>
        <v>2002</v>
      </c>
      <c r="D231">
        <v>87.7</v>
      </c>
      <c r="E231">
        <v>69.900000000000006</v>
      </c>
      <c r="F231">
        <v>81.3</v>
      </c>
      <c r="G231" s="2">
        <f t="shared" si="48"/>
        <v>1</v>
      </c>
      <c r="H231">
        <v>84.3</v>
      </c>
      <c r="I231">
        <v>69.900000000000006</v>
      </c>
      <c r="J231">
        <v>79.599999999999994</v>
      </c>
      <c r="K231">
        <v>45.4</v>
      </c>
      <c r="L231">
        <v>29.7</v>
      </c>
      <c r="M231" s="2">
        <f t="shared" si="40"/>
        <v>1</v>
      </c>
      <c r="N231">
        <v>0</v>
      </c>
      <c r="P231" s="2">
        <f t="shared" si="41"/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2">
        <f t="shared" si="42"/>
        <v>0</v>
      </c>
      <c r="X231">
        <v>22.2</v>
      </c>
      <c r="Z231" s="2">
        <f t="shared" si="43"/>
        <v>1</v>
      </c>
      <c r="AA231">
        <v>9.1</v>
      </c>
      <c r="AB231" s="2" t="str">
        <f>CHOOSE(MATCH(AA231,{0;11;80;111;161;191;241;281;341},1),"North","NorthEast","East","SouthEast","South","SouthWest","West","NorthWest","North")</f>
        <v>North</v>
      </c>
      <c r="AC231" s="5">
        <f>CHOOSE(MATCH(AB231,{"South";"SouthEast";"SouthWest";"North";"NorthEast";"East";"West";"NorthWest"},0),1,2,3,4,5,6,7,8)</f>
        <v>4</v>
      </c>
      <c r="AD231" s="2">
        <f t="shared" si="44"/>
        <v>1</v>
      </c>
      <c r="AE231">
        <v>1018.7</v>
      </c>
      <c r="AF231" s="4" t="s">
        <v>462</v>
      </c>
      <c r="AG231" s="2">
        <f t="shared" si="45"/>
        <v>1</v>
      </c>
      <c r="AH231" t="s">
        <v>463</v>
      </c>
      <c r="AI231" s="2">
        <f t="shared" si="46"/>
        <v>6</v>
      </c>
      <c r="AJ231" s="2">
        <f t="shared" si="47"/>
        <v>1</v>
      </c>
      <c r="AK231" s="3">
        <v>130.99999999743889</v>
      </c>
      <c r="AM231" s="2">
        <v>0</v>
      </c>
      <c r="AN231">
        <v>5</v>
      </c>
      <c r="AO231">
        <v>0</v>
      </c>
      <c r="AP231">
        <v>0</v>
      </c>
      <c r="AQ231" s="2">
        <f>IF((2*G231 + M231 -P231 + 3*W231 + 2*Z231+2*AD231 + AG231+2*AJ231 + 4*AM231) &gt;=8,1,0)</f>
        <v>1</v>
      </c>
    </row>
    <row r="232" spans="1:43" x14ac:dyDescent="0.25">
      <c r="A232" t="s">
        <v>27</v>
      </c>
      <c r="B232" s="1">
        <v>37427</v>
      </c>
      <c r="C232" s="7">
        <f t="shared" ref="C232:C290" si="49">YEAR(B232)</f>
        <v>2002</v>
      </c>
      <c r="D232">
        <v>87.7</v>
      </c>
      <c r="E232">
        <v>69.900000000000006</v>
      </c>
      <c r="F232">
        <v>81.3</v>
      </c>
      <c r="G232" s="2">
        <f t="shared" si="48"/>
        <v>1</v>
      </c>
      <c r="H232">
        <v>84.3</v>
      </c>
      <c r="I232">
        <v>69.900000000000006</v>
      </c>
      <c r="J232">
        <v>79.599999999999994</v>
      </c>
      <c r="K232">
        <v>45.4</v>
      </c>
      <c r="L232">
        <v>29.7</v>
      </c>
      <c r="M232" s="2">
        <f t="shared" ref="M232:M290" si="50">IF(L232&lt;=49.3,1,0)</f>
        <v>1</v>
      </c>
      <c r="N232">
        <v>0</v>
      </c>
      <c r="P232" s="2">
        <f t="shared" ref="P232:P290" si="51">IF(N232&lt;=0.01,1,0)</f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2">
        <f t="shared" ref="W232:W290" si="52">IF(V232&lt;=10,0,1)</f>
        <v>0</v>
      </c>
      <c r="X232">
        <v>22.2</v>
      </c>
      <c r="Z232" s="2">
        <f t="shared" ref="Z232:Z290" si="53">IF(X232&gt;=16,1,0)</f>
        <v>1</v>
      </c>
      <c r="AA232">
        <v>9.1</v>
      </c>
      <c r="AB232" s="2" t="str">
        <f>CHOOSE(MATCH(AA232,{0;11;80;111;161;191;241;281;341},1),"North","NorthEast","East","SouthEast","South","SouthWest","West","NorthWest","North")</f>
        <v>North</v>
      </c>
      <c r="AC232" s="5">
        <f>CHOOSE(MATCH(AB232,{"South";"SouthEast";"SouthWest";"North";"NorthEast";"East";"West";"NorthWest"},0),1,2,3,4,5,6,7,8)</f>
        <v>4</v>
      </c>
      <c r="AD232" s="2">
        <f t="shared" ref="AD232:AD290" si="54">IF(OR(AC232=3,AC232=4,AC232=5,AC232=8),1,0)</f>
        <v>1</v>
      </c>
      <c r="AE232">
        <v>1018.7</v>
      </c>
      <c r="AF232" s="4" t="s">
        <v>464</v>
      </c>
      <c r="AG232" s="2">
        <f t="shared" ref="AG232:AG290" si="55">IF(TIMEVALUE(AF232)&lt;=TIME(12,30,0),0,1)</f>
        <v>0</v>
      </c>
      <c r="AH232" t="s">
        <v>465</v>
      </c>
      <c r="AI232" s="2">
        <f t="shared" ref="AI232:AI290" si="56">MONTH(AH232)</f>
        <v>6</v>
      </c>
      <c r="AJ232" s="2">
        <f t="shared" ref="AJ232:AJ290" si="57">IF(OR(AI232=6,AI232=7,AI232=8),1,0)</f>
        <v>1</v>
      </c>
      <c r="AK232" s="3">
        <v>91.000000003259629</v>
      </c>
      <c r="AM232" s="2">
        <v>0</v>
      </c>
      <c r="AN232">
        <v>0</v>
      </c>
      <c r="AO232">
        <v>0.5</v>
      </c>
      <c r="AP232">
        <v>0</v>
      </c>
      <c r="AQ232" s="2">
        <f>IF((2*G232 + M232 -P232 + 3*W232 + 2*Z232+2*AD232 + AG232+2*AJ232 + 4*AM232) &gt;=8,1,0)</f>
        <v>1</v>
      </c>
    </row>
    <row r="233" spans="1:43" x14ac:dyDescent="0.25">
      <c r="A233" t="s">
        <v>27</v>
      </c>
      <c r="B233" s="1">
        <v>37427</v>
      </c>
      <c r="C233" s="7">
        <f t="shared" si="49"/>
        <v>2002</v>
      </c>
      <c r="D233">
        <v>87.7</v>
      </c>
      <c r="E233">
        <v>69.900000000000006</v>
      </c>
      <c r="F233">
        <v>81.3</v>
      </c>
      <c r="G233" s="2">
        <f t="shared" si="48"/>
        <v>1</v>
      </c>
      <c r="H233">
        <v>84.3</v>
      </c>
      <c r="I233">
        <v>69.900000000000006</v>
      </c>
      <c r="J233">
        <v>79.599999999999994</v>
      </c>
      <c r="K233">
        <v>45.4</v>
      </c>
      <c r="L233">
        <v>29.7</v>
      </c>
      <c r="M233" s="2">
        <f t="shared" si="50"/>
        <v>1</v>
      </c>
      <c r="N233">
        <v>0</v>
      </c>
      <c r="P233" s="2">
        <f t="shared" si="51"/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2">
        <f t="shared" si="52"/>
        <v>0</v>
      </c>
      <c r="X233">
        <v>22.2</v>
      </c>
      <c r="Z233" s="2">
        <f t="shared" si="53"/>
        <v>1</v>
      </c>
      <c r="AA233">
        <v>9.1</v>
      </c>
      <c r="AB233" s="2" t="str">
        <f>CHOOSE(MATCH(AA233,{0;11;80;111;161;191;241;281;341},1),"North","NorthEast","East","SouthEast","South","SouthWest","West","NorthWest","North")</f>
        <v>North</v>
      </c>
      <c r="AC233" s="5">
        <f>CHOOSE(MATCH(AB233,{"South";"SouthEast";"SouthWest";"North";"NorthEast";"East";"West";"NorthWest"},0),1,2,3,4,5,6,7,8)</f>
        <v>4</v>
      </c>
      <c r="AD233" s="2">
        <f t="shared" si="54"/>
        <v>1</v>
      </c>
      <c r="AE233">
        <v>1018.7</v>
      </c>
      <c r="AF233" s="4" t="s">
        <v>466</v>
      </c>
      <c r="AG233" s="2">
        <f t="shared" si="55"/>
        <v>1</v>
      </c>
      <c r="AH233" t="s">
        <v>467</v>
      </c>
      <c r="AI233" s="2">
        <f t="shared" si="56"/>
        <v>6</v>
      </c>
      <c r="AJ233" s="2">
        <f t="shared" si="57"/>
        <v>1</v>
      </c>
      <c r="AK233" s="3">
        <v>4357.9999999981374</v>
      </c>
      <c r="AM233" s="2">
        <v>1</v>
      </c>
      <c r="AN233">
        <v>0</v>
      </c>
      <c r="AO233">
        <v>100</v>
      </c>
      <c r="AP233">
        <v>0</v>
      </c>
      <c r="AQ233" s="2">
        <f>IF((2*G233 + M233 -P233 + 3*W233 + 2*Z233+2*AD233 + AG233+2*AJ233 + 4*AM233) &gt;=8,1,0)</f>
        <v>1</v>
      </c>
    </row>
    <row r="234" spans="1:43" x14ac:dyDescent="0.25">
      <c r="A234" t="s">
        <v>27</v>
      </c>
      <c r="B234" s="1">
        <v>37429</v>
      </c>
      <c r="C234" s="7">
        <f t="shared" si="49"/>
        <v>2002</v>
      </c>
      <c r="D234">
        <v>91.3</v>
      </c>
      <c r="E234">
        <v>75.2</v>
      </c>
      <c r="F234">
        <v>83.7</v>
      </c>
      <c r="G234" s="2">
        <f t="shared" si="48"/>
        <v>1</v>
      </c>
      <c r="H234">
        <v>88</v>
      </c>
      <c r="I234">
        <v>75.2</v>
      </c>
      <c r="J234">
        <v>82.2</v>
      </c>
      <c r="K234">
        <v>51.2</v>
      </c>
      <c r="L234">
        <v>33.700000000000003</v>
      </c>
      <c r="M234" s="2">
        <f t="shared" si="50"/>
        <v>1</v>
      </c>
      <c r="N234">
        <v>0</v>
      </c>
      <c r="P234" s="2">
        <f t="shared" si="51"/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s="2">
        <f t="shared" si="52"/>
        <v>0</v>
      </c>
      <c r="X234">
        <v>19.7</v>
      </c>
      <c r="Z234" s="2">
        <f t="shared" si="53"/>
        <v>1</v>
      </c>
      <c r="AA234">
        <v>5.0999999999999996</v>
      </c>
      <c r="AB234" s="2" t="str">
        <f>CHOOSE(MATCH(AA234,{0;11;80;111;161;191;241;281;341},1),"North","NorthEast","East","SouthEast","South","SouthWest","West","NorthWest","North")</f>
        <v>North</v>
      </c>
      <c r="AC234" s="5">
        <f>CHOOSE(MATCH(AB234,{"South";"SouthEast";"SouthWest";"North";"NorthEast";"East";"West";"NorthWest"},0),1,2,3,4,5,6,7,8)</f>
        <v>4</v>
      </c>
      <c r="AD234" s="2">
        <f t="shared" si="54"/>
        <v>1</v>
      </c>
      <c r="AE234">
        <v>1013.5</v>
      </c>
      <c r="AF234" s="4" t="s">
        <v>452</v>
      </c>
      <c r="AG234" s="2">
        <f t="shared" si="55"/>
        <v>1</v>
      </c>
      <c r="AH234" t="s">
        <v>468</v>
      </c>
      <c r="AI234" s="2">
        <f t="shared" si="56"/>
        <v>6</v>
      </c>
      <c r="AJ234" s="2">
        <f t="shared" si="57"/>
        <v>1</v>
      </c>
      <c r="AK234" s="3">
        <v>76.999999999534339</v>
      </c>
      <c r="AM234" s="2">
        <v>0</v>
      </c>
      <c r="AN234">
        <v>2</v>
      </c>
      <c r="AO234">
        <v>0</v>
      </c>
      <c r="AP234">
        <v>0</v>
      </c>
      <c r="AQ234" s="2">
        <f>IF((2*G234 + M234 -P234 + 3*W234 + 2*Z234+2*AD234 + AG234+2*AJ234 + 4*AM234) &gt;=8,1,0)</f>
        <v>1</v>
      </c>
    </row>
    <row r="235" spans="1:43" x14ac:dyDescent="0.25">
      <c r="A235" t="s">
        <v>27</v>
      </c>
      <c r="B235" s="1">
        <v>37429</v>
      </c>
      <c r="C235" s="7">
        <f t="shared" si="49"/>
        <v>2002</v>
      </c>
      <c r="D235">
        <v>91.3</v>
      </c>
      <c r="E235">
        <v>75.2</v>
      </c>
      <c r="F235">
        <v>83.7</v>
      </c>
      <c r="G235" s="2">
        <f t="shared" si="48"/>
        <v>1</v>
      </c>
      <c r="H235">
        <v>88</v>
      </c>
      <c r="I235">
        <v>75.2</v>
      </c>
      <c r="J235">
        <v>82.2</v>
      </c>
      <c r="K235">
        <v>51.2</v>
      </c>
      <c r="L235">
        <v>33.700000000000003</v>
      </c>
      <c r="M235" s="2">
        <f t="shared" si="50"/>
        <v>1</v>
      </c>
      <c r="N235">
        <v>0</v>
      </c>
      <c r="P235" s="2">
        <f t="shared" si="51"/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2">
        <f t="shared" si="52"/>
        <v>0</v>
      </c>
      <c r="X235">
        <v>19.7</v>
      </c>
      <c r="Z235" s="2">
        <f t="shared" si="53"/>
        <v>1</v>
      </c>
      <c r="AA235">
        <v>5.0999999999999996</v>
      </c>
      <c r="AB235" s="2" t="str">
        <f>CHOOSE(MATCH(AA235,{0;11;80;111;161;191;241;281;341},1),"North","NorthEast","East","SouthEast","South","SouthWest","West","NorthWest","North")</f>
        <v>North</v>
      </c>
      <c r="AC235" s="5">
        <f>CHOOSE(MATCH(AB235,{"South";"SouthEast";"SouthWest";"North";"NorthEast";"East";"West";"NorthWest"},0),1,2,3,4,5,6,7,8)</f>
        <v>4</v>
      </c>
      <c r="AD235" s="2">
        <f t="shared" si="54"/>
        <v>1</v>
      </c>
      <c r="AE235">
        <v>1013.5</v>
      </c>
      <c r="AF235" s="4" t="s">
        <v>469</v>
      </c>
      <c r="AG235" s="2">
        <f t="shared" si="55"/>
        <v>1</v>
      </c>
      <c r="AH235" t="s">
        <v>470</v>
      </c>
      <c r="AI235" s="2">
        <f t="shared" si="56"/>
        <v>6</v>
      </c>
      <c r="AJ235" s="2">
        <f t="shared" si="57"/>
        <v>1</v>
      </c>
      <c r="AK235" s="3">
        <v>71.000000000931323</v>
      </c>
      <c r="AM235" s="2">
        <v>0</v>
      </c>
      <c r="AN235">
        <v>0</v>
      </c>
      <c r="AO235">
        <v>1</v>
      </c>
      <c r="AP235">
        <v>0</v>
      </c>
      <c r="AQ235" s="2">
        <f>IF((2*G235 + M235 -P235 + 3*W235 + 2*Z235+2*AD235 + AG235+2*AJ235 + 4*AM235) &gt;=8,1,0)</f>
        <v>1</v>
      </c>
    </row>
    <row r="236" spans="1:43" x14ac:dyDescent="0.25">
      <c r="A236" t="s">
        <v>27</v>
      </c>
      <c r="B236" s="1">
        <v>37429</v>
      </c>
      <c r="C236" s="7">
        <f t="shared" si="49"/>
        <v>2002</v>
      </c>
      <c r="D236">
        <v>91.3</v>
      </c>
      <c r="E236">
        <v>75.2</v>
      </c>
      <c r="F236">
        <v>83.7</v>
      </c>
      <c r="G236" s="2">
        <f t="shared" si="48"/>
        <v>1</v>
      </c>
      <c r="H236">
        <v>88</v>
      </c>
      <c r="I236">
        <v>75.2</v>
      </c>
      <c r="J236">
        <v>82.2</v>
      </c>
      <c r="K236">
        <v>51.2</v>
      </c>
      <c r="L236">
        <v>33.700000000000003</v>
      </c>
      <c r="M236" s="2">
        <f t="shared" si="50"/>
        <v>1</v>
      </c>
      <c r="N236">
        <v>0</v>
      </c>
      <c r="P236" s="2">
        <f t="shared" si="51"/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2">
        <f t="shared" si="52"/>
        <v>0</v>
      </c>
      <c r="X236">
        <v>19.7</v>
      </c>
      <c r="Z236" s="2">
        <f t="shared" si="53"/>
        <v>1</v>
      </c>
      <c r="AA236">
        <v>5.0999999999999996</v>
      </c>
      <c r="AB236" s="2" t="str">
        <f>CHOOSE(MATCH(AA236,{0;11;80;111;161;191;241;281;341},1),"North","NorthEast","East","SouthEast","South","SouthWest","West","NorthWest","North")</f>
        <v>North</v>
      </c>
      <c r="AC236" s="5">
        <f>CHOOSE(MATCH(AB236,{"South";"SouthEast";"SouthWest";"North";"NorthEast";"East";"West";"NorthWest"},0),1,2,3,4,5,6,7,8)</f>
        <v>4</v>
      </c>
      <c r="AD236" s="2">
        <f t="shared" si="54"/>
        <v>1</v>
      </c>
      <c r="AE236">
        <v>1013.5</v>
      </c>
      <c r="AF236" s="4" t="s">
        <v>471</v>
      </c>
      <c r="AG236" s="2">
        <f t="shared" si="55"/>
        <v>0</v>
      </c>
      <c r="AH236" t="s">
        <v>472</v>
      </c>
      <c r="AI236" s="2">
        <f t="shared" si="56"/>
        <v>6</v>
      </c>
      <c r="AJ236" s="2">
        <f t="shared" si="57"/>
        <v>1</v>
      </c>
      <c r="AK236" s="3">
        <v>364.99999999534339</v>
      </c>
      <c r="AM236" s="2">
        <v>1</v>
      </c>
      <c r="AN236">
        <v>0</v>
      </c>
      <c r="AO236">
        <v>100</v>
      </c>
      <c r="AP236">
        <v>0</v>
      </c>
      <c r="AQ236" s="2">
        <f>IF((2*G236 + M236 -P236 + 3*W236 + 2*Z236+2*AD236 + AG236+2*AJ236 + 4*AM236) &gt;=8,1,0)</f>
        <v>1</v>
      </c>
    </row>
    <row r="237" spans="1:43" x14ac:dyDescent="0.25">
      <c r="A237" t="s">
        <v>27</v>
      </c>
      <c r="B237" s="1">
        <v>37430</v>
      </c>
      <c r="C237" s="7">
        <f t="shared" si="49"/>
        <v>2002</v>
      </c>
      <c r="D237">
        <v>93.6</v>
      </c>
      <c r="E237">
        <v>77.8</v>
      </c>
      <c r="F237">
        <v>86.2</v>
      </c>
      <c r="G237" s="2">
        <f t="shared" si="48"/>
        <v>1</v>
      </c>
      <c r="H237">
        <v>91.4</v>
      </c>
      <c r="I237">
        <v>77.8</v>
      </c>
      <c r="J237">
        <v>85.2</v>
      </c>
      <c r="K237">
        <v>56.3</v>
      </c>
      <c r="L237">
        <v>37.299999999999997</v>
      </c>
      <c r="M237" s="2">
        <f t="shared" si="50"/>
        <v>1</v>
      </c>
      <c r="N237">
        <v>0</v>
      </c>
      <c r="P237" s="2">
        <f t="shared" si="51"/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2">
        <f t="shared" si="52"/>
        <v>0</v>
      </c>
      <c r="X237">
        <v>22</v>
      </c>
      <c r="Z237" s="2">
        <f t="shared" si="53"/>
        <v>1</v>
      </c>
      <c r="AA237">
        <v>2.9</v>
      </c>
      <c r="AB237" s="2" t="str">
        <f>CHOOSE(MATCH(AA237,{0;11;80;111;161;191;241;281;341},1),"North","NorthEast","East","SouthEast","South","SouthWest","West","NorthWest","North")</f>
        <v>North</v>
      </c>
      <c r="AC237" s="5">
        <f>CHOOSE(MATCH(AB237,{"South";"SouthEast";"SouthWest";"North";"NorthEast";"East";"West";"NorthWest"},0),1,2,3,4,5,6,7,8)</f>
        <v>4</v>
      </c>
      <c r="AD237" s="2">
        <f t="shared" si="54"/>
        <v>1</v>
      </c>
      <c r="AE237">
        <v>1013.9</v>
      </c>
      <c r="AF237" s="4" t="s">
        <v>300</v>
      </c>
      <c r="AG237" s="2">
        <f t="shared" si="55"/>
        <v>1</v>
      </c>
      <c r="AH237" t="s">
        <v>473</v>
      </c>
      <c r="AI237" s="2">
        <f t="shared" si="56"/>
        <v>6</v>
      </c>
      <c r="AJ237" s="2">
        <f t="shared" si="57"/>
        <v>1</v>
      </c>
      <c r="AK237" s="3">
        <v>199.9999999918509</v>
      </c>
      <c r="AM237" s="2">
        <v>0</v>
      </c>
      <c r="AN237">
        <v>0</v>
      </c>
      <c r="AO237">
        <v>6</v>
      </c>
      <c r="AP237">
        <v>0</v>
      </c>
      <c r="AQ237" s="2">
        <f>IF((2*G237 + M237 -P237 + 3*W237 + 2*Z237+2*AD237 + AG237+2*AJ237 + 4*AM237) &gt;=8,1,0)</f>
        <v>1</v>
      </c>
    </row>
    <row r="238" spans="1:43" x14ac:dyDescent="0.25">
      <c r="A238" t="s">
        <v>27</v>
      </c>
      <c r="B238" s="1">
        <v>37431</v>
      </c>
      <c r="C238" s="7">
        <f t="shared" si="49"/>
        <v>2002</v>
      </c>
      <c r="D238">
        <v>93.1</v>
      </c>
      <c r="E238">
        <v>79.2</v>
      </c>
      <c r="F238">
        <v>86.7</v>
      </c>
      <c r="G238" s="2">
        <f t="shared" si="48"/>
        <v>1</v>
      </c>
      <c r="H238">
        <v>96.6</v>
      </c>
      <c r="I238">
        <v>79.2</v>
      </c>
      <c r="J238">
        <v>87.9</v>
      </c>
      <c r="K238">
        <v>62.4</v>
      </c>
      <c r="L238">
        <v>44.7</v>
      </c>
      <c r="M238" s="2">
        <f t="shared" si="50"/>
        <v>1</v>
      </c>
      <c r="N238">
        <v>0</v>
      </c>
      <c r="P238" s="2">
        <f t="shared" si="51"/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2">
        <f t="shared" si="52"/>
        <v>0</v>
      </c>
      <c r="X238">
        <v>14.9</v>
      </c>
      <c r="Z238" s="2">
        <f t="shared" si="53"/>
        <v>0</v>
      </c>
      <c r="AA238">
        <v>338.7</v>
      </c>
      <c r="AB238" s="2" t="str">
        <f>CHOOSE(MATCH(AA238,{0;11;80;111;161;191;241;281;341},1),"North","NorthEast","East","SouthEast","South","SouthWest","West","NorthWest","North")</f>
        <v>NorthWest</v>
      </c>
      <c r="AC238" s="5">
        <f>CHOOSE(MATCH(AB238,{"South";"SouthEast";"SouthWest";"North";"NorthEast";"East";"West";"NorthWest"},0),1,2,3,4,5,6,7,8)</f>
        <v>8</v>
      </c>
      <c r="AD238" s="2">
        <f t="shared" si="54"/>
        <v>1</v>
      </c>
      <c r="AE238">
        <v>1013.6</v>
      </c>
      <c r="AF238" s="4" t="s">
        <v>372</v>
      </c>
      <c r="AG238" s="2">
        <f t="shared" si="55"/>
        <v>1</v>
      </c>
      <c r="AH238" t="s">
        <v>474</v>
      </c>
      <c r="AI238" s="2">
        <f t="shared" si="56"/>
        <v>6</v>
      </c>
      <c r="AJ238" s="2">
        <f t="shared" si="57"/>
        <v>1</v>
      </c>
      <c r="AK238" s="3">
        <v>4009.9999999953429</v>
      </c>
      <c r="AM238" s="2">
        <v>1</v>
      </c>
      <c r="AN238">
        <v>0</v>
      </c>
      <c r="AO238">
        <v>40</v>
      </c>
      <c r="AP238">
        <v>0</v>
      </c>
      <c r="AQ238" s="2">
        <f>IF((2*G238 + M238 -P238 + 3*W238 + 2*Z238+2*AD238 + AG238+2*AJ238 + 4*AM238) &gt;=8,1,0)</f>
        <v>1</v>
      </c>
    </row>
    <row r="239" spans="1:43" x14ac:dyDescent="0.25">
      <c r="A239" t="s">
        <v>27</v>
      </c>
      <c r="B239" s="1">
        <v>37432</v>
      </c>
      <c r="C239" s="7">
        <f t="shared" si="49"/>
        <v>2002</v>
      </c>
      <c r="D239">
        <v>91.6</v>
      </c>
      <c r="E239">
        <v>72.900000000000006</v>
      </c>
      <c r="F239">
        <v>84.4</v>
      </c>
      <c r="G239" s="2">
        <f t="shared" si="48"/>
        <v>1</v>
      </c>
      <c r="H239">
        <v>92.3</v>
      </c>
      <c r="I239">
        <v>72.900000000000006</v>
      </c>
      <c r="J239">
        <v>84.7</v>
      </c>
      <c r="K239">
        <v>60.8</v>
      </c>
      <c r="L239">
        <v>46.2</v>
      </c>
      <c r="M239" s="2">
        <f t="shared" si="50"/>
        <v>1</v>
      </c>
      <c r="N239">
        <v>0</v>
      </c>
      <c r="P239" s="2">
        <f t="shared" si="51"/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2">
        <f t="shared" si="52"/>
        <v>0</v>
      </c>
      <c r="X239">
        <v>11.9</v>
      </c>
      <c r="Z239" s="2">
        <f t="shared" si="53"/>
        <v>0</v>
      </c>
      <c r="AA239">
        <v>187</v>
      </c>
      <c r="AB239" s="2" t="str">
        <f>CHOOSE(MATCH(AA239,{0;11;80;111;161;191;241;281;341},1),"North","NorthEast","East","SouthEast","South","SouthWest","West","NorthWest","North")</f>
        <v>South</v>
      </c>
      <c r="AC239" s="5">
        <f>CHOOSE(MATCH(AB239,{"South";"SouthEast";"SouthWest";"North";"NorthEast";"East";"West";"NorthWest"},0),1,2,3,4,5,6,7,8)</f>
        <v>1</v>
      </c>
      <c r="AD239" s="2">
        <f t="shared" si="54"/>
        <v>0</v>
      </c>
      <c r="AE239">
        <v>1012.1</v>
      </c>
      <c r="AF239" s="4" t="s">
        <v>475</v>
      </c>
      <c r="AG239" s="2">
        <f t="shared" si="55"/>
        <v>1</v>
      </c>
      <c r="AH239" t="s">
        <v>476</v>
      </c>
      <c r="AI239" s="2">
        <f t="shared" si="56"/>
        <v>6</v>
      </c>
      <c r="AJ239" s="2">
        <f t="shared" si="57"/>
        <v>1</v>
      </c>
      <c r="AK239" s="3">
        <v>58.999999993247911</v>
      </c>
      <c r="AM239" s="2">
        <v>0</v>
      </c>
      <c r="AN239">
        <v>0</v>
      </c>
      <c r="AO239">
        <v>0.1</v>
      </c>
      <c r="AP239">
        <v>0</v>
      </c>
      <c r="AQ239" s="2">
        <f>IF((2*G239 + M239 -P239 + 3*W239 + 2*Z239+2*AD239 + AG239+2*AJ239 + 4*AM239) &gt;=8,1,0)</f>
        <v>0</v>
      </c>
    </row>
    <row r="240" spans="1:43" x14ac:dyDescent="0.25">
      <c r="A240" t="s">
        <v>27</v>
      </c>
      <c r="B240" s="1">
        <v>37434</v>
      </c>
      <c r="C240" s="7">
        <f t="shared" si="49"/>
        <v>2002</v>
      </c>
      <c r="D240">
        <v>89.3</v>
      </c>
      <c r="E240">
        <v>75.099999999999994</v>
      </c>
      <c r="F240">
        <v>81.099999999999994</v>
      </c>
      <c r="G240" s="2">
        <f t="shared" si="48"/>
        <v>1</v>
      </c>
      <c r="H240">
        <v>88.4</v>
      </c>
      <c r="I240">
        <v>75.099999999999994</v>
      </c>
      <c r="J240">
        <v>80.900000000000006</v>
      </c>
      <c r="K240">
        <v>57.6</v>
      </c>
      <c r="L240">
        <v>45.2</v>
      </c>
      <c r="M240" s="2">
        <f t="shared" si="50"/>
        <v>1</v>
      </c>
      <c r="N240">
        <v>0</v>
      </c>
      <c r="P240" s="2">
        <f t="shared" si="51"/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2">
        <f t="shared" si="52"/>
        <v>0</v>
      </c>
      <c r="X240">
        <v>14.3</v>
      </c>
      <c r="Z240" s="2">
        <f t="shared" si="53"/>
        <v>0</v>
      </c>
      <c r="AA240">
        <v>14.8</v>
      </c>
      <c r="AB240" s="2" t="str">
        <f>CHOOSE(MATCH(AA240,{0;11;80;111;161;191;241;281;341},1),"North","NorthEast","East","SouthEast","South","SouthWest","West","NorthWest","North")</f>
        <v>NorthEast</v>
      </c>
      <c r="AC240" s="5">
        <f>CHOOSE(MATCH(AB240,{"South";"SouthEast";"SouthWest";"North";"NorthEast";"East";"West";"NorthWest"},0),1,2,3,4,5,6,7,8)</f>
        <v>5</v>
      </c>
      <c r="AD240" s="2">
        <f t="shared" si="54"/>
        <v>1</v>
      </c>
      <c r="AE240">
        <v>1014</v>
      </c>
      <c r="AF240" s="4" t="s">
        <v>70</v>
      </c>
      <c r="AG240" s="2">
        <f t="shared" si="55"/>
        <v>0</v>
      </c>
      <c r="AH240" t="s">
        <v>477</v>
      </c>
      <c r="AI240" s="2">
        <f t="shared" si="56"/>
        <v>6</v>
      </c>
      <c r="AJ240" s="2">
        <f t="shared" si="57"/>
        <v>1</v>
      </c>
      <c r="AK240" s="3">
        <v>6210</v>
      </c>
      <c r="AM240" s="2">
        <v>1</v>
      </c>
      <c r="AN240">
        <v>0</v>
      </c>
      <c r="AO240">
        <v>245</v>
      </c>
      <c r="AP240">
        <v>0</v>
      </c>
      <c r="AQ240" s="2">
        <f>IF((2*G240 + M240 -P240 + 3*W240 + 2*Z240+2*AD240 + AG240+2*AJ240 + 4*AM240) &gt;=8,1,0)</f>
        <v>1</v>
      </c>
    </row>
    <row r="241" spans="1:43" x14ac:dyDescent="0.25">
      <c r="A241" t="s">
        <v>27</v>
      </c>
      <c r="B241" s="1">
        <v>37439</v>
      </c>
      <c r="C241" s="7">
        <f t="shared" si="49"/>
        <v>2002</v>
      </c>
      <c r="D241">
        <v>91.2</v>
      </c>
      <c r="E241">
        <v>74.900000000000006</v>
      </c>
      <c r="F241">
        <v>82.6</v>
      </c>
      <c r="G241" s="2">
        <f t="shared" si="48"/>
        <v>1</v>
      </c>
      <c r="H241">
        <v>91.8</v>
      </c>
      <c r="I241">
        <v>74.900000000000006</v>
      </c>
      <c r="J241">
        <v>82.4</v>
      </c>
      <c r="K241">
        <v>60.2</v>
      </c>
      <c r="L241">
        <v>48.7</v>
      </c>
      <c r="M241" s="2">
        <f t="shared" si="50"/>
        <v>1</v>
      </c>
      <c r="N241">
        <v>0</v>
      </c>
      <c r="P241" s="2">
        <f t="shared" si="51"/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2">
        <f t="shared" si="52"/>
        <v>0</v>
      </c>
      <c r="X241">
        <v>13</v>
      </c>
      <c r="Z241" s="2">
        <f t="shared" si="53"/>
        <v>0</v>
      </c>
      <c r="AA241">
        <v>340</v>
      </c>
      <c r="AB241" s="2" t="str">
        <f>CHOOSE(MATCH(AA241,{0;11;80;111;161;191;241;281;341},1),"North","NorthEast","East","SouthEast","South","SouthWest","West","NorthWest","North")</f>
        <v>NorthWest</v>
      </c>
      <c r="AC241" s="5">
        <f>CHOOSE(MATCH(AB241,{"South";"SouthEast";"SouthWest";"North";"NorthEast";"East";"West";"NorthWest"},0),1,2,3,4,5,6,7,8)</f>
        <v>8</v>
      </c>
      <c r="AD241" s="2">
        <f t="shared" si="54"/>
        <v>1</v>
      </c>
      <c r="AE241">
        <v>1014.3</v>
      </c>
      <c r="AF241" s="4" t="s">
        <v>172</v>
      </c>
      <c r="AG241" s="2">
        <f t="shared" si="55"/>
        <v>1</v>
      </c>
      <c r="AH241" t="s">
        <v>478</v>
      </c>
      <c r="AI241" s="2">
        <f t="shared" si="56"/>
        <v>7</v>
      </c>
      <c r="AJ241" s="2">
        <f t="shared" si="57"/>
        <v>1</v>
      </c>
      <c r="AK241" s="3">
        <v>96.000000009080395</v>
      </c>
      <c r="AM241" s="2">
        <v>0</v>
      </c>
      <c r="AN241">
        <v>0</v>
      </c>
      <c r="AO241">
        <v>30</v>
      </c>
      <c r="AP241">
        <v>0</v>
      </c>
      <c r="AQ241" s="2">
        <f>IF((2*G241 + M241 -P241 + 3*W241 + 2*Z241+2*AD241 + AG241+2*AJ241 + 4*AM241) &gt;=8,1,0)</f>
        <v>0</v>
      </c>
    </row>
    <row r="242" spans="1:43" x14ac:dyDescent="0.25">
      <c r="A242" t="s">
        <v>27</v>
      </c>
      <c r="B242" s="1">
        <v>37441</v>
      </c>
      <c r="C242" s="7">
        <f t="shared" si="49"/>
        <v>2002</v>
      </c>
      <c r="D242">
        <v>88.5</v>
      </c>
      <c r="E242">
        <v>73.7</v>
      </c>
      <c r="F242">
        <v>81.900000000000006</v>
      </c>
      <c r="G242" s="2">
        <f t="shared" si="48"/>
        <v>1</v>
      </c>
      <c r="H242">
        <v>89.3</v>
      </c>
      <c r="I242">
        <v>73.7</v>
      </c>
      <c r="J242">
        <v>82.2</v>
      </c>
      <c r="K242">
        <v>64</v>
      </c>
      <c r="L242">
        <v>56.6</v>
      </c>
      <c r="M242" s="2">
        <f t="shared" si="50"/>
        <v>0</v>
      </c>
      <c r="N242">
        <v>0</v>
      </c>
      <c r="P242" s="2">
        <f t="shared" si="51"/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2">
        <f t="shared" si="52"/>
        <v>0</v>
      </c>
      <c r="X242">
        <v>11.1</v>
      </c>
      <c r="Z242" s="2">
        <f t="shared" si="53"/>
        <v>0</v>
      </c>
      <c r="AA242">
        <v>190.4</v>
      </c>
      <c r="AB242" s="2" t="str">
        <f>CHOOSE(MATCH(AA242,{0;11;80;111;161;191;241;281;341},1),"North","NorthEast","East","SouthEast","South","SouthWest","West","NorthWest","North")</f>
        <v>South</v>
      </c>
      <c r="AC242" s="5">
        <f>CHOOSE(MATCH(AB242,{"South";"SouthEast";"SouthWest";"North";"NorthEast";"East";"West";"NorthWest"},0),1,2,3,4,5,6,7,8)</f>
        <v>1</v>
      </c>
      <c r="AD242" s="2">
        <f t="shared" si="54"/>
        <v>0</v>
      </c>
      <c r="AE242">
        <v>1012</v>
      </c>
      <c r="AF242" s="4" t="s">
        <v>479</v>
      </c>
      <c r="AG242" s="2">
        <f t="shared" si="55"/>
        <v>1</v>
      </c>
      <c r="AH242" t="s">
        <v>480</v>
      </c>
      <c r="AI242" s="2">
        <f t="shared" si="56"/>
        <v>7</v>
      </c>
      <c r="AJ242" s="2">
        <f t="shared" si="57"/>
        <v>1</v>
      </c>
      <c r="AK242" s="3">
        <v>945</v>
      </c>
      <c r="AM242" s="2">
        <v>1</v>
      </c>
      <c r="AN242">
        <v>0</v>
      </c>
      <c r="AO242">
        <v>3</v>
      </c>
      <c r="AP242">
        <v>0</v>
      </c>
      <c r="AQ242" s="2">
        <f>IF((2*G242 + M242 -P242 + 3*W242 + 2*Z242+2*AD242 + AG242+2*AJ242 + 4*AM242) &gt;=8,1,0)</f>
        <v>1</v>
      </c>
    </row>
    <row r="243" spans="1:43" x14ac:dyDescent="0.25">
      <c r="A243" t="s">
        <v>27</v>
      </c>
      <c r="B243" s="1">
        <v>37444</v>
      </c>
      <c r="C243" s="7">
        <f t="shared" si="49"/>
        <v>2002</v>
      </c>
      <c r="D243">
        <v>96.3</v>
      </c>
      <c r="E243">
        <v>68.099999999999994</v>
      </c>
      <c r="F243">
        <v>84.8</v>
      </c>
      <c r="G243" s="2">
        <f t="shared" si="48"/>
        <v>1</v>
      </c>
      <c r="H243">
        <v>96.6</v>
      </c>
      <c r="I243">
        <v>68.099999999999994</v>
      </c>
      <c r="J243">
        <v>84.5</v>
      </c>
      <c r="K243">
        <v>56.5</v>
      </c>
      <c r="L243">
        <v>39.9</v>
      </c>
      <c r="M243" s="2">
        <f t="shared" si="50"/>
        <v>1</v>
      </c>
      <c r="N243">
        <v>0</v>
      </c>
      <c r="P243" s="2">
        <f t="shared" si="51"/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2">
        <f t="shared" si="52"/>
        <v>0</v>
      </c>
      <c r="X243">
        <v>13.9</v>
      </c>
      <c r="Z243" s="2">
        <f t="shared" si="53"/>
        <v>0</v>
      </c>
      <c r="AA243">
        <v>189.8</v>
      </c>
      <c r="AB243" s="2" t="str">
        <f>CHOOSE(MATCH(AA243,{0;11;80;111;161;191;241;281;341},1),"North","NorthEast","East","SouthEast","South","SouthWest","West","NorthWest","North")</f>
        <v>South</v>
      </c>
      <c r="AC243" s="5">
        <f>CHOOSE(MATCH(AB243,{"South";"SouthEast";"SouthWest";"North";"NorthEast";"East";"West";"NorthWest"},0),1,2,3,4,5,6,7,8)</f>
        <v>1</v>
      </c>
      <c r="AD243" s="2">
        <f t="shared" si="54"/>
        <v>0</v>
      </c>
      <c r="AE243">
        <v>1010.5</v>
      </c>
      <c r="AF243" s="4" t="s">
        <v>481</v>
      </c>
      <c r="AG243" s="2">
        <f t="shared" si="55"/>
        <v>0</v>
      </c>
      <c r="AH243" t="s">
        <v>482</v>
      </c>
      <c r="AI243" s="2">
        <f t="shared" si="56"/>
        <v>7</v>
      </c>
      <c r="AJ243" s="2">
        <f t="shared" si="57"/>
        <v>1</v>
      </c>
      <c r="AK243" s="3">
        <v>9.9999999906867743</v>
      </c>
      <c r="AM243" s="2">
        <v>0</v>
      </c>
      <c r="AN243">
        <v>4</v>
      </c>
      <c r="AO243">
        <v>0</v>
      </c>
      <c r="AP243">
        <v>0</v>
      </c>
      <c r="AQ243" s="2">
        <f>IF((2*G243 + M243 -P243 + 3*W243 + 2*Z243+2*AD243 + AG243+2*AJ243 + 4*AM243) &gt;=8,1,0)</f>
        <v>0</v>
      </c>
    </row>
    <row r="244" spans="1:43" x14ac:dyDescent="0.25">
      <c r="A244" t="s">
        <v>27</v>
      </c>
      <c r="B244" s="1">
        <v>37451</v>
      </c>
      <c r="C244" s="7">
        <f t="shared" si="49"/>
        <v>2002</v>
      </c>
      <c r="D244">
        <v>94.8</v>
      </c>
      <c r="E244">
        <v>76.7</v>
      </c>
      <c r="F244">
        <v>85.5</v>
      </c>
      <c r="G244" s="2">
        <f t="shared" si="48"/>
        <v>1</v>
      </c>
      <c r="H244">
        <v>98.9</v>
      </c>
      <c r="I244">
        <v>76.7</v>
      </c>
      <c r="J244">
        <v>87.3</v>
      </c>
      <c r="K244">
        <v>65</v>
      </c>
      <c r="L244">
        <v>51.7</v>
      </c>
      <c r="M244" s="2">
        <f t="shared" si="50"/>
        <v>0</v>
      </c>
      <c r="N244">
        <v>0</v>
      </c>
      <c r="P244" s="2">
        <f t="shared" si="51"/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s="2">
        <f t="shared" si="52"/>
        <v>0</v>
      </c>
      <c r="X244">
        <v>10.1</v>
      </c>
      <c r="Z244" s="2">
        <f t="shared" si="53"/>
        <v>0</v>
      </c>
      <c r="AA244">
        <v>186.3</v>
      </c>
      <c r="AB244" s="2" t="str">
        <f>CHOOSE(MATCH(AA244,{0;11;80;111;161;191;241;281;341},1),"North","NorthEast","East","SouthEast","South","SouthWest","West","NorthWest","North")</f>
        <v>South</v>
      </c>
      <c r="AC244" s="5">
        <f>CHOOSE(MATCH(AB244,{"South";"SouthEast";"SouthWest";"North";"NorthEast";"East";"West";"NorthWest"},0),1,2,3,4,5,6,7,8)</f>
        <v>1</v>
      </c>
      <c r="AD244" s="2">
        <f t="shared" si="54"/>
        <v>0</v>
      </c>
      <c r="AE244">
        <v>1011.4</v>
      </c>
      <c r="AF244" s="4" t="s">
        <v>55</v>
      </c>
      <c r="AG244" s="2">
        <f t="shared" si="55"/>
        <v>1</v>
      </c>
      <c r="AH244" t="s">
        <v>483</v>
      </c>
      <c r="AI244" s="2">
        <f t="shared" si="56"/>
        <v>7</v>
      </c>
      <c r="AJ244" s="2">
        <f t="shared" si="57"/>
        <v>1</v>
      </c>
      <c r="AK244" s="3">
        <v>115.0000000081491</v>
      </c>
      <c r="AM244" s="2">
        <v>0</v>
      </c>
      <c r="AN244">
        <v>2</v>
      </c>
      <c r="AO244">
        <v>2</v>
      </c>
      <c r="AP244">
        <v>0</v>
      </c>
      <c r="AQ244" s="2">
        <f>IF((2*G244 + M244 -P244 + 3*W244 + 2*Z244+2*AD244 + AG244+2*AJ244 + 4*AM244) &gt;=8,1,0)</f>
        <v>0</v>
      </c>
    </row>
    <row r="245" spans="1:43" x14ac:dyDescent="0.25">
      <c r="A245" t="s">
        <v>27</v>
      </c>
      <c r="B245" s="1">
        <v>37451</v>
      </c>
      <c r="C245" s="7">
        <f t="shared" si="49"/>
        <v>2002</v>
      </c>
      <c r="D245">
        <v>94.8</v>
      </c>
      <c r="E245">
        <v>76.7</v>
      </c>
      <c r="F245">
        <v>85.5</v>
      </c>
      <c r="G245" s="2">
        <f t="shared" si="48"/>
        <v>1</v>
      </c>
      <c r="H245">
        <v>98.9</v>
      </c>
      <c r="I245">
        <v>76.7</v>
      </c>
      <c r="J245">
        <v>87.3</v>
      </c>
      <c r="K245">
        <v>65</v>
      </c>
      <c r="L245">
        <v>51.7</v>
      </c>
      <c r="M245" s="2">
        <f t="shared" si="50"/>
        <v>0</v>
      </c>
      <c r="N245">
        <v>0</v>
      </c>
      <c r="P245" s="2">
        <f t="shared" si="51"/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2">
        <f t="shared" si="52"/>
        <v>0</v>
      </c>
      <c r="X245">
        <v>10.1</v>
      </c>
      <c r="Z245" s="2">
        <f t="shared" si="53"/>
        <v>0</v>
      </c>
      <c r="AA245">
        <v>186.3</v>
      </c>
      <c r="AB245" s="2" t="str">
        <f>CHOOSE(MATCH(AA245,{0;11;80;111;161;191;241;281;341},1),"North","NorthEast","East","SouthEast","South","SouthWest","West","NorthWest","North")</f>
        <v>South</v>
      </c>
      <c r="AC245" s="5">
        <f>CHOOSE(MATCH(AB245,{"South";"SouthEast";"SouthWest";"North";"NorthEast";"East";"West";"NorthWest"},0),1,2,3,4,5,6,7,8)</f>
        <v>1</v>
      </c>
      <c r="AD245" s="2">
        <f t="shared" si="54"/>
        <v>0</v>
      </c>
      <c r="AE245">
        <v>1011.4</v>
      </c>
      <c r="AF245" s="4" t="s">
        <v>213</v>
      </c>
      <c r="AG245" s="2">
        <f t="shared" si="55"/>
        <v>0</v>
      </c>
      <c r="AH245" t="s">
        <v>484</v>
      </c>
      <c r="AI245" s="2">
        <f t="shared" si="56"/>
        <v>7</v>
      </c>
      <c r="AJ245" s="2">
        <f t="shared" si="57"/>
        <v>1</v>
      </c>
      <c r="AK245" s="3">
        <v>209.99999999301511</v>
      </c>
      <c r="AM245" s="2">
        <v>0</v>
      </c>
      <c r="AN245">
        <v>0.5</v>
      </c>
      <c r="AO245">
        <v>0</v>
      </c>
      <c r="AP245">
        <v>0</v>
      </c>
      <c r="AQ245" s="2">
        <f>IF((2*G245 + M245 -P245 + 3*W245 + 2*Z245+2*AD245 + AG245+2*AJ245 + 4*AM245) &gt;=8,1,0)</f>
        <v>0</v>
      </c>
    </row>
    <row r="246" spans="1:43" x14ac:dyDescent="0.25">
      <c r="A246" t="s">
        <v>27</v>
      </c>
      <c r="B246" s="1">
        <v>37454</v>
      </c>
      <c r="C246" s="7">
        <f t="shared" si="49"/>
        <v>2002</v>
      </c>
      <c r="D246">
        <v>96.9</v>
      </c>
      <c r="E246">
        <v>79</v>
      </c>
      <c r="F246">
        <v>88.6</v>
      </c>
      <c r="G246" s="2">
        <f t="shared" si="48"/>
        <v>1</v>
      </c>
      <c r="H246">
        <v>99.7</v>
      </c>
      <c r="I246">
        <v>79</v>
      </c>
      <c r="J246">
        <v>89.8</v>
      </c>
      <c r="K246">
        <v>63.3</v>
      </c>
      <c r="L246">
        <v>43.7</v>
      </c>
      <c r="M246" s="2">
        <f t="shared" si="50"/>
        <v>1</v>
      </c>
      <c r="N246">
        <v>0</v>
      </c>
      <c r="P246" s="2">
        <f t="shared" si="51"/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2">
        <f t="shared" si="52"/>
        <v>0</v>
      </c>
      <c r="X246">
        <v>13.6</v>
      </c>
      <c r="Z246" s="2">
        <f t="shared" si="53"/>
        <v>0</v>
      </c>
      <c r="AA246">
        <v>275.60000000000002</v>
      </c>
      <c r="AB246" s="2" t="str">
        <f>CHOOSE(MATCH(AA246,{0;11;80;111;161;191;241;281;341},1),"North","NorthEast","East","SouthEast","South","SouthWest","West","NorthWest","North")</f>
        <v>West</v>
      </c>
      <c r="AC246" s="5">
        <f>CHOOSE(MATCH(AB246,{"South";"SouthEast";"SouthWest";"North";"NorthEast";"East";"West";"NorthWest"},0),1,2,3,4,5,6,7,8)</f>
        <v>7</v>
      </c>
      <c r="AD246" s="2">
        <f t="shared" si="54"/>
        <v>0</v>
      </c>
      <c r="AE246">
        <v>1008.4</v>
      </c>
      <c r="AF246" s="4" t="s">
        <v>485</v>
      </c>
      <c r="AG246" s="2">
        <f t="shared" si="55"/>
        <v>1</v>
      </c>
      <c r="AH246" t="s">
        <v>486</v>
      </c>
      <c r="AI246" s="2">
        <f t="shared" si="56"/>
        <v>7</v>
      </c>
      <c r="AJ246" s="2">
        <f t="shared" si="57"/>
        <v>1</v>
      </c>
      <c r="AK246" s="3">
        <v>1990.0000000011639</v>
      </c>
      <c r="AM246" s="2">
        <v>1</v>
      </c>
      <c r="AN246">
        <v>0</v>
      </c>
      <c r="AO246">
        <v>400</v>
      </c>
      <c r="AP246">
        <v>0</v>
      </c>
      <c r="AQ246" s="2">
        <f>IF((2*G246 + M246 -P246 + 3*W246 + 2*Z246+2*AD246 + AG246+2*AJ246 + 4*AM246) &gt;=8,1,0)</f>
        <v>1</v>
      </c>
    </row>
    <row r="247" spans="1:43" x14ac:dyDescent="0.25">
      <c r="A247" t="s">
        <v>27</v>
      </c>
      <c r="B247" s="1">
        <v>37454</v>
      </c>
      <c r="C247" s="7">
        <f t="shared" si="49"/>
        <v>2002</v>
      </c>
      <c r="D247">
        <v>96.9</v>
      </c>
      <c r="E247">
        <v>79</v>
      </c>
      <c r="F247">
        <v>88.6</v>
      </c>
      <c r="G247" s="2">
        <f t="shared" si="48"/>
        <v>1</v>
      </c>
      <c r="H247">
        <v>99.7</v>
      </c>
      <c r="I247">
        <v>79</v>
      </c>
      <c r="J247">
        <v>89.8</v>
      </c>
      <c r="K247">
        <v>63.3</v>
      </c>
      <c r="L247">
        <v>43.7</v>
      </c>
      <c r="M247" s="2">
        <f t="shared" si="50"/>
        <v>1</v>
      </c>
      <c r="N247">
        <v>0</v>
      </c>
      <c r="P247" s="2">
        <f t="shared" si="51"/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2">
        <f t="shared" si="52"/>
        <v>0</v>
      </c>
      <c r="X247">
        <v>13.6</v>
      </c>
      <c r="Z247" s="2">
        <f t="shared" si="53"/>
        <v>0</v>
      </c>
      <c r="AA247">
        <v>275.60000000000002</v>
      </c>
      <c r="AB247" s="2" t="str">
        <f>CHOOSE(MATCH(AA247,{0;11;80;111;161;191;241;281;341},1),"North","NorthEast","East","SouthEast","South","SouthWest","West","NorthWest","North")</f>
        <v>West</v>
      </c>
      <c r="AC247" s="5">
        <f>CHOOSE(MATCH(AB247,{"South";"SouthEast";"SouthWest";"North";"NorthEast";"East";"West";"NorthWest"},0),1,2,3,4,5,6,7,8)</f>
        <v>7</v>
      </c>
      <c r="AD247" s="2">
        <f t="shared" si="54"/>
        <v>0</v>
      </c>
      <c r="AE247">
        <v>1008.4</v>
      </c>
      <c r="AF247" s="4" t="s">
        <v>487</v>
      </c>
      <c r="AG247" s="2">
        <f t="shared" si="55"/>
        <v>0</v>
      </c>
      <c r="AH247" t="s">
        <v>488</v>
      </c>
      <c r="AI247" s="2">
        <f t="shared" si="56"/>
        <v>7</v>
      </c>
      <c r="AJ247" s="2">
        <f t="shared" si="57"/>
        <v>1</v>
      </c>
      <c r="AK247" s="3">
        <v>279.0000000083819</v>
      </c>
      <c r="AM247" s="2">
        <v>0</v>
      </c>
      <c r="AN247">
        <v>0</v>
      </c>
      <c r="AO247">
        <v>2</v>
      </c>
      <c r="AP247">
        <v>0</v>
      </c>
      <c r="AQ247" s="2">
        <f>IF((2*G247 + M247 -P247 + 3*W247 + 2*Z247+2*AD247 + AG247+2*AJ247 + 4*AM247) &gt;=8,1,0)</f>
        <v>0</v>
      </c>
    </row>
    <row r="248" spans="1:43" x14ac:dyDescent="0.25">
      <c r="A248" t="s">
        <v>27</v>
      </c>
      <c r="B248" s="1">
        <v>37454</v>
      </c>
      <c r="C248" s="7">
        <f t="shared" si="49"/>
        <v>2002</v>
      </c>
      <c r="D248">
        <v>96.9</v>
      </c>
      <c r="E248">
        <v>79</v>
      </c>
      <c r="F248">
        <v>88.6</v>
      </c>
      <c r="G248" s="2">
        <f t="shared" si="48"/>
        <v>1</v>
      </c>
      <c r="H248">
        <v>99.7</v>
      </c>
      <c r="I248">
        <v>79</v>
      </c>
      <c r="J248">
        <v>89.8</v>
      </c>
      <c r="K248">
        <v>63.3</v>
      </c>
      <c r="L248">
        <v>43.7</v>
      </c>
      <c r="M248" s="2">
        <f t="shared" si="50"/>
        <v>1</v>
      </c>
      <c r="N248">
        <v>0</v>
      </c>
      <c r="P248" s="2">
        <f t="shared" si="51"/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2">
        <f t="shared" si="52"/>
        <v>0</v>
      </c>
      <c r="X248">
        <v>13.6</v>
      </c>
      <c r="Z248" s="2">
        <f t="shared" si="53"/>
        <v>0</v>
      </c>
      <c r="AA248">
        <v>275.60000000000002</v>
      </c>
      <c r="AB248" s="2" t="str">
        <f>CHOOSE(MATCH(AA248,{0;11;80;111;161;191;241;281;341},1),"North","NorthEast","East","SouthEast","South","SouthWest","West","NorthWest","North")</f>
        <v>West</v>
      </c>
      <c r="AC248" s="5">
        <f>CHOOSE(MATCH(AB248,{"South";"SouthEast";"SouthWest";"North";"NorthEast";"East";"West";"NorthWest"},0),1,2,3,4,5,6,7,8)</f>
        <v>7</v>
      </c>
      <c r="AD248" s="2">
        <f t="shared" si="54"/>
        <v>0</v>
      </c>
      <c r="AE248">
        <v>1008.4</v>
      </c>
      <c r="AF248" s="4" t="s">
        <v>489</v>
      </c>
      <c r="AG248" s="2">
        <f t="shared" si="55"/>
        <v>0</v>
      </c>
      <c r="AH248" t="s">
        <v>490</v>
      </c>
      <c r="AI248" s="2">
        <f t="shared" si="56"/>
        <v>7</v>
      </c>
      <c r="AJ248" s="2">
        <f t="shared" si="57"/>
        <v>1</v>
      </c>
      <c r="AK248" s="3">
        <v>546.99999999138527</v>
      </c>
      <c r="AM248" s="2">
        <v>1</v>
      </c>
      <c r="AN248">
        <v>0</v>
      </c>
      <c r="AO248">
        <v>2</v>
      </c>
      <c r="AP248">
        <v>0</v>
      </c>
      <c r="AQ248" s="2">
        <f>IF((2*G248 + M248 -P248 + 3*W248 + 2*Z248+2*AD248 + AG248+2*AJ248 + 4*AM248) &gt;=8,1,0)</f>
        <v>1</v>
      </c>
    </row>
    <row r="249" spans="1:43" x14ac:dyDescent="0.25">
      <c r="A249" t="s">
        <v>27</v>
      </c>
      <c r="B249" s="1">
        <v>37455</v>
      </c>
      <c r="C249" s="7">
        <f t="shared" si="49"/>
        <v>2002</v>
      </c>
      <c r="D249">
        <v>93.3</v>
      </c>
      <c r="E249">
        <v>78.5</v>
      </c>
      <c r="F249">
        <v>84.9</v>
      </c>
      <c r="G249" s="2">
        <f t="shared" si="48"/>
        <v>1</v>
      </c>
      <c r="H249">
        <v>96</v>
      </c>
      <c r="I249">
        <v>78.5</v>
      </c>
      <c r="J249">
        <v>85.7</v>
      </c>
      <c r="K249">
        <v>61.4</v>
      </c>
      <c r="L249">
        <v>45.7</v>
      </c>
      <c r="M249" s="2">
        <f t="shared" si="50"/>
        <v>1</v>
      </c>
      <c r="N249">
        <v>0</v>
      </c>
      <c r="P249" s="2">
        <f t="shared" si="51"/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2">
        <f t="shared" si="52"/>
        <v>0</v>
      </c>
      <c r="X249">
        <v>17.899999999999999</v>
      </c>
      <c r="Z249" s="2">
        <f t="shared" si="53"/>
        <v>1</v>
      </c>
      <c r="AA249">
        <v>286.5</v>
      </c>
      <c r="AB249" s="2" t="str">
        <f>CHOOSE(MATCH(AA249,{0;11;80;111;161;191;241;281;341},1),"North","NorthEast","East","SouthEast","South","SouthWest","West","NorthWest","North")</f>
        <v>NorthWest</v>
      </c>
      <c r="AC249" s="5">
        <f>CHOOSE(MATCH(AB249,{"South";"SouthEast";"SouthWest";"North";"NorthEast";"East";"West";"NorthWest"},0),1,2,3,4,5,6,7,8)</f>
        <v>8</v>
      </c>
      <c r="AD249" s="2">
        <f t="shared" si="54"/>
        <v>1</v>
      </c>
      <c r="AE249">
        <v>1007</v>
      </c>
      <c r="AF249" s="4" t="s">
        <v>491</v>
      </c>
      <c r="AG249" s="2">
        <f t="shared" si="55"/>
        <v>0</v>
      </c>
      <c r="AH249" t="s">
        <v>492</v>
      </c>
      <c r="AI249" s="2">
        <f t="shared" si="56"/>
        <v>7</v>
      </c>
      <c r="AJ249" s="2">
        <f t="shared" si="57"/>
        <v>1</v>
      </c>
      <c r="AK249" s="3">
        <v>1180.0000000011639</v>
      </c>
      <c r="AM249" s="2">
        <v>1</v>
      </c>
      <c r="AN249">
        <v>0</v>
      </c>
      <c r="AO249">
        <v>7</v>
      </c>
      <c r="AP249">
        <v>0</v>
      </c>
      <c r="AQ249" s="2">
        <f>IF((2*G249 + M249 -P249 + 3*W249 + 2*Z249+2*AD249 + AG249+2*AJ249 + 4*AM249) &gt;=8,1,0)</f>
        <v>1</v>
      </c>
    </row>
    <row r="250" spans="1:43" x14ac:dyDescent="0.25">
      <c r="A250" t="s">
        <v>27</v>
      </c>
      <c r="B250" s="1">
        <v>37455</v>
      </c>
      <c r="C250" s="7">
        <f t="shared" si="49"/>
        <v>2002</v>
      </c>
      <c r="D250">
        <v>93.3</v>
      </c>
      <c r="E250">
        <v>78.5</v>
      </c>
      <c r="F250">
        <v>84.9</v>
      </c>
      <c r="G250" s="2">
        <f t="shared" si="48"/>
        <v>1</v>
      </c>
      <c r="H250">
        <v>96</v>
      </c>
      <c r="I250">
        <v>78.5</v>
      </c>
      <c r="J250">
        <v>85.7</v>
      </c>
      <c r="K250">
        <v>61.4</v>
      </c>
      <c r="L250">
        <v>45.7</v>
      </c>
      <c r="M250" s="2">
        <f t="shared" si="50"/>
        <v>1</v>
      </c>
      <c r="N250">
        <v>0</v>
      </c>
      <c r="P250" s="2">
        <f t="shared" si="51"/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2">
        <f t="shared" si="52"/>
        <v>0</v>
      </c>
      <c r="X250">
        <v>17.899999999999999</v>
      </c>
      <c r="Z250" s="2">
        <f t="shared" si="53"/>
        <v>1</v>
      </c>
      <c r="AA250">
        <v>286.5</v>
      </c>
      <c r="AB250" s="2" t="str">
        <f>CHOOSE(MATCH(AA250,{0;11;80;111;161;191;241;281;341},1),"North","NorthEast","East","SouthEast","South","SouthWest","West","NorthWest","North")</f>
        <v>NorthWest</v>
      </c>
      <c r="AC250" s="5">
        <f>CHOOSE(MATCH(AB250,{"South";"SouthEast";"SouthWest";"North";"NorthEast";"East";"West";"NorthWest"},0),1,2,3,4,5,6,7,8)</f>
        <v>8</v>
      </c>
      <c r="AD250" s="2">
        <f t="shared" si="54"/>
        <v>1</v>
      </c>
      <c r="AE250">
        <v>1007</v>
      </c>
      <c r="AF250" s="4" t="s">
        <v>42</v>
      </c>
      <c r="AG250" s="2">
        <f t="shared" si="55"/>
        <v>1</v>
      </c>
      <c r="AH250" t="s">
        <v>493</v>
      </c>
      <c r="AI250" s="2">
        <f t="shared" si="56"/>
        <v>7</v>
      </c>
      <c r="AJ250" s="2">
        <f t="shared" si="57"/>
        <v>1</v>
      </c>
      <c r="AK250" s="3">
        <v>150.00000000698489</v>
      </c>
      <c r="AM250" s="2">
        <v>0</v>
      </c>
      <c r="AN250">
        <v>2</v>
      </c>
      <c r="AO250">
        <v>3</v>
      </c>
      <c r="AP250">
        <v>0</v>
      </c>
      <c r="AQ250" s="2">
        <f>IF((2*G250 + M250 -P250 + 3*W250 + 2*Z250+2*AD250 + AG250+2*AJ250 + 4*AM250) &gt;=8,1,0)</f>
        <v>1</v>
      </c>
    </row>
    <row r="251" spans="1:43" x14ac:dyDescent="0.25">
      <c r="A251" t="s">
        <v>27</v>
      </c>
      <c r="B251" s="1">
        <v>37455</v>
      </c>
      <c r="C251" s="7">
        <f t="shared" si="49"/>
        <v>2002</v>
      </c>
      <c r="D251">
        <v>93.3</v>
      </c>
      <c r="E251">
        <v>78.5</v>
      </c>
      <c r="F251">
        <v>84.9</v>
      </c>
      <c r="G251" s="2">
        <f t="shared" si="48"/>
        <v>1</v>
      </c>
      <c r="H251">
        <v>96</v>
      </c>
      <c r="I251">
        <v>78.5</v>
      </c>
      <c r="J251">
        <v>85.7</v>
      </c>
      <c r="K251">
        <v>61.4</v>
      </c>
      <c r="L251">
        <v>45.7</v>
      </c>
      <c r="M251" s="2">
        <f t="shared" si="50"/>
        <v>1</v>
      </c>
      <c r="N251">
        <v>0</v>
      </c>
      <c r="P251" s="2">
        <f t="shared" si="51"/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2">
        <f t="shared" si="52"/>
        <v>0</v>
      </c>
      <c r="X251">
        <v>17.899999999999999</v>
      </c>
      <c r="Z251" s="2">
        <f t="shared" si="53"/>
        <v>1</v>
      </c>
      <c r="AA251">
        <v>286.5</v>
      </c>
      <c r="AB251" s="2" t="str">
        <f>CHOOSE(MATCH(AA251,{0;11;80;111;161;191;241;281;341},1),"North","NorthEast","East","SouthEast","South","SouthWest","West","NorthWest","North")</f>
        <v>NorthWest</v>
      </c>
      <c r="AC251" s="5">
        <f>CHOOSE(MATCH(AB251,{"South";"SouthEast";"SouthWest";"North";"NorthEast";"East";"West";"NorthWest"},0),1,2,3,4,5,6,7,8)</f>
        <v>8</v>
      </c>
      <c r="AD251" s="2">
        <f t="shared" si="54"/>
        <v>1</v>
      </c>
      <c r="AE251">
        <v>1007</v>
      </c>
      <c r="AF251" s="4" t="s">
        <v>494</v>
      </c>
      <c r="AG251" s="2">
        <f t="shared" si="55"/>
        <v>1</v>
      </c>
      <c r="AH251" t="s">
        <v>495</v>
      </c>
      <c r="AI251" s="2">
        <f t="shared" si="56"/>
        <v>7</v>
      </c>
      <c r="AJ251" s="2">
        <f t="shared" si="57"/>
        <v>1</v>
      </c>
      <c r="AK251" s="3">
        <v>126.0000000020955</v>
      </c>
      <c r="AM251" s="2">
        <v>0</v>
      </c>
      <c r="AN251">
        <v>0</v>
      </c>
      <c r="AO251">
        <v>4</v>
      </c>
      <c r="AP251">
        <v>0</v>
      </c>
      <c r="AQ251" s="2">
        <f>IF((2*G251 + M251 -P251 + 3*W251 + 2*Z251+2*AD251 + AG251+2*AJ251 + 4*AM251) &gt;=8,1,0)</f>
        <v>1</v>
      </c>
    </row>
    <row r="252" spans="1:43" x14ac:dyDescent="0.25">
      <c r="A252" t="s">
        <v>27</v>
      </c>
      <c r="B252" s="1">
        <v>37460</v>
      </c>
      <c r="C252" s="7">
        <f t="shared" si="49"/>
        <v>2002</v>
      </c>
      <c r="D252">
        <v>99</v>
      </c>
      <c r="E252">
        <v>74.2</v>
      </c>
      <c r="F252">
        <v>86.7</v>
      </c>
      <c r="G252" s="2">
        <f t="shared" si="48"/>
        <v>1</v>
      </c>
      <c r="H252">
        <v>97.4</v>
      </c>
      <c r="I252">
        <v>74.2</v>
      </c>
      <c r="J252">
        <v>87.4</v>
      </c>
      <c r="K252">
        <v>62.6</v>
      </c>
      <c r="L252">
        <v>46.7</v>
      </c>
      <c r="M252" s="2">
        <f t="shared" si="50"/>
        <v>1</v>
      </c>
      <c r="N252">
        <v>0</v>
      </c>
      <c r="P252" s="2">
        <f t="shared" si="51"/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2">
        <f t="shared" si="52"/>
        <v>0</v>
      </c>
      <c r="X252">
        <v>13.6</v>
      </c>
      <c r="Z252" s="2">
        <f t="shared" si="53"/>
        <v>0</v>
      </c>
      <c r="AA252">
        <v>298.7</v>
      </c>
      <c r="AB252" s="2" t="str">
        <f>CHOOSE(MATCH(AA252,{0;11;80;111;161;191;241;281;341},1),"North","NorthEast","East","SouthEast","South","SouthWest","West","NorthWest","North")</f>
        <v>NorthWest</v>
      </c>
      <c r="AC252" s="5">
        <f>CHOOSE(MATCH(AB252,{"South";"SouthEast";"SouthWest";"North";"NorthEast";"East";"West";"NorthWest"},0),1,2,3,4,5,6,7,8)</f>
        <v>8</v>
      </c>
      <c r="AD252" s="2">
        <f t="shared" si="54"/>
        <v>1</v>
      </c>
      <c r="AE252">
        <v>1009.2</v>
      </c>
      <c r="AF252" s="4" t="s">
        <v>496</v>
      </c>
      <c r="AG252" s="2">
        <f t="shared" si="55"/>
        <v>1</v>
      </c>
      <c r="AH252" t="s">
        <v>497</v>
      </c>
      <c r="AI252" s="2">
        <f t="shared" si="56"/>
        <v>7</v>
      </c>
      <c r="AJ252" s="2">
        <f t="shared" si="57"/>
        <v>1</v>
      </c>
      <c r="AK252" s="3">
        <v>387.9999999969732</v>
      </c>
      <c r="AM252" s="2">
        <v>1</v>
      </c>
      <c r="AN252">
        <v>0.3</v>
      </c>
      <c r="AO252">
        <v>0</v>
      </c>
      <c r="AP252">
        <v>0</v>
      </c>
      <c r="AQ252" s="2">
        <f>IF((2*G252 + M252 -P252 + 3*W252 + 2*Z252+2*AD252 + AG252+2*AJ252 + 4*AM252) &gt;=8,1,0)</f>
        <v>1</v>
      </c>
    </row>
    <row r="253" spans="1:43" x14ac:dyDescent="0.25">
      <c r="A253" t="s">
        <v>27</v>
      </c>
      <c r="B253" s="1">
        <v>37460</v>
      </c>
      <c r="C253" s="7">
        <f t="shared" si="49"/>
        <v>2002</v>
      </c>
      <c r="D253">
        <v>99</v>
      </c>
      <c r="E253">
        <v>74.2</v>
      </c>
      <c r="F253">
        <v>86.7</v>
      </c>
      <c r="G253" s="2">
        <f t="shared" si="48"/>
        <v>1</v>
      </c>
      <c r="H253">
        <v>97.4</v>
      </c>
      <c r="I253">
        <v>74.2</v>
      </c>
      <c r="J253">
        <v>87.4</v>
      </c>
      <c r="K253">
        <v>62.6</v>
      </c>
      <c r="L253">
        <v>46.7</v>
      </c>
      <c r="M253" s="2">
        <f t="shared" si="50"/>
        <v>1</v>
      </c>
      <c r="N253">
        <v>0</v>
      </c>
      <c r="P253" s="2">
        <f t="shared" si="51"/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2">
        <f t="shared" si="52"/>
        <v>0</v>
      </c>
      <c r="X253">
        <v>13.6</v>
      </c>
      <c r="Z253" s="2">
        <f t="shared" si="53"/>
        <v>0</v>
      </c>
      <c r="AA253">
        <v>298.7</v>
      </c>
      <c r="AB253" s="2" t="str">
        <f>CHOOSE(MATCH(AA253,{0;11;80;111;161;191;241;281;341},1),"North","NorthEast","East","SouthEast","South","SouthWest","West","NorthWest","North")</f>
        <v>NorthWest</v>
      </c>
      <c r="AC253" s="5">
        <f>CHOOSE(MATCH(AB253,{"South";"SouthEast";"SouthWest";"North";"NorthEast";"East";"West";"NorthWest"},0),1,2,3,4,5,6,7,8)</f>
        <v>8</v>
      </c>
      <c r="AD253" s="2">
        <f t="shared" si="54"/>
        <v>1</v>
      </c>
      <c r="AE253">
        <v>1009.2</v>
      </c>
      <c r="AF253" s="4" t="s">
        <v>498</v>
      </c>
      <c r="AG253" s="2">
        <f t="shared" si="55"/>
        <v>1</v>
      </c>
      <c r="AH253" t="s">
        <v>499</v>
      </c>
      <c r="AI253" s="2">
        <f t="shared" si="56"/>
        <v>7</v>
      </c>
      <c r="AJ253" s="2">
        <f t="shared" si="57"/>
        <v>1</v>
      </c>
      <c r="AK253" s="3">
        <v>1294.9999999988361</v>
      </c>
      <c r="AM253" s="2">
        <v>1</v>
      </c>
      <c r="AN253">
        <v>10</v>
      </c>
      <c r="AO253">
        <v>0</v>
      </c>
      <c r="AP253">
        <v>0</v>
      </c>
      <c r="AQ253" s="2">
        <f>IF((2*G253 + M253 -P253 + 3*W253 + 2*Z253+2*AD253 + AG253+2*AJ253 + 4*AM253) &gt;=8,1,0)</f>
        <v>1</v>
      </c>
    </row>
    <row r="254" spans="1:43" x14ac:dyDescent="0.25">
      <c r="A254" t="s">
        <v>27</v>
      </c>
      <c r="B254" s="1">
        <v>37462</v>
      </c>
      <c r="C254" s="7">
        <f t="shared" si="49"/>
        <v>2002</v>
      </c>
      <c r="D254">
        <v>90.4</v>
      </c>
      <c r="E254">
        <v>76.3</v>
      </c>
      <c r="F254">
        <v>83.5</v>
      </c>
      <c r="G254" s="2">
        <f t="shared" si="48"/>
        <v>1</v>
      </c>
      <c r="H254">
        <v>95.8</v>
      </c>
      <c r="I254">
        <v>76.3</v>
      </c>
      <c r="J254">
        <v>86</v>
      </c>
      <c r="K254">
        <v>67</v>
      </c>
      <c r="L254">
        <v>58.4</v>
      </c>
      <c r="M254" s="2">
        <f t="shared" si="50"/>
        <v>0</v>
      </c>
      <c r="N254">
        <v>0</v>
      </c>
      <c r="P254" s="2">
        <f t="shared" si="51"/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2">
        <f t="shared" si="52"/>
        <v>0</v>
      </c>
      <c r="X254">
        <v>17</v>
      </c>
      <c r="Z254" s="2">
        <f t="shared" si="53"/>
        <v>1</v>
      </c>
      <c r="AA254">
        <v>90</v>
      </c>
      <c r="AB254" s="2" t="str">
        <f>CHOOSE(MATCH(AA254,{0;11;80;111;161;191;241;281;341},1),"North","NorthEast","East","SouthEast","South","SouthWest","West","NorthWest","North")</f>
        <v>East</v>
      </c>
      <c r="AC254" s="5">
        <f>CHOOSE(MATCH(AB254,{"South";"SouthEast";"SouthWest";"North";"NorthEast";"East";"West";"NorthWest"},0),1,2,3,4,5,6,7,8)</f>
        <v>6</v>
      </c>
      <c r="AD254" s="2">
        <f t="shared" si="54"/>
        <v>0</v>
      </c>
      <c r="AE254">
        <v>1007.4</v>
      </c>
      <c r="AF254" s="4" t="s">
        <v>340</v>
      </c>
      <c r="AG254" s="2">
        <f t="shared" si="55"/>
        <v>1</v>
      </c>
      <c r="AH254" t="s">
        <v>500</v>
      </c>
      <c r="AI254" s="2">
        <f t="shared" si="56"/>
        <v>7</v>
      </c>
      <c r="AJ254" s="2">
        <f t="shared" si="57"/>
        <v>1</v>
      </c>
      <c r="AK254" s="3">
        <v>50.999999998603023</v>
      </c>
      <c r="AM254" s="2">
        <v>0</v>
      </c>
      <c r="AN254">
        <v>1</v>
      </c>
      <c r="AO254">
        <v>1</v>
      </c>
      <c r="AP254">
        <v>0</v>
      </c>
      <c r="AQ254" s="2">
        <f>IF((2*G254 + M254 -P254 + 3*W254 + 2*Z254+2*AD254 + AG254+2*AJ254 + 4*AM254) &gt;=8,1,0)</f>
        <v>0</v>
      </c>
    </row>
    <row r="255" spans="1:43" x14ac:dyDescent="0.25">
      <c r="A255" t="s">
        <v>27</v>
      </c>
      <c r="B255" s="1">
        <v>37464</v>
      </c>
      <c r="C255" s="7">
        <f t="shared" si="49"/>
        <v>2002</v>
      </c>
      <c r="D255">
        <v>86.3</v>
      </c>
      <c r="E255">
        <v>77.099999999999994</v>
      </c>
      <c r="F255">
        <v>81.7</v>
      </c>
      <c r="G255" s="2">
        <f t="shared" si="48"/>
        <v>1</v>
      </c>
      <c r="H255">
        <v>90.8</v>
      </c>
      <c r="I255">
        <v>77.099999999999994</v>
      </c>
      <c r="J255">
        <v>83.9</v>
      </c>
      <c r="K255">
        <v>68.3</v>
      </c>
      <c r="L255">
        <v>64.400000000000006</v>
      </c>
      <c r="M255" s="2">
        <f t="shared" si="50"/>
        <v>0</v>
      </c>
      <c r="N255">
        <v>2.1000000000000001E-2</v>
      </c>
      <c r="P255" s="2">
        <f t="shared" si="51"/>
        <v>0</v>
      </c>
      <c r="Q255">
        <v>100</v>
      </c>
      <c r="R255">
        <v>4.17</v>
      </c>
      <c r="S255" t="s">
        <v>87</v>
      </c>
      <c r="T255">
        <v>0</v>
      </c>
      <c r="U255">
        <v>0</v>
      </c>
      <c r="V255">
        <v>0</v>
      </c>
      <c r="W255" s="2">
        <f t="shared" si="52"/>
        <v>0</v>
      </c>
      <c r="X255">
        <v>21.8</v>
      </c>
      <c r="Z255" s="2">
        <f t="shared" si="53"/>
        <v>1</v>
      </c>
      <c r="AA255">
        <v>160.30000000000001</v>
      </c>
      <c r="AB255" s="2" t="str">
        <f>CHOOSE(MATCH(AA255,{0;11;80;111;161;191;241;281;341},1),"North","NorthEast","East","SouthEast","South","SouthWest","West","NorthWest","North")</f>
        <v>SouthEast</v>
      </c>
      <c r="AC255" s="5">
        <f>CHOOSE(MATCH(AB255,{"South";"SouthEast";"SouthWest";"North";"NorthEast";"East";"West";"NorthWest"},0),1,2,3,4,5,6,7,8)</f>
        <v>2</v>
      </c>
      <c r="AD255" s="2">
        <f t="shared" si="54"/>
        <v>0</v>
      </c>
      <c r="AE255">
        <v>1006.1</v>
      </c>
      <c r="AF255" s="4" t="s">
        <v>498</v>
      </c>
      <c r="AG255" s="2">
        <f t="shared" si="55"/>
        <v>1</v>
      </c>
      <c r="AH255" t="s">
        <v>501</v>
      </c>
      <c r="AI255" s="2">
        <f t="shared" si="56"/>
        <v>7</v>
      </c>
      <c r="AJ255" s="2">
        <f t="shared" si="57"/>
        <v>1</v>
      </c>
      <c r="AK255" s="3">
        <v>100.0000000011642</v>
      </c>
      <c r="AM255" s="2">
        <v>0</v>
      </c>
      <c r="AN255">
        <v>0</v>
      </c>
      <c r="AO255">
        <v>1</v>
      </c>
      <c r="AP255">
        <v>0</v>
      </c>
      <c r="AQ255" s="2">
        <f>IF((2*G255 + M255 -P255 + 3*W255 + 2*Z255+2*AD255 + AG255+2*AJ255 + 4*AM255) &gt;=8,1,0)</f>
        <v>0</v>
      </c>
    </row>
    <row r="256" spans="1:43" x14ac:dyDescent="0.25">
      <c r="A256" t="s">
        <v>27</v>
      </c>
      <c r="B256" s="1">
        <v>37467</v>
      </c>
      <c r="C256" s="7">
        <f t="shared" si="49"/>
        <v>2002</v>
      </c>
      <c r="D256">
        <v>86.1</v>
      </c>
      <c r="E256">
        <v>73.5</v>
      </c>
      <c r="F256">
        <v>80.400000000000006</v>
      </c>
      <c r="G256" s="2">
        <f t="shared" si="48"/>
        <v>1</v>
      </c>
      <c r="H256">
        <v>91.4</v>
      </c>
      <c r="I256">
        <v>73.5</v>
      </c>
      <c r="J256">
        <v>82.6</v>
      </c>
      <c r="K256">
        <v>68.7</v>
      </c>
      <c r="L256">
        <v>68.2</v>
      </c>
      <c r="M256" s="2">
        <f t="shared" si="50"/>
        <v>0</v>
      </c>
      <c r="N256">
        <v>0</v>
      </c>
      <c r="P256" s="2">
        <f t="shared" si="51"/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2">
        <f t="shared" si="52"/>
        <v>0</v>
      </c>
      <c r="X256">
        <v>12.5</v>
      </c>
      <c r="Z256" s="2">
        <f t="shared" si="53"/>
        <v>0</v>
      </c>
      <c r="AA256">
        <v>188</v>
      </c>
      <c r="AB256" s="2" t="str">
        <f>CHOOSE(MATCH(AA256,{0;11;80;111;161;191;241;281;341},1),"North","NorthEast","East","SouthEast","South","SouthWest","West","NorthWest","North")</f>
        <v>South</v>
      </c>
      <c r="AC256" s="5">
        <f>CHOOSE(MATCH(AB256,{"South";"SouthEast";"SouthWest";"North";"NorthEast";"East";"West";"NorthWest"},0),1,2,3,4,5,6,7,8)</f>
        <v>1</v>
      </c>
      <c r="AD256" s="2">
        <f t="shared" si="54"/>
        <v>0</v>
      </c>
      <c r="AE256">
        <v>1010.1</v>
      </c>
      <c r="AF256" s="4" t="s">
        <v>502</v>
      </c>
      <c r="AG256" s="2">
        <f t="shared" si="55"/>
        <v>1</v>
      </c>
      <c r="AH256" t="s">
        <v>503</v>
      </c>
      <c r="AI256" s="2">
        <f t="shared" si="56"/>
        <v>7</v>
      </c>
      <c r="AJ256" s="2">
        <f t="shared" si="57"/>
        <v>1</v>
      </c>
      <c r="AK256" s="3">
        <v>100.0000000011642</v>
      </c>
      <c r="AM256" s="2">
        <v>0</v>
      </c>
      <c r="AN256">
        <v>0</v>
      </c>
      <c r="AO256">
        <v>0.5</v>
      </c>
      <c r="AP256">
        <v>0</v>
      </c>
      <c r="AQ256" s="2">
        <f>IF((2*G256 + M256 -P256 + 3*W256 + 2*Z256+2*AD256 + AG256+2*AJ256 + 4*AM256) &gt;=8,1,0)</f>
        <v>0</v>
      </c>
    </row>
    <row r="257" spans="1:43" x14ac:dyDescent="0.25">
      <c r="A257" t="s">
        <v>27</v>
      </c>
      <c r="B257" s="1">
        <v>37468</v>
      </c>
      <c r="C257" s="7">
        <f t="shared" si="49"/>
        <v>2002</v>
      </c>
      <c r="D257">
        <v>88.6</v>
      </c>
      <c r="E257">
        <v>73.2</v>
      </c>
      <c r="F257">
        <v>81.3</v>
      </c>
      <c r="G257" s="2">
        <f t="shared" si="48"/>
        <v>1</v>
      </c>
      <c r="H257">
        <v>91.9</v>
      </c>
      <c r="I257">
        <v>73.2</v>
      </c>
      <c r="J257">
        <v>83.1</v>
      </c>
      <c r="K257">
        <v>67.2</v>
      </c>
      <c r="L257">
        <v>63.3</v>
      </c>
      <c r="M257" s="2">
        <f t="shared" si="50"/>
        <v>0</v>
      </c>
      <c r="N257">
        <v>0</v>
      </c>
      <c r="P257" s="2">
        <f t="shared" si="51"/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2">
        <f t="shared" si="52"/>
        <v>0</v>
      </c>
      <c r="X257">
        <v>12.4</v>
      </c>
      <c r="Z257" s="2">
        <f t="shared" si="53"/>
        <v>0</v>
      </c>
      <c r="AA257">
        <v>242.8</v>
      </c>
      <c r="AB257" s="2" t="str">
        <f>CHOOSE(MATCH(AA257,{0;11;80;111;161;191;241;281;341},1),"North","NorthEast","East","SouthEast","South","SouthWest","West","NorthWest","North")</f>
        <v>West</v>
      </c>
      <c r="AC257" s="5">
        <f>CHOOSE(MATCH(AB257,{"South";"SouthEast";"SouthWest";"North";"NorthEast";"East";"West";"NorthWest"},0),1,2,3,4,5,6,7,8)</f>
        <v>7</v>
      </c>
      <c r="AD257" s="2">
        <f t="shared" si="54"/>
        <v>0</v>
      </c>
      <c r="AE257">
        <v>1009.6</v>
      </c>
      <c r="AF257" s="4" t="s">
        <v>504</v>
      </c>
      <c r="AG257" s="2">
        <f t="shared" si="55"/>
        <v>1</v>
      </c>
      <c r="AH257" t="s">
        <v>505</v>
      </c>
      <c r="AI257" s="2">
        <f t="shared" si="56"/>
        <v>7</v>
      </c>
      <c r="AJ257" s="2">
        <f t="shared" si="57"/>
        <v>1</v>
      </c>
      <c r="AK257" s="3">
        <v>1260</v>
      </c>
      <c r="AM257" s="2">
        <v>1</v>
      </c>
      <c r="AN257">
        <v>0</v>
      </c>
      <c r="AO257">
        <v>0.5</v>
      </c>
      <c r="AP257">
        <v>0</v>
      </c>
      <c r="AQ257" s="2">
        <f>IF((2*G257 + M257 -P257 + 3*W257 + 2*Z257+2*AD257 + AG257+2*AJ257 + 4*AM257) &gt;=8,1,0)</f>
        <v>1</v>
      </c>
    </row>
    <row r="258" spans="1:43" x14ac:dyDescent="0.25">
      <c r="A258" t="s">
        <v>27</v>
      </c>
      <c r="B258" s="1">
        <v>37470</v>
      </c>
      <c r="C258" s="7">
        <f t="shared" si="49"/>
        <v>2002</v>
      </c>
      <c r="D258">
        <v>92.4</v>
      </c>
      <c r="E258">
        <v>78.2</v>
      </c>
      <c r="F258">
        <v>84.8</v>
      </c>
      <c r="G258" s="2">
        <f t="shared" ref="G258:G321" si="58">IF(F258&lt;=73.6,0,1)</f>
        <v>1</v>
      </c>
      <c r="H258">
        <v>99.1</v>
      </c>
      <c r="I258">
        <v>78.2</v>
      </c>
      <c r="J258">
        <v>87.3</v>
      </c>
      <c r="K258">
        <v>67.400000000000006</v>
      </c>
      <c r="L258">
        <v>57.2</v>
      </c>
      <c r="M258" s="2">
        <f t="shared" si="50"/>
        <v>0</v>
      </c>
      <c r="N258">
        <v>0</v>
      </c>
      <c r="P258" s="2">
        <f t="shared" si="51"/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2">
        <f t="shared" si="52"/>
        <v>0</v>
      </c>
      <c r="X258">
        <v>10.3</v>
      </c>
      <c r="Z258" s="2">
        <f t="shared" si="53"/>
        <v>0</v>
      </c>
      <c r="AA258">
        <v>278.5</v>
      </c>
      <c r="AB258" s="2" t="str">
        <f>CHOOSE(MATCH(AA258,{0;11;80;111;161;191;241;281;341},1),"North","NorthEast","East","SouthEast","South","SouthWest","West","NorthWest","North")</f>
        <v>West</v>
      </c>
      <c r="AC258" s="5">
        <f>CHOOSE(MATCH(AB258,{"South";"SouthEast";"SouthWest";"North";"NorthEast";"East";"West";"NorthWest"},0),1,2,3,4,5,6,7,8)</f>
        <v>7</v>
      </c>
      <c r="AD258" s="2">
        <f t="shared" si="54"/>
        <v>0</v>
      </c>
      <c r="AE258">
        <v>1010.9</v>
      </c>
      <c r="AF258" s="4" t="s">
        <v>506</v>
      </c>
      <c r="AG258" s="2">
        <f t="shared" si="55"/>
        <v>0</v>
      </c>
      <c r="AH258" t="s">
        <v>507</v>
      </c>
      <c r="AI258" s="2">
        <f t="shared" si="56"/>
        <v>8</v>
      </c>
      <c r="AJ258" s="2">
        <f t="shared" si="57"/>
        <v>1</v>
      </c>
      <c r="AK258" s="3">
        <v>50.999999998603023</v>
      </c>
      <c r="AM258" s="2">
        <v>0</v>
      </c>
      <c r="AN258">
        <v>1</v>
      </c>
      <c r="AO258">
        <v>0</v>
      </c>
      <c r="AP258">
        <v>0</v>
      </c>
      <c r="AQ258" s="2">
        <f>IF((2*G258 + M258 -P258 + 3*W258 + 2*Z258+2*AD258 + AG258+2*AJ258 + 4*AM258) &gt;=8,1,0)</f>
        <v>0</v>
      </c>
    </row>
    <row r="259" spans="1:43" x14ac:dyDescent="0.25">
      <c r="A259" t="s">
        <v>27</v>
      </c>
      <c r="B259" s="1">
        <v>37474</v>
      </c>
      <c r="C259" s="7">
        <f t="shared" si="49"/>
        <v>2002</v>
      </c>
      <c r="D259">
        <v>97.6</v>
      </c>
      <c r="E259">
        <v>83.4</v>
      </c>
      <c r="F259">
        <v>89.1</v>
      </c>
      <c r="G259" s="2">
        <f t="shared" si="58"/>
        <v>1</v>
      </c>
      <c r="H259">
        <v>99.4</v>
      </c>
      <c r="I259">
        <v>84</v>
      </c>
      <c r="J259">
        <v>91.9</v>
      </c>
      <c r="K259">
        <v>65.5</v>
      </c>
      <c r="L259">
        <v>47.3</v>
      </c>
      <c r="M259" s="2">
        <f t="shared" si="50"/>
        <v>1</v>
      </c>
      <c r="N259">
        <v>0</v>
      </c>
      <c r="P259" s="2">
        <f t="shared" si="51"/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2">
        <f t="shared" si="52"/>
        <v>0</v>
      </c>
      <c r="X259">
        <v>11.6</v>
      </c>
      <c r="Z259" s="2">
        <f t="shared" si="53"/>
        <v>0</v>
      </c>
      <c r="AA259">
        <v>244.5</v>
      </c>
      <c r="AB259" s="2" t="str">
        <f>CHOOSE(MATCH(AA259,{0;11;80;111;161;191;241;281;341},1),"North","NorthEast","East","SouthEast","South","SouthWest","West","NorthWest","North")</f>
        <v>West</v>
      </c>
      <c r="AC259" s="5">
        <f>CHOOSE(MATCH(AB259,{"South";"SouthEast";"SouthWest";"North";"NorthEast";"East";"West";"NorthWest"},0),1,2,3,4,5,6,7,8)</f>
        <v>7</v>
      </c>
      <c r="AD259" s="2">
        <f t="shared" si="54"/>
        <v>0</v>
      </c>
      <c r="AE259">
        <v>1009.1</v>
      </c>
      <c r="AF259" s="4" t="s">
        <v>508</v>
      </c>
      <c r="AG259" s="2">
        <f t="shared" si="55"/>
        <v>1</v>
      </c>
      <c r="AH259" t="s">
        <v>509</v>
      </c>
      <c r="AI259" s="2">
        <f t="shared" si="56"/>
        <v>8</v>
      </c>
      <c r="AJ259" s="2">
        <f t="shared" si="57"/>
        <v>1</v>
      </c>
      <c r="AK259" s="3">
        <v>481.00000000675209</v>
      </c>
      <c r="AM259" s="2">
        <v>1</v>
      </c>
      <c r="AN259">
        <v>0</v>
      </c>
      <c r="AO259">
        <v>3</v>
      </c>
      <c r="AP259">
        <v>0</v>
      </c>
      <c r="AQ259" s="2">
        <f>IF((2*G259 + M259 -P259 + 3*W259 + 2*Z259+2*AD259 + AG259+2*AJ259 + 4*AM259) &gt;=8,1,0)</f>
        <v>1</v>
      </c>
    </row>
    <row r="260" spans="1:43" x14ac:dyDescent="0.25">
      <c r="A260" t="s">
        <v>27</v>
      </c>
      <c r="B260" s="1">
        <v>37485</v>
      </c>
      <c r="C260" s="7">
        <f t="shared" si="49"/>
        <v>2002</v>
      </c>
      <c r="D260">
        <v>91.1</v>
      </c>
      <c r="E260">
        <v>73.900000000000006</v>
      </c>
      <c r="F260">
        <v>81.400000000000006</v>
      </c>
      <c r="G260" s="2">
        <f t="shared" si="58"/>
        <v>1</v>
      </c>
      <c r="H260">
        <v>92.9</v>
      </c>
      <c r="I260">
        <v>73.900000000000006</v>
      </c>
      <c r="J260">
        <v>82</v>
      </c>
      <c r="K260">
        <v>64.2</v>
      </c>
      <c r="L260">
        <v>57.4</v>
      </c>
      <c r="M260" s="2">
        <f t="shared" si="50"/>
        <v>0</v>
      </c>
      <c r="N260">
        <v>0</v>
      </c>
      <c r="P260" s="2">
        <f t="shared" si="51"/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2">
        <f t="shared" si="52"/>
        <v>0</v>
      </c>
      <c r="X260">
        <v>11.8</v>
      </c>
      <c r="Z260" s="2">
        <f t="shared" si="53"/>
        <v>0</v>
      </c>
      <c r="AA260">
        <v>273.39999999999998</v>
      </c>
      <c r="AB260" s="2" t="str">
        <f>CHOOSE(MATCH(AA260,{0;11;80;111;161;191;241;281;341},1),"North","NorthEast","East","SouthEast","South","SouthWest","West","NorthWest","North")</f>
        <v>West</v>
      </c>
      <c r="AC260" s="5">
        <f>CHOOSE(MATCH(AB260,{"South";"SouthEast";"SouthWest";"North";"NorthEast";"East";"West";"NorthWest"},0),1,2,3,4,5,6,7,8)</f>
        <v>7</v>
      </c>
      <c r="AD260" s="2">
        <f t="shared" si="54"/>
        <v>0</v>
      </c>
      <c r="AE260">
        <v>1006</v>
      </c>
      <c r="AF260" s="4" t="s">
        <v>510</v>
      </c>
      <c r="AG260" s="2">
        <f t="shared" si="55"/>
        <v>1</v>
      </c>
      <c r="AH260" t="s">
        <v>511</v>
      </c>
      <c r="AI260" s="2">
        <f t="shared" si="56"/>
        <v>8</v>
      </c>
      <c r="AJ260" s="2">
        <f t="shared" si="57"/>
        <v>1</v>
      </c>
      <c r="AK260" s="3">
        <v>239.00000000372529</v>
      </c>
      <c r="AM260" s="2">
        <v>0</v>
      </c>
      <c r="AN260">
        <v>0</v>
      </c>
      <c r="AO260">
        <v>3</v>
      </c>
      <c r="AP260">
        <v>0</v>
      </c>
      <c r="AQ260" s="2">
        <f>IF((2*G260 + M260 -P260 + 3*W260 + 2*Z260+2*AD260 + AG260+2*AJ260 + 4*AM260) &gt;=8,1,0)</f>
        <v>0</v>
      </c>
    </row>
    <row r="261" spans="1:43" x14ac:dyDescent="0.25">
      <c r="A261" t="s">
        <v>27</v>
      </c>
      <c r="B261" s="1">
        <v>37486</v>
      </c>
      <c r="C261" s="7">
        <f t="shared" si="49"/>
        <v>2002</v>
      </c>
      <c r="D261">
        <v>87.2</v>
      </c>
      <c r="E261">
        <v>70.7</v>
      </c>
      <c r="F261">
        <v>77</v>
      </c>
      <c r="G261" s="2">
        <f t="shared" si="58"/>
        <v>1</v>
      </c>
      <c r="H261">
        <v>88.1</v>
      </c>
      <c r="I261">
        <v>70.7</v>
      </c>
      <c r="J261">
        <v>77.099999999999994</v>
      </c>
      <c r="K261">
        <v>64.8</v>
      </c>
      <c r="L261">
        <v>67.2</v>
      </c>
      <c r="M261" s="2">
        <f t="shared" si="50"/>
        <v>0</v>
      </c>
      <c r="N261">
        <v>0.57099999999999995</v>
      </c>
      <c r="P261" s="2">
        <f t="shared" si="51"/>
        <v>0</v>
      </c>
      <c r="Q261">
        <v>100</v>
      </c>
      <c r="R261">
        <v>4.17</v>
      </c>
      <c r="S261" t="s">
        <v>87</v>
      </c>
      <c r="T261">
        <v>0</v>
      </c>
      <c r="U261">
        <v>0</v>
      </c>
      <c r="V261">
        <v>0</v>
      </c>
      <c r="W261" s="2">
        <f t="shared" si="52"/>
        <v>0</v>
      </c>
      <c r="X261">
        <v>15.8</v>
      </c>
      <c r="Z261" s="2">
        <f t="shared" si="53"/>
        <v>0</v>
      </c>
      <c r="AA261">
        <v>24.1</v>
      </c>
      <c r="AB261" s="2" t="str">
        <f>CHOOSE(MATCH(AA261,{0;11;80;111;161;191;241;281;341},1),"North","NorthEast","East","SouthEast","South","SouthWest","West","NorthWest","North")</f>
        <v>NorthEast</v>
      </c>
      <c r="AC261" s="5">
        <f>CHOOSE(MATCH(AB261,{"South";"SouthEast";"SouthWest";"North";"NorthEast";"East";"West";"NorthWest"},0),1,2,3,4,5,6,7,8)</f>
        <v>5</v>
      </c>
      <c r="AD261" s="2">
        <f t="shared" si="54"/>
        <v>1</v>
      </c>
      <c r="AE261">
        <v>1008.6</v>
      </c>
      <c r="AF261" s="4" t="s">
        <v>42</v>
      </c>
      <c r="AG261" s="2">
        <f t="shared" si="55"/>
        <v>1</v>
      </c>
      <c r="AH261" t="s">
        <v>512</v>
      </c>
      <c r="AI261" s="2">
        <f t="shared" si="56"/>
        <v>8</v>
      </c>
      <c r="AJ261" s="2">
        <f t="shared" si="57"/>
        <v>1</v>
      </c>
      <c r="AK261" s="3">
        <v>55.000000001164153</v>
      </c>
      <c r="AM261" s="2">
        <v>0</v>
      </c>
      <c r="AN261">
        <v>0.1</v>
      </c>
      <c r="AO261">
        <v>0</v>
      </c>
      <c r="AP261">
        <v>0</v>
      </c>
      <c r="AQ261" s="2">
        <f>IF((2*G261 + M261 -P261 + 3*W261 + 2*Z261+2*AD261 + AG261+2*AJ261 + 4*AM261) &gt;=8,1,0)</f>
        <v>0</v>
      </c>
    </row>
    <row r="262" spans="1:43" x14ac:dyDescent="0.25">
      <c r="A262" t="s">
        <v>27</v>
      </c>
      <c r="B262" s="1">
        <v>37489</v>
      </c>
      <c r="C262" s="7">
        <f t="shared" si="49"/>
        <v>2002</v>
      </c>
      <c r="D262">
        <v>87.5</v>
      </c>
      <c r="E262">
        <v>70.5</v>
      </c>
      <c r="F262">
        <v>77.5</v>
      </c>
      <c r="G262" s="2">
        <f t="shared" si="58"/>
        <v>1</v>
      </c>
      <c r="H262">
        <v>86.7</v>
      </c>
      <c r="I262">
        <v>70.5</v>
      </c>
      <c r="J262">
        <v>77.8</v>
      </c>
      <c r="K262">
        <v>61.1</v>
      </c>
      <c r="L262">
        <v>57.9</v>
      </c>
      <c r="M262" s="2">
        <f t="shared" si="50"/>
        <v>0</v>
      </c>
      <c r="N262">
        <v>0</v>
      </c>
      <c r="P262" s="2">
        <f t="shared" si="51"/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2">
        <f t="shared" si="52"/>
        <v>0</v>
      </c>
      <c r="X262">
        <v>10.3</v>
      </c>
      <c r="Z262" s="2">
        <f t="shared" si="53"/>
        <v>0</v>
      </c>
      <c r="AA262">
        <v>334.3</v>
      </c>
      <c r="AB262" s="2" t="str">
        <f>CHOOSE(MATCH(AA262,{0;11;80;111;161;191;241;281;341},1),"North","NorthEast","East","SouthEast","South","SouthWest","West","NorthWest","North")</f>
        <v>NorthWest</v>
      </c>
      <c r="AC262" s="5">
        <f>CHOOSE(MATCH(AB262,{"South";"SouthEast";"SouthWest";"North";"NorthEast";"East";"West";"NorthWest"},0),1,2,3,4,5,6,7,8)</f>
        <v>8</v>
      </c>
      <c r="AD262" s="2">
        <f t="shared" si="54"/>
        <v>1</v>
      </c>
      <c r="AE262">
        <v>1013.1</v>
      </c>
      <c r="AF262" s="4" t="s">
        <v>513</v>
      </c>
      <c r="AG262" s="2">
        <f t="shared" si="55"/>
        <v>0</v>
      </c>
      <c r="AH262" t="s">
        <v>514</v>
      </c>
      <c r="AI262" s="2">
        <f t="shared" si="56"/>
        <v>8</v>
      </c>
      <c r="AJ262" s="2">
        <f t="shared" si="57"/>
        <v>1</v>
      </c>
      <c r="AK262" s="3">
        <v>35.000000009313233</v>
      </c>
      <c r="AM262" s="2">
        <v>0</v>
      </c>
      <c r="AN262">
        <v>0</v>
      </c>
      <c r="AO262">
        <v>0.1</v>
      </c>
      <c r="AP262">
        <v>0</v>
      </c>
      <c r="AQ262" s="2">
        <f>IF((2*G262 + M262 -P262 + 3*W262 + 2*Z262+2*AD262 + AG262+2*AJ262 + 4*AM262) &gt;=8,1,0)</f>
        <v>0</v>
      </c>
    </row>
    <row r="263" spans="1:43" x14ac:dyDescent="0.25">
      <c r="A263" t="s">
        <v>27</v>
      </c>
      <c r="B263" s="1">
        <v>37491</v>
      </c>
      <c r="C263" s="7">
        <f t="shared" si="49"/>
        <v>2002</v>
      </c>
      <c r="D263">
        <v>88.3</v>
      </c>
      <c r="E263">
        <v>70.900000000000006</v>
      </c>
      <c r="F263">
        <v>79.7</v>
      </c>
      <c r="G263" s="2">
        <f t="shared" si="58"/>
        <v>1</v>
      </c>
      <c r="H263">
        <v>89.5</v>
      </c>
      <c r="I263">
        <v>70.900000000000006</v>
      </c>
      <c r="J263">
        <v>80.099999999999994</v>
      </c>
      <c r="K263">
        <v>62.8</v>
      </c>
      <c r="L263">
        <v>57.8</v>
      </c>
      <c r="M263" s="2">
        <f t="shared" si="50"/>
        <v>0</v>
      </c>
      <c r="N263">
        <v>0</v>
      </c>
      <c r="P263" s="2">
        <f t="shared" si="51"/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2">
        <f t="shared" si="52"/>
        <v>0</v>
      </c>
      <c r="X263">
        <v>11.9</v>
      </c>
      <c r="Z263" s="2">
        <f t="shared" si="53"/>
        <v>0</v>
      </c>
      <c r="AA263">
        <v>159.9</v>
      </c>
      <c r="AB263" s="2" t="str">
        <f>CHOOSE(MATCH(AA263,{0;11;80;111;161;191;241;281;341},1),"North","NorthEast","East","SouthEast","South","SouthWest","West","NorthWest","North")</f>
        <v>SouthEast</v>
      </c>
      <c r="AC263" s="5">
        <f>CHOOSE(MATCH(AB263,{"South";"SouthEast";"SouthWest";"North";"NorthEast";"East";"West";"NorthWest"},0),1,2,3,4,5,6,7,8)</f>
        <v>2</v>
      </c>
      <c r="AD263" s="2">
        <f t="shared" si="54"/>
        <v>0</v>
      </c>
      <c r="AE263">
        <v>1014.4</v>
      </c>
      <c r="AF263" s="4" t="s">
        <v>150</v>
      </c>
      <c r="AG263" s="2">
        <f t="shared" si="55"/>
        <v>0</v>
      </c>
      <c r="AH263" t="s">
        <v>515</v>
      </c>
      <c r="AI263" s="2">
        <f t="shared" si="56"/>
        <v>8</v>
      </c>
      <c r="AJ263" s="2">
        <f t="shared" si="57"/>
        <v>1</v>
      </c>
      <c r="AK263" s="3">
        <v>42.000000000698492</v>
      </c>
      <c r="AM263" s="2">
        <v>0</v>
      </c>
      <c r="AN263">
        <v>0</v>
      </c>
      <c r="AO263">
        <v>0.7</v>
      </c>
      <c r="AP263">
        <v>0</v>
      </c>
      <c r="AQ263" s="2">
        <f>IF((2*G263 + M263 -P263 + 3*W263 + 2*Z263+2*AD263 + AG263+2*AJ263 + 4*AM263) &gt;=8,1,0)</f>
        <v>0</v>
      </c>
    </row>
    <row r="264" spans="1:43" x14ac:dyDescent="0.25">
      <c r="A264" t="s">
        <v>27</v>
      </c>
      <c r="B264" s="1">
        <v>37493</v>
      </c>
      <c r="C264" s="7">
        <f t="shared" si="49"/>
        <v>2002</v>
      </c>
      <c r="D264">
        <v>89.5</v>
      </c>
      <c r="E264">
        <v>69.900000000000006</v>
      </c>
      <c r="F264">
        <v>81.599999999999994</v>
      </c>
      <c r="G264" s="2">
        <f t="shared" si="58"/>
        <v>1</v>
      </c>
      <c r="H264">
        <v>87.4</v>
      </c>
      <c r="I264">
        <v>69.900000000000006</v>
      </c>
      <c r="J264">
        <v>80.7</v>
      </c>
      <c r="K264">
        <v>53.1</v>
      </c>
      <c r="L264">
        <v>38.9</v>
      </c>
      <c r="M264" s="2">
        <f t="shared" si="50"/>
        <v>1</v>
      </c>
      <c r="N264">
        <v>0</v>
      </c>
      <c r="P264" s="2">
        <f t="shared" si="51"/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2">
        <f t="shared" si="52"/>
        <v>0</v>
      </c>
      <c r="X264">
        <v>18.600000000000001</v>
      </c>
      <c r="Z264" s="2">
        <f t="shared" si="53"/>
        <v>1</v>
      </c>
      <c r="AA264">
        <v>352.8</v>
      </c>
      <c r="AB264" s="2" t="str">
        <f>CHOOSE(MATCH(AA264,{0;11;80;111;161;191;241;281;341},1),"North","NorthEast","East","SouthEast","South","SouthWest","West","NorthWest","North")</f>
        <v>North</v>
      </c>
      <c r="AC264" s="5">
        <f>CHOOSE(MATCH(AB264,{"South";"SouthEast";"SouthWest";"North";"NorthEast";"East";"West";"NorthWest"},0),1,2,3,4,5,6,7,8)</f>
        <v>4</v>
      </c>
      <c r="AD264" s="2">
        <f t="shared" si="54"/>
        <v>1</v>
      </c>
      <c r="AE264">
        <v>1016.4</v>
      </c>
      <c r="AF264" s="4" t="s">
        <v>516</v>
      </c>
      <c r="AG264" s="2">
        <f t="shared" si="55"/>
        <v>1</v>
      </c>
      <c r="AH264" t="s">
        <v>517</v>
      </c>
      <c r="AI264" s="2">
        <f t="shared" si="56"/>
        <v>8</v>
      </c>
      <c r="AJ264" s="2">
        <f t="shared" si="57"/>
        <v>1</v>
      </c>
      <c r="AK264" s="3">
        <v>435.99999999627471</v>
      </c>
      <c r="AM264" s="2">
        <v>1</v>
      </c>
      <c r="AN264">
        <v>0</v>
      </c>
      <c r="AO264">
        <v>5</v>
      </c>
      <c r="AP264">
        <v>0</v>
      </c>
      <c r="AQ264" s="2">
        <f>IF((2*G264 + M264 -P264 + 3*W264 + 2*Z264+2*AD264 + AG264+2*AJ264 + 4*AM264) &gt;=8,1,0)</f>
        <v>1</v>
      </c>
    </row>
    <row r="265" spans="1:43" x14ac:dyDescent="0.25">
      <c r="A265" t="s">
        <v>27</v>
      </c>
      <c r="B265" s="1">
        <v>37494</v>
      </c>
      <c r="C265" s="7">
        <f t="shared" si="49"/>
        <v>2002</v>
      </c>
      <c r="D265">
        <v>89</v>
      </c>
      <c r="E265">
        <v>75.2</v>
      </c>
      <c r="F265">
        <v>81.5</v>
      </c>
      <c r="G265" s="2">
        <f t="shared" si="58"/>
        <v>1</v>
      </c>
      <c r="H265">
        <v>85.9</v>
      </c>
      <c r="I265">
        <v>75.2</v>
      </c>
      <c r="J265">
        <v>80.400000000000006</v>
      </c>
      <c r="K265">
        <v>51.7</v>
      </c>
      <c r="L265">
        <v>36.700000000000003</v>
      </c>
      <c r="M265" s="2">
        <f t="shared" si="50"/>
        <v>1</v>
      </c>
      <c r="N265">
        <v>0</v>
      </c>
      <c r="P265" s="2">
        <f t="shared" si="51"/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2">
        <f t="shared" si="52"/>
        <v>0</v>
      </c>
      <c r="X265">
        <v>21.6</v>
      </c>
      <c r="Z265" s="2">
        <f t="shared" si="53"/>
        <v>1</v>
      </c>
      <c r="AA265">
        <v>358.7</v>
      </c>
      <c r="AB265" s="2" t="str">
        <f>CHOOSE(MATCH(AA265,{0;11;80;111;161;191;241;281;341},1),"North","NorthEast","East","SouthEast","South","SouthWest","West","NorthWest","North")</f>
        <v>North</v>
      </c>
      <c r="AC265" s="5">
        <f>CHOOSE(MATCH(AB265,{"South";"SouthEast";"SouthWest";"North";"NorthEast";"East";"West";"NorthWest"},0),1,2,3,4,5,6,7,8)</f>
        <v>4</v>
      </c>
      <c r="AD265" s="2">
        <f t="shared" si="54"/>
        <v>1</v>
      </c>
      <c r="AE265">
        <v>1016.3</v>
      </c>
      <c r="AF265" s="4" t="s">
        <v>518</v>
      </c>
      <c r="AG265" s="2">
        <f t="shared" si="55"/>
        <v>1</v>
      </c>
      <c r="AH265" t="s">
        <v>519</v>
      </c>
      <c r="AI265" s="2">
        <f t="shared" si="56"/>
        <v>8</v>
      </c>
      <c r="AJ265" s="2">
        <f t="shared" si="57"/>
        <v>1</v>
      </c>
      <c r="AK265" s="3">
        <v>1220.999999998603</v>
      </c>
      <c r="AM265" s="2">
        <v>1</v>
      </c>
      <c r="AN265">
        <v>5</v>
      </c>
      <c r="AO265">
        <v>0</v>
      </c>
      <c r="AP265">
        <v>0</v>
      </c>
      <c r="AQ265" s="2">
        <f>IF((2*G265 + M265 -P265 + 3*W265 + 2*Z265+2*AD265 + AG265+2*AJ265 + 4*AM265) &gt;=8,1,0)</f>
        <v>1</v>
      </c>
    </row>
    <row r="266" spans="1:43" x14ac:dyDescent="0.25">
      <c r="A266" t="s">
        <v>27</v>
      </c>
      <c r="B266" s="1">
        <v>37494</v>
      </c>
      <c r="C266" s="7">
        <f t="shared" si="49"/>
        <v>2002</v>
      </c>
      <c r="D266">
        <v>89</v>
      </c>
      <c r="E266">
        <v>75.2</v>
      </c>
      <c r="F266">
        <v>81.5</v>
      </c>
      <c r="G266" s="2">
        <f t="shared" si="58"/>
        <v>1</v>
      </c>
      <c r="H266">
        <v>85.9</v>
      </c>
      <c r="I266">
        <v>75.2</v>
      </c>
      <c r="J266">
        <v>80.400000000000006</v>
      </c>
      <c r="K266">
        <v>51.7</v>
      </c>
      <c r="L266">
        <v>36.700000000000003</v>
      </c>
      <c r="M266" s="2">
        <f t="shared" si="50"/>
        <v>1</v>
      </c>
      <c r="N266">
        <v>0</v>
      </c>
      <c r="P266" s="2">
        <f t="shared" si="51"/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s="2">
        <f t="shared" si="52"/>
        <v>0</v>
      </c>
      <c r="X266">
        <v>21.6</v>
      </c>
      <c r="Z266" s="2">
        <f t="shared" si="53"/>
        <v>1</v>
      </c>
      <c r="AA266">
        <v>358.7</v>
      </c>
      <c r="AB266" s="2" t="str">
        <f>CHOOSE(MATCH(AA266,{0;11;80;111;161;191;241;281;341},1),"North","NorthEast","East","SouthEast","South","SouthWest","West","NorthWest","North")</f>
        <v>North</v>
      </c>
      <c r="AC266" s="5">
        <f>CHOOSE(MATCH(AB266,{"South";"SouthEast";"SouthWest";"North";"NorthEast";"East";"West";"NorthWest"},0),1,2,3,4,5,6,7,8)</f>
        <v>4</v>
      </c>
      <c r="AD266" s="2">
        <f t="shared" si="54"/>
        <v>1</v>
      </c>
      <c r="AE266">
        <v>1016.3</v>
      </c>
      <c r="AF266" s="4" t="s">
        <v>520</v>
      </c>
      <c r="AG266" s="2">
        <f t="shared" si="55"/>
        <v>0</v>
      </c>
      <c r="AH266" t="s">
        <v>521</v>
      </c>
      <c r="AI266" s="2">
        <f t="shared" si="56"/>
        <v>8</v>
      </c>
      <c r="AJ266" s="2">
        <f t="shared" si="57"/>
        <v>1</v>
      </c>
      <c r="AK266" s="3">
        <v>129.00000000139701</v>
      </c>
      <c r="AM266" s="2">
        <v>0</v>
      </c>
      <c r="AN266">
        <v>0</v>
      </c>
      <c r="AO266">
        <v>0.1</v>
      </c>
      <c r="AP266">
        <v>0</v>
      </c>
      <c r="AQ266" s="2">
        <f>IF((2*G266 + M266 -P266 + 3*W266 + 2*Z266+2*AD266 + AG266+2*AJ266 + 4*AM266) &gt;=8,1,0)</f>
        <v>1</v>
      </c>
    </row>
    <row r="267" spans="1:43" x14ac:dyDescent="0.25">
      <c r="A267" t="s">
        <v>27</v>
      </c>
      <c r="B267" s="1">
        <v>37495</v>
      </c>
      <c r="C267" s="7">
        <f t="shared" si="49"/>
        <v>2002</v>
      </c>
      <c r="D267">
        <v>87.2</v>
      </c>
      <c r="E267">
        <v>75</v>
      </c>
      <c r="F267">
        <v>79.7</v>
      </c>
      <c r="G267" s="2">
        <f t="shared" si="58"/>
        <v>1</v>
      </c>
      <c r="H267">
        <v>85.1</v>
      </c>
      <c r="I267">
        <v>75</v>
      </c>
      <c r="J267">
        <v>79.099999999999994</v>
      </c>
      <c r="K267">
        <v>54.6</v>
      </c>
      <c r="L267">
        <v>42.7</v>
      </c>
      <c r="M267" s="2">
        <f t="shared" si="50"/>
        <v>1</v>
      </c>
      <c r="N267">
        <v>0</v>
      </c>
      <c r="P267" s="2">
        <f t="shared" si="51"/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2">
        <f t="shared" si="52"/>
        <v>0</v>
      </c>
      <c r="X267">
        <v>18.399999999999999</v>
      </c>
      <c r="Z267" s="2">
        <f t="shared" si="53"/>
        <v>1</v>
      </c>
      <c r="AA267">
        <v>0.8</v>
      </c>
      <c r="AB267" s="2" t="str">
        <f>CHOOSE(MATCH(AA267,{0;11;80;111;161;191;241;281;341},1),"North","NorthEast","East","SouthEast","South","SouthWest","West","NorthWest","North")</f>
        <v>North</v>
      </c>
      <c r="AC267" s="5">
        <f>CHOOSE(MATCH(AB267,{"South";"SouthEast";"SouthWest";"North";"NorthEast";"East";"West";"NorthWest"},0),1,2,3,4,5,6,7,8)</f>
        <v>4</v>
      </c>
      <c r="AD267" s="2">
        <f t="shared" si="54"/>
        <v>1</v>
      </c>
      <c r="AE267">
        <v>1014.9</v>
      </c>
      <c r="AF267" s="4" t="s">
        <v>522</v>
      </c>
      <c r="AG267" s="2">
        <f t="shared" si="55"/>
        <v>1</v>
      </c>
      <c r="AH267" t="s">
        <v>523</v>
      </c>
      <c r="AI267" s="2">
        <f t="shared" si="56"/>
        <v>8</v>
      </c>
      <c r="AJ267" s="2">
        <f t="shared" si="57"/>
        <v>1</v>
      </c>
      <c r="AK267" s="3">
        <v>1267.0000000018631</v>
      </c>
      <c r="AM267" s="2">
        <v>1</v>
      </c>
      <c r="AN267">
        <v>0</v>
      </c>
      <c r="AO267">
        <v>51</v>
      </c>
      <c r="AP267">
        <v>0</v>
      </c>
      <c r="AQ267" s="2">
        <f>IF((2*G267 + M267 -P267 + 3*W267 + 2*Z267+2*AD267 + AG267+2*AJ267 + 4*AM267) &gt;=8,1,0)</f>
        <v>1</v>
      </c>
    </row>
    <row r="268" spans="1:43" x14ac:dyDescent="0.25">
      <c r="A268" t="s">
        <v>27</v>
      </c>
      <c r="B268" s="1">
        <v>37496</v>
      </c>
      <c r="C268" s="7">
        <f t="shared" si="49"/>
        <v>2002</v>
      </c>
      <c r="D268">
        <v>87.5</v>
      </c>
      <c r="E268">
        <v>71.8</v>
      </c>
      <c r="F268">
        <v>78.900000000000006</v>
      </c>
      <c r="G268" s="2">
        <f t="shared" si="58"/>
        <v>1</v>
      </c>
      <c r="H268">
        <v>84.6</v>
      </c>
      <c r="I268">
        <v>71.8</v>
      </c>
      <c r="J268">
        <v>78.099999999999994</v>
      </c>
      <c r="K268">
        <v>53.1</v>
      </c>
      <c r="L268">
        <v>42.8</v>
      </c>
      <c r="M268" s="2">
        <f t="shared" si="50"/>
        <v>1</v>
      </c>
      <c r="N268">
        <v>0</v>
      </c>
      <c r="P268" s="2">
        <f t="shared" si="51"/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2">
        <f t="shared" si="52"/>
        <v>0</v>
      </c>
      <c r="X268">
        <v>14.6</v>
      </c>
      <c r="Z268" s="2">
        <f t="shared" si="53"/>
        <v>0</v>
      </c>
      <c r="AA268">
        <v>15.8</v>
      </c>
      <c r="AB268" s="2" t="str">
        <f>CHOOSE(MATCH(AA268,{0;11;80;111;161;191;241;281;341},1),"North","NorthEast","East","SouthEast","South","SouthWest","West","NorthWest","North")</f>
        <v>NorthEast</v>
      </c>
      <c r="AC268" s="5">
        <f>CHOOSE(MATCH(AB268,{"South";"SouthEast";"SouthWest";"North";"NorthEast";"East";"West";"NorthWest"},0),1,2,3,4,5,6,7,8)</f>
        <v>5</v>
      </c>
      <c r="AD268" s="2">
        <f t="shared" si="54"/>
        <v>1</v>
      </c>
      <c r="AE268">
        <v>1013.9</v>
      </c>
      <c r="AF268" s="4" t="s">
        <v>524</v>
      </c>
      <c r="AG268" s="2">
        <f t="shared" si="55"/>
        <v>0</v>
      </c>
      <c r="AH268" t="s">
        <v>525</v>
      </c>
      <c r="AI268" s="2">
        <f t="shared" si="56"/>
        <v>8</v>
      </c>
      <c r="AJ268" s="2">
        <f t="shared" si="57"/>
        <v>1</v>
      </c>
      <c r="AK268" s="3">
        <v>1710</v>
      </c>
      <c r="AM268" s="2">
        <v>1</v>
      </c>
      <c r="AN268">
        <v>40</v>
      </c>
      <c r="AO268">
        <v>0</v>
      </c>
      <c r="AP268">
        <v>0</v>
      </c>
      <c r="AQ268" s="2">
        <f>IF((2*G268 + M268 -P268 + 3*W268 + 2*Z268+2*AD268 + AG268+2*AJ268 + 4*AM268) &gt;=8,1,0)</f>
        <v>1</v>
      </c>
    </row>
    <row r="269" spans="1:43" x14ac:dyDescent="0.25">
      <c r="A269" t="s">
        <v>27</v>
      </c>
      <c r="B269" s="1">
        <v>37500</v>
      </c>
      <c r="C269" s="7">
        <f t="shared" si="49"/>
        <v>2002</v>
      </c>
      <c r="D269">
        <v>80.900000000000006</v>
      </c>
      <c r="E269">
        <v>69.7</v>
      </c>
      <c r="F269">
        <v>74.2</v>
      </c>
      <c r="G269" s="2">
        <f t="shared" si="58"/>
        <v>1</v>
      </c>
      <c r="H269">
        <v>81.7</v>
      </c>
      <c r="I269">
        <v>69.7</v>
      </c>
      <c r="J269">
        <v>74.3</v>
      </c>
      <c r="K269">
        <v>61.3</v>
      </c>
      <c r="L269">
        <v>64.900000000000006</v>
      </c>
      <c r="M269" s="2">
        <f t="shared" si="50"/>
        <v>0</v>
      </c>
      <c r="N269">
        <v>0</v>
      </c>
      <c r="P269" s="2">
        <f t="shared" si="51"/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s="2">
        <f t="shared" si="52"/>
        <v>0</v>
      </c>
      <c r="X269">
        <v>15.8</v>
      </c>
      <c r="Z269" s="2">
        <f t="shared" si="53"/>
        <v>0</v>
      </c>
      <c r="AA269">
        <v>343.1</v>
      </c>
      <c r="AB269" s="2" t="str">
        <f>CHOOSE(MATCH(AA269,{0;11;80;111;161;191;241;281;341},1),"North","NorthEast","East","SouthEast","South","SouthWest","West","NorthWest","North")</f>
        <v>North</v>
      </c>
      <c r="AC269" s="5">
        <f>CHOOSE(MATCH(AB269,{"South";"SouthEast";"SouthWest";"North";"NorthEast";"East";"West";"NorthWest"},0),1,2,3,4,5,6,7,8)</f>
        <v>4</v>
      </c>
      <c r="AD269" s="2">
        <f t="shared" si="54"/>
        <v>1</v>
      </c>
      <c r="AE269">
        <v>1011.5</v>
      </c>
      <c r="AF269" s="4" t="s">
        <v>526</v>
      </c>
      <c r="AG269" s="2">
        <f t="shared" si="55"/>
        <v>1</v>
      </c>
      <c r="AH269" t="s">
        <v>527</v>
      </c>
      <c r="AI269" s="2">
        <f t="shared" si="56"/>
        <v>9</v>
      </c>
      <c r="AJ269" s="2">
        <f t="shared" si="57"/>
        <v>0</v>
      </c>
      <c r="AK269" s="3">
        <v>1001.000000004424</v>
      </c>
      <c r="AM269" s="2">
        <v>1</v>
      </c>
      <c r="AN269">
        <v>0</v>
      </c>
      <c r="AO269">
        <v>5</v>
      </c>
      <c r="AP269">
        <v>0</v>
      </c>
      <c r="AQ269" s="2">
        <f>IF((2*G269 + M269 -P269 + 3*W269 + 2*Z269+2*AD269 + AG269+2*AJ269 + 4*AM269) &gt;=8,1,0)</f>
        <v>1</v>
      </c>
    </row>
    <row r="270" spans="1:43" x14ac:dyDescent="0.25">
      <c r="A270" t="s">
        <v>27</v>
      </c>
      <c r="B270" s="1">
        <v>37505</v>
      </c>
      <c r="C270" s="7">
        <f t="shared" si="49"/>
        <v>2002</v>
      </c>
      <c r="D270">
        <v>82.8</v>
      </c>
      <c r="E270">
        <v>67.400000000000006</v>
      </c>
      <c r="F270">
        <v>74.8</v>
      </c>
      <c r="G270" s="2">
        <f t="shared" si="58"/>
        <v>1</v>
      </c>
      <c r="H270">
        <v>83.9</v>
      </c>
      <c r="I270">
        <v>67.400000000000006</v>
      </c>
      <c r="J270">
        <v>75.2</v>
      </c>
      <c r="K270">
        <v>64.2</v>
      </c>
      <c r="L270">
        <v>70.8</v>
      </c>
      <c r="M270" s="2">
        <f t="shared" si="50"/>
        <v>0</v>
      </c>
      <c r="N270">
        <v>0</v>
      </c>
      <c r="P270" s="2">
        <f t="shared" si="51"/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2">
        <f t="shared" si="52"/>
        <v>0</v>
      </c>
      <c r="X270">
        <v>8.1</v>
      </c>
      <c r="Z270" s="2">
        <f t="shared" si="53"/>
        <v>0</v>
      </c>
      <c r="AA270">
        <v>217.7</v>
      </c>
      <c r="AB270" s="2" t="str">
        <f>CHOOSE(MATCH(AA270,{0;11;80;111;161;191;241;281;341},1),"North","NorthEast","East","SouthEast","South","SouthWest","West","NorthWest","North")</f>
        <v>SouthWest</v>
      </c>
      <c r="AC270" s="5">
        <f>CHOOSE(MATCH(AB270,{"South";"SouthEast";"SouthWest";"North";"NorthEast";"East";"West";"NorthWest"},0),1,2,3,4,5,6,7,8)</f>
        <v>3</v>
      </c>
      <c r="AD270" s="2">
        <f t="shared" si="54"/>
        <v>1</v>
      </c>
      <c r="AE270">
        <v>1012.9</v>
      </c>
      <c r="AF270" s="4" t="s">
        <v>528</v>
      </c>
      <c r="AG270" s="2">
        <f t="shared" si="55"/>
        <v>1</v>
      </c>
      <c r="AH270" t="s">
        <v>529</v>
      </c>
      <c r="AI270" s="2">
        <f t="shared" si="56"/>
        <v>9</v>
      </c>
      <c r="AJ270" s="2">
        <f t="shared" si="57"/>
        <v>0</v>
      </c>
      <c r="AK270" s="3">
        <v>43.999999996740371</v>
      </c>
      <c r="AM270" s="2">
        <v>0</v>
      </c>
      <c r="AN270">
        <v>0</v>
      </c>
      <c r="AO270">
        <v>0.1</v>
      </c>
      <c r="AP270">
        <v>0</v>
      </c>
      <c r="AQ270" s="2">
        <f>IF((2*G270 + M270 -P270 + 3*W270 + 2*Z270+2*AD270 + AG270+2*AJ270 + 4*AM270) &gt;=8,1,0)</f>
        <v>0</v>
      </c>
    </row>
    <row r="271" spans="1:43" x14ac:dyDescent="0.25">
      <c r="A271" t="s">
        <v>27</v>
      </c>
      <c r="B271" s="1">
        <v>37511</v>
      </c>
      <c r="C271" s="7">
        <f t="shared" si="49"/>
        <v>2002</v>
      </c>
      <c r="D271">
        <v>82.4</v>
      </c>
      <c r="E271">
        <v>62.7</v>
      </c>
      <c r="F271">
        <v>74.3</v>
      </c>
      <c r="G271" s="2">
        <f t="shared" si="58"/>
        <v>1</v>
      </c>
      <c r="H271">
        <v>83.8</v>
      </c>
      <c r="I271">
        <v>62.7</v>
      </c>
      <c r="J271">
        <v>74.599999999999994</v>
      </c>
      <c r="K271">
        <v>63</v>
      </c>
      <c r="L271">
        <v>68.599999999999994</v>
      </c>
      <c r="M271" s="2">
        <f t="shared" si="50"/>
        <v>0</v>
      </c>
      <c r="N271">
        <v>0</v>
      </c>
      <c r="P271" s="2">
        <f t="shared" si="51"/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2">
        <f t="shared" si="52"/>
        <v>0</v>
      </c>
      <c r="X271">
        <v>10</v>
      </c>
      <c r="Z271" s="2">
        <f t="shared" si="53"/>
        <v>0</v>
      </c>
      <c r="AA271">
        <v>126.9</v>
      </c>
      <c r="AB271" s="2" t="str">
        <f>CHOOSE(MATCH(AA271,{0;11;80;111;161;191;241;281;341},1),"North","NorthEast","East","SouthEast","South","SouthWest","West","NorthWest","North")</f>
        <v>SouthEast</v>
      </c>
      <c r="AC271" s="5">
        <f>CHOOSE(MATCH(AB271,{"South";"SouthEast";"SouthWest";"North";"NorthEast";"East";"West";"NorthWest"},0),1,2,3,4,5,6,7,8)</f>
        <v>2</v>
      </c>
      <c r="AD271" s="2">
        <f t="shared" si="54"/>
        <v>0</v>
      </c>
      <c r="AE271">
        <v>1011.4</v>
      </c>
      <c r="AF271" s="4" t="s">
        <v>296</v>
      </c>
      <c r="AG271" s="2">
        <f t="shared" si="55"/>
        <v>1</v>
      </c>
      <c r="AH271" t="s">
        <v>530</v>
      </c>
      <c r="AI271" s="2">
        <f t="shared" si="56"/>
        <v>9</v>
      </c>
      <c r="AJ271" s="2">
        <f t="shared" si="57"/>
        <v>0</v>
      </c>
      <c r="AK271" s="3">
        <v>40.000000004656613</v>
      </c>
      <c r="AM271" s="2">
        <v>0</v>
      </c>
      <c r="AN271">
        <v>0</v>
      </c>
      <c r="AO271">
        <v>2</v>
      </c>
      <c r="AP271">
        <v>0</v>
      </c>
      <c r="AQ271" s="2">
        <f>IF((2*G271 + M271 -P271 + 3*W271 + 2*Z271+2*AD271 + AG271+2*AJ271 + 4*AM271) &gt;=8,1,0)</f>
        <v>0</v>
      </c>
    </row>
    <row r="272" spans="1:43" x14ac:dyDescent="0.25">
      <c r="A272" t="s">
        <v>27</v>
      </c>
      <c r="B272" s="1">
        <v>37511</v>
      </c>
      <c r="C272" s="7">
        <f t="shared" si="49"/>
        <v>2002</v>
      </c>
      <c r="D272">
        <v>82.4</v>
      </c>
      <c r="E272">
        <v>62.7</v>
      </c>
      <c r="F272">
        <v>74.3</v>
      </c>
      <c r="G272" s="2">
        <f t="shared" si="58"/>
        <v>1</v>
      </c>
      <c r="H272">
        <v>83.8</v>
      </c>
      <c r="I272">
        <v>62.7</v>
      </c>
      <c r="J272">
        <v>74.599999999999994</v>
      </c>
      <c r="K272">
        <v>63</v>
      </c>
      <c r="L272">
        <v>68.599999999999994</v>
      </c>
      <c r="M272" s="2">
        <f t="shared" si="50"/>
        <v>0</v>
      </c>
      <c r="N272">
        <v>0</v>
      </c>
      <c r="P272" s="2">
        <f t="shared" si="51"/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2">
        <f t="shared" si="52"/>
        <v>0</v>
      </c>
      <c r="X272">
        <v>10</v>
      </c>
      <c r="Z272" s="2">
        <f t="shared" si="53"/>
        <v>0</v>
      </c>
      <c r="AA272">
        <v>126.9</v>
      </c>
      <c r="AB272" s="2" t="str">
        <f>CHOOSE(MATCH(AA272,{0;11;80;111;161;191;241;281;341},1),"North","NorthEast","East","SouthEast","South","SouthWest","West","NorthWest","North")</f>
        <v>SouthEast</v>
      </c>
      <c r="AC272" s="5">
        <f>CHOOSE(MATCH(AB272,{"South";"SouthEast";"SouthWest";"North";"NorthEast";"East";"West";"NorthWest"},0),1,2,3,4,5,6,7,8)</f>
        <v>2</v>
      </c>
      <c r="AD272" s="2">
        <f t="shared" si="54"/>
        <v>0</v>
      </c>
      <c r="AE272">
        <v>1011.4</v>
      </c>
      <c r="AF272" s="4" t="s">
        <v>32</v>
      </c>
      <c r="AG272" s="2">
        <f t="shared" si="55"/>
        <v>1</v>
      </c>
      <c r="AH272" t="s">
        <v>531</v>
      </c>
      <c r="AI272" s="2">
        <f t="shared" si="56"/>
        <v>9</v>
      </c>
      <c r="AJ272" s="2">
        <f t="shared" si="57"/>
        <v>0</v>
      </c>
      <c r="AK272" s="3">
        <v>50.999999998603023</v>
      </c>
      <c r="AM272" s="2">
        <v>0</v>
      </c>
      <c r="AN272">
        <v>0</v>
      </c>
      <c r="AO272">
        <v>0.1</v>
      </c>
      <c r="AP272">
        <v>0</v>
      </c>
      <c r="AQ272" s="2">
        <f>IF((2*G272 + M272 -P272 + 3*W272 + 2*Z272+2*AD272 + AG272+2*AJ272 + 4*AM272) &gt;=8,1,0)</f>
        <v>0</v>
      </c>
    </row>
    <row r="273" spans="1:43" x14ac:dyDescent="0.25">
      <c r="A273" t="s">
        <v>27</v>
      </c>
      <c r="B273" s="1">
        <v>37524</v>
      </c>
      <c r="C273" s="7">
        <f t="shared" si="49"/>
        <v>2002</v>
      </c>
      <c r="D273">
        <v>82.8</v>
      </c>
      <c r="E273">
        <v>71.5</v>
      </c>
      <c r="F273">
        <v>77.7</v>
      </c>
      <c r="G273" s="2">
        <f t="shared" si="58"/>
        <v>1</v>
      </c>
      <c r="H273">
        <v>85.8</v>
      </c>
      <c r="I273">
        <v>71.5</v>
      </c>
      <c r="J273">
        <v>78.400000000000006</v>
      </c>
      <c r="K273">
        <v>68.3</v>
      </c>
      <c r="L273">
        <v>73.2</v>
      </c>
      <c r="M273" s="2">
        <f t="shared" si="50"/>
        <v>0</v>
      </c>
      <c r="N273">
        <v>2.4E-2</v>
      </c>
      <c r="P273" s="2">
        <f t="shared" si="51"/>
        <v>0</v>
      </c>
      <c r="Q273">
        <v>100</v>
      </c>
      <c r="R273">
        <v>4.17</v>
      </c>
      <c r="S273" t="s">
        <v>87</v>
      </c>
      <c r="T273">
        <v>0</v>
      </c>
      <c r="U273">
        <v>0</v>
      </c>
      <c r="V273">
        <v>0</v>
      </c>
      <c r="W273" s="2">
        <f t="shared" si="52"/>
        <v>0</v>
      </c>
      <c r="X273">
        <v>12.8</v>
      </c>
      <c r="Z273" s="2">
        <f t="shared" si="53"/>
        <v>0</v>
      </c>
      <c r="AA273">
        <v>159.19999999999999</v>
      </c>
      <c r="AB273" s="2" t="str">
        <f>CHOOSE(MATCH(AA273,{0;11;80;111;161;191;241;281;341},1),"North","NorthEast","East","SouthEast","South","SouthWest","West","NorthWest","North")</f>
        <v>SouthEast</v>
      </c>
      <c r="AC273" s="5">
        <f>CHOOSE(MATCH(AB273,{"South";"SouthEast";"SouthWest";"North";"NorthEast";"East";"West";"NorthWest"},0),1,2,3,4,5,6,7,8)</f>
        <v>2</v>
      </c>
      <c r="AD273" s="2">
        <f t="shared" si="54"/>
        <v>0</v>
      </c>
      <c r="AE273">
        <v>1010.5</v>
      </c>
      <c r="AF273" s="4" t="s">
        <v>532</v>
      </c>
      <c r="AG273" s="2">
        <f t="shared" si="55"/>
        <v>1</v>
      </c>
      <c r="AH273" t="s">
        <v>533</v>
      </c>
      <c r="AI273" s="2">
        <f t="shared" si="56"/>
        <v>9</v>
      </c>
      <c r="AJ273" s="2">
        <f t="shared" si="57"/>
        <v>0</v>
      </c>
      <c r="AK273" s="3">
        <v>45</v>
      </c>
      <c r="AM273" s="2">
        <v>0</v>
      </c>
      <c r="AN273">
        <v>0</v>
      </c>
      <c r="AO273">
        <v>0.1</v>
      </c>
      <c r="AP273">
        <v>0</v>
      </c>
      <c r="AQ273" s="2">
        <f>IF((2*G273 + M273 -P273 + 3*W273 + 2*Z273+2*AD273 + AG273+2*AJ273 + 4*AM273) &gt;=8,1,0)</f>
        <v>0</v>
      </c>
    </row>
    <row r="274" spans="1:43" x14ac:dyDescent="0.25">
      <c r="A274" t="s">
        <v>27</v>
      </c>
      <c r="B274" s="1">
        <v>37525</v>
      </c>
      <c r="C274" s="7">
        <f t="shared" si="49"/>
        <v>2002</v>
      </c>
      <c r="D274">
        <v>84.3</v>
      </c>
      <c r="E274">
        <v>67.900000000000006</v>
      </c>
      <c r="F274">
        <v>76.400000000000006</v>
      </c>
      <c r="G274" s="2">
        <f t="shared" si="58"/>
        <v>1</v>
      </c>
      <c r="H274">
        <v>86.7</v>
      </c>
      <c r="I274">
        <v>67.900000000000006</v>
      </c>
      <c r="J274">
        <v>76.8</v>
      </c>
      <c r="K274">
        <v>63.5</v>
      </c>
      <c r="L274">
        <v>66</v>
      </c>
      <c r="M274" s="2">
        <f t="shared" si="50"/>
        <v>0</v>
      </c>
      <c r="N274">
        <v>0</v>
      </c>
      <c r="P274" s="2">
        <f t="shared" si="51"/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2">
        <f t="shared" si="52"/>
        <v>0</v>
      </c>
      <c r="X274">
        <v>15.7</v>
      </c>
      <c r="Z274" s="2">
        <f t="shared" si="53"/>
        <v>0</v>
      </c>
      <c r="AA274">
        <v>271.8</v>
      </c>
      <c r="AB274" s="2" t="str">
        <f>CHOOSE(MATCH(AA274,{0;11;80;111;161;191;241;281;341},1),"North","NorthEast","East","SouthEast","South","SouthWest","West","NorthWest","North")</f>
        <v>West</v>
      </c>
      <c r="AC274" s="5">
        <f>CHOOSE(MATCH(AB274,{"South";"SouthEast";"SouthWest";"North";"NorthEast";"East";"West";"NorthWest"},0),1,2,3,4,5,6,7,8)</f>
        <v>7</v>
      </c>
      <c r="AD274" s="2">
        <f t="shared" si="54"/>
        <v>0</v>
      </c>
      <c r="AE274">
        <v>1008</v>
      </c>
      <c r="AF274" s="4" t="s">
        <v>67</v>
      </c>
      <c r="AG274" s="2">
        <f t="shared" si="55"/>
        <v>1</v>
      </c>
      <c r="AH274" t="s">
        <v>534</v>
      </c>
      <c r="AI274" s="2">
        <f t="shared" si="56"/>
        <v>9</v>
      </c>
      <c r="AJ274" s="2">
        <f t="shared" si="57"/>
        <v>0</v>
      </c>
      <c r="AK274" s="3">
        <v>59.99999999650754</v>
      </c>
      <c r="AM274" s="2">
        <v>0</v>
      </c>
      <c r="AN274">
        <v>0</v>
      </c>
      <c r="AO274">
        <v>0.4</v>
      </c>
      <c r="AP274">
        <v>0</v>
      </c>
      <c r="AQ274" s="2">
        <f>IF((2*G274 + M274 -P274 + 3*W274 + 2*Z274+2*AD274 + AG274+2*AJ274 + 4*AM274) &gt;=8,1,0)</f>
        <v>0</v>
      </c>
    </row>
    <row r="275" spans="1:43" x14ac:dyDescent="0.25">
      <c r="A275" t="s">
        <v>27</v>
      </c>
      <c r="B275" s="1">
        <v>37533</v>
      </c>
      <c r="C275" s="7">
        <f t="shared" si="49"/>
        <v>2002</v>
      </c>
      <c r="D275">
        <v>73.5</v>
      </c>
      <c r="E275">
        <v>51.9</v>
      </c>
      <c r="F275">
        <v>64.3</v>
      </c>
      <c r="G275" s="2">
        <f t="shared" si="58"/>
        <v>0</v>
      </c>
      <c r="H275">
        <v>73.5</v>
      </c>
      <c r="I275">
        <v>51.9</v>
      </c>
      <c r="J275">
        <v>64.3</v>
      </c>
      <c r="K275">
        <v>49.4</v>
      </c>
      <c r="L275">
        <v>59.9</v>
      </c>
      <c r="M275" s="2">
        <f t="shared" si="50"/>
        <v>0</v>
      </c>
      <c r="N275">
        <v>0</v>
      </c>
      <c r="P275" s="2">
        <f t="shared" si="51"/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2">
        <f t="shared" si="52"/>
        <v>0</v>
      </c>
      <c r="X275">
        <v>10.5</v>
      </c>
      <c r="Z275" s="2">
        <f t="shared" si="53"/>
        <v>0</v>
      </c>
      <c r="AA275">
        <v>318</v>
      </c>
      <c r="AB275" s="2" t="str">
        <f>CHOOSE(MATCH(AA275,{0;11;80;111;161;191;241;281;341},1),"North","NorthEast","East","SouthEast","South","SouthWest","West","NorthWest","North")</f>
        <v>NorthWest</v>
      </c>
      <c r="AC275" s="5">
        <f>CHOOSE(MATCH(AB275,{"South";"SouthEast";"SouthWest";"North";"NorthEast";"East";"West";"NorthWest"},0),1,2,3,4,5,6,7,8)</f>
        <v>8</v>
      </c>
      <c r="AD275" s="2">
        <f t="shared" si="54"/>
        <v>1</v>
      </c>
      <c r="AE275">
        <v>1019.8</v>
      </c>
      <c r="AF275" s="4" t="s">
        <v>535</v>
      </c>
      <c r="AG275" s="2">
        <f t="shared" si="55"/>
        <v>1</v>
      </c>
      <c r="AH275" t="s">
        <v>536</v>
      </c>
      <c r="AI275" s="2">
        <f t="shared" si="56"/>
        <v>10</v>
      </c>
      <c r="AJ275" s="2">
        <f t="shared" si="57"/>
        <v>0</v>
      </c>
      <c r="AK275" s="3">
        <v>454.00000000256108</v>
      </c>
      <c r="AM275" s="2">
        <v>1</v>
      </c>
      <c r="AN275">
        <v>0</v>
      </c>
      <c r="AO275">
        <v>0.5</v>
      </c>
      <c r="AP275">
        <v>0</v>
      </c>
      <c r="AQ275" s="2">
        <f>IF((2*G275 + M275 -P275 + 3*W275 + 2*Z275+2*AD275 + AG275+2*AJ275 + 4*AM275) &gt;=8,1,0)</f>
        <v>0</v>
      </c>
    </row>
    <row r="276" spans="1:43" x14ac:dyDescent="0.25">
      <c r="A276" t="s">
        <v>27</v>
      </c>
      <c r="B276" s="1">
        <v>37540</v>
      </c>
      <c r="C276" s="7">
        <f t="shared" si="49"/>
        <v>2002</v>
      </c>
      <c r="D276">
        <v>80.3</v>
      </c>
      <c r="E276">
        <v>68.599999999999994</v>
      </c>
      <c r="F276">
        <v>73.900000000000006</v>
      </c>
      <c r="G276" s="2">
        <f t="shared" si="58"/>
        <v>1</v>
      </c>
      <c r="H276">
        <v>82.2</v>
      </c>
      <c r="I276">
        <v>68.599999999999994</v>
      </c>
      <c r="J276">
        <v>74</v>
      </c>
      <c r="K276">
        <v>64.8</v>
      </c>
      <c r="L276">
        <v>74.3</v>
      </c>
      <c r="M276" s="2">
        <f t="shared" si="50"/>
        <v>0</v>
      </c>
      <c r="N276">
        <v>0</v>
      </c>
      <c r="P276" s="2">
        <f t="shared" si="51"/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2">
        <f t="shared" si="52"/>
        <v>0</v>
      </c>
      <c r="X276">
        <v>41.4</v>
      </c>
      <c r="Z276" s="2">
        <f t="shared" si="53"/>
        <v>1</v>
      </c>
      <c r="AA276">
        <v>138.6</v>
      </c>
      <c r="AB276" s="2" t="str">
        <f>CHOOSE(MATCH(AA276,{0;11;80;111;161;191;241;281;341},1),"North","NorthEast","East","SouthEast","South","SouthWest","West","NorthWest","North")</f>
        <v>SouthEast</v>
      </c>
      <c r="AC276" s="5">
        <f>CHOOSE(MATCH(AB276,{"South";"SouthEast";"SouthWest";"North";"NorthEast";"East";"West";"NorthWest"},0),1,2,3,4,5,6,7,8)</f>
        <v>2</v>
      </c>
      <c r="AD276" s="2">
        <f t="shared" si="54"/>
        <v>0</v>
      </c>
      <c r="AE276">
        <v>1015.9</v>
      </c>
      <c r="AF276" s="4" t="s">
        <v>433</v>
      </c>
      <c r="AG276" s="2">
        <f t="shared" si="55"/>
        <v>1</v>
      </c>
      <c r="AH276" t="s">
        <v>537</v>
      </c>
      <c r="AI276" s="2">
        <f t="shared" si="56"/>
        <v>10</v>
      </c>
      <c r="AJ276" s="2">
        <f t="shared" si="57"/>
        <v>0</v>
      </c>
      <c r="AK276" s="3">
        <v>140.00000000582079</v>
      </c>
      <c r="AM276" s="2">
        <v>0</v>
      </c>
      <c r="AN276">
        <v>0</v>
      </c>
      <c r="AO276">
        <v>2</v>
      </c>
      <c r="AP276">
        <v>0</v>
      </c>
      <c r="AQ276" s="2">
        <f>IF((2*G276 + M276 -P276 + 3*W276 + 2*Z276+2*AD276 + AG276+2*AJ276 + 4*AM276) &gt;=8,1,0)</f>
        <v>0</v>
      </c>
    </row>
    <row r="277" spans="1:43" x14ac:dyDescent="0.25">
      <c r="A277" t="s">
        <v>27</v>
      </c>
      <c r="B277" s="1">
        <v>37552</v>
      </c>
      <c r="C277" s="7">
        <f t="shared" si="49"/>
        <v>2002</v>
      </c>
      <c r="D277">
        <v>77.5</v>
      </c>
      <c r="E277">
        <v>62.9</v>
      </c>
      <c r="F277">
        <v>69.900000000000006</v>
      </c>
      <c r="G277" s="2">
        <f t="shared" si="58"/>
        <v>0</v>
      </c>
      <c r="H277">
        <v>77.5</v>
      </c>
      <c r="I277">
        <v>62.9</v>
      </c>
      <c r="J277">
        <v>69.900000000000006</v>
      </c>
      <c r="K277">
        <v>59</v>
      </c>
      <c r="L277">
        <v>69</v>
      </c>
      <c r="M277" s="2">
        <f t="shared" si="50"/>
        <v>0</v>
      </c>
      <c r="N277">
        <v>0</v>
      </c>
      <c r="P277" s="2">
        <f t="shared" si="51"/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s="2">
        <f t="shared" si="52"/>
        <v>0</v>
      </c>
      <c r="X277">
        <v>12.8</v>
      </c>
      <c r="Z277" s="2">
        <f t="shared" si="53"/>
        <v>0</v>
      </c>
      <c r="AA277">
        <v>333.9</v>
      </c>
      <c r="AB277" s="2" t="str">
        <f>CHOOSE(MATCH(AA277,{0;11;80;111;161;191;241;281;341},1),"North","NorthEast","East","SouthEast","South","SouthWest","West","NorthWest","North")</f>
        <v>NorthWest</v>
      </c>
      <c r="AC277" s="5">
        <f>CHOOSE(MATCH(AB277,{"South";"SouthEast";"SouthWest";"North";"NorthEast";"East";"West";"NorthWest"},0),1,2,3,4,5,6,7,8)</f>
        <v>8</v>
      </c>
      <c r="AD277" s="2">
        <f t="shared" si="54"/>
        <v>1</v>
      </c>
      <c r="AE277">
        <v>1014.1</v>
      </c>
      <c r="AF277" s="4" t="s">
        <v>280</v>
      </c>
      <c r="AG277" s="2">
        <f t="shared" si="55"/>
        <v>1</v>
      </c>
      <c r="AH277" t="s">
        <v>538</v>
      </c>
      <c r="AI277" s="2">
        <f t="shared" si="56"/>
        <v>10</v>
      </c>
      <c r="AJ277" s="2">
        <f t="shared" si="57"/>
        <v>0</v>
      </c>
      <c r="AK277" s="3">
        <v>316.00000000325957</v>
      </c>
      <c r="AM277" s="2">
        <v>0</v>
      </c>
      <c r="AN277">
        <v>0</v>
      </c>
      <c r="AO277">
        <v>1</v>
      </c>
      <c r="AP277">
        <v>0</v>
      </c>
      <c r="AQ277" s="2">
        <f>IF((2*G277 + M277 -P277 + 3*W277 + 2*Z277+2*AD277 + AG277+2*AJ277 + 4*AM277) &gt;=8,1,0)</f>
        <v>0</v>
      </c>
    </row>
    <row r="278" spans="1:43" x14ac:dyDescent="0.25">
      <c r="A278" t="s">
        <v>27</v>
      </c>
      <c r="B278" s="1">
        <v>37553</v>
      </c>
      <c r="C278" s="7">
        <f t="shared" si="49"/>
        <v>2002</v>
      </c>
      <c r="D278">
        <v>78.5</v>
      </c>
      <c r="E278">
        <v>65.400000000000006</v>
      </c>
      <c r="F278">
        <v>71.900000000000006</v>
      </c>
      <c r="G278" s="2">
        <f t="shared" si="58"/>
        <v>0</v>
      </c>
      <c r="H278">
        <v>78.5</v>
      </c>
      <c r="I278">
        <v>65.400000000000006</v>
      </c>
      <c r="J278">
        <v>71.900000000000006</v>
      </c>
      <c r="K278">
        <v>62.5</v>
      </c>
      <c r="L278">
        <v>73</v>
      </c>
      <c r="M278" s="2">
        <f t="shared" si="50"/>
        <v>0</v>
      </c>
      <c r="N278">
        <v>0</v>
      </c>
      <c r="P278" s="2">
        <f t="shared" si="51"/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2">
        <f t="shared" si="52"/>
        <v>0</v>
      </c>
      <c r="X278">
        <v>14.8</v>
      </c>
      <c r="Z278" s="2">
        <f t="shared" si="53"/>
        <v>0</v>
      </c>
      <c r="AA278">
        <v>264.39999999999998</v>
      </c>
      <c r="AB278" s="2" t="str">
        <f>CHOOSE(MATCH(AA278,{0;11;80;111;161;191;241;281;341},1),"North","NorthEast","East","SouthEast","South","SouthWest","West","NorthWest","North")</f>
        <v>West</v>
      </c>
      <c r="AC278" s="5">
        <f>CHOOSE(MATCH(AB278,{"South";"SouthEast";"SouthWest";"North";"NorthEast";"East";"West";"NorthWest"},0),1,2,3,4,5,6,7,8)</f>
        <v>7</v>
      </c>
      <c r="AD278" s="2">
        <f t="shared" si="54"/>
        <v>0</v>
      </c>
      <c r="AE278">
        <v>1013.2</v>
      </c>
      <c r="AF278" s="4" t="s">
        <v>250</v>
      </c>
      <c r="AG278" s="2">
        <f t="shared" si="55"/>
        <v>0</v>
      </c>
      <c r="AH278" t="s">
        <v>539</v>
      </c>
      <c r="AI278" s="2">
        <f t="shared" si="56"/>
        <v>10</v>
      </c>
      <c r="AJ278" s="2">
        <f t="shared" si="57"/>
        <v>0</v>
      </c>
      <c r="AK278" s="3">
        <v>210.99999999627471</v>
      </c>
      <c r="AM278" s="2">
        <v>0</v>
      </c>
      <c r="AN278">
        <v>0</v>
      </c>
      <c r="AO278">
        <v>3</v>
      </c>
      <c r="AP278">
        <v>0</v>
      </c>
      <c r="AQ278" s="2">
        <f>IF((2*G278 + M278 -P278 + 3*W278 + 2*Z278+2*AD278 + AG278+2*AJ278 + 4*AM278) &gt;=8,1,0)</f>
        <v>0</v>
      </c>
    </row>
    <row r="279" spans="1:43" x14ac:dyDescent="0.25">
      <c r="A279" t="s">
        <v>27</v>
      </c>
      <c r="B279" s="1">
        <v>37559</v>
      </c>
      <c r="C279" s="7">
        <f t="shared" si="49"/>
        <v>2002</v>
      </c>
      <c r="D279">
        <v>64.900000000000006</v>
      </c>
      <c r="E279">
        <v>51.5</v>
      </c>
      <c r="F279">
        <v>59</v>
      </c>
      <c r="G279" s="2">
        <f t="shared" si="58"/>
        <v>0</v>
      </c>
      <c r="H279">
        <v>64.900000000000006</v>
      </c>
      <c r="I279">
        <v>51.5</v>
      </c>
      <c r="J279">
        <v>59</v>
      </c>
      <c r="K279">
        <v>39.799999999999997</v>
      </c>
      <c r="L279">
        <v>49.7</v>
      </c>
      <c r="M279" s="2">
        <f t="shared" si="50"/>
        <v>0</v>
      </c>
      <c r="N279">
        <v>0</v>
      </c>
      <c r="P279" s="2">
        <f t="shared" si="51"/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2">
        <f t="shared" si="52"/>
        <v>0</v>
      </c>
      <c r="X279">
        <v>13</v>
      </c>
      <c r="Z279" s="2">
        <f t="shared" si="53"/>
        <v>0</v>
      </c>
      <c r="AA279">
        <v>4.9000000000000004</v>
      </c>
      <c r="AB279" s="2" t="str">
        <f>CHOOSE(MATCH(AA279,{0;11;80;111;161;191;241;281;341},1),"North","NorthEast","East","SouthEast","South","SouthWest","West","NorthWest","North")</f>
        <v>North</v>
      </c>
      <c r="AC279" s="5">
        <f>CHOOSE(MATCH(AB279,{"South";"SouthEast";"SouthWest";"North";"NorthEast";"East";"West";"NorthWest"},0),1,2,3,4,5,6,7,8)</f>
        <v>4</v>
      </c>
      <c r="AD279" s="2">
        <f t="shared" si="54"/>
        <v>1</v>
      </c>
      <c r="AE279">
        <v>1021.5</v>
      </c>
      <c r="AF279" s="4" t="s">
        <v>460</v>
      </c>
      <c r="AG279" s="2">
        <f t="shared" si="55"/>
        <v>0</v>
      </c>
      <c r="AH279" t="s">
        <v>540</v>
      </c>
      <c r="AI279" s="2">
        <f t="shared" si="56"/>
        <v>10</v>
      </c>
      <c r="AJ279" s="2">
        <f t="shared" si="57"/>
        <v>0</v>
      </c>
      <c r="AK279" s="3">
        <v>2261.0000000044238</v>
      </c>
      <c r="AM279" s="2">
        <v>1</v>
      </c>
      <c r="AN279">
        <v>0</v>
      </c>
      <c r="AO279">
        <v>30</v>
      </c>
      <c r="AP279">
        <v>0</v>
      </c>
      <c r="AQ279" s="2">
        <f>IF((2*G279 + M279 -P279 + 3*W279 + 2*Z279+2*AD279 + AG279+2*AJ279 + 4*AM279) &gt;=8,1,0)</f>
        <v>0</v>
      </c>
    </row>
    <row r="280" spans="1:43" x14ac:dyDescent="0.25">
      <c r="A280" t="s">
        <v>27</v>
      </c>
      <c r="B280" s="1">
        <v>37561</v>
      </c>
      <c r="C280" s="7">
        <f t="shared" si="49"/>
        <v>2002</v>
      </c>
      <c r="D280">
        <v>70.3</v>
      </c>
      <c r="E280">
        <v>53.5</v>
      </c>
      <c r="F280">
        <v>61.2</v>
      </c>
      <c r="G280" s="2">
        <f t="shared" si="58"/>
        <v>0</v>
      </c>
      <c r="H280">
        <v>70.3</v>
      </c>
      <c r="I280">
        <v>53.5</v>
      </c>
      <c r="J280">
        <v>61.2</v>
      </c>
      <c r="K280">
        <v>51.1</v>
      </c>
      <c r="L280">
        <v>70.8</v>
      </c>
      <c r="M280" s="2">
        <f t="shared" si="50"/>
        <v>0</v>
      </c>
      <c r="N280">
        <v>0</v>
      </c>
      <c r="P280" s="2">
        <f t="shared" si="51"/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2">
        <f t="shared" si="52"/>
        <v>0</v>
      </c>
      <c r="X280">
        <v>10.1</v>
      </c>
      <c r="Z280" s="2">
        <f t="shared" si="53"/>
        <v>0</v>
      </c>
      <c r="AA280">
        <v>4.5</v>
      </c>
      <c r="AB280" s="2" t="str">
        <f>CHOOSE(MATCH(AA280,{0;11;80;111;161;191;241;281;341},1),"North","NorthEast","East","SouthEast","South","SouthWest","West","NorthWest","North")</f>
        <v>North</v>
      </c>
      <c r="AC280" s="5">
        <f>CHOOSE(MATCH(AB280,{"South";"SouthEast";"SouthWest";"North";"NorthEast";"East";"West";"NorthWest"},0),1,2,3,4,5,6,7,8)</f>
        <v>4</v>
      </c>
      <c r="AD280" s="2">
        <f t="shared" si="54"/>
        <v>1</v>
      </c>
      <c r="AE280">
        <v>1020.5</v>
      </c>
      <c r="AF280" s="4" t="s">
        <v>541</v>
      </c>
      <c r="AG280" s="2">
        <f t="shared" si="55"/>
        <v>1</v>
      </c>
      <c r="AH280" t="s">
        <v>542</v>
      </c>
      <c r="AI280" s="2">
        <f t="shared" si="56"/>
        <v>11</v>
      </c>
      <c r="AJ280" s="2">
        <f t="shared" si="57"/>
        <v>0</v>
      </c>
      <c r="AK280" s="3">
        <v>1310.000000005821</v>
      </c>
      <c r="AM280" s="2">
        <v>1</v>
      </c>
      <c r="AN280">
        <v>0</v>
      </c>
      <c r="AO280">
        <v>3</v>
      </c>
      <c r="AP280">
        <v>0</v>
      </c>
      <c r="AQ280" s="2">
        <f>IF((2*G280 + M280 -P280 + 3*W280 + 2*Z280+2*AD280 + AG280+2*AJ280 + 4*AM280) &gt;=8,1,0)</f>
        <v>0</v>
      </c>
    </row>
    <row r="281" spans="1:43" x14ac:dyDescent="0.25">
      <c r="A281" t="s">
        <v>27</v>
      </c>
      <c r="B281" s="1">
        <v>37707</v>
      </c>
      <c r="C281" s="7">
        <f t="shared" si="49"/>
        <v>2003</v>
      </c>
      <c r="D281">
        <v>67.7</v>
      </c>
      <c r="E281">
        <v>45.6</v>
      </c>
      <c r="F281">
        <v>56.5</v>
      </c>
      <c r="G281" s="2">
        <f t="shared" si="58"/>
        <v>0</v>
      </c>
      <c r="H281">
        <v>67.7</v>
      </c>
      <c r="I281">
        <v>45.6</v>
      </c>
      <c r="J281">
        <v>56.5</v>
      </c>
      <c r="K281">
        <v>30.2</v>
      </c>
      <c r="L281">
        <v>37.799999999999997</v>
      </c>
      <c r="M281" s="2">
        <f t="shared" si="50"/>
        <v>1</v>
      </c>
      <c r="N281">
        <v>0</v>
      </c>
      <c r="O281">
        <f>AVERAGE(N281:N333)</f>
        <v>0</v>
      </c>
      <c r="P281" s="2">
        <f t="shared" si="51"/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2">
        <f t="shared" si="52"/>
        <v>0</v>
      </c>
      <c r="X281">
        <v>9.6999999999999993</v>
      </c>
      <c r="Y281">
        <f>AVERAGE(X281:X333)</f>
        <v>18.322641509433964</v>
      </c>
      <c r="Z281" s="2">
        <f t="shared" si="53"/>
        <v>0</v>
      </c>
      <c r="AA281">
        <v>25.5</v>
      </c>
      <c r="AB281" s="2" t="str">
        <f>CHOOSE(MATCH(AA281,{0;11;80;111;161;191;241;281;341},1),"North","NorthEast","East","SouthEast","South","SouthWest","West","NorthWest","North")</f>
        <v>NorthEast</v>
      </c>
      <c r="AC281" s="5">
        <f>CHOOSE(MATCH(AB281,{"South";"SouthEast";"SouthWest";"North";"NorthEast";"East";"West";"NorthWest"},0),1,2,3,4,5,6,7,8)</f>
        <v>5</v>
      </c>
      <c r="AD281" s="2">
        <f t="shared" si="54"/>
        <v>1</v>
      </c>
      <c r="AE281">
        <v>1022.4</v>
      </c>
      <c r="AF281" s="4" t="s">
        <v>543</v>
      </c>
      <c r="AG281" s="2">
        <f t="shared" si="55"/>
        <v>0</v>
      </c>
      <c r="AH281" t="s">
        <v>544</v>
      </c>
      <c r="AI281" s="2">
        <f t="shared" si="56"/>
        <v>3</v>
      </c>
      <c r="AJ281" s="2">
        <f t="shared" si="57"/>
        <v>0</v>
      </c>
      <c r="AK281" s="3">
        <v>99.999999990686774</v>
      </c>
      <c r="AL281" s="3">
        <f>AVERAGE(AK281:AK333)</f>
        <v>787.8113207541503</v>
      </c>
      <c r="AM281" s="2">
        <v>0</v>
      </c>
      <c r="AN281">
        <v>0.2</v>
      </c>
      <c r="AO281">
        <v>0</v>
      </c>
      <c r="AP281">
        <v>0</v>
      </c>
      <c r="AQ281" s="2">
        <f>IF((2*G281 + M281 -P281 + 3*W281 + 2*Z281+2*AD281 + AG281+2*AJ281 + 4*AM281) &gt;=8,1,0)</f>
        <v>0</v>
      </c>
    </row>
    <row r="282" spans="1:43" x14ac:dyDescent="0.25">
      <c r="A282" t="s">
        <v>27</v>
      </c>
      <c r="B282" s="1">
        <v>37738</v>
      </c>
      <c r="C282" s="7">
        <f t="shared" si="49"/>
        <v>2003</v>
      </c>
      <c r="D282">
        <v>68.5</v>
      </c>
      <c r="E282">
        <v>46.9</v>
      </c>
      <c r="F282">
        <v>59.4</v>
      </c>
      <c r="G282" s="2">
        <f t="shared" si="58"/>
        <v>0</v>
      </c>
      <c r="H282">
        <v>68.5</v>
      </c>
      <c r="I282">
        <v>46.9</v>
      </c>
      <c r="J282">
        <v>59.4</v>
      </c>
      <c r="K282">
        <v>45.9</v>
      </c>
      <c r="L282">
        <v>62.6</v>
      </c>
      <c r="M282" s="2">
        <f t="shared" si="50"/>
        <v>0</v>
      </c>
      <c r="N282">
        <v>0</v>
      </c>
      <c r="P282" s="2">
        <f t="shared" si="51"/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2">
        <f t="shared" si="52"/>
        <v>0</v>
      </c>
      <c r="X282">
        <v>11.4</v>
      </c>
      <c r="Z282" s="2">
        <f t="shared" si="53"/>
        <v>0</v>
      </c>
      <c r="AA282">
        <v>171.7</v>
      </c>
      <c r="AB282" s="2" t="str">
        <f>CHOOSE(MATCH(AA282,{0;11;80;111;161;191;241;281;341},1),"North","NorthEast","East","SouthEast","South","SouthWest","West","NorthWest","North")</f>
        <v>South</v>
      </c>
      <c r="AC282" s="5">
        <f>CHOOSE(MATCH(AB282,{"South";"SouthEast";"SouthWest";"North";"NorthEast";"East";"West";"NorthWest"},0),1,2,3,4,5,6,7,8)</f>
        <v>1</v>
      </c>
      <c r="AD282" s="2">
        <f t="shared" si="54"/>
        <v>0</v>
      </c>
      <c r="AE282">
        <v>1020.3</v>
      </c>
      <c r="AF282" s="4" t="s">
        <v>123</v>
      </c>
      <c r="AG282" s="2">
        <f t="shared" si="55"/>
        <v>1</v>
      </c>
      <c r="AH282" t="s">
        <v>545</v>
      </c>
      <c r="AI282" s="2">
        <f t="shared" si="56"/>
        <v>4</v>
      </c>
      <c r="AJ282" s="2">
        <f t="shared" si="57"/>
        <v>0</v>
      </c>
      <c r="AK282" s="3">
        <v>59.99999999650754</v>
      </c>
      <c r="AM282" s="2">
        <v>0</v>
      </c>
      <c r="AN282">
        <v>0.2</v>
      </c>
      <c r="AO282">
        <v>0</v>
      </c>
      <c r="AP282">
        <v>0</v>
      </c>
      <c r="AQ282" s="2">
        <f>IF((2*G282 + M282 -P282 + 3*W282 + 2*Z282+2*AD282 + AG282+2*AJ282 + 4*AM282) &gt;=8,1,0)</f>
        <v>0</v>
      </c>
    </row>
    <row r="283" spans="1:43" x14ac:dyDescent="0.25">
      <c r="A283" t="s">
        <v>27</v>
      </c>
      <c r="B283" s="1">
        <v>37761</v>
      </c>
      <c r="C283" s="7">
        <f t="shared" si="49"/>
        <v>2003</v>
      </c>
      <c r="D283">
        <v>84.3</v>
      </c>
      <c r="E283">
        <v>66.3</v>
      </c>
      <c r="F283">
        <v>74.7</v>
      </c>
      <c r="G283" s="2">
        <f t="shared" si="58"/>
        <v>1</v>
      </c>
      <c r="H283">
        <v>81.8</v>
      </c>
      <c r="I283">
        <v>66.3</v>
      </c>
      <c r="J283">
        <v>74.2</v>
      </c>
      <c r="K283">
        <v>47.4</v>
      </c>
      <c r="L283">
        <v>39.799999999999997</v>
      </c>
      <c r="M283" s="2">
        <f t="shared" si="50"/>
        <v>1</v>
      </c>
      <c r="N283">
        <v>0</v>
      </c>
      <c r="P283" s="2">
        <f t="shared" si="51"/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2">
        <f t="shared" si="52"/>
        <v>0</v>
      </c>
      <c r="X283">
        <v>20.8</v>
      </c>
      <c r="Z283" s="2">
        <f t="shared" si="53"/>
        <v>1</v>
      </c>
      <c r="AA283">
        <v>336.5</v>
      </c>
      <c r="AB283" s="2" t="str">
        <f>CHOOSE(MATCH(AA283,{0;11;80;111;161;191;241;281;341},1),"North","NorthEast","East","SouthEast","South","SouthWest","West","NorthWest","North")</f>
        <v>NorthWest</v>
      </c>
      <c r="AC283" s="5">
        <f>CHOOSE(MATCH(AB283,{"South";"SouthEast";"SouthWest";"North";"NorthEast";"East";"West";"NorthWest"},0),1,2,3,4,5,6,7,8)</f>
        <v>8</v>
      </c>
      <c r="AD283" s="2">
        <f t="shared" si="54"/>
        <v>1</v>
      </c>
      <c r="AE283">
        <v>1014.6</v>
      </c>
      <c r="AF283" s="4" t="s">
        <v>170</v>
      </c>
      <c r="AG283" s="2">
        <f t="shared" si="55"/>
        <v>1</v>
      </c>
      <c r="AH283" t="s">
        <v>546</v>
      </c>
      <c r="AI283" s="2">
        <f t="shared" si="56"/>
        <v>5</v>
      </c>
      <c r="AJ283" s="2">
        <f t="shared" si="57"/>
        <v>0</v>
      </c>
      <c r="AK283" s="3">
        <v>145.9999999939464</v>
      </c>
      <c r="AM283" s="2">
        <v>0</v>
      </c>
      <c r="AN283">
        <v>3</v>
      </c>
      <c r="AO283">
        <v>3</v>
      </c>
      <c r="AP283">
        <v>0</v>
      </c>
      <c r="AQ283" s="2">
        <f>IF((2*G283 + M283 -P283 + 3*W283 + 2*Z283+2*AD283 + AG283+2*AJ283 + 4*AM283) &gt;=8,1,0)</f>
        <v>0</v>
      </c>
    </row>
    <row r="284" spans="1:43" x14ac:dyDescent="0.25">
      <c r="A284" t="s">
        <v>27</v>
      </c>
      <c r="B284" s="1">
        <v>37776</v>
      </c>
      <c r="C284" s="7">
        <f t="shared" si="49"/>
        <v>2003</v>
      </c>
      <c r="D284">
        <v>84.3</v>
      </c>
      <c r="E284">
        <v>62.7</v>
      </c>
      <c r="F284">
        <v>75.099999999999994</v>
      </c>
      <c r="G284" s="2">
        <f t="shared" si="58"/>
        <v>1</v>
      </c>
      <c r="H284">
        <v>82.3</v>
      </c>
      <c r="I284">
        <v>62.7</v>
      </c>
      <c r="J284">
        <v>74.3</v>
      </c>
      <c r="K284">
        <v>48.8</v>
      </c>
      <c r="L284">
        <v>41.5</v>
      </c>
      <c r="M284" s="2">
        <f t="shared" si="50"/>
        <v>1</v>
      </c>
      <c r="N284">
        <v>0</v>
      </c>
      <c r="P284" s="2">
        <f t="shared" si="51"/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2">
        <f t="shared" si="52"/>
        <v>0</v>
      </c>
      <c r="X284">
        <v>13.9</v>
      </c>
      <c r="Z284" s="2">
        <f t="shared" si="53"/>
        <v>0</v>
      </c>
      <c r="AA284">
        <v>191.5</v>
      </c>
      <c r="AB284" s="2" t="str">
        <f>CHOOSE(MATCH(AA284,{0;11;80;111;161;191;241;281;341},1),"North","NorthEast","East","SouthEast","South","SouthWest","West","NorthWest","North")</f>
        <v>SouthWest</v>
      </c>
      <c r="AC284" s="5">
        <f>CHOOSE(MATCH(AB284,{"South";"SouthEast";"SouthWest";"North";"NorthEast";"East";"West";"NorthWest"},0),1,2,3,4,5,6,7,8)</f>
        <v>3</v>
      </c>
      <c r="AD284" s="2">
        <f t="shared" si="54"/>
        <v>1</v>
      </c>
      <c r="AE284">
        <v>1015.7</v>
      </c>
      <c r="AF284" s="4" t="s">
        <v>213</v>
      </c>
      <c r="AG284" s="2">
        <f t="shared" si="55"/>
        <v>0</v>
      </c>
      <c r="AH284" t="s">
        <v>547</v>
      </c>
      <c r="AI284" s="2">
        <f t="shared" si="56"/>
        <v>6</v>
      </c>
      <c r="AJ284" s="2">
        <f t="shared" si="57"/>
        <v>1</v>
      </c>
      <c r="AK284" s="3">
        <v>1949.999999996508</v>
      </c>
      <c r="AM284" s="2">
        <v>1</v>
      </c>
      <c r="AN284">
        <v>20</v>
      </c>
      <c r="AO284">
        <v>0</v>
      </c>
      <c r="AP284">
        <v>0</v>
      </c>
      <c r="AQ284" s="2">
        <f>IF((2*G284 + M284 -P284 + 3*W284 + 2*Z284+2*AD284 + AG284+2*AJ284 + 4*AM284) &gt;=8,1,0)</f>
        <v>1</v>
      </c>
    </row>
    <row r="285" spans="1:43" x14ac:dyDescent="0.25">
      <c r="A285" t="s">
        <v>27</v>
      </c>
      <c r="B285" s="1">
        <v>37777</v>
      </c>
      <c r="C285" s="7">
        <f t="shared" si="49"/>
        <v>2003</v>
      </c>
      <c r="D285">
        <v>89.7</v>
      </c>
      <c r="E285">
        <v>68.099999999999994</v>
      </c>
      <c r="F285">
        <v>79.2</v>
      </c>
      <c r="G285" s="2">
        <f t="shared" si="58"/>
        <v>1</v>
      </c>
      <c r="H285">
        <v>86.8</v>
      </c>
      <c r="I285">
        <v>68.099999999999994</v>
      </c>
      <c r="J285">
        <v>78.2</v>
      </c>
      <c r="K285">
        <v>50.6</v>
      </c>
      <c r="L285">
        <v>38.5</v>
      </c>
      <c r="M285" s="2">
        <f t="shared" si="50"/>
        <v>1</v>
      </c>
      <c r="N285">
        <v>0</v>
      </c>
      <c r="P285" s="2">
        <f t="shared" si="51"/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2">
        <f t="shared" si="52"/>
        <v>0</v>
      </c>
      <c r="X285">
        <v>17.2</v>
      </c>
      <c r="Z285" s="2">
        <f t="shared" si="53"/>
        <v>1</v>
      </c>
      <c r="AA285">
        <v>344.9</v>
      </c>
      <c r="AB285" s="2" t="str">
        <f>CHOOSE(MATCH(AA285,{0;11;80;111;161;191;241;281;341},1),"North","NorthEast","East","SouthEast","South","SouthWest","West","NorthWest","North")</f>
        <v>North</v>
      </c>
      <c r="AC285" s="5">
        <f>CHOOSE(MATCH(AB285,{"South";"SouthEast";"SouthWest";"North";"NorthEast";"East";"West";"NorthWest"},0),1,2,3,4,5,6,7,8)</f>
        <v>4</v>
      </c>
      <c r="AD285" s="2">
        <f t="shared" si="54"/>
        <v>1</v>
      </c>
      <c r="AE285">
        <v>1017.9</v>
      </c>
      <c r="AF285" s="4" t="s">
        <v>548</v>
      </c>
      <c r="AG285" s="2">
        <f t="shared" si="55"/>
        <v>1</v>
      </c>
      <c r="AH285" t="s">
        <v>549</v>
      </c>
      <c r="AI285" s="2">
        <f t="shared" si="56"/>
        <v>6</v>
      </c>
      <c r="AJ285" s="2">
        <f t="shared" si="57"/>
        <v>1</v>
      </c>
      <c r="AK285" s="3">
        <v>509.99999999650748</v>
      </c>
      <c r="AM285" s="2">
        <v>1</v>
      </c>
      <c r="AN285">
        <v>1</v>
      </c>
      <c r="AO285">
        <v>1</v>
      </c>
      <c r="AP285">
        <v>0</v>
      </c>
      <c r="AQ285" s="2">
        <f>IF((2*G285 + M285 -P285 + 3*W285 + 2*Z285+2*AD285 + AG285+2*AJ285 + 4*AM285) &gt;=8,1,0)</f>
        <v>1</v>
      </c>
    </row>
    <row r="286" spans="1:43" x14ac:dyDescent="0.25">
      <c r="A286" t="s">
        <v>27</v>
      </c>
      <c r="B286" s="1">
        <v>37783</v>
      </c>
      <c r="C286" s="7">
        <f t="shared" si="49"/>
        <v>2003</v>
      </c>
      <c r="D286">
        <v>89.7</v>
      </c>
      <c r="E286">
        <v>69.900000000000006</v>
      </c>
      <c r="F286">
        <v>82.4</v>
      </c>
      <c r="G286" s="2">
        <f t="shared" si="58"/>
        <v>1</v>
      </c>
      <c r="H286">
        <v>87.1</v>
      </c>
      <c r="I286">
        <v>69.900000000000006</v>
      </c>
      <c r="J286">
        <v>80.900000000000006</v>
      </c>
      <c r="K286">
        <v>49.7</v>
      </c>
      <c r="L286">
        <v>33.1</v>
      </c>
      <c r="M286" s="2">
        <f t="shared" si="50"/>
        <v>1</v>
      </c>
      <c r="N286">
        <v>0</v>
      </c>
      <c r="P286" s="2">
        <f t="shared" si="51"/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2">
        <f t="shared" si="52"/>
        <v>0</v>
      </c>
      <c r="X286">
        <v>20.8</v>
      </c>
      <c r="Z286" s="2">
        <f t="shared" si="53"/>
        <v>1</v>
      </c>
      <c r="AA286">
        <v>344.1</v>
      </c>
      <c r="AB286" s="2" t="str">
        <f>CHOOSE(MATCH(AA286,{0;11;80;111;161;191;241;281;341},1),"North","NorthEast","East","SouthEast","South","SouthWest","West","NorthWest","North")</f>
        <v>North</v>
      </c>
      <c r="AC286" s="5">
        <f>CHOOSE(MATCH(AB286,{"South";"SouthEast";"SouthWest";"North";"NorthEast";"East";"West";"NorthWest"},0),1,2,3,4,5,6,7,8)</f>
        <v>4</v>
      </c>
      <c r="AD286" s="2">
        <f t="shared" si="54"/>
        <v>1</v>
      </c>
      <c r="AE286">
        <v>1013.3</v>
      </c>
      <c r="AF286" s="4" t="s">
        <v>550</v>
      </c>
      <c r="AG286" s="2">
        <f t="shared" si="55"/>
        <v>1</v>
      </c>
      <c r="AH286" t="s">
        <v>551</v>
      </c>
      <c r="AI286" s="2">
        <f t="shared" si="56"/>
        <v>6</v>
      </c>
      <c r="AJ286" s="2">
        <f t="shared" si="57"/>
        <v>1</v>
      </c>
      <c r="AK286" s="3">
        <v>130.00000000465661</v>
      </c>
      <c r="AM286" s="2">
        <v>0</v>
      </c>
      <c r="AN286">
        <v>5</v>
      </c>
      <c r="AO286">
        <v>5</v>
      </c>
      <c r="AP286">
        <v>0</v>
      </c>
      <c r="AQ286" s="2">
        <f>IF((2*G286 + M286 -P286 + 3*W286 + 2*Z286+2*AD286 + AG286+2*AJ286 + 4*AM286) &gt;=8,1,0)</f>
        <v>1</v>
      </c>
    </row>
    <row r="287" spans="1:43" x14ac:dyDescent="0.25">
      <c r="A287" t="s">
        <v>27</v>
      </c>
      <c r="B287" s="1">
        <v>37783</v>
      </c>
      <c r="C287" s="7">
        <f t="shared" si="49"/>
        <v>2003</v>
      </c>
      <c r="D287">
        <v>89.7</v>
      </c>
      <c r="E287">
        <v>69.900000000000006</v>
      </c>
      <c r="F287">
        <v>82.4</v>
      </c>
      <c r="G287" s="2">
        <f t="shared" si="58"/>
        <v>1</v>
      </c>
      <c r="H287">
        <v>87.1</v>
      </c>
      <c r="I287">
        <v>69.900000000000006</v>
      </c>
      <c r="J287">
        <v>80.900000000000006</v>
      </c>
      <c r="K287">
        <v>49.7</v>
      </c>
      <c r="L287">
        <v>33.1</v>
      </c>
      <c r="M287" s="2">
        <f t="shared" si="50"/>
        <v>1</v>
      </c>
      <c r="N287">
        <v>0</v>
      </c>
      <c r="P287" s="2">
        <f t="shared" si="51"/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2">
        <f t="shared" si="52"/>
        <v>0</v>
      </c>
      <c r="X287">
        <v>20.8</v>
      </c>
      <c r="Z287" s="2">
        <f t="shared" si="53"/>
        <v>1</v>
      </c>
      <c r="AA287">
        <v>344.1</v>
      </c>
      <c r="AB287" s="2" t="str">
        <f>CHOOSE(MATCH(AA287,{0;11;80;111;161;191;241;281;341},1),"North","NorthEast","East","SouthEast","South","SouthWest","West","NorthWest","North")</f>
        <v>North</v>
      </c>
      <c r="AC287" s="5">
        <f>CHOOSE(MATCH(AB287,{"South";"SouthEast";"SouthWest";"North";"NorthEast";"East";"West";"NorthWest"},0),1,2,3,4,5,6,7,8)</f>
        <v>4</v>
      </c>
      <c r="AD287" s="2">
        <f t="shared" si="54"/>
        <v>1</v>
      </c>
      <c r="AE287">
        <v>1013.3</v>
      </c>
      <c r="AF287" s="4" t="s">
        <v>552</v>
      </c>
      <c r="AG287" s="2">
        <f t="shared" si="55"/>
        <v>0</v>
      </c>
      <c r="AH287" t="s">
        <v>553</v>
      </c>
      <c r="AI287" s="2">
        <f t="shared" si="56"/>
        <v>6</v>
      </c>
      <c r="AJ287" s="2">
        <f t="shared" si="57"/>
        <v>1</v>
      </c>
      <c r="AK287" s="3">
        <v>856.99999999604188</v>
      </c>
      <c r="AM287" s="2">
        <v>1</v>
      </c>
      <c r="AN287">
        <v>1</v>
      </c>
      <c r="AO287">
        <v>1</v>
      </c>
      <c r="AP287">
        <v>0</v>
      </c>
      <c r="AQ287" s="2">
        <f>IF((2*G287 + M287 -P287 + 3*W287 + 2*Z287+2*AD287 + AG287+2*AJ287 + 4*AM287) &gt;=8,1,0)</f>
        <v>1</v>
      </c>
    </row>
    <row r="288" spans="1:43" x14ac:dyDescent="0.25">
      <c r="A288" t="s">
        <v>27</v>
      </c>
      <c r="B288" s="1">
        <v>37784</v>
      </c>
      <c r="C288" s="7">
        <f t="shared" si="49"/>
        <v>2003</v>
      </c>
      <c r="D288">
        <v>93.3</v>
      </c>
      <c r="E288">
        <v>78.900000000000006</v>
      </c>
      <c r="F288">
        <v>87</v>
      </c>
      <c r="G288" s="2">
        <f t="shared" si="58"/>
        <v>1</v>
      </c>
      <c r="H288">
        <v>90.6</v>
      </c>
      <c r="I288">
        <v>78.900000000000006</v>
      </c>
      <c r="J288">
        <v>85.4</v>
      </c>
      <c r="K288">
        <v>54</v>
      </c>
      <c r="L288">
        <v>33.200000000000003</v>
      </c>
      <c r="M288" s="2">
        <f t="shared" si="50"/>
        <v>1</v>
      </c>
      <c r="N288">
        <v>0</v>
      </c>
      <c r="P288" s="2">
        <f t="shared" si="51"/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2">
        <f t="shared" si="52"/>
        <v>0</v>
      </c>
      <c r="X288">
        <v>23</v>
      </c>
      <c r="Z288" s="2">
        <f t="shared" si="53"/>
        <v>1</v>
      </c>
      <c r="AA288">
        <v>15.8</v>
      </c>
      <c r="AB288" s="2" t="str">
        <f>CHOOSE(MATCH(AA288,{0;11;80;111;161;191;241;281;341},1),"North","NorthEast","East","SouthEast","South","SouthWest","West","NorthWest","North")</f>
        <v>NorthEast</v>
      </c>
      <c r="AC288" s="5">
        <f>CHOOSE(MATCH(AB288,{"South";"SouthEast";"SouthWest";"North";"NorthEast";"East";"West";"NorthWest"},0),1,2,3,4,5,6,7,8)</f>
        <v>5</v>
      </c>
      <c r="AD288" s="2">
        <f t="shared" si="54"/>
        <v>1</v>
      </c>
      <c r="AE288">
        <v>1012.6</v>
      </c>
      <c r="AF288" s="4" t="s">
        <v>253</v>
      </c>
      <c r="AG288" s="2">
        <f t="shared" si="55"/>
        <v>1</v>
      </c>
      <c r="AH288" t="s">
        <v>554</v>
      </c>
      <c r="AI288" s="2">
        <f t="shared" si="56"/>
        <v>6</v>
      </c>
      <c r="AJ288" s="2">
        <f t="shared" si="57"/>
        <v>1</v>
      </c>
      <c r="AK288" s="3">
        <v>1905.0000000069849</v>
      </c>
      <c r="AM288" s="2">
        <v>1</v>
      </c>
      <c r="AN288">
        <v>20</v>
      </c>
      <c r="AO288">
        <v>20</v>
      </c>
      <c r="AP288">
        <v>0</v>
      </c>
      <c r="AQ288" s="2">
        <f>IF((2*G288 + M288 -P288 + 3*W288 + 2*Z288+2*AD288 + AG288+2*AJ288 + 4*AM288) &gt;=8,1,0)</f>
        <v>1</v>
      </c>
    </row>
    <row r="289" spans="1:43" x14ac:dyDescent="0.25">
      <c r="A289" t="s">
        <v>27</v>
      </c>
      <c r="B289" s="1">
        <v>37784</v>
      </c>
      <c r="C289" s="7">
        <f t="shared" si="49"/>
        <v>2003</v>
      </c>
      <c r="D289">
        <v>93.3</v>
      </c>
      <c r="E289">
        <v>78.900000000000006</v>
      </c>
      <c r="F289">
        <v>87</v>
      </c>
      <c r="G289" s="2">
        <f t="shared" si="58"/>
        <v>1</v>
      </c>
      <c r="H289">
        <v>90.6</v>
      </c>
      <c r="I289">
        <v>78.900000000000006</v>
      </c>
      <c r="J289">
        <v>85.4</v>
      </c>
      <c r="K289">
        <v>54</v>
      </c>
      <c r="L289">
        <v>33.200000000000003</v>
      </c>
      <c r="M289" s="2">
        <f t="shared" si="50"/>
        <v>1</v>
      </c>
      <c r="N289">
        <v>0</v>
      </c>
      <c r="P289" s="2">
        <f t="shared" si="51"/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s="2">
        <f t="shared" si="52"/>
        <v>0</v>
      </c>
      <c r="X289">
        <v>23</v>
      </c>
      <c r="Z289" s="2">
        <f t="shared" si="53"/>
        <v>1</v>
      </c>
      <c r="AA289">
        <v>15.8</v>
      </c>
      <c r="AB289" s="2" t="str">
        <f>CHOOSE(MATCH(AA289,{0;11;80;111;161;191;241;281;341},1),"North","NorthEast","East","SouthEast","South","SouthWest","West","NorthWest","North")</f>
        <v>NorthEast</v>
      </c>
      <c r="AC289" s="5">
        <f>CHOOSE(MATCH(AB289,{"South";"SouthEast";"SouthWest";"North";"NorthEast";"East";"West";"NorthWest"},0),1,2,3,4,5,6,7,8)</f>
        <v>5</v>
      </c>
      <c r="AD289" s="2">
        <f t="shared" si="54"/>
        <v>1</v>
      </c>
      <c r="AE289">
        <v>1012.6</v>
      </c>
      <c r="AF289" s="4" t="s">
        <v>251</v>
      </c>
      <c r="AG289" s="2">
        <f t="shared" si="55"/>
        <v>1</v>
      </c>
      <c r="AH289" t="s">
        <v>555</v>
      </c>
      <c r="AI289" s="2">
        <f t="shared" si="56"/>
        <v>6</v>
      </c>
      <c r="AJ289" s="2">
        <f t="shared" si="57"/>
        <v>1</v>
      </c>
      <c r="AK289" s="3">
        <v>799.99999999883585</v>
      </c>
      <c r="AM289" s="2">
        <v>1</v>
      </c>
      <c r="AN289">
        <v>20</v>
      </c>
      <c r="AO289">
        <v>20</v>
      </c>
      <c r="AP289">
        <v>0</v>
      </c>
      <c r="AQ289" s="2">
        <f>IF((2*G289 + M289 -P289 + 3*W289 + 2*Z289+2*AD289 + AG289+2*AJ289 + 4*AM289) &gt;=8,1,0)</f>
        <v>1</v>
      </c>
    </row>
    <row r="290" spans="1:43" x14ac:dyDescent="0.25">
      <c r="A290" t="s">
        <v>27</v>
      </c>
      <c r="B290" s="1">
        <v>37784</v>
      </c>
      <c r="C290" s="7">
        <f t="shared" si="49"/>
        <v>2003</v>
      </c>
      <c r="D290">
        <v>93.3</v>
      </c>
      <c r="E290">
        <v>78.900000000000006</v>
      </c>
      <c r="F290">
        <v>87</v>
      </c>
      <c r="G290" s="2">
        <f t="shared" si="58"/>
        <v>1</v>
      </c>
      <c r="H290">
        <v>90.6</v>
      </c>
      <c r="I290">
        <v>78.900000000000006</v>
      </c>
      <c r="J290">
        <v>85.4</v>
      </c>
      <c r="K290">
        <v>54</v>
      </c>
      <c r="L290">
        <v>33.200000000000003</v>
      </c>
      <c r="M290" s="2">
        <f t="shared" si="50"/>
        <v>1</v>
      </c>
      <c r="N290">
        <v>0</v>
      </c>
      <c r="P290" s="2">
        <f t="shared" si="51"/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2">
        <f t="shared" si="52"/>
        <v>0</v>
      </c>
      <c r="X290">
        <v>23</v>
      </c>
      <c r="Z290" s="2">
        <f t="shared" si="53"/>
        <v>1</v>
      </c>
      <c r="AA290">
        <v>15.8</v>
      </c>
      <c r="AB290" s="2" t="str">
        <f>CHOOSE(MATCH(AA290,{0;11;80;111;161;191;241;281;341},1),"North","NorthEast","East","SouthEast","South","SouthWest","West","NorthWest","North")</f>
        <v>NorthEast</v>
      </c>
      <c r="AC290" s="5">
        <f>CHOOSE(MATCH(AB290,{"South";"SouthEast";"SouthWest";"North";"NorthEast";"East";"West";"NorthWest"},0),1,2,3,4,5,6,7,8)</f>
        <v>5</v>
      </c>
      <c r="AD290" s="2">
        <f t="shared" si="54"/>
        <v>1</v>
      </c>
      <c r="AE290">
        <v>1012.6</v>
      </c>
      <c r="AF290" s="4" t="s">
        <v>138</v>
      </c>
      <c r="AG290" s="2">
        <f t="shared" si="55"/>
        <v>1</v>
      </c>
      <c r="AH290" t="s">
        <v>556</v>
      </c>
      <c r="AI290" s="2">
        <f t="shared" si="56"/>
        <v>6</v>
      </c>
      <c r="AJ290" s="2">
        <f t="shared" si="57"/>
        <v>1</v>
      </c>
      <c r="AK290" s="3">
        <v>969.99999999767169</v>
      </c>
      <c r="AM290" s="2">
        <v>1</v>
      </c>
      <c r="AN290">
        <v>2</v>
      </c>
      <c r="AO290">
        <v>2</v>
      </c>
      <c r="AP290">
        <v>0</v>
      </c>
      <c r="AQ290" s="2">
        <f>IF((2*G290 + M290 -P290 + 3*W290 + 2*Z290+2*AD290 + AG290+2*AJ290 + 4*AM290) &gt;=8,1,0)</f>
        <v>1</v>
      </c>
    </row>
    <row r="291" spans="1:43" x14ac:dyDescent="0.25">
      <c r="A291" t="s">
        <v>27</v>
      </c>
      <c r="B291" s="1">
        <v>37785</v>
      </c>
      <c r="C291" s="7">
        <f t="shared" ref="C291:C349" si="59">YEAR(B291)</f>
        <v>2003</v>
      </c>
      <c r="D291">
        <v>98.7</v>
      </c>
      <c r="E291">
        <v>80.7</v>
      </c>
      <c r="F291">
        <v>91.3</v>
      </c>
      <c r="G291" s="2">
        <f t="shared" si="58"/>
        <v>1</v>
      </c>
      <c r="H291">
        <v>94.7</v>
      </c>
      <c r="I291">
        <v>81.2</v>
      </c>
      <c r="J291">
        <v>89.2</v>
      </c>
      <c r="K291">
        <v>53.3</v>
      </c>
      <c r="L291">
        <v>29.1</v>
      </c>
      <c r="M291" s="2">
        <f t="shared" ref="M291:M349" si="60">IF(L291&lt;=49.3,1,0)</f>
        <v>1</v>
      </c>
      <c r="N291">
        <v>0</v>
      </c>
      <c r="P291" s="2">
        <f t="shared" ref="P291:P349" si="61">IF(N291&lt;=0.01,1,0)</f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2">
        <f t="shared" ref="W291:W349" si="62">IF(V291&lt;=10,0,1)</f>
        <v>0</v>
      </c>
      <c r="X291">
        <v>18.3</v>
      </c>
      <c r="Z291" s="2">
        <f t="shared" ref="Z291:Z349" si="63">IF(X291&gt;=16,1,0)</f>
        <v>1</v>
      </c>
      <c r="AA291">
        <v>358.6</v>
      </c>
      <c r="AB291" s="2" t="str">
        <f>CHOOSE(MATCH(AA291,{0;11;80;111;161;191;241;281;341},1),"North","NorthEast","East","SouthEast","South","SouthWest","West","NorthWest","North")</f>
        <v>North</v>
      </c>
      <c r="AC291" s="5">
        <f>CHOOSE(MATCH(AB291,{"South";"SouthEast";"SouthWest";"North";"NorthEast";"East";"West";"NorthWest"},0),1,2,3,4,5,6,7,8)</f>
        <v>4</v>
      </c>
      <c r="AD291" s="2">
        <f t="shared" ref="AD291:AD349" si="64">IF(OR(AC291=3,AC291=4,AC291=5,AC291=8),1,0)</f>
        <v>1</v>
      </c>
      <c r="AE291">
        <v>1013.1</v>
      </c>
      <c r="AF291" s="4" t="s">
        <v>557</v>
      </c>
      <c r="AG291" s="2">
        <f t="shared" ref="AG291:AG349" si="65">IF(TIMEVALUE(AF291)&lt;=TIME(12,30,0),0,1)</f>
        <v>0</v>
      </c>
      <c r="AH291" t="s">
        <v>558</v>
      </c>
      <c r="AI291" s="2">
        <f t="shared" ref="AI291:AI349" si="66">MONTH(AH291)</f>
        <v>6</v>
      </c>
      <c r="AJ291" s="2">
        <f t="shared" ref="AJ291:AJ349" si="67">IF(OR(AI291=6,AI291=7,AI291=8),1,0)</f>
        <v>1</v>
      </c>
      <c r="AK291" s="3">
        <v>1229.0000000037251</v>
      </c>
      <c r="AM291" s="2">
        <v>1</v>
      </c>
      <c r="AN291">
        <v>50</v>
      </c>
      <c r="AO291">
        <v>50</v>
      </c>
      <c r="AP291">
        <v>0</v>
      </c>
      <c r="AQ291" s="2">
        <f>IF((2*G291 + M291 -P291 + 3*W291 + 2*Z291+2*AD291 + AG291+2*AJ291 + 4*AM291) &gt;=8,1,0)</f>
        <v>1</v>
      </c>
    </row>
    <row r="292" spans="1:43" x14ac:dyDescent="0.25">
      <c r="A292" t="s">
        <v>27</v>
      </c>
      <c r="B292" s="1">
        <v>37786</v>
      </c>
      <c r="C292" s="7">
        <f t="shared" si="59"/>
        <v>2003</v>
      </c>
      <c r="D292">
        <v>95.1</v>
      </c>
      <c r="E292">
        <v>80.7</v>
      </c>
      <c r="F292">
        <v>88.2</v>
      </c>
      <c r="G292" s="2">
        <f t="shared" si="58"/>
        <v>1</v>
      </c>
      <c r="H292">
        <v>93.4</v>
      </c>
      <c r="I292">
        <v>80.400000000000006</v>
      </c>
      <c r="J292">
        <v>86.5</v>
      </c>
      <c r="K292">
        <v>53.6</v>
      </c>
      <c r="L292">
        <v>31.5</v>
      </c>
      <c r="M292" s="2">
        <f t="shared" si="60"/>
        <v>1</v>
      </c>
      <c r="N292">
        <v>0</v>
      </c>
      <c r="P292" s="2">
        <f t="shared" si="61"/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2">
        <f t="shared" si="62"/>
        <v>0</v>
      </c>
      <c r="X292">
        <v>18.3</v>
      </c>
      <c r="Z292" s="2">
        <f t="shared" si="63"/>
        <v>1</v>
      </c>
      <c r="AA292">
        <v>343.3</v>
      </c>
      <c r="AB292" s="2" t="str">
        <f>CHOOSE(MATCH(AA292,{0;11;80;111;161;191;241;281;341},1),"North","NorthEast","East","SouthEast","South","SouthWest","West","NorthWest","North")</f>
        <v>North</v>
      </c>
      <c r="AC292" s="5">
        <f>CHOOSE(MATCH(AB292,{"South";"SouthEast";"SouthWest";"North";"NorthEast";"East";"West";"NorthWest"},0),1,2,3,4,5,6,7,8)</f>
        <v>4</v>
      </c>
      <c r="AD292" s="2">
        <f t="shared" si="64"/>
        <v>1</v>
      </c>
      <c r="AE292">
        <v>1011.9</v>
      </c>
      <c r="AF292" s="4" t="s">
        <v>92</v>
      </c>
      <c r="AG292" s="2">
        <f t="shared" si="65"/>
        <v>1</v>
      </c>
      <c r="AH292" t="s">
        <v>559</v>
      </c>
      <c r="AI292" s="2">
        <f t="shared" si="66"/>
        <v>6</v>
      </c>
      <c r="AJ292" s="2">
        <f t="shared" si="67"/>
        <v>1</v>
      </c>
      <c r="AK292" s="3">
        <v>199.9999999918509</v>
      </c>
      <c r="AM292" s="2">
        <v>0</v>
      </c>
      <c r="AN292">
        <v>2</v>
      </c>
      <c r="AO292">
        <v>2</v>
      </c>
      <c r="AP292">
        <v>0</v>
      </c>
      <c r="AQ292" s="2">
        <f>IF((2*G292 + M292 -P292 + 3*W292 + 2*Z292+2*AD292 + AG292+2*AJ292 + 4*AM292) &gt;=8,1,0)</f>
        <v>1</v>
      </c>
    </row>
    <row r="293" spans="1:43" x14ac:dyDescent="0.25">
      <c r="A293" t="s">
        <v>27</v>
      </c>
      <c r="B293" s="1">
        <v>37789</v>
      </c>
      <c r="C293" s="7">
        <f t="shared" si="59"/>
        <v>2003</v>
      </c>
      <c r="D293">
        <v>93.3</v>
      </c>
      <c r="E293">
        <v>71.7</v>
      </c>
      <c r="F293">
        <v>81.599999999999994</v>
      </c>
      <c r="G293" s="2">
        <f t="shared" si="58"/>
        <v>1</v>
      </c>
      <c r="H293">
        <v>93.5</v>
      </c>
      <c r="I293">
        <v>71.7</v>
      </c>
      <c r="J293">
        <v>82</v>
      </c>
      <c r="K293">
        <v>63.9</v>
      </c>
      <c r="L293">
        <v>57.4</v>
      </c>
      <c r="M293" s="2">
        <f t="shared" si="60"/>
        <v>0</v>
      </c>
      <c r="N293">
        <v>0</v>
      </c>
      <c r="P293" s="2">
        <f t="shared" si="61"/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2">
        <f t="shared" si="62"/>
        <v>0</v>
      </c>
      <c r="X293">
        <v>18.3</v>
      </c>
      <c r="Z293" s="2">
        <f t="shared" si="63"/>
        <v>1</v>
      </c>
      <c r="AA293">
        <v>352.1</v>
      </c>
      <c r="AB293" s="2" t="str">
        <f>CHOOSE(MATCH(AA293,{0;11;80;111;161;191;241;281;341},1),"North","NorthEast","East","SouthEast","South","SouthWest","West","NorthWest","North")</f>
        <v>North</v>
      </c>
      <c r="AC293" s="5">
        <f>CHOOSE(MATCH(AB293,{"South";"SouthEast";"SouthWest";"North";"NorthEast";"East";"West";"NorthWest"},0),1,2,3,4,5,6,7,8)</f>
        <v>4</v>
      </c>
      <c r="AD293" s="2">
        <f t="shared" si="64"/>
        <v>1</v>
      </c>
      <c r="AE293">
        <v>1008</v>
      </c>
      <c r="AF293" s="4" t="s">
        <v>67</v>
      </c>
      <c r="AG293" s="2">
        <f t="shared" si="65"/>
        <v>1</v>
      </c>
      <c r="AH293" t="s">
        <v>560</v>
      </c>
      <c r="AI293" s="2">
        <f t="shared" si="66"/>
        <v>6</v>
      </c>
      <c r="AJ293" s="2">
        <f t="shared" si="67"/>
        <v>1</v>
      </c>
      <c r="AK293" s="3">
        <v>124.9999999988358</v>
      </c>
      <c r="AM293" s="2">
        <v>0</v>
      </c>
      <c r="AN293">
        <v>1</v>
      </c>
      <c r="AO293">
        <v>1</v>
      </c>
      <c r="AP293">
        <v>0</v>
      </c>
      <c r="AQ293" s="2">
        <f>IF((2*G293 + M293 -P293 + 3*W293 + 2*Z293+2*AD293 + AG293+2*AJ293 + 4*AM293) &gt;=8,1,0)</f>
        <v>1</v>
      </c>
    </row>
    <row r="294" spans="1:43" x14ac:dyDescent="0.25">
      <c r="A294" t="s">
        <v>27</v>
      </c>
      <c r="B294" s="1">
        <v>37791</v>
      </c>
      <c r="C294" s="7">
        <f t="shared" si="59"/>
        <v>2003</v>
      </c>
      <c r="D294">
        <v>87.9</v>
      </c>
      <c r="E294">
        <v>73.5</v>
      </c>
      <c r="F294">
        <v>81.400000000000006</v>
      </c>
      <c r="G294" s="2">
        <f t="shared" si="58"/>
        <v>1</v>
      </c>
      <c r="H294">
        <v>85.8</v>
      </c>
      <c r="I294">
        <v>73.5</v>
      </c>
      <c r="J294">
        <v>80.400000000000006</v>
      </c>
      <c r="K294">
        <v>55.5</v>
      </c>
      <c r="L294">
        <v>42.6</v>
      </c>
      <c r="M294" s="2">
        <f t="shared" si="60"/>
        <v>1</v>
      </c>
      <c r="N294">
        <v>0</v>
      </c>
      <c r="P294" s="2">
        <f t="shared" si="61"/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2">
        <f t="shared" si="62"/>
        <v>0</v>
      </c>
      <c r="X294">
        <v>25.3</v>
      </c>
      <c r="Z294" s="2">
        <f t="shared" si="63"/>
        <v>1</v>
      </c>
      <c r="AA294">
        <v>230.7</v>
      </c>
      <c r="AB294" s="2" t="str">
        <f>CHOOSE(MATCH(AA294,{0;11;80;111;161;191;241;281;341},1),"North","NorthEast","East","SouthEast","South","SouthWest","West","NorthWest","North")</f>
        <v>SouthWest</v>
      </c>
      <c r="AC294" s="5">
        <f>CHOOSE(MATCH(AB294,{"South";"SouthEast";"SouthWest";"North";"NorthEast";"East";"West";"NorthWest"},0),1,2,3,4,5,6,7,8)</f>
        <v>3</v>
      </c>
      <c r="AD294" s="2">
        <f t="shared" si="64"/>
        <v>1</v>
      </c>
      <c r="AE294">
        <v>1010.7</v>
      </c>
      <c r="AF294" s="4" t="s">
        <v>561</v>
      </c>
      <c r="AG294" s="2">
        <f t="shared" si="65"/>
        <v>1</v>
      </c>
      <c r="AH294" t="s">
        <v>562</v>
      </c>
      <c r="AI294" s="2">
        <f t="shared" si="66"/>
        <v>6</v>
      </c>
      <c r="AJ294" s="2">
        <f t="shared" si="67"/>
        <v>1</v>
      </c>
      <c r="AK294" s="3">
        <v>200.00000000232831</v>
      </c>
      <c r="AM294" s="2">
        <v>0</v>
      </c>
      <c r="AN294">
        <v>8</v>
      </c>
      <c r="AO294">
        <v>8</v>
      </c>
      <c r="AP294">
        <v>0</v>
      </c>
      <c r="AQ294" s="2">
        <f>IF((2*G294 + M294 -P294 + 3*W294 + 2*Z294+2*AD294 + AG294+2*AJ294 + 4*AM294) &gt;=8,1,0)</f>
        <v>1</v>
      </c>
    </row>
    <row r="295" spans="1:43" x14ac:dyDescent="0.25">
      <c r="A295" t="s">
        <v>27</v>
      </c>
      <c r="B295" s="1">
        <v>37791</v>
      </c>
      <c r="C295" s="7">
        <f t="shared" si="59"/>
        <v>2003</v>
      </c>
      <c r="D295">
        <v>87.9</v>
      </c>
      <c r="E295">
        <v>73.5</v>
      </c>
      <c r="F295">
        <v>81.400000000000006</v>
      </c>
      <c r="G295" s="2">
        <f t="shared" si="58"/>
        <v>1</v>
      </c>
      <c r="H295">
        <v>85.8</v>
      </c>
      <c r="I295">
        <v>73.5</v>
      </c>
      <c r="J295">
        <v>80.400000000000006</v>
      </c>
      <c r="K295">
        <v>55.5</v>
      </c>
      <c r="L295">
        <v>42.6</v>
      </c>
      <c r="M295" s="2">
        <f t="shared" si="60"/>
        <v>1</v>
      </c>
      <c r="N295">
        <v>0</v>
      </c>
      <c r="P295" s="2">
        <f t="shared" si="61"/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2">
        <f t="shared" si="62"/>
        <v>0</v>
      </c>
      <c r="X295">
        <v>25.3</v>
      </c>
      <c r="Z295" s="2">
        <f t="shared" si="63"/>
        <v>1</v>
      </c>
      <c r="AA295">
        <v>230.7</v>
      </c>
      <c r="AB295" s="2" t="str">
        <f>CHOOSE(MATCH(AA295,{0;11;80;111;161;191;241;281;341},1),"North","NorthEast","East","SouthEast","South","SouthWest","West","NorthWest","North")</f>
        <v>SouthWest</v>
      </c>
      <c r="AC295" s="5">
        <f>CHOOSE(MATCH(AB295,{"South";"SouthEast";"SouthWest";"North";"NorthEast";"East";"West";"NorthWest"},0),1,2,3,4,5,6,7,8)</f>
        <v>3</v>
      </c>
      <c r="AD295" s="2">
        <f t="shared" si="64"/>
        <v>1</v>
      </c>
      <c r="AE295">
        <v>1010.7</v>
      </c>
      <c r="AF295" s="4" t="s">
        <v>387</v>
      </c>
      <c r="AG295" s="2">
        <f t="shared" si="65"/>
        <v>0</v>
      </c>
      <c r="AH295" t="s">
        <v>563</v>
      </c>
      <c r="AI295" s="2">
        <f t="shared" si="66"/>
        <v>6</v>
      </c>
      <c r="AJ295" s="2">
        <f t="shared" si="67"/>
        <v>1</v>
      </c>
      <c r="AK295" s="3">
        <v>45</v>
      </c>
      <c r="AM295" s="2">
        <v>0</v>
      </c>
      <c r="AN295">
        <v>1</v>
      </c>
      <c r="AO295">
        <v>1</v>
      </c>
      <c r="AP295">
        <v>0</v>
      </c>
      <c r="AQ295" s="2">
        <f>IF((2*G295 + M295 -P295 + 3*W295 + 2*Z295+2*AD295 + AG295+2*AJ295 + 4*AM295) &gt;=8,1,0)</f>
        <v>1</v>
      </c>
    </row>
    <row r="296" spans="1:43" x14ac:dyDescent="0.25">
      <c r="A296" t="s">
        <v>27</v>
      </c>
      <c r="B296" s="1">
        <v>37791</v>
      </c>
      <c r="C296" s="7">
        <f t="shared" si="59"/>
        <v>2003</v>
      </c>
      <c r="D296">
        <v>87.9</v>
      </c>
      <c r="E296">
        <v>73.5</v>
      </c>
      <c r="F296">
        <v>81.400000000000006</v>
      </c>
      <c r="G296" s="2">
        <f t="shared" si="58"/>
        <v>1</v>
      </c>
      <c r="H296">
        <v>85.8</v>
      </c>
      <c r="I296">
        <v>73.5</v>
      </c>
      <c r="J296">
        <v>80.400000000000006</v>
      </c>
      <c r="K296">
        <v>55.5</v>
      </c>
      <c r="L296">
        <v>42.6</v>
      </c>
      <c r="M296" s="2">
        <f t="shared" si="60"/>
        <v>1</v>
      </c>
      <c r="N296">
        <v>0</v>
      </c>
      <c r="P296" s="2">
        <f t="shared" si="61"/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2">
        <f t="shared" si="62"/>
        <v>0</v>
      </c>
      <c r="X296">
        <v>25.3</v>
      </c>
      <c r="Z296" s="2">
        <f t="shared" si="63"/>
        <v>1</v>
      </c>
      <c r="AA296">
        <v>230.7</v>
      </c>
      <c r="AB296" s="2" t="str">
        <f>CHOOSE(MATCH(AA296,{0;11;80;111;161;191;241;281;341},1),"North","NorthEast","East","SouthEast","South","SouthWest","West","NorthWest","North")</f>
        <v>SouthWest</v>
      </c>
      <c r="AC296" s="5">
        <f>CHOOSE(MATCH(AB296,{"South";"SouthEast";"SouthWest";"North";"NorthEast";"East";"West";"NorthWest"},0),1,2,3,4,5,6,7,8)</f>
        <v>3</v>
      </c>
      <c r="AD296" s="2">
        <f t="shared" si="64"/>
        <v>1</v>
      </c>
      <c r="AE296">
        <v>1010.7</v>
      </c>
      <c r="AF296" s="4" t="s">
        <v>564</v>
      </c>
      <c r="AG296" s="2">
        <f t="shared" si="65"/>
        <v>1</v>
      </c>
      <c r="AH296" t="s">
        <v>565</v>
      </c>
      <c r="AI296" s="2">
        <f t="shared" si="66"/>
        <v>6</v>
      </c>
      <c r="AJ296" s="2">
        <f t="shared" si="67"/>
        <v>1</v>
      </c>
      <c r="AK296" s="3">
        <v>52.000000001862652</v>
      </c>
      <c r="AM296" s="2">
        <v>0</v>
      </c>
      <c r="AN296">
        <v>1</v>
      </c>
      <c r="AO296">
        <v>1</v>
      </c>
      <c r="AP296">
        <v>0</v>
      </c>
      <c r="AQ296" s="2">
        <f>IF((2*G296 + M296 -P296 + 3*W296 + 2*Z296+2*AD296 + AG296+2*AJ296 + 4*AM296) &gt;=8,1,0)</f>
        <v>1</v>
      </c>
    </row>
    <row r="297" spans="1:43" x14ac:dyDescent="0.25">
      <c r="A297" t="s">
        <v>27</v>
      </c>
      <c r="B297" s="1">
        <v>37794</v>
      </c>
      <c r="C297" s="7">
        <f t="shared" si="59"/>
        <v>2003</v>
      </c>
      <c r="D297">
        <v>89.7</v>
      </c>
      <c r="E297">
        <v>75.3</v>
      </c>
      <c r="F297">
        <v>83.9</v>
      </c>
      <c r="G297" s="2">
        <f t="shared" si="58"/>
        <v>1</v>
      </c>
      <c r="H297">
        <v>87.1</v>
      </c>
      <c r="I297">
        <v>75.3</v>
      </c>
      <c r="J297">
        <v>82.2</v>
      </c>
      <c r="K297">
        <v>50</v>
      </c>
      <c r="L297">
        <v>32.200000000000003</v>
      </c>
      <c r="M297" s="2">
        <f t="shared" si="60"/>
        <v>1</v>
      </c>
      <c r="N297">
        <v>0</v>
      </c>
      <c r="P297" s="2">
        <f t="shared" si="61"/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2">
        <f t="shared" si="62"/>
        <v>0</v>
      </c>
      <c r="X297">
        <v>16.100000000000001</v>
      </c>
      <c r="Z297" s="2">
        <f t="shared" si="63"/>
        <v>1</v>
      </c>
      <c r="AA297">
        <v>1.9</v>
      </c>
      <c r="AB297" s="2" t="str">
        <f>CHOOSE(MATCH(AA297,{0;11;80;111;161;191;241;281;341},1),"North","NorthEast","East","SouthEast","South","SouthWest","West","NorthWest","North")</f>
        <v>North</v>
      </c>
      <c r="AC297" s="5">
        <f>CHOOSE(MATCH(AB297,{"South";"SouthEast";"SouthWest";"North";"NorthEast";"East";"West";"NorthWest"},0),1,2,3,4,5,6,7,8)</f>
        <v>4</v>
      </c>
      <c r="AD297" s="2">
        <f t="shared" si="64"/>
        <v>1</v>
      </c>
      <c r="AE297">
        <v>1012</v>
      </c>
      <c r="AF297" s="4" t="s">
        <v>566</v>
      </c>
      <c r="AG297" s="2">
        <f t="shared" si="65"/>
        <v>1</v>
      </c>
      <c r="AH297" t="s">
        <v>567</v>
      </c>
      <c r="AI297" s="2">
        <f t="shared" si="66"/>
        <v>6</v>
      </c>
      <c r="AJ297" s="2">
        <f t="shared" si="67"/>
        <v>1</v>
      </c>
      <c r="AK297" s="3">
        <v>1575</v>
      </c>
      <c r="AM297" s="2">
        <v>1</v>
      </c>
      <c r="AN297">
        <v>7</v>
      </c>
      <c r="AO297">
        <v>7</v>
      </c>
      <c r="AP297">
        <v>0</v>
      </c>
      <c r="AQ297" s="2">
        <f>IF((2*G297 + M297 -P297 + 3*W297 + 2*Z297+2*AD297 + AG297+2*AJ297 + 4*AM297) &gt;=8,1,0)</f>
        <v>1</v>
      </c>
    </row>
    <row r="298" spans="1:43" x14ac:dyDescent="0.25">
      <c r="A298" t="s">
        <v>27</v>
      </c>
      <c r="B298" s="1">
        <v>37805</v>
      </c>
      <c r="C298" s="7">
        <f t="shared" si="59"/>
        <v>2003</v>
      </c>
      <c r="D298">
        <v>96.9</v>
      </c>
      <c r="E298">
        <v>73.5</v>
      </c>
      <c r="F298">
        <v>87.5</v>
      </c>
      <c r="G298" s="2">
        <f t="shared" si="58"/>
        <v>1</v>
      </c>
      <c r="H298">
        <v>101.6</v>
      </c>
      <c r="I298">
        <v>73.5</v>
      </c>
      <c r="J298">
        <v>90.6</v>
      </c>
      <c r="K298">
        <v>66.400000000000006</v>
      </c>
      <c r="L298">
        <v>51.6</v>
      </c>
      <c r="M298" s="2">
        <f t="shared" si="60"/>
        <v>0</v>
      </c>
      <c r="N298">
        <v>0</v>
      </c>
      <c r="P298" s="2">
        <f t="shared" si="61"/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2">
        <f t="shared" si="62"/>
        <v>0</v>
      </c>
      <c r="X298">
        <v>13.9</v>
      </c>
      <c r="Z298" s="2">
        <f t="shared" si="63"/>
        <v>0</v>
      </c>
      <c r="AA298">
        <v>192.6</v>
      </c>
      <c r="AB298" s="2" t="str">
        <f>CHOOSE(MATCH(AA298,{0;11;80;111;161;191;241;281;341},1),"North","NorthEast","East","SouthEast","South","SouthWest","West","NorthWest","North")</f>
        <v>SouthWest</v>
      </c>
      <c r="AC298" s="5">
        <f>CHOOSE(MATCH(AB298,{"South";"SouthEast";"SouthWest";"North";"NorthEast";"East";"West";"NorthWest"},0),1,2,3,4,5,6,7,8)</f>
        <v>3</v>
      </c>
      <c r="AD298" s="2">
        <f t="shared" si="64"/>
        <v>1</v>
      </c>
      <c r="AE298">
        <v>1008.4</v>
      </c>
      <c r="AF298" s="4" t="s">
        <v>265</v>
      </c>
      <c r="AG298" s="2">
        <f t="shared" si="65"/>
        <v>1</v>
      </c>
      <c r="AH298" t="s">
        <v>568</v>
      </c>
      <c r="AI298" s="2">
        <f t="shared" si="66"/>
        <v>7</v>
      </c>
      <c r="AJ298" s="2">
        <f t="shared" si="67"/>
        <v>1</v>
      </c>
      <c r="AK298" s="3">
        <v>185.00000000582079</v>
      </c>
      <c r="AM298" s="2">
        <v>0</v>
      </c>
      <c r="AN298">
        <v>2</v>
      </c>
      <c r="AO298">
        <v>2</v>
      </c>
      <c r="AP298">
        <v>0</v>
      </c>
      <c r="AQ298" s="2">
        <f>IF((2*G298 + M298 -P298 + 3*W298 + 2*Z298+2*AD298 + AG298+2*AJ298 + 4*AM298) &gt;=8,1,0)</f>
        <v>0</v>
      </c>
    </row>
    <row r="299" spans="1:43" x14ac:dyDescent="0.25">
      <c r="A299" t="s">
        <v>27</v>
      </c>
      <c r="B299" s="1">
        <v>37806</v>
      </c>
      <c r="C299" s="7">
        <f t="shared" si="59"/>
        <v>2003</v>
      </c>
      <c r="D299">
        <v>104.1</v>
      </c>
      <c r="E299">
        <v>77.099999999999994</v>
      </c>
      <c r="F299">
        <v>89.6</v>
      </c>
      <c r="G299" s="2">
        <f t="shared" si="58"/>
        <v>1</v>
      </c>
      <c r="H299">
        <v>101.8</v>
      </c>
      <c r="I299">
        <v>77.099999999999994</v>
      </c>
      <c r="J299">
        <v>90.4</v>
      </c>
      <c r="K299">
        <v>63</v>
      </c>
      <c r="L299">
        <v>45.8</v>
      </c>
      <c r="M299" s="2">
        <f t="shared" si="60"/>
        <v>1</v>
      </c>
      <c r="N299">
        <v>0</v>
      </c>
      <c r="P299" s="2">
        <f t="shared" si="61"/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2">
        <f t="shared" si="62"/>
        <v>0</v>
      </c>
      <c r="X299">
        <v>16.100000000000001</v>
      </c>
      <c r="Z299" s="2">
        <f t="shared" si="63"/>
        <v>1</v>
      </c>
      <c r="AA299">
        <v>226.2</v>
      </c>
      <c r="AB299" s="2" t="str">
        <f>CHOOSE(MATCH(AA299,{0;11;80;111;161;191;241;281;341},1),"North","NorthEast","East","SouthEast","South","SouthWest","West","NorthWest","North")</f>
        <v>SouthWest</v>
      </c>
      <c r="AC299" s="5">
        <f>CHOOSE(MATCH(AB299,{"South";"SouthEast";"SouthWest";"North";"NorthEast";"East";"West";"NorthWest"},0),1,2,3,4,5,6,7,8)</f>
        <v>3</v>
      </c>
      <c r="AD299" s="2">
        <f t="shared" si="64"/>
        <v>1</v>
      </c>
      <c r="AE299">
        <v>1009.9</v>
      </c>
      <c r="AF299" s="4" t="s">
        <v>569</v>
      </c>
      <c r="AG299" s="2">
        <f t="shared" si="65"/>
        <v>1</v>
      </c>
      <c r="AH299" t="s">
        <v>570</v>
      </c>
      <c r="AI299" s="2">
        <f t="shared" si="66"/>
        <v>7</v>
      </c>
      <c r="AJ299" s="2">
        <f t="shared" si="67"/>
        <v>1</v>
      </c>
      <c r="AK299" s="3">
        <v>197.99999999580899</v>
      </c>
      <c r="AM299" s="2">
        <v>0</v>
      </c>
      <c r="AN299">
        <v>5</v>
      </c>
      <c r="AO299">
        <v>5</v>
      </c>
      <c r="AP299">
        <v>0</v>
      </c>
      <c r="AQ299" s="2">
        <f>IF((2*G299 + M299 -P299 + 3*W299 + 2*Z299+2*AD299 + AG299+2*AJ299 + 4*AM299) &gt;=8,1,0)</f>
        <v>1</v>
      </c>
    </row>
    <row r="300" spans="1:43" x14ac:dyDescent="0.25">
      <c r="A300" t="s">
        <v>27</v>
      </c>
      <c r="B300" s="1">
        <v>37808</v>
      </c>
      <c r="C300" s="7">
        <f t="shared" si="59"/>
        <v>2003</v>
      </c>
      <c r="D300">
        <v>93.3</v>
      </c>
      <c r="E300">
        <v>78.900000000000006</v>
      </c>
      <c r="F300">
        <v>85</v>
      </c>
      <c r="G300" s="2">
        <f t="shared" si="58"/>
        <v>1</v>
      </c>
      <c r="H300">
        <v>90.6</v>
      </c>
      <c r="I300">
        <v>78.900000000000006</v>
      </c>
      <c r="J300">
        <v>83.9</v>
      </c>
      <c r="K300">
        <v>55.4</v>
      </c>
      <c r="L300">
        <v>38.200000000000003</v>
      </c>
      <c r="M300" s="2">
        <f t="shared" si="60"/>
        <v>1</v>
      </c>
      <c r="N300">
        <v>0</v>
      </c>
      <c r="P300" s="2">
        <f t="shared" si="61"/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2">
        <f t="shared" si="62"/>
        <v>0</v>
      </c>
      <c r="X300">
        <v>23</v>
      </c>
      <c r="Z300" s="2">
        <f t="shared" si="63"/>
        <v>1</v>
      </c>
      <c r="AA300">
        <v>331.6</v>
      </c>
      <c r="AB300" s="2" t="str">
        <f>CHOOSE(MATCH(AA300,{0;11;80;111;161;191;241;281;341},1),"North","NorthEast","East","SouthEast","South","SouthWest","West","NorthWest","North")</f>
        <v>NorthWest</v>
      </c>
      <c r="AC300" s="5">
        <f>CHOOSE(MATCH(AB300,{"South";"SouthEast";"SouthWest";"North";"NorthEast";"East";"West";"NorthWest"},0),1,2,3,4,5,6,7,8)</f>
        <v>8</v>
      </c>
      <c r="AD300" s="2">
        <f t="shared" si="64"/>
        <v>1</v>
      </c>
      <c r="AE300">
        <v>1008.1</v>
      </c>
      <c r="AF300" s="4" t="s">
        <v>571</v>
      </c>
      <c r="AG300" s="2">
        <f t="shared" si="65"/>
        <v>0</v>
      </c>
      <c r="AH300" t="s">
        <v>572</v>
      </c>
      <c r="AI300" s="2">
        <f t="shared" si="66"/>
        <v>7</v>
      </c>
      <c r="AJ300" s="2">
        <f t="shared" si="67"/>
        <v>1</v>
      </c>
      <c r="AK300" s="3">
        <v>142.00000000186259</v>
      </c>
      <c r="AM300" s="2">
        <v>0</v>
      </c>
      <c r="AN300">
        <v>4</v>
      </c>
      <c r="AO300">
        <v>4</v>
      </c>
      <c r="AP300">
        <v>0</v>
      </c>
      <c r="AQ300" s="2">
        <f>IF((2*G300 + M300 -P300 + 3*W300 + 2*Z300+2*AD300 + AG300+2*AJ300 + 4*AM300) &gt;=8,1,0)</f>
        <v>1</v>
      </c>
    </row>
    <row r="301" spans="1:43" x14ac:dyDescent="0.25">
      <c r="A301" t="s">
        <v>27</v>
      </c>
      <c r="B301" s="1">
        <v>37808</v>
      </c>
      <c r="C301" s="7">
        <f t="shared" si="59"/>
        <v>2003</v>
      </c>
      <c r="D301">
        <v>93.3</v>
      </c>
      <c r="E301">
        <v>78.900000000000006</v>
      </c>
      <c r="F301">
        <v>85</v>
      </c>
      <c r="G301" s="2">
        <f t="shared" si="58"/>
        <v>1</v>
      </c>
      <c r="H301">
        <v>90.6</v>
      </c>
      <c r="I301">
        <v>78.900000000000006</v>
      </c>
      <c r="J301">
        <v>83.9</v>
      </c>
      <c r="K301">
        <v>55.4</v>
      </c>
      <c r="L301">
        <v>38.200000000000003</v>
      </c>
      <c r="M301" s="2">
        <f t="shared" si="60"/>
        <v>1</v>
      </c>
      <c r="N301">
        <v>0</v>
      </c>
      <c r="P301" s="2">
        <f t="shared" si="61"/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2">
        <f t="shared" si="62"/>
        <v>0</v>
      </c>
      <c r="X301">
        <v>23</v>
      </c>
      <c r="Z301" s="2">
        <f t="shared" si="63"/>
        <v>1</v>
      </c>
      <c r="AA301">
        <v>331.6</v>
      </c>
      <c r="AB301" s="2" t="str">
        <f>CHOOSE(MATCH(AA301,{0;11;80;111;161;191;241;281;341},1),"North","NorthEast","East","SouthEast","South","SouthWest","West","NorthWest","North")</f>
        <v>NorthWest</v>
      </c>
      <c r="AC301" s="5">
        <f>CHOOSE(MATCH(AB301,{"South";"SouthEast";"SouthWest";"North";"NorthEast";"East";"West";"NorthWest"},0),1,2,3,4,5,6,7,8)</f>
        <v>8</v>
      </c>
      <c r="AD301" s="2">
        <f t="shared" si="64"/>
        <v>1</v>
      </c>
      <c r="AE301">
        <v>1008.1</v>
      </c>
      <c r="AF301" s="4" t="s">
        <v>573</v>
      </c>
      <c r="AG301" s="2">
        <f t="shared" si="65"/>
        <v>1</v>
      </c>
      <c r="AH301" t="s">
        <v>574</v>
      </c>
      <c r="AI301" s="2">
        <f t="shared" si="66"/>
        <v>7</v>
      </c>
      <c r="AJ301" s="2">
        <f t="shared" si="67"/>
        <v>1</v>
      </c>
      <c r="AK301" s="3">
        <v>66.999999998370185</v>
      </c>
      <c r="AM301" s="2">
        <v>0</v>
      </c>
      <c r="AN301">
        <v>5</v>
      </c>
      <c r="AO301">
        <v>5</v>
      </c>
      <c r="AP301">
        <v>0</v>
      </c>
      <c r="AQ301" s="2">
        <f>IF((2*G301 + M301 -P301 + 3*W301 + 2*Z301+2*AD301 + AG301+2*AJ301 + 4*AM301) &gt;=8,1,0)</f>
        <v>1</v>
      </c>
    </row>
    <row r="302" spans="1:43" x14ac:dyDescent="0.25">
      <c r="A302" t="s">
        <v>27</v>
      </c>
      <c r="B302" s="1">
        <v>37808</v>
      </c>
      <c r="C302" s="7">
        <f t="shared" si="59"/>
        <v>2003</v>
      </c>
      <c r="D302">
        <v>93.3</v>
      </c>
      <c r="E302">
        <v>78.900000000000006</v>
      </c>
      <c r="F302">
        <v>85</v>
      </c>
      <c r="G302" s="2">
        <f t="shared" si="58"/>
        <v>1</v>
      </c>
      <c r="H302">
        <v>90.6</v>
      </c>
      <c r="I302">
        <v>78.900000000000006</v>
      </c>
      <c r="J302">
        <v>83.9</v>
      </c>
      <c r="K302">
        <v>55.4</v>
      </c>
      <c r="L302">
        <v>38.200000000000003</v>
      </c>
      <c r="M302" s="2">
        <f t="shared" si="60"/>
        <v>1</v>
      </c>
      <c r="N302">
        <v>0</v>
      </c>
      <c r="P302" s="2">
        <f t="shared" si="61"/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2">
        <f t="shared" si="62"/>
        <v>0</v>
      </c>
      <c r="X302">
        <v>23</v>
      </c>
      <c r="Z302" s="2">
        <f t="shared" si="63"/>
        <v>1</v>
      </c>
      <c r="AA302">
        <v>331.6</v>
      </c>
      <c r="AB302" s="2" t="str">
        <f>CHOOSE(MATCH(AA302,{0;11;80;111;161;191;241;281;341},1),"North","NorthEast","East","SouthEast","South","SouthWest","West","NorthWest","North")</f>
        <v>NorthWest</v>
      </c>
      <c r="AC302" s="5">
        <f>CHOOSE(MATCH(AB302,{"South";"SouthEast";"SouthWest";"North";"NorthEast";"East";"West";"NorthWest"},0),1,2,3,4,5,6,7,8)</f>
        <v>8</v>
      </c>
      <c r="AD302" s="2">
        <f t="shared" si="64"/>
        <v>1</v>
      </c>
      <c r="AE302">
        <v>1008.1</v>
      </c>
      <c r="AF302" s="4" t="s">
        <v>575</v>
      </c>
      <c r="AG302" s="2">
        <f t="shared" si="65"/>
        <v>1</v>
      </c>
      <c r="AH302" t="s">
        <v>576</v>
      </c>
      <c r="AI302" s="2">
        <f t="shared" si="66"/>
        <v>7</v>
      </c>
      <c r="AJ302" s="2">
        <f t="shared" si="67"/>
        <v>1</v>
      </c>
      <c r="AK302" s="3">
        <v>115.9999999904539</v>
      </c>
      <c r="AM302" s="2">
        <v>0</v>
      </c>
      <c r="AN302">
        <v>4</v>
      </c>
      <c r="AO302">
        <v>0</v>
      </c>
      <c r="AP302">
        <v>0</v>
      </c>
      <c r="AQ302" s="2">
        <f>IF((2*G302 + M302 -P302 + 3*W302 + 2*Z302+2*AD302 + AG302+2*AJ302 + 4*AM302) &gt;=8,1,0)</f>
        <v>1</v>
      </c>
    </row>
    <row r="303" spans="1:43" x14ac:dyDescent="0.25">
      <c r="A303" t="s">
        <v>27</v>
      </c>
      <c r="B303" s="1">
        <v>37808</v>
      </c>
      <c r="C303" s="7">
        <f t="shared" si="59"/>
        <v>2003</v>
      </c>
      <c r="D303">
        <v>93.3</v>
      </c>
      <c r="E303">
        <v>78.900000000000006</v>
      </c>
      <c r="F303">
        <v>85</v>
      </c>
      <c r="G303" s="2">
        <f t="shared" si="58"/>
        <v>1</v>
      </c>
      <c r="H303">
        <v>90.6</v>
      </c>
      <c r="I303">
        <v>78.900000000000006</v>
      </c>
      <c r="J303">
        <v>83.9</v>
      </c>
      <c r="K303">
        <v>55.4</v>
      </c>
      <c r="L303">
        <v>38.200000000000003</v>
      </c>
      <c r="M303" s="2">
        <f t="shared" si="60"/>
        <v>1</v>
      </c>
      <c r="N303">
        <v>0</v>
      </c>
      <c r="P303" s="2">
        <f t="shared" si="61"/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2">
        <f t="shared" si="62"/>
        <v>0</v>
      </c>
      <c r="X303">
        <v>23</v>
      </c>
      <c r="Z303" s="2">
        <f t="shared" si="63"/>
        <v>1</v>
      </c>
      <c r="AA303">
        <v>331.6</v>
      </c>
      <c r="AB303" s="2" t="str">
        <f>CHOOSE(MATCH(AA303,{0;11;80;111;161;191;241;281;341},1),"North","NorthEast","East","SouthEast","South","SouthWest","West","NorthWest","North")</f>
        <v>NorthWest</v>
      </c>
      <c r="AC303" s="5">
        <f>CHOOSE(MATCH(AB303,{"South";"SouthEast";"SouthWest";"North";"NorthEast";"East";"West";"NorthWest"},0),1,2,3,4,5,6,7,8)</f>
        <v>8</v>
      </c>
      <c r="AD303" s="2">
        <f t="shared" si="64"/>
        <v>1</v>
      </c>
      <c r="AE303">
        <v>1008.1</v>
      </c>
      <c r="AF303" s="4" t="s">
        <v>107</v>
      </c>
      <c r="AG303" s="2">
        <f t="shared" si="65"/>
        <v>1</v>
      </c>
      <c r="AH303" t="s">
        <v>577</v>
      </c>
      <c r="AI303" s="2">
        <f t="shared" si="66"/>
        <v>7</v>
      </c>
      <c r="AJ303" s="2">
        <f t="shared" si="67"/>
        <v>1</v>
      </c>
      <c r="AK303" s="3">
        <v>529.99999999883585</v>
      </c>
      <c r="AM303" s="2">
        <v>1</v>
      </c>
      <c r="AN303">
        <v>8</v>
      </c>
      <c r="AO303">
        <v>0</v>
      </c>
      <c r="AP303">
        <v>0</v>
      </c>
      <c r="AQ303" s="2">
        <f>IF((2*G303 + M303 -P303 + 3*W303 + 2*Z303+2*AD303 + AG303+2*AJ303 + 4*AM303) &gt;=8,1,0)</f>
        <v>1</v>
      </c>
    </row>
    <row r="304" spans="1:43" x14ac:dyDescent="0.25">
      <c r="A304" t="s">
        <v>27</v>
      </c>
      <c r="B304" s="1">
        <v>37810</v>
      </c>
      <c r="C304" s="7">
        <f t="shared" si="59"/>
        <v>2003</v>
      </c>
      <c r="D304">
        <v>89.7</v>
      </c>
      <c r="E304">
        <v>75.3</v>
      </c>
      <c r="F304">
        <v>81.7</v>
      </c>
      <c r="G304" s="2">
        <f t="shared" si="58"/>
        <v>1</v>
      </c>
      <c r="H304">
        <v>87.1</v>
      </c>
      <c r="I304">
        <v>75.3</v>
      </c>
      <c r="J304">
        <v>81</v>
      </c>
      <c r="K304">
        <v>54</v>
      </c>
      <c r="L304">
        <v>39.5</v>
      </c>
      <c r="M304" s="2">
        <f t="shared" si="60"/>
        <v>1</v>
      </c>
      <c r="N304">
        <v>0</v>
      </c>
      <c r="P304" s="2">
        <f t="shared" si="61"/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s="2">
        <f t="shared" si="62"/>
        <v>0</v>
      </c>
      <c r="X304">
        <v>23</v>
      </c>
      <c r="Z304" s="2">
        <f t="shared" si="63"/>
        <v>1</v>
      </c>
      <c r="AA304">
        <v>354.8</v>
      </c>
      <c r="AB304" s="2" t="str">
        <f>CHOOSE(MATCH(AA304,{0;11;80;111;161;191;241;281;341},1),"North","NorthEast","East","SouthEast","South","SouthWest","West","NorthWest","North")</f>
        <v>North</v>
      </c>
      <c r="AC304" s="5">
        <f>CHOOSE(MATCH(AB304,{"South";"SouthEast";"SouthWest";"North";"NorthEast";"East";"West";"NorthWest"},0),1,2,3,4,5,6,7,8)</f>
        <v>4</v>
      </c>
      <c r="AD304" s="2">
        <f t="shared" si="64"/>
        <v>1</v>
      </c>
      <c r="AE304">
        <v>1009.8</v>
      </c>
      <c r="AF304" s="4" t="s">
        <v>489</v>
      </c>
      <c r="AG304" s="2">
        <f t="shared" si="65"/>
        <v>0</v>
      </c>
      <c r="AH304" t="s">
        <v>578</v>
      </c>
      <c r="AI304" s="2">
        <f t="shared" si="66"/>
        <v>7</v>
      </c>
      <c r="AJ304" s="2">
        <f t="shared" si="67"/>
        <v>1</v>
      </c>
      <c r="AK304" s="3">
        <v>149.99999999650751</v>
      </c>
      <c r="AM304" s="2">
        <v>0</v>
      </c>
      <c r="AN304">
        <v>8</v>
      </c>
      <c r="AO304">
        <v>8</v>
      </c>
      <c r="AP304">
        <v>0</v>
      </c>
      <c r="AQ304" s="2">
        <f>IF((2*G304 + M304 -P304 + 3*W304 + 2*Z304+2*AD304 + AG304+2*AJ304 + 4*AM304) &gt;=8,1,0)</f>
        <v>1</v>
      </c>
    </row>
    <row r="305" spans="1:43" x14ac:dyDescent="0.25">
      <c r="A305" t="s">
        <v>27</v>
      </c>
      <c r="B305" s="1">
        <v>37812</v>
      </c>
      <c r="C305" s="7">
        <f t="shared" si="59"/>
        <v>2003</v>
      </c>
      <c r="D305">
        <v>89.7</v>
      </c>
      <c r="E305">
        <v>69.900000000000006</v>
      </c>
      <c r="F305">
        <v>82</v>
      </c>
      <c r="G305" s="2">
        <f t="shared" si="58"/>
        <v>1</v>
      </c>
      <c r="H305">
        <v>87.9</v>
      </c>
      <c r="I305">
        <v>69.900000000000006</v>
      </c>
      <c r="J305">
        <v>81</v>
      </c>
      <c r="K305">
        <v>55.3</v>
      </c>
      <c r="L305">
        <v>42.5</v>
      </c>
      <c r="M305" s="2">
        <f t="shared" si="60"/>
        <v>1</v>
      </c>
      <c r="N305">
        <v>0</v>
      </c>
      <c r="P305" s="2">
        <f t="shared" si="61"/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2">
        <f t="shared" si="62"/>
        <v>0</v>
      </c>
      <c r="X305">
        <v>16.100000000000001</v>
      </c>
      <c r="Z305" s="2">
        <f t="shared" si="63"/>
        <v>1</v>
      </c>
      <c r="AA305">
        <v>214.2</v>
      </c>
      <c r="AB305" s="2" t="str">
        <f>CHOOSE(MATCH(AA305,{0;11;80;111;161;191;241;281;341},1),"North","NorthEast","East","SouthEast","South","SouthWest","West","NorthWest","North")</f>
        <v>SouthWest</v>
      </c>
      <c r="AC305" s="5">
        <f>CHOOSE(MATCH(AB305,{"South";"SouthEast";"SouthWest";"North";"NorthEast";"East";"West";"NorthWest"},0),1,2,3,4,5,6,7,8)</f>
        <v>3</v>
      </c>
      <c r="AD305" s="2">
        <f t="shared" si="64"/>
        <v>1</v>
      </c>
      <c r="AE305">
        <v>1011.8</v>
      </c>
      <c r="AF305" s="4" t="s">
        <v>213</v>
      </c>
      <c r="AG305" s="2">
        <f t="shared" si="65"/>
        <v>0</v>
      </c>
      <c r="AH305" t="s">
        <v>579</v>
      </c>
      <c r="AI305" s="2">
        <f t="shared" si="66"/>
        <v>7</v>
      </c>
      <c r="AJ305" s="2">
        <f t="shared" si="67"/>
        <v>1</v>
      </c>
      <c r="AK305" s="3">
        <v>574.99999999883585</v>
      </c>
      <c r="AM305" s="2">
        <v>1</v>
      </c>
      <c r="AN305">
        <v>7</v>
      </c>
      <c r="AO305">
        <v>0</v>
      </c>
      <c r="AP305">
        <v>0</v>
      </c>
      <c r="AQ305" s="2">
        <f>IF((2*G305 + M305 -P305 + 3*W305 + 2*Z305+2*AD305 + AG305+2*AJ305 + 4*AM305) &gt;=8,1,0)</f>
        <v>1</v>
      </c>
    </row>
    <row r="306" spans="1:43" x14ac:dyDescent="0.25">
      <c r="A306" t="s">
        <v>27</v>
      </c>
      <c r="B306" s="1">
        <v>37814</v>
      </c>
      <c r="C306" s="7">
        <f t="shared" si="59"/>
        <v>2003</v>
      </c>
      <c r="D306">
        <v>89.7</v>
      </c>
      <c r="E306">
        <v>73.5</v>
      </c>
      <c r="F306">
        <v>83.1</v>
      </c>
      <c r="G306" s="2">
        <f t="shared" si="58"/>
        <v>1</v>
      </c>
      <c r="H306">
        <v>86.8</v>
      </c>
      <c r="I306">
        <v>73.5</v>
      </c>
      <c r="J306">
        <v>81.599999999999994</v>
      </c>
      <c r="K306">
        <v>51.6</v>
      </c>
      <c r="L306">
        <v>35.5</v>
      </c>
      <c r="M306" s="2">
        <f t="shared" si="60"/>
        <v>1</v>
      </c>
      <c r="N306">
        <v>0</v>
      </c>
      <c r="P306" s="2">
        <f t="shared" si="61"/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2">
        <f t="shared" si="62"/>
        <v>0</v>
      </c>
      <c r="X306">
        <v>20.8</v>
      </c>
      <c r="Z306" s="2">
        <f t="shared" si="63"/>
        <v>1</v>
      </c>
      <c r="AA306">
        <v>355.7</v>
      </c>
      <c r="AB306" s="2" t="str">
        <f>CHOOSE(MATCH(AA306,{0;11;80;111;161;191;241;281;341},1),"North","NorthEast","East","SouthEast","South","SouthWest","West","NorthWest","North")</f>
        <v>North</v>
      </c>
      <c r="AC306" s="5">
        <f>CHOOSE(MATCH(AB306,{"South";"SouthEast";"SouthWest";"North";"NorthEast";"East";"West";"NorthWest"},0),1,2,3,4,5,6,7,8)</f>
        <v>4</v>
      </c>
      <c r="AD306" s="2">
        <f t="shared" si="64"/>
        <v>1</v>
      </c>
      <c r="AE306">
        <v>1012.4</v>
      </c>
      <c r="AF306" s="4" t="s">
        <v>580</v>
      </c>
      <c r="AG306" s="2">
        <f t="shared" si="65"/>
        <v>1</v>
      </c>
      <c r="AH306" t="s">
        <v>581</v>
      </c>
      <c r="AI306" s="2">
        <f t="shared" si="66"/>
        <v>7</v>
      </c>
      <c r="AJ306" s="2">
        <f t="shared" si="67"/>
        <v>1</v>
      </c>
      <c r="AK306" s="3">
        <v>635.99999999860302</v>
      </c>
      <c r="AM306" s="2">
        <v>1</v>
      </c>
      <c r="AN306">
        <v>8</v>
      </c>
      <c r="AO306">
        <v>8</v>
      </c>
      <c r="AP306">
        <v>0</v>
      </c>
      <c r="AQ306" s="2">
        <f>IF((2*G306 + M306 -P306 + 3*W306 + 2*Z306+2*AD306 + AG306+2*AJ306 + 4*AM306) &gt;=8,1,0)</f>
        <v>1</v>
      </c>
    </row>
    <row r="307" spans="1:43" x14ac:dyDescent="0.25">
      <c r="A307" t="s">
        <v>27</v>
      </c>
      <c r="B307" s="1">
        <v>37815</v>
      </c>
      <c r="C307" s="7">
        <f t="shared" si="59"/>
        <v>2003</v>
      </c>
      <c r="D307">
        <v>91.5</v>
      </c>
      <c r="E307">
        <v>71.7</v>
      </c>
      <c r="F307">
        <v>81.8</v>
      </c>
      <c r="G307" s="2">
        <f t="shared" si="58"/>
        <v>1</v>
      </c>
      <c r="H307">
        <v>88</v>
      </c>
      <c r="I307">
        <v>71.7</v>
      </c>
      <c r="J307">
        <v>80.7</v>
      </c>
      <c r="K307">
        <v>51.3</v>
      </c>
      <c r="L307">
        <v>35.799999999999997</v>
      </c>
      <c r="M307" s="2">
        <f t="shared" si="60"/>
        <v>1</v>
      </c>
      <c r="N307">
        <v>0</v>
      </c>
      <c r="P307" s="2">
        <f t="shared" si="61"/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2">
        <f t="shared" si="62"/>
        <v>0</v>
      </c>
      <c r="X307">
        <v>16.100000000000001</v>
      </c>
      <c r="Z307" s="2">
        <f t="shared" si="63"/>
        <v>1</v>
      </c>
      <c r="AA307">
        <v>282.39999999999998</v>
      </c>
      <c r="AB307" s="2" t="str">
        <f>CHOOSE(MATCH(AA307,{0;11;80;111;161;191;241;281;341},1),"North","NorthEast","East","SouthEast","South","SouthWest","West","NorthWest","North")</f>
        <v>NorthWest</v>
      </c>
      <c r="AC307" s="5">
        <f>CHOOSE(MATCH(AB307,{"South";"SouthEast";"SouthWest";"North";"NorthEast";"East";"West";"NorthWest"},0),1,2,3,4,5,6,7,8)</f>
        <v>8</v>
      </c>
      <c r="AD307" s="2">
        <f t="shared" si="64"/>
        <v>1</v>
      </c>
      <c r="AE307">
        <v>1012.9</v>
      </c>
      <c r="AF307" s="4" t="s">
        <v>582</v>
      </c>
      <c r="AG307" s="2">
        <f t="shared" si="65"/>
        <v>0</v>
      </c>
      <c r="AH307" t="s">
        <v>583</v>
      </c>
      <c r="AI307" s="2">
        <f t="shared" si="66"/>
        <v>7</v>
      </c>
      <c r="AJ307" s="2">
        <f t="shared" si="67"/>
        <v>1</v>
      </c>
      <c r="AK307" s="3">
        <v>480.00000000349252</v>
      </c>
      <c r="AM307" s="2">
        <v>1</v>
      </c>
      <c r="AN307">
        <v>5</v>
      </c>
      <c r="AO307">
        <v>5</v>
      </c>
      <c r="AP307">
        <v>0</v>
      </c>
      <c r="AQ307" s="2">
        <f>IF((2*G307 + M307 -P307 + 3*W307 + 2*Z307+2*AD307 + AG307+2*AJ307 + 4*AM307) &gt;=8,1,0)</f>
        <v>1</v>
      </c>
    </row>
    <row r="308" spans="1:43" x14ac:dyDescent="0.25">
      <c r="A308" t="s">
        <v>27</v>
      </c>
      <c r="B308" s="1">
        <v>37815</v>
      </c>
      <c r="C308" s="7">
        <f t="shared" si="59"/>
        <v>2003</v>
      </c>
      <c r="D308">
        <v>91.5</v>
      </c>
      <c r="E308">
        <v>71.7</v>
      </c>
      <c r="F308">
        <v>81.8</v>
      </c>
      <c r="G308" s="2">
        <f t="shared" si="58"/>
        <v>1</v>
      </c>
      <c r="H308">
        <v>88</v>
      </c>
      <c r="I308">
        <v>71.7</v>
      </c>
      <c r="J308">
        <v>80.7</v>
      </c>
      <c r="K308">
        <v>51.3</v>
      </c>
      <c r="L308">
        <v>35.799999999999997</v>
      </c>
      <c r="M308" s="2">
        <f t="shared" si="60"/>
        <v>1</v>
      </c>
      <c r="N308">
        <v>0</v>
      </c>
      <c r="P308" s="2">
        <f t="shared" si="61"/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2">
        <f t="shared" si="62"/>
        <v>0</v>
      </c>
      <c r="X308">
        <v>16.100000000000001</v>
      </c>
      <c r="Z308" s="2">
        <f t="shared" si="63"/>
        <v>1</v>
      </c>
      <c r="AA308">
        <v>282.39999999999998</v>
      </c>
      <c r="AB308" s="2" t="str">
        <f>CHOOSE(MATCH(AA308,{0;11;80;111;161;191;241;281;341},1),"North","NorthEast","East","SouthEast","South","SouthWest","West","NorthWest","North")</f>
        <v>NorthWest</v>
      </c>
      <c r="AC308" s="5">
        <f>CHOOSE(MATCH(AB308,{"South";"SouthEast";"SouthWest";"North";"NorthEast";"East";"West";"NorthWest"},0),1,2,3,4,5,6,7,8)</f>
        <v>8</v>
      </c>
      <c r="AD308" s="2">
        <f t="shared" si="64"/>
        <v>1</v>
      </c>
      <c r="AE308">
        <v>1012.9</v>
      </c>
      <c r="AF308" s="4" t="s">
        <v>584</v>
      </c>
      <c r="AG308" s="2">
        <f t="shared" si="65"/>
        <v>0</v>
      </c>
      <c r="AH308" t="s">
        <v>585</v>
      </c>
      <c r="AI308" s="2">
        <f t="shared" si="66"/>
        <v>7</v>
      </c>
      <c r="AJ308" s="2">
        <f t="shared" si="67"/>
        <v>1</v>
      </c>
      <c r="AK308" s="3">
        <v>184.99999999534339</v>
      </c>
      <c r="AM308" s="2">
        <v>0</v>
      </c>
      <c r="AN308">
        <v>5</v>
      </c>
      <c r="AO308">
        <v>5</v>
      </c>
      <c r="AP308">
        <v>0</v>
      </c>
      <c r="AQ308" s="2">
        <f>IF((2*G308 + M308 -P308 + 3*W308 + 2*Z308+2*AD308 + AG308+2*AJ308 + 4*AM308) &gt;=8,1,0)</f>
        <v>1</v>
      </c>
    </row>
    <row r="309" spans="1:43" x14ac:dyDescent="0.25">
      <c r="A309" t="s">
        <v>27</v>
      </c>
      <c r="B309" s="1">
        <v>37816</v>
      </c>
      <c r="C309" s="7">
        <f t="shared" si="59"/>
        <v>2003</v>
      </c>
      <c r="D309">
        <v>89.7</v>
      </c>
      <c r="E309">
        <v>71.7</v>
      </c>
      <c r="F309">
        <v>81.599999999999994</v>
      </c>
      <c r="G309" s="2">
        <f t="shared" si="58"/>
        <v>1</v>
      </c>
      <c r="H309">
        <v>90.5</v>
      </c>
      <c r="I309">
        <v>71.7</v>
      </c>
      <c r="J309">
        <v>81.8</v>
      </c>
      <c r="K309">
        <v>59.9</v>
      </c>
      <c r="L309">
        <v>48.6</v>
      </c>
      <c r="M309" s="2">
        <f t="shared" si="60"/>
        <v>1</v>
      </c>
      <c r="N309">
        <v>0</v>
      </c>
      <c r="P309" s="2">
        <f t="shared" si="61"/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2">
        <f t="shared" si="62"/>
        <v>0</v>
      </c>
      <c r="X309">
        <v>16.100000000000001</v>
      </c>
      <c r="Z309" s="2">
        <f t="shared" si="63"/>
        <v>1</v>
      </c>
      <c r="AA309">
        <v>194.9</v>
      </c>
      <c r="AB309" s="2" t="str">
        <f>CHOOSE(MATCH(AA309,{0;11;80;111;161;191;241;281;341},1),"North","NorthEast","East","SouthEast","South","SouthWest","West","NorthWest","North")</f>
        <v>SouthWest</v>
      </c>
      <c r="AC309" s="5">
        <f>CHOOSE(MATCH(AB309,{"South";"SouthEast";"SouthWest";"North";"NorthEast";"East";"West";"NorthWest"},0),1,2,3,4,5,6,7,8)</f>
        <v>3</v>
      </c>
      <c r="AD309" s="2">
        <f t="shared" si="64"/>
        <v>1</v>
      </c>
      <c r="AE309">
        <v>1009.8</v>
      </c>
      <c r="AF309" s="4" t="s">
        <v>586</v>
      </c>
      <c r="AG309" s="2">
        <f t="shared" si="65"/>
        <v>0</v>
      </c>
      <c r="AH309" t="s">
        <v>587</v>
      </c>
      <c r="AI309" s="2">
        <f t="shared" si="66"/>
        <v>7</v>
      </c>
      <c r="AJ309" s="2">
        <f t="shared" si="67"/>
        <v>1</v>
      </c>
      <c r="AK309" s="3">
        <v>484.99999999883579</v>
      </c>
      <c r="AM309" s="2">
        <v>1</v>
      </c>
      <c r="AN309">
        <v>1</v>
      </c>
      <c r="AO309">
        <v>1</v>
      </c>
      <c r="AP309">
        <v>0</v>
      </c>
      <c r="AQ309" s="2">
        <f>IF((2*G309 + M309 -P309 + 3*W309 + 2*Z309+2*AD309 + AG309+2*AJ309 + 4*AM309) &gt;=8,1,0)</f>
        <v>1</v>
      </c>
    </row>
    <row r="310" spans="1:43" x14ac:dyDescent="0.25">
      <c r="A310" t="s">
        <v>27</v>
      </c>
      <c r="B310" s="1">
        <v>37816</v>
      </c>
      <c r="C310" s="7">
        <f t="shared" si="59"/>
        <v>2003</v>
      </c>
      <c r="D310">
        <v>89.7</v>
      </c>
      <c r="E310">
        <v>71.7</v>
      </c>
      <c r="F310">
        <v>81.599999999999994</v>
      </c>
      <c r="G310" s="2">
        <f t="shared" si="58"/>
        <v>1</v>
      </c>
      <c r="H310">
        <v>90.5</v>
      </c>
      <c r="I310">
        <v>71.7</v>
      </c>
      <c r="J310">
        <v>81.8</v>
      </c>
      <c r="K310">
        <v>59.9</v>
      </c>
      <c r="L310">
        <v>48.6</v>
      </c>
      <c r="M310" s="2">
        <f t="shared" si="60"/>
        <v>1</v>
      </c>
      <c r="N310">
        <v>0</v>
      </c>
      <c r="P310" s="2">
        <f t="shared" si="61"/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2">
        <f t="shared" si="62"/>
        <v>0</v>
      </c>
      <c r="X310">
        <v>16.100000000000001</v>
      </c>
      <c r="Z310" s="2">
        <f t="shared" si="63"/>
        <v>1</v>
      </c>
      <c r="AA310">
        <v>194.9</v>
      </c>
      <c r="AB310" s="2" t="str">
        <f>CHOOSE(MATCH(AA310,{0;11;80;111;161;191;241;281;341},1),"North","NorthEast","East","SouthEast","South","SouthWest","West","NorthWest","North")</f>
        <v>SouthWest</v>
      </c>
      <c r="AC310" s="5">
        <f>CHOOSE(MATCH(AB310,{"South";"SouthEast";"SouthWest";"North";"NorthEast";"East";"West";"NorthWest"},0),1,2,3,4,5,6,7,8)</f>
        <v>3</v>
      </c>
      <c r="AD310" s="2">
        <f t="shared" si="64"/>
        <v>1</v>
      </c>
      <c r="AE310">
        <v>1009.8</v>
      </c>
      <c r="AF310" s="4" t="s">
        <v>588</v>
      </c>
      <c r="AG310" s="2">
        <f t="shared" si="65"/>
        <v>0</v>
      </c>
      <c r="AH310" t="s">
        <v>589</v>
      </c>
      <c r="AI310" s="2">
        <f t="shared" si="66"/>
        <v>7</v>
      </c>
      <c r="AJ310" s="2">
        <f t="shared" si="67"/>
        <v>1</v>
      </c>
      <c r="AK310" s="3">
        <v>145.00000000116421</v>
      </c>
      <c r="AM310" s="2">
        <v>0</v>
      </c>
      <c r="AN310">
        <v>1</v>
      </c>
      <c r="AO310">
        <v>1</v>
      </c>
      <c r="AP310">
        <v>0</v>
      </c>
      <c r="AQ310" s="2">
        <f>IF((2*G310 + M310 -P310 + 3*W310 + 2*Z310+2*AD310 + AG310+2*AJ310 + 4*AM310) &gt;=8,1,0)</f>
        <v>1</v>
      </c>
    </row>
    <row r="311" spans="1:43" x14ac:dyDescent="0.25">
      <c r="A311" t="s">
        <v>27</v>
      </c>
      <c r="B311" s="1">
        <v>37817</v>
      </c>
      <c r="C311" s="7">
        <f t="shared" si="59"/>
        <v>2003</v>
      </c>
      <c r="D311">
        <v>89.7</v>
      </c>
      <c r="E311">
        <v>75.3</v>
      </c>
      <c r="F311">
        <v>81.599999999999994</v>
      </c>
      <c r="G311" s="2">
        <f t="shared" si="58"/>
        <v>1</v>
      </c>
      <c r="H311">
        <v>90.5</v>
      </c>
      <c r="I311">
        <v>75.3</v>
      </c>
      <c r="J311">
        <v>82.4</v>
      </c>
      <c r="K311">
        <v>61</v>
      </c>
      <c r="L311">
        <v>49.9</v>
      </c>
      <c r="M311" s="2">
        <f t="shared" si="60"/>
        <v>0</v>
      </c>
      <c r="N311">
        <v>0</v>
      </c>
      <c r="P311" s="2">
        <f t="shared" si="61"/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2">
        <f t="shared" si="62"/>
        <v>0</v>
      </c>
      <c r="X311">
        <v>13.9</v>
      </c>
      <c r="Z311" s="2">
        <f t="shared" si="63"/>
        <v>0</v>
      </c>
      <c r="AA311">
        <v>239.9</v>
      </c>
      <c r="AB311" s="2" t="str">
        <f>CHOOSE(MATCH(AA311,{0;11;80;111;161;191;241;281;341},1),"North","NorthEast","East","SouthEast","South","SouthWest","West","NorthWest","North")</f>
        <v>SouthWest</v>
      </c>
      <c r="AC311" s="5">
        <f>CHOOSE(MATCH(AB311,{"South";"SouthEast";"SouthWest";"North";"NorthEast";"East";"West";"NorthWest"},0),1,2,3,4,5,6,7,8)</f>
        <v>3</v>
      </c>
      <c r="AD311" s="2">
        <f t="shared" si="64"/>
        <v>1</v>
      </c>
      <c r="AE311">
        <v>1010.8</v>
      </c>
      <c r="AF311" s="4" t="s">
        <v>215</v>
      </c>
      <c r="AG311" s="2">
        <f t="shared" si="65"/>
        <v>0</v>
      </c>
      <c r="AH311" t="s">
        <v>590</v>
      </c>
      <c r="AI311" s="2">
        <f t="shared" si="66"/>
        <v>7</v>
      </c>
      <c r="AJ311" s="2">
        <f t="shared" si="67"/>
        <v>1</v>
      </c>
      <c r="AK311" s="3">
        <v>110.00000000232831</v>
      </c>
      <c r="AM311" s="2">
        <v>0</v>
      </c>
      <c r="AN311">
        <v>3</v>
      </c>
      <c r="AO311">
        <v>0</v>
      </c>
      <c r="AP311">
        <v>0</v>
      </c>
      <c r="AQ311" s="2">
        <f>IF((2*G311 + M311 -P311 + 3*W311 + 2*Z311+2*AD311 + AG311+2*AJ311 + 4*AM311) &gt;=8,1,0)</f>
        <v>0</v>
      </c>
    </row>
    <row r="312" spans="1:43" x14ac:dyDescent="0.25">
      <c r="A312" t="s">
        <v>27</v>
      </c>
      <c r="B312" s="1">
        <v>37818</v>
      </c>
      <c r="C312" s="7">
        <f t="shared" si="59"/>
        <v>2003</v>
      </c>
      <c r="D312">
        <v>91.5</v>
      </c>
      <c r="E312">
        <v>73.5</v>
      </c>
      <c r="F312">
        <v>83.5</v>
      </c>
      <c r="G312" s="2">
        <f t="shared" si="58"/>
        <v>1</v>
      </c>
      <c r="H312">
        <v>92.4</v>
      </c>
      <c r="I312">
        <v>73.5</v>
      </c>
      <c r="J312">
        <v>83.9</v>
      </c>
      <c r="K312">
        <v>62</v>
      </c>
      <c r="L312">
        <v>50</v>
      </c>
      <c r="M312" s="2">
        <f t="shared" si="60"/>
        <v>0</v>
      </c>
      <c r="N312">
        <v>0</v>
      </c>
      <c r="P312" s="2">
        <f t="shared" si="61"/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2">
        <f t="shared" si="62"/>
        <v>0</v>
      </c>
      <c r="X312">
        <v>13.9</v>
      </c>
      <c r="Z312" s="2">
        <f t="shared" si="63"/>
        <v>0</v>
      </c>
      <c r="AA312">
        <v>228</v>
      </c>
      <c r="AB312" s="2" t="str">
        <f>CHOOSE(MATCH(AA312,{0;11;80;111;161;191;241;281;341},1),"North","NorthEast","East","SouthEast","South","SouthWest","West","NorthWest","North")</f>
        <v>SouthWest</v>
      </c>
      <c r="AC312" s="5">
        <f>CHOOSE(MATCH(AB312,{"South";"SouthEast";"SouthWest";"North";"NorthEast";"East";"West";"NorthWest"},0),1,2,3,4,5,6,7,8)</f>
        <v>3</v>
      </c>
      <c r="AD312" s="2">
        <f t="shared" si="64"/>
        <v>1</v>
      </c>
      <c r="AE312">
        <v>1012</v>
      </c>
      <c r="AF312" s="4" t="s">
        <v>404</v>
      </c>
      <c r="AG312" s="2">
        <f t="shared" si="65"/>
        <v>1</v>
      </c>
      <c r="AH312" t="s">
        <v>591</v>
      </c>
      <c r="AI312" s="2">
        <f t="shared" si="66"/>
        <v>7</v>
      </c>
      <c r="AJ312" s="2">
        <f t="shared" si="67"/>
        <v>1</v>
      </c>
      <c r="AK312" s="3">
        <v>230.99999999860299</v>
      </c>
      <c r="AM312" s="2">
        <v>0</v>
      </c>
      <c r="AN312">
        <v>3</v>
      </c>
      <c r="AO312">
        <v>0</v>
      </c>
      <c r="AP312">
        <v>0</v>
      </c>
      <c r="AQ312" s="2">
        <f>IF((2*G312 + M312 -P312 + 3*W312 + 2*Z312+2*AD312 + AG312+2*AJ312 + 4*AM312) &gt;=8,1,0)</f>
        <v>0</v>
      </c>
    </row>
    <row r="313" spans="1:43" x14ac:dyDescent="0.25">
      <c r="A313" t="s">
        <v>27</v>
      </c>
      <c r="B313" s="1">
        <v>37819</v>
      </c>
      <c r="C313" s="7">
        <f t="shared" si="59"/>
        <v>2003</v>
      </c>
      <c r="D313">
        <v>96.9</v>
      </c>
      <c r="E313">
        <v>73.5</v>
      </c>
      <c r="F313">
        <v>88</v>
      </c>
      <c r="G313" s="2">
        <f t="shared" si="58"/>
        <v>1</v>
      </c>
      <c r="H313">
        <v>99.6</v>
      </c>
      <c r="I313">
        <v>73.5</v>
      </c>
      <c r="J313">
        <v>88.6</v>
      </c>
      <c r="K313">
        <v>61.3</v>
      </c>
      <c r="L313">
        <v>41.7</v>
      </c>
      <c r="M313" s="2">
        <f t="shared" si="60"/>
        <v>1</v>
      </c>
      <c r="N313">
        <v>0</v>
      </c>
      <c r="P313" s="2">
        <f t="shared" si="61"/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2">
        <f t="shared" si="62"/>
        <v>0</v>
      </c>
      <c r="X313">
        <v>16.100000000000001</v>
      </c>
      <c r="Z313" s="2">
        <f t="shared" si="63"/>
        <v>1</v>
      </c>
      <c r="AA313">
        <v>201.7</v>
      </c>
      <c r="AB313" s="2" t="str">
        <f>CHOOSE(MATCH(AA313,{0;11;80;111;161;191;241;281;341},1),"North","NorthEast","East","SouthEast","South","SouthWest","West","NorthWest","North")</f>
        <v>SouthWest</v>
      </c>
      <c r="AC313" s="5">
        <f>CHOOSE(MATCH(AB313,{"South";"SouthEast";"SouthWest";"North";"NorthEast";"East";"West";"NorthWest"},0),1,2,3,4,5,6,7,8)</f>
        <v>3</v>
      </c>
      <c r="AD313" s="2">
        <f t="shared" si="64"/>
        <v>1</v>
      </c>
      <c r="AE313">
        <v>1011.8</v>
      </c>
      <c r="AF313" s="4" t="s">
        <v>592</v>
      </c>
      <c r="AG313" s="2">
        <f t="shared" si="65"/>
        <v>1</v>
      </c>
      <c r="AH313" t="s">
        <v>593</v>
      </c>
      <c r="AI313" s="2">
        <f t="shared" si="66"/>
        <v>7</v>
      </c>
      <c r="AJ313" s="2">
        <f t="shared" si="67"/>
        <v>1</v>
      </c>
      <c r="AK313" s="3">
        <v>97.000000001862645</v>
      </c>
      <c r="AM313" s="2">
        <v>0</v>
      </c>
      <c r="AN313">
        <v>2</v>
      </c>
      <c r="AO313">
        <v>2</v>
      </c>
      <c r="AP313">
        <v>0</v>
      </c>
      <c r="AQ313" s="2">
        <f>IF((2*G313 + M313 -P313 + 3*W313 + 2*Z313+2*AD313 + AG313+2*AJ313 + 4*AM313) &gt;=8,1,0)</f>
        <v>1</v>
      </c>
    </row>
    <row r="314" spans="1:43" x14ac:dyDescent="0.25">
      <c r="A314" t="s">
        <v>27</v>
      </c>
      <c r="B314" s="1">
        <v>37819</v>
      </c>
      <c r="C314" s="7">
        <f t="shared" si="59"/>
        <v>2003</v>
      </c>
      <c r="D314">
        <v>96.9</v>
      </c>
      <c r="E314">
        <v>73.5</v>
      </c>
      <c r="F314">
        <v>88</v>
      </c>
      <c r="G314" s="2">
        <f t="shared" si="58"/>
        <v>1</v>
      </c>
      <c r="H314">
        <v>99.6</v>
      </c>
      <c r="I314">
        <v>73.5</v>
      </c>
      <c r="J314">
        <v>88.6</v>
      </c>
      <c r="K314">
        <v>61.3</v>
      </c>
      <c r="L314">
        <v>41.7</v>
      </c>
      <c r="M314" s="2">
        <f t="shared" si="60"/>
        <v>1</v>
      </c>
      <c r="N314">
        <v>0</v>
      </c>
      <c r="P314" s="2">
        <f t="shared" si="61"/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2">
        <f t="shared" si="62"/>
        <v>0</v>
      </c>
      <c r="X314">
        <v>16.100000000000001</v>
      </c>
      <c r="Z314" s="2">
        <f t="shared" si="63"/>
        <v>1</v>
      </c>
      <c r="AA314">
        <v>201.7</v>
      </c>
      <c r="AB314" s="2" t="str">
        <f>CHOOSE(MATCH(AA314,{0;11;80;111;161;191;241;281;341},1),"North","NorthEast","East","SouthEast","South","SouthWest","West","NorthWest","North")</f>
        <v>SouthWest</v>
      </c>
      <c r="AC314" s="5">
        <f>CHOOSE(MATCH(AB314,{"South";"SouthEast";"SouthWest";"North";"NorthEast";"East";"West";"NorthWest"},0),1,2,3,4,5,6,7,8)</f>
        <v>3</v>
      </c>
      <c r="AD314" s="2">
        <f t="shared" si="64"/>
        <v>1</v>
      </c>
      <c r="AE314">
        <v>1011.8</v>
      </c>
      <c r="AF314" s="4" t="s">
        <v>286</v>
      </c>
      <c r="AG314" s="2">
        <f t="shared" si="65"/>
        <v>1</v>
      </c>
      <c r="AH314" t="s">
        <v>594</v>
      </c>
      <c r="AI314" s="2">
        <f t="shared" si="66"/>
        <v>7</v>
      </c>
      <c r="AJ314" s="2">
        <f t="shared" si="67"/>
        <v>1</v>
      </c>
      <c r="AK314" s="3">
        <v>3868.0000000039581</v>
      </c>
      <c r="AM314" s="2">
        <v>1</v>
      </c>
      <c r="AN314">
        <v>100</v>
      </c>
      <c r="AO314">
        <v>100</v>
      </c>
      <c r="AP314">
        <v>0</v>
      </c>
      <c r="AQ314" s="2">
        <f>IF((2*G314 + M314 -P314 + 3*W314 + 2*Z314+2*AD314 + AG314+2*AJ314 + 4*AM314) &gt;=8,1,0)</f>
        <v>1</v>
      </c>
    </row>
    <row r="315" spans="1:43" x14ac:dyDescent="0.25">
      <c r="A315" t="s">
        <v>27</v>
      </c>
      <c r="B315" s="1">
        <v>37825</v>
      </c>
      <c r="C315" s="7">
        <f t="shared" si="59"/>
        <v>2003</v>
      </c>
      <c r="D315">
        <v>95.1</v>
      </c>
      <c r="E315">
        <v>78.900000000000006</v>
      </c>
      <c r="F315">
        <v>87.6</v>
      </c>
      <c r="G315" s="2">
        <f t="shared" si="58"/>
        <v>1</v>
      </c>
      <c r="H315">
        <v>92.8</v>
      </c>
      <c r="I315">
        <v>78.900000000000006</v>
      </c>
      <c r="J315">
        <v>86.2</v>
      </c>
      <c r="K315">
        <v>54.3</v>
      </c>
      <c r="L315">
        <v>32.799999999999997</v>
      </c>
      <c r="M315" s="2">
        <f t="shared" si="60"/>
        <v>1</v>
      </c>
      <c r="N315">
        <v>0</v>
      </c>
      <c r="P315" s="2">
        <f t="shared" si="61"/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2">
        <f t="shared" si="62"/>
        <v>0</v>
      </c>
      <c r="X315">
        <v>17.2</v>
      </c>
      <c r="Z315" s="2">
        <f t="shared" si="63"/>
        <v>1</v>
      </c>
      <c r="AA315">
        <v>355.7</v>
      </c>
      <c r="AB315" s="2" t="str">
        <f>CHOOSE(MATCH(AA315,{0;11;80;111;161;191;241;281;341},1),"North","NorthEast","East","SouthEast","South","SouthWest","West","NorthWest","North")</f>
        <v>North</v>
      </c>
      <c r="AC315" s="5">
        <f>CHOOSE(MATCH(AB315,{"South";"SouthEast";"SouthWest";"North";"NorthEast";"East";"West";"NorthWest"},0),1,2,3,4,5,6,7,8)</f>
        <v>4</v>
      </c>
      <c r="AD315" s="2">
        <f t="shared" si="64"/>
        <v>1</v>
      </c>
      <c r="AE315">
        <v>1013.9</v>
      </c>
      <c r="AF315" s="4" t="s">
        <v>595</v>
      </c>
      <c r="AG315" s="2">
        <f t="shared" si="65"/>
        <v>1</v>
      </c>
      <c r="AH315" t="s">
        <v>596</v>
      </c>
      <c r="AI315" s="2">
        <f t="shared" si="66"/>
        <v>7</v>
      </c>
      <c r="AJ315" s="2">
        <f t="shared" si="67"/>
        <v>1</v>
      </c>
      <c r="AK315" s="3">
        <v>222.00000000069849</v>
      </c>
      <c r="AM315" s="2">
        <v>0</v>
      </c>
      <c r="AN315">
        <v>6</v>
      </c>
      <c r="AO315">
        <v>6</v>
      </c>
      <c r="AP315">
        <v>0</v>
      </c>
      <c r="AQ315" s="2">
        <f>IF((2*G315 + M315 -P315 + 3*W315 + 2*Z315+2*AD315 + AG315+2*AJ315 + 4*AM315) &gt;=8,1,0)</f>
        <v>1</v>
      </c>
    </row>
    <row r="316" spans="1:43" x14ac:dyDescent="0.25">
      <c r="A316" t="s">
        <v>27</v>
      </c>
      <c r="B316" s="1">
        <v>37829</v>
      </c>
      <c r="C316" s="7">
        <f t="shared" si="59"/>
        <v>2003</v>
      </c>
      <c r="D316">
        <v>89.7</v>
      </c>
      <c r="E316">
        <v>77.099999999999994</v>
      </c>
      <c r="F316">
        <v>83.8</v>
      </c>
      <c r="G316" s="2">
        <f t="shared" si="58"/>
        <v>1</v>
      </c>
      <c r="H316">
        <v>87.1</v>
      </c>
      <c r="I316">
        <v>77.099999999999994</v>
      </c>
      <c r="J316">
        <v>82.7</v>
      </c>
      <c r="K316">
        <v>54.6</v>
      </c>
      <c r="L316">
        <v>38.1</v>
      </c>
      <c r="M316" s="2">
        <f t="shared" si="60"/>
        <v>1</v>
      </c>
      <c r="N316">
        <v>0</v>
      </c>
      <c r="P316" s="2">
        <f t="shared" si="61"/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2">
        <f t="shared" si="62"/>
        <v>0</v>
      </c>
      <c r="X316">
        <v>18.3</v>
      </c>
      <c r="Z316" s="2">
        <f t="shared" si="63"/>
        <v>1</v>
      </c>
      <c r="AA316">
        <v>351.3</v>
      </c>
      <c r="AB316" s="2" t="str">
        <f>CHOOSE(MATCH(AA316,{0;11;80;111;161;191;241;281;341},1),"North","NorthEast","East","SouthEast","South","SouthWest","West","NorthWest","North")</f>
        <v>North</v>
      </c>
      <c r="AC316" s="5">
        <f>CHOOSE(MATCH(AB316,{"South";"SouthEast";"SouthWest";"North";"NorthEast";"East";"West";"NorthWest"},0),1,2,3,4,5,6,7,8)</f>
        <v>4</v>
      </c>
      <c r="AD316" s="2">
        <f t="shared" si="64"/>
        <v>1</v>
      </c>
      <c r="AE316">
        <v>1012.6</v>
      </c>
      <c r="AF316" s="4" t="s">
        <v>296</v>
      </c>
      <c r="AG316" s="2">
        <f t="shared" si="65"/>
        <v>1</v>
      </c>
      <c r="AH316" t="s">
        <v>597</v>
      </c>
      <c r="AI316" s="2">
        <f t="shared" si="66"/>
        <v>7</v>
      </c>
      <c r="AJ316" s="2">
        <f t="shared" si="67"/>
        <v>1</v>
      </c>
      <c r="AK316" s="3">
        <v>6835.0000000046566</v>
      </c>
      <c r="AM316" s="2">
        <v>1</v>
      </c>
      <c r="AN316">
        <v>500</v>
      </c>
      <c r="AO316">
        <v>30</v>
      </c>
      <c r="AP316">
        <v>0</v>
      </c>
      <c r="AQ316" s="2">
        <f>IF((2*G316 + M316 -P316 + 3*W316 + 2*Z316+2*AD316 + AG316+2*AJ316 + 4*AM316) &gt;=8,1,0)</f>
        <v>1</v>
      </c>
    </row>
    <row r="317" spans="1:43" x14ac:dyDescent="0.25">
      <c r="A317" t="s">
        <v>27</v>
      </c>
      <c r="B317" s="1">
        <v>37830</v>
      </c>
      <c r="C317" s="7">
        <f t="shared" si="59"/>
        <v>2003</v>
      </c>
      <c r="D317">
        <v>93.3</v>
      </c>
      <c r="E317">
        <v>75.3</v>
      </c>
      <c r="F317">
        <v>84.5</v>
      </c>
      <c r="G317" s="2">
        <f t="shared" si="58"/>
        <v>1</v>
      </c>
      <c r="H317">
        <v>91</v>
      </c>
      <c r="I317">
        <v>75.3</v>
      </c>
      <c r="J317">
        <v>83.2</v>
      </c>
      <c r="K317">
        <v>52.3</v>
      </c>
      <c r="L317">
        <v>33.9</v>
      </c>
      <c r="M317" s="2">
        <f t="shared" si="60"/>
        <v>1</v>
      </c>
      <c r="N317">
        <v>0</v>
      </c>
      <c r="P317" s="2">
        <f t="shared" si="61"/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s="2">
        <f t="shared" si="62"/>
        <v>0</v>
      </c>
      <c r="X317">
        <v>17.2</v>
      </c>
      <c r="Z317" s="2">
        <f t="shared" si="63"/>
        <v>1</v>
      </c>
      <c r="AA317">
        <v>3.1</v>
      </c>
      <c r="AB317" s="2" t="str">
        <f>CHOOSE(MATCH(AA317,{0;11;80;111;161;191;241;281;341},1),"North","NorthEast","East","SouthEast","South","SouthWest","West","NorthWest","North")</f>
        <v>North</v>
      </c>
      <c r="AC317" s="5">
        <f>CHOOSE(MATCH(AB317,{"South";"SouthEast";"SouthWest";"North";"NorthEast";"East";"West";"NorthWest"},0),1,2,3,4,5,6,7,8)</f>
        <v>4</v>
      </c>
      <c r="AD317" s="2">
        <f t="shared" si="64"/>
        <v>1</v>
      </c>
      <c r="AE317">
        <v>1013.3</v>
      </c>
      <c r="AF317" s="4" t="s">
        <v>240</v>
      </c>
      <c r="AG317" s="2">
        <f t="shared" si="65"/>
        <v>1</v>
      </c>
      <c r="AH317" t="s">
        <v>598</v>
      </c>
      <c r="AI317" s="2">
        <f t="shared" si="66"/>
        <v>7</v>
      </c>
      <c r="AJ317" s="2">
        <f t="shared" si="67"/>
        <v>1</v>
      </c>
      <c r="AK317" s="3">
        <v>374.99999999650748</v>
      </c>
      <c r="AM317" s="2">
        <v>1</v>
      </c>
      <c r="AN317">
        <v>3</v>
      </c>
      <c r="AO317">
        <v>3</v>
      </c>
      <c r="AP317">
        <v>0</v>
      </c>
      <c r="AQ317" s="2">
        <f>IF((2*G317 + M317 -P317 + 3*W317 + 2*Z317+2*AD317 + AG317+2*AJ317 + 4*AM317) &gt;=8,1,0)</f>
        <v>1</v>
      </c>
    </row>
    <row r="318" spans="1:43" x14ac:dyDescent="0.25">
      <c r="A318" t="s">
        <v>27</v>
      </c>
      <c r="B318" s="1">
        <v>37832</v>
      </c>
      <c r="C318" s="7">
        <f t="shared" si="59"/>
        <v>2003</v>
      </c>
      <c r="D318">
        <v>95.1</v>
      </c>
      <c r="E318">
        <v>75.3</v>
      </c>
      <c r="F318">
        <v>86.2</v>
      </c>
      <c r="G318" s="2">
        <f t="shared" si="58"/>
        <v>1</v>
      </c>
      <c r="H318">
        <v>92.8</v>
      </c>
      <c r="I318">
        <v>75.3</v>
      </c>
      <c r="J318">
        <v>86</v>
      </c>
      <c r="K318">
        <v>59.5</v>
      </c>
      <c r="L318">
        <v>41.9</v>
      </c>
      <c r="M318" s="2">
        <f t="shared" si="60"/>
        <v>1</v>
      </c>
      <c r="N318">
        <v>0</v>
      </c>
      <c r="P318" s="2">
        <f t="shared" si="61"/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2">
        <f t="shared" si="62"/>
        <v>0</v>
      </c>
      <c r="X318">
        <v>19.5</v>
      </c>
      <c r="Z318" s="2">
        <f t="shared" si="63"/>
        <v>1</v>
      </c>
      <c r="AA318">
        <v>185.4</v>
      </c>
      <c r="AB318" s="2" t="str">
        <f>CHOOSE(MATCH(AA318,{0;11;80;111;161;191;241;281;341},1),"North","NorthEast","East","SouthEast","South","SouthWest","West","NorthWest","North")</f>
        <v>South</v>
      </c>
      <c r="AC318" s="5">
        <f>CHOOSE(MATCH(AB318,{"South";"SouthEast";"SouthWest";"North";"NorthEast";"East";"West";"NorthWest"},0),1,2,3,4,5,6,7,8)</f>
        <v>1</v>
      </c>
      <c r="AD318" s="2">
        <f t="shared" si="64"/>
        <v>0</v>
      </c>
      <c r="AE318">
        <v>1009.4</v>
      </c>
      <c r="AF318" s="4" t="s">
        <v>599</v>
      </c>
      <c r="AG318" s="2">
        <f t="shared" si="65"/>
        <v>0</v>
      </c>
      <c r="AH318" t="s">
        <v>600</v>
      </c>
      <c r="AI318" s="2">
        <f t="shared" si="66"/>
        <v>7</v>
      </c>
      <c r="AJ318" s="2">
        <f t="shared" si="67"/>
        <v>1</v>
      </c>
      <c r="AK318" s="3">
        <v>110.00000000232831</v>
      </c>
      <c r="AM318" s="2">
        <v>0</v>
      </c>
      <c r="AN318">
        <v>0.2</v>
      </c>
      <c r="AO318">
        <v>0</v>
      </c>
      <c r="AP318">
        <v>0</v>
      </c>
      <c r="AQ318" s="2">
        <f>IF((2*G318 + M318 -P318 + 3*W318 + 2*Z318+2*AD318 + AG318+2*AJ318 + 4*AM318) &gt;=8,1,0)</f>
        <v>0</v>
      </c>
    </row>
    <row r="319" spans="1:43" x14ac:dyDescent="0.25">
      <c r="A319" t="s">
        <v>27</v>
      </c>
      <c r="B319" s="1">
        <v>37837</v>
      </c>
      <c r="C319" s="7">
        <f t="shared" si="59"/>
        <v>2003</v>
      </c>
      <c r="D319">
        <v>91.5</v>
      </c>
      <c r="E319">
        <v>78.900000000000006</v>
      </c>
      <c r="F319">
        <v>84.3</v>
      </c>
      <c r="G319" s="2">
        <f t="shared" si="58"/>
        <v>1</v>
      </c>
      <c r="H319">
        <v>89.2</v>
      </c>
      <c r="I319">
        <v>78.900000000000006</v>
      </c>
      <c r="J319">
        <v>84</v>
      </c>
      <c r="K319">
        <v>58.7</v>
      </c>
      <c r="L319">
        <v>42.9</v>
      </c>
      <c r="M319" s="2">
        <f t="shared" si="60"/>
        <v>1</v>
      </c>
      <c r="N319">
        <v>0</v>
      </c>
      <c r="P319" s="2">
        <f t="shared" si="61"/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s="2">
        <f t="shared" si="62"/>
        <v>0</v>
      </c>
      <c r="X319">
        <v>20.8</v>
      </c>
      <c r="Z319" s="2">
        <f t="shared" si="63"/>
        <v>1</v>
      </c>
      <c r="AA319">
        <v>326.5</v>
      </c>
      <c r="AB319" s="2" t="str">
        <f>CHOOSE(MATCH(AA319,{0;11;80;111;161;191;241;281;341},1),"North","NorthEast","East","SouthEast","South","SouthWest","West","NorthWest","North")</f>
        <v>NorthWest</v>
      </c>
      <c r="AC319" s="5">
        <f>CHOOSE(MATCH(AB319,{"South";"SouthEast";"SouthWest";"North";"NorthEast";"East";"West";"NorthWest"},0),1,2,3,4,5,6,7,8)</f>
        <v>8</v>
      </c>
      <c r="AD319" s="2">
        <f t="shared" si="64"/>
        <v>1</v>
      </c>
      <c r="AE319">
        <v>1014.1</v>
      </c>
      <c r="AF319" s="4" t="s">
        <v>601</v>
      </c>
      <c r="AG319" s="2">
        <f t="shared" si="65"/>
        <v>1</v>
      </c>
      <c r="AH319" t="s">
        <v>602</v>
      </c>
      <c r="AI319" s="2">
        <f t="shared" si="66"/>
        <v>8</v>
      </c>
      <c r="AJ319" s="2">
        <f t="shared" si="67"/>
        <v>1</v>
      </c>
      <c r="AK319" s="3">
        <v>240.00000000698489</v>
      </c>
      <c r="AM319" s="2">
        <v>0</v>
      </c>
      <c r="AN319">
        <v>20</v>
      </c>
      <c r="AO319">
        <v>20</v>
      </c>
      <c r="AP319">
        <v>0</v>
      </c>
      <c r="AQ319" s="2">
        <f>IF((2*G319 + M319 -P319 + 3*W319 + 2*Z319+2*AD319 + AG319+2*AJ319 + 4*AM319) &gt;=8,1,0)</f>
        <v>1</v>
      </c>
    </row>
    <row r="320" spans="1:43" x14ac:dyDescent="0.25">
      <c r="A320" t="s">
        <v>27</v>
      </c>
      <c r="B320" s="1">
        <v>37837</v>
      </c>
      <c r="C320" s="7">
        <f t="shared" si="59"/>
        <v>2003</v>
      </c>
      <c r="D320">
        <v>91.5</v>
      </c>
      <c r="E320">
        <v>78.900000000000006</v>
      </c>
      <c r="F320">
        <v>84.3</v>
      </c>
      <c r="G320" s="2">
        <f t="shared" si="58"/>
        <v>1</v>
      </c>
      <c r="H320">
        <v>89.2</v>
      </c>
      <c r="I320">
        <v>78.900000000000006</v>
      </c>
      <c r="J320">
        <v>84</v>
      </c>
      <c r="K320">
        <v>58.7</v>
      </c>
      <c r="L320">
        <v>42.9</v>
      </c>
      <c r="M320" s="2">
        <f t="shared" si="60"/>
        <v>1</v>
      </c>
      <c r="N320">
        <v>0</v>
      </c>
      <c r="P320" s="2">
        <f t="shared" si="61"/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s="2">
        <f t="shared" si="62"/>
        <v>0</v>
      </c>
      <c r="X320">
        <v>20.8</v>
      </c>
      <c r="Z320" s="2">
        <f t="shared" si="63"/>
        <v>1</v>
      </c>
      <c r="AA320">
        <v>326.5</v>
      </c>
      <c r="AB320" s="2" t="str">
        <f>CHOOSE(MATCH(AA320,{0;11;80;111;161;191;241;281;341},1),"North","NorthEast","East","SouthEast","South","SouthWest","West","NorthWest","North")</f>
        <v>NorthWest</v>
      </c>
      <c r="AC320" s="5">
        <f>CHOOSE(MATCH(AB320,{"South";"SouthEast";"SouthWest";"North";"NorthEast";"East";"West";"NorthWest"},0),1,2,3,4,5,6,7,8)</f>
        <v>8</v>
      </c>
      <c r="AD320" s="2">
        <f t="shared" si="64"/>
        <v>1</v>
      </c>
      <c r="AE320">
        <v>1014.1</v>
      </c>
      <c r="AF320" s="4" t="s">
        <v>385</v>
      </c>
      <c r="AG320" s="2">
        <f t="shared" si="65"/>
        <v>1</v>
      </c>
      <c r="AH320" t="s">
        <v>603</v>
      </c>
      <c r="AI320" s="2">
        <f t="shared" si="66"/>
        <v>8</v>
      </c>
      <c r="AJ320" s="2">
        <f t="shared" si="67"/>
        <v>1</v>
      </c>
      <c r="AK320" s="3">
        <v>104.9999999965075</v>
      </c>
      <c r="AM320" s="2">
        <v>0</v>
      </c>
      <c r="AN320">
        <v>3</v>
      </c>
      <c r="AO320">
        <v>3</v>
      </c>
      <c r="AP320">
        <v>0</v>
      </c>
      <c r="AQ320" s="2">
        <f>IF((2*G320 + M320 -P320 + 3*W320 + 2*Z320+2*AD320 + AG320+2*AJ320 + 4*AM320) &gt;=8,1,0)</f>
        <v>1</v>
      </c>
    </row>
    <row r="321" spans="1:43" x14ac:dyDescent="0.25">
      <c r="A321" t="s">
        <v>27</v>
      </c>
      <c r="B321" s="1">
        <v>37837</v>
      </c>
      <c r="C321" s="7">
        <f t="shared" si="59"/>
        <v>2003</v>
      </c>
      <c r="D321">
        <v>91.5</v>
      </c>
      <c r="E321">
        <v>78.900000000000006</v>
      </c>
      <c r="F321">
        <v>84.3</v>
      </c>
      <c r="G321" s="2">
        <f t="shared" si="58"/>
        <v>1</v>
      </c>
      <c r="H321">
        <v>89.2</v>
      </c>
      <c r="I321">
        <v>78.900000000000006</v>
      </c>
      <c r="J321">
        <v>84</v>
      </c>
      <c r="K321">
        <v>58.7</v>
      </c>
      <c r="L321">
        <v>42.9</v>
      </c>
      <c r="M321" s="2">
        <f t="shared" si="60"/>
        <v>1</v>
      </c>
      <c r="N321">
        <v>0</v>
      </c>
      <c r="P321" s="2">
        <f t="shared" si="61"/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2">
        <f t="shared" si="62"/>
        <v>0</v>
      </c>
      <c r="X321">
        <v>20.8</v>
      </c>
      <c r="Z321" s="2">
        <f t="shared" si="63"/>
        <v>1</v>
      </c>
      <c r="AA321">
        <v>326.5</v>
      </c>
      <c r="AB321" s="2" t="str">
        <f>CHOOSE(MATCH(AA321,{0;11;80;111;161;191;241;281;341},1),"North","NorthEast","East","SouthEast","South","SouthWest","West","NorthWest","North")</f>
        <v>NorthWest</v>
      </c>
      <c r="AC321" s="5">
        <f>CHOOSE(MATCH(AB321,{"South";"SouthEast";"SouthWest";"North";"NorthEast";"East";"West";"NorthWest"},0),1,2,3,4,5,6,7,8)</f>
        <v>8</v>
      </c>
      <c r="AD321" s="2">
        <f t="shared" si="64"/>
        <v>1</v>
      </c>
      <c r="AE321">
        <v>1014.1</v>
      </c>
      <c r="AF321" s="4" t="s">
        <v>109</v>
      </c>
      <c r="AG321" s="2">
        <f t="shared" si="65"/>
        <v>1</v>
      </c>
      <c r="AH321" t="s">
        <v>604</v>
      </c>
      <c r="AI321" s="2">
        <f t="shared" si="66"/>
        <v>8</v>
      </c>
      <c r="AJ321" s="2">
        <f t="shared" si="67"/>
        <v>1</v>
      </c>
      <c r="AK321" s="3">
        <v>8214.9999999976717</v>
      </c>
      <c r="AM321" s="2">
        <v>1</v>
      </c>
      <c r="AN321">
        <v>2</v>
      </c>
      <c r="AO321">
        <v>8</v>
      </c>
      <c r="AP321">
        <v>0</v>
      </c>
      <c r="AQ321" s="2">
        <f>IF((2*G321 + M321 -P321 + 3*W321 + 2*Z321+2*AD321 + AG321+2*AJ321 + 4*AM321) &gt;=8,1,0)</f>
        <v>1</v>
      </c>
    </row>
    <row r="322" spans="1:43" x14ac:dyDescent="0.25">
      <c r="A322" t="s">
        <v>27</v>
      </c>
      <c r="B322" s="1">
        <v>37842</v>
      </c>
      <c r="C322" s="7">
        <f t="shared" si="59"/>
        <v>2003</v>
      </c>
      <c r="D322">
        <v>87.9</v>
      </c>
      <c r="E322">
        <v>77.099999999999994</v>
      </c>
      <c r="F322">
        <v>83.1</v>
      </c>
      <c r="G322" s="2">
        <f t="shared" ref="G322:G385" si="68">IF(F322&lt;=73.6,0,1)</f>
        <v>1</v>
      </c>
      <c r="H322">
        <v>85.2</v>
      </c>
      <c r="I322">
        <v>77.099999999999994</v>
      </c>
      <c r="J322">
        <v>81.599999999999994</v>
      </c>
      <c r="K322">
        <v>50.3</v>
      </c>
      <c r="L322">
        <v>33.4</v>
      </c>
      <c r="M322" s="2">
        <f t="shared" si="60"/>
        <v>1</v>
      </c>
      <c r="N322">
        <v>0</v>
      </c>
      <c r="P322" s="2">
        <f t="shared" si="61"/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2">
        <f t="shared" si="62"/>
        <v>0</v>
      </c>
      <c r="X322">
        <v>25.3</v>
      </c>
      <c r="Z322" s="2">
        <f t="shared" si="63"/>
        <v>1</v>
      </c>
      <c r="AA322">
        <v>355.4</v>
      </c>
      <c r="AB322" s="2" t="str">
        <f>CHOOSE(MATCH(AA322,{0;11;80;111;161;191;241;281;341},1),"North","NorthEast","East","SouthEast","South","SouthWest","West","NorthWest","North")</f>
        <v>North</v>
      </c>
      <c r="AC322" s="5">
        <f>CHOOSE(MATCH(AB322,{"South";"SouthEast";"SouthWest";"North";"NorthEast";"East";"West";"NorthWest"},0),1,2,3,4,5,6,7,8)</f>
        <v>4</v>
      </c>
      <c r="AD322" s="2">
        <f t="shared" si="64"/>
        <v>1</v>
      </c>
      <c r="AE322">
        <v>1011.6</v>
      </c>
      <c r="AF322" s="4" t="s">
        <v>605</v>
      </c>
      <c r="AG322" s="2">
        <f t="shared" si="65"/>
        <v>0</v>
      </c>
      <c r="AH322" t="s">
        <v>606</v>
      </c>
      <c r="AI322" s="2">
        <f t="shared" si="66"/>
        <v>8</v>
      </c>
      <c r="AJ322" s="2">
        <f t="shared" si="67"/>
        <v>1</v>
      </c>
      <c r="AK322" s="3">
        <v>2280.000000003492</v>
      </c>
      <c r="AM322" s="2">
        <v>1</v>
      </c>
      <c r="AN322">
        <v>4</v>
      </c>
      <c r="AO322">
        <v>20</v>
      </c>
      <c r="AP322">
        <v>0</v>
      </c>
      <c r="AQ322" s="2">
        <f>IF((2*G322 + M322 -P322 + 3*W322 + 2*Z322+2*AD322 + AG322+2*AJ322 + 4*AM322) &gt;=8,1,0)</f>
        <v>1</v>
      </c>
    </row>
    <row r="323" spans="1:43" x14ac:dyDescent="0.25">
      <c r="A323" t="s">
        <v>27</v>
      </c>
      <c r="B323" s="1">
        <v>37844</v>
      </c>
      <c r="C323" s="7">
        <f t="shared" si="59"/>
        <v>2003</v>
      </c>
      <c r="D323">
        <v>93.3</v>
      </c>
      <c r="E323">
        <v>71.7</v>
      </c>
      <c r="F323">
        <v>81.7</v>
      </c>
      <c r="G323" s="2">
        <f t="shared" si="68"/>
        <v>1</v>
      </c>
      <c r="H323">
        <v>89.7</v>
      </c>
      <c r="I323">
        <v>71.7</v>
      </c>
      <c r="J323">
        <v>80.7</v>
      </c>
      <c r="K323">
        <v>54.2</v>
      </c>
      <c r="L323">
        <v>41.3</v>
      </c>
      <c r="M323" s="2">
        <f t="shared" si="60"/>
        <v>1</v>
      </c>
      <c r="N323">
        <v>0</v>
      </c>
      <c r="P323" s="2">
        <f t="shared" si="61"/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2">
        <f t="shared" si="62"/>
        <v>0</v>
      </c>
      <c r="X323">
        <v>15</v>
      </c>
      <c r="Z323" s="2">
        <f t="shared" si="63"/>
        <v>0</v>
      </c>
      <c r="AA323">
        <v>320.10000000000002</v>
      </c>
      <c r="AB323" s="2" t="str">
        <f>CHOOSE(MATCH(AA323,{0;11;80;111;161;191;241;281;341},1),"North","NorthEast","East","SouthEast","South","SouthWest","West","NorthWest","North")</f>
        <v>NorthWest</v>
      </c>
      <c r="AC323" s="5">
        <f>CHOOSE(MATCH(AB323,{"South";"SouthEast";"SouthWest";"North";"NorthEast";"East";"West";"NorthWest"},0),1,2,3,4,5,6,7,8)</f>
        <v>8</v>
      </c>
      <c r="AD323" s="2">
        <f t="shared" si="64"/>
        <v>1</v>
      </c>
      <c r="AE323">
        <v>1013.1</v>
      </c>
      <c r="AF323" s="4" t="s">
        <v>607</v>
      </c>
      <c r="AG323" s="2">
        <f t="shared" si="65"/>
        <v>1</v>
      </c>
      <c r="AH323" t="s">
        <v>608</v>
      </c>
      <c r="AI323" s="2">
        <f t="shared" si="66"/>
        <v>8</v>
      </c>
      <c r="AJ323" s="2">
        <f t="shared" si="67"/>
        <v>1</v>
      </c>
      <c r="AK323" s="3">
        <v>275.00000000582082</v>
      </c>
      <c r="AM323" s="2">
        <v>0</v>
      </c>
      <c r="AN323">
        <v>0.5</v>
      </c>
      <c r="AO323">
        <v>0</v>
      </c>
      <c r="AP323">
        <v>0</v>
      </c>
      <c r="AQ323" s="2">
        <f>IF((2*G323 + M323 -P323 + 3*W323 + 2*Z323+2*AD323 + AG323+2*AJ323 + 4*AM323) &gt;=8,1,0)</f>
        <v>0</v>
      </c>
    </row>
    <row r="324" spans="1:43" x14ac:dyDescent="0.25">
      <c r="A324" t="s">
        <v>27</v>
      </c>
      <c r="B324" s="1">
        <v>37845</v>
      </c>
      <c r="C324" s="7">
        <f t="shared" si="59"/>
        <v>2003</v>
      </c>
      <c r="D324">
        <v>91.5</v>
      </c>
      <c r="E324">
        <v>71.7</v>
      </c>
      <c r="F324">
        <v>82.8</v>
      </c>
      <c r="G324" s="2">
        <f t="shared" si="68"/>
        <v>1</v>
      </c>
      <c r="H324">
        <v>88.8</v>
      </c>
      <c r="I324">
        <v>71.7</v>
      </c>
      <c r="J324">
        <v>81.400000000000006</v>
      </c>
      <c r="K324">
        <v>53.6</v>
      </c>
      <c r="L324">
        <v>39.1</v>
      </c>
      <c r="M324" s="2">
        <f t="shared" si="60"/>
        <v>1</v>
      </c>
      <c r="N324">
        <v>0</v>
      </c>
      <c r="P324" s="2">
        <f t="shared" si="61"/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2">
        <f t="shared" si="62"/>
        <v>0</v>
      </c>
      <c r="X324">
        <v>26.4</v>
      </c>
      <c r="Z324" s="2">
        <f t="shared" si="63"/>
        <v>1</v>
      </c>
      <c r="AA324">
        <v>350.3</v>
      </c>
      <c r="AB324" s="2" t="str">
        <f>CHOOSE(MATCH(AA324,{0;11;80;111;161;191;241;281;341},1),"North","NorthEast","East","SouthEast","South","SouthWest","West","NorthWest","North")</f>
        <v>North</v>
      </c>
      <c r="AC324" s="5">
        <f>CHOOSE(MATCH(AB324,{"South";"SouthEast";"SouthWest";"North";"NorthEast";"East";"West";"NorthWest"},0),1,2,3,4,5,6,7,8)</f>
        <v>4</v>
      </c>
      <c r="AD324" s="2">
        <f t="shared" si="64"/>
        <v>1</v>
      </c>
      <c r="AE324">
        <v>1016.7</v>
      </c>
      <c r="AF324" s="4" t="s">
        <v>609</v>
      </c>
      <c r="AG324" s="2">
        <f t="shared" si="65"/>
        <v>1</v>
      </c>
      <c r="AH324" t="s">
        <v>610</v>
      </c>
      <c r="AI324" s="2">
        <f t="shared" si="66"/>
        <v>8</v>
      </c>
      <c r="AJ324" s="2">
        <f t="shared" si="67"/>
        <v>1</v>
      </c>
      <c r="AK324" s="3">
        <v>345.99999999627471</v>
      </c>
      <c r="AM324" s="2">
        <v>0</v>
      </c>
      <c r="AN324">
        <v>5</v>
      </c>
      <c r="AO324">
        <v>5</v>
      </c>
      <c r="AP324">
        <v>0</v>
      </c>
      <c r="AQ324" s="2">
        <f>IF((2*G324 + M324 -P324 + 3*W324 + 2*Z324+2*AD324 + AG324+2*AJ324 + 4*AM324) &gt;=8,1,0)</f>
        <v>1</v>
      </c>
    </row>
    <row r="325" spans="1:43" x14ac:dyDescent="0.25">
      <c r="A325" t="s">
        <v>27</v>
      </c>
      <c r="B325" s="1">
        <v>37850</v>
      </c>
      <c r="C325" s="7">
        <f t="shared" si="59"/>
        <v>2003</v>
      </c>
      <c r="D325">
        <v>102.3</v>
      </c>
      <c r="E325">
        <v>80.7</v>
      </c>
      <c r="F325">
        <v>94.7</v>
      </c>
      <c r="G325" s="2">
        <f t="shared" si="68"/>
        <v>1</v>
      </c>
      <c r="H325">
        <v>100.5</v>
      </c>
      <c r="I325">
        <v>80.599999999999994</v>
      </c>
      <c r="J325">
        <v>93.2</v>
      </c>
      <c r="K325">
        <v>55</v>
      </c>
      <c r="L325">
        <v>27.6</v>
      </c>
      <c r="M325" s="2">
        <f t="shared" si="60"/>
        <v>1</v>
      </c>
      <c r="N325">
        <v>0</v>
      </c>
      <c r="P325" s="2">
        <f t="shared" si="61"/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2">
        <f t="shared" si="62"/>
        <v>0</v>
      </c>
      <c r="X325">
        <v>11.4</v>
      </c>
      <c r="Z325" s="2">
        <f t="shared" si="63"/>
        <v>0</v>
      </c>
      <c r="AA325">
        <v>261.5</v>
      </c>
      <c r="AB325" s="2" t="str">
        <f>CHOOSE(MATCH(AA325,{0;11;80;111;161;191;241;281;341},1),"North","NorthEast","East","SouthEast","South","SouthWest","West","NorthWest","North")</f>
        <v>West</v>
      </c>
      <c r="AC325" s="5">
        <f>CHOOSE(MATCH(AB325,{"South";"SouthEast";"SouthWest";"North";"NorthEast";"East";"West";"NorthWest"},0),1,2,3,4,5,6,7,8)</f>
        <v>7</v>
      </c>
      <c r="AD325" s="2">
        <f t="shared" si="64"/>
        <v>0</v>
      </c>
      <c r="AE325">
        <v>1013.5</v>
      </c>
      <c r="AF325" s="4" t="s">
        <v>611</v>
      </c>
      <c r="AG325" s="2">
        <f t="shared" si="65"/>
        <v>1</v>
      </c>
      <c r="AH325" t="s">
        <v>612</v>
      </c>
      <c r="AI325" s="2">
        <f t="shared" si="66"/>
        <v>8</v>
      </c>
      <c r="AJ325" s="2">
        <f t="shared" si="67"/>
        <v>1</v>
      </c>
      <c r="AK325" s="3">
        <v>155.00000000232831</v>
      </c>
      <c r="AM325" s="2">
        <v>0</v>
      </c>
      <c r="AN325">
        <v>5</v>
      </c>
      <c r="AO325">
        <v>5</v>
      </c>
      <c r="AP325">
        <v>0</v>
      </c>
      <c r="AQ325" s="2">
        <f>IF((2*G325 + M325 -P325 + 3*W325 + 2*Z325+2*AD325 + AG325+2*AJ325 + 4*AM325) &gt;=8,1,0)</f>
        <v>0</v>
      </c>
    </row>
    <row r="326" spans="1:43" x14ac:dyDescent="0.25">
      <c r="A326" t="s">
        <v>27</v>
      </c>
      <c r="B326" s="1">
        <v>37861</v>
      </c>
      <c r="C326" s="7">
        <f t="shared" si="59"/>
        <v>2003</v>
      </c>
      <c r="D326">
        <v>93.3</v>
      </c>
      <c r="E326">
        <v>77.099999999999994</v>
      </c>
      <c r="F326">
        <v>85.4</v>
      </c>
      <c r="G326" s="2">
        <f t="shared" si="68"/>
        <v>1</v>
      </c>
      <c r="H326">
        <v>93.5</v>
      </c>
      <c r="I326">
        <v>77.099999999999994</v>
      </c>
      <c r="J326">
        <v>86.1</v>
      </c>
      <c r="K326">
        <v>63.3</v>
      </c>
      <c r="L326">
        <v>49.6</v>
      </c>
      <c r="M326" s="2">
        <f t="shared" si="60"/>
        <v>0</v>
      </c>
      <c r="N326">
        <v>0</v>
      </c>
      <c r="P326" s="2">
        <f t="shared" si="61"/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2">
        <f t="shared" si="62"/>
        <v>0</v>
      </c>
      <c r="X326">
        <v>18.3</v>
      </c>
      <c r="Z326" s="2">
        <f t="shared" si="63"/>
        <v>1</v>
      </c>
      <c r="AA326">
        <v>323</v>
      </c>
      <c r="AB326" s="2" t="str">
        <f>CHOOSE(MATCH(AA326,{0;11;80;111;161;191;241;281;341},1),"North","NorthEast","East","SouthEast","South","SouthWest","West","NorthWest","North")</f>
        <v>NorthWest</v>
      </c>
      <c r="AC326" s="5">
        <f>CHOOSE(MATCH(AB326,{"South";"SouthEast";"SouthWest";"North";"NorthEast";"East";"West";"NorthWest"},0),1,2,3,4,5,6,7,8)</f>
        <v>8</v>
      </c>
      <c r="AD326" s="2">
        <f t="shared" si="64"/>
        <v>1</v>
      </c>
      <c r="AE326">
        <v>1008.2</v>
      </c>
      <c r="AF326" s="4" t="s">
        <v>365</v>
      </c>
      <c r="AG326" s="2">
        <f t="shared" si="65"/>
        <v>1</v>
      </c>
      <c r="AH326" t="s">
        <v>613</v>
      </c>
      <c r="AI326" s="2">
        <f t="shared" si="66"/>
        <v>8</v>
      </c>
      <c r="AJ326" s="2">
        <f t="shared" si="67"/>
        <v>1</v>
      </c>
      <c r="AK326" s="3">
        <v>904.99999999534339</v>
      </c>
      <c r="AM326" s="2">
        <v>1</v>
      </c>
      <c r="AN326">
        <v>1</v>
      </c>
      <c r="AO326">
        <v>9</v>
      </c>
      <c r="AP326">
        <v>0</v>
      </c>
      <c r="AQ326" s="2">
        <f>IF((2*G326 + M326 -P326 + 3*W326 + 2*Z326+2*AD326 + AG326+2*AJ326 + 4*AM326) &gt;=8,1,0)</f>
        <v>1</v>
      </c>
    </row>
    <row r="327" spans="1:43" x14ac:dyDescent="0.25">
      <c r="A327" t="s">
        <v>27</v>
      </c>
      <c r="B327" s="1">
        <v>37865</v>
      </c>
      <c r="C327" s="7">
        <f t="shared" si="59"/>
        <v>2003</v>
      </c>
      <c r="D327">
        <v>102.3</v>
      </c>
      <c r="E327">
        <v>80.7</v>
      </c>
      <c r="F327">
        <v>92.5</v>
      </c>
      <c r="G327" s="2">
        <f t="shared" si="68"/>
        <v>1</v>
      </c>
      <c r="H327">
        <v>100.5</v>
      </c>
      <c r="I327">
        <v>81.900000000000006</v>
      </c>
      <c r="J327">
        <v>91.6</v>
      </c>
      <c r="K327">
        <v>56.5</v>
      </c>
      <c r="L327">
        <v>32.200000000000003</v>
      </c>
      <c r="M327" s="2">
        <f t="shared" si="60"/>
        <v>1</v>
      </c>
      <c r="N327">
        <v>0</v>
      </c>
      <c r="P327" s="2">
        <f t="shared" si="61"/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2">
        <f t="shared" si="62"/>
        <v>0</v>
      </c>
      <c r="X327">
        <v>13.9</v>
      </c>
      <c r="Z327" s="2">
        <f t="shared" si="63"/>
        <v>0</v>
      </c>
      <c r="AA327">
        <v>292.2</v>
      </c>
      <c r="AB327" s="2" t="str">
        <f>CHOOSE(MATCH(AA327,{0;11;80;111;161;191;241;281;341},1),"North","NorthEast","East","SouthEast","South","SouthWest","West","NorthWest","North")</f>
        <v>NorthWest</v>
      </c>
      <c r="AC327" s="5">
        <f>CHOOSE(MATCH(AB327,{"South";"SouthEast";"SouthWest";"North";"NorthEast";"East";"West";"NorthWest"},0),1,2,3,4,5,6,7,8)</f>
        <v>8</v>
      </c>
      <c r="AD327" s="2">
        <f t="shared" si="64"/>
        <v>1</v>
      </c>
      <c r="AE327">
        <v>1006.6</v>
      </c>
      <c r="AF327" s="4" t="s">
        <v>614</v>
      </c>
      <c r="AG327" s="2">
        <f t="shared" si="65"/>
        <v>1</v>
      </c>
      <c r="AH327" t="s">
        <v>615</v>
      </c>
      <c r="AI327" s="2">
        <f t="shared" si="66"/>
        <v>9</v>
      </c>
      <c r="AJ327" s="2">
        <f t="shared" si="67"/>
        <v>0</v>
      </c>
      <c r="AK327" s="3">
        <v>47.999999999301508</v>
      </c>
      <c r="AM327" s="2">
        <v>0</v>
      </c>
      <c r="AN327">
        <v>0</v>
      </c>
      <c r="AO327">
        <v>0</v>
      </c>
      <c r="AP327">
        <v>0.1</v>
      </c>
      <c r="AQ327" s="2">
        <f>IF((2*G327 + M327 -P327 + 3*W327 + 2*Z327+2*AD327 + AG327+2*AJ327 + 4*AM327) &gt;=8,1,0)</f>
        <v>0</v>
      </c>
    </row>
    <row r="328" spans="1:43" x14ac:dyDescent="0.25">
      <c r="A328" t="s">
        <v>27</v>
      </c>
      <c r="B328" s="1">
        <v>37867</v>
      </c>
      <c r="C328" s="7">
        <f t="shared" si="59"/>
        <v>2003</v>
      </c>
      <c r="D328">
        <v>91.5</v>
      </c>
      <c r="E328">
        <v>75.3</v>
      </c>
      <c r="F328">
        <v>82.9</v>
      </c>
      <c r="G328" s="2">
        <f t="shared" si="68"/>
        <v>1</v>
      </c>
      <c r="H328">
        <v>92.4</v>
      </c>
      <c r="I328">
        <v>75.3</v>
      </c>
      <c r="J328">
        <v>83.8</v>
      </c>
      <c r="K328">
        <v>64.2</v>
      </c>
      <c r="L328">
        <v>55.1</v>
      </c>
      <c r="M328" s="2">
        <f t="shared" si="60"/>
        <v>0</v>
      </c>
      <c r="N328">
        <v>0</v>
      </c>
      <c r="P328" s="2">
        <f t="shared" si="61"/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2">
        <f t="shared" si="62"/>
        <v>0</v>
      </c>
      <c r="X328">
        <v>17.2</v>
      </c>
      <c r="Z328" s="2">
        <f t="shared" si="63"/>
        <v>1</v>
      </c>
      <c r="AA328">
        <v>335.1</v>
      </c>
      <c r="AB328" s="2" t="str">
        <f>CHOOSE(MATCH(AA328,{0;11;80;111;161;191;241;281;341},1),"North","NorthEast","East","SouthEast","South","SouthWest","West","NorthWest","North")</f>
        <v>NorthWest</v>
      </c>
      <c r="AC328" s="5">
        <f>CHOOSE(MATCH(AB328,{"South";"SouthEast";"SouthWest";"North";"NorthEast";"East";"West";"NorthWest"},0),1,2,3,4,5,6,7,8)</f>
        <v>8</v>
      </c>
      <c r="AD328" s="2">
        <f t="shared" si="64"/>
        <v>1</v>
      </c>
      <c r="AE328">
        <v>1012.4</v>
      </c>
      <c r="AF328" s="4" t="s">
        <v>349</v>
      </c>
      <c r="AG328" s="2">
        <f t="shared" si="65"/>
        <v>0</v>
      </c>
      <c r="AH328" t="s">
        <v>616</v>
      </c>
      <c r="AI328" s="2">
        <f t="shared" si="66"/>
        <v>9</v>
      </c>
      <c r="AJ328" s="2">
        <f t="shared" si="67"/>
        <v>0</v>
      </c>
      <c r="AK328" s="3">
        <v>431.00000000093132</v>
      </c>
      <c r="AM328" s="2">
        <v>1</v>
      </c>
      <c r="AN328">
        <v>0.2</v>
      </c>
      <c r="AO328">
        <v>0</v>
      </c>
      <c r="AP328">
        <v>0</v>
      </c>
      <c r="AQ328" s="2">
        <f>IF((2*G328 + M328 -P328 + 3*W328 + 2*Z328+2*AD328 + AG328+2*AJ328 + 4*AM328) &gt;=8,1,0)</f>
        <v>1</v>
      </c>
    </row>
    <row r="329" spans="1:43" x14ac:dyDescent="0.25">
      <c r="A329" t="s">
        <v>27</v>
      </c>
      <c r="B329" s="1">
        <v>37876</v>
      </c>
      <c r="C329" s="7">
        <f t="shared" si="59"/>
        <v>2003</v>
      </c>
      <c r="D329">
        <v>87.9</v>
      </c>
      <c r="E329">
        <v>71.7</v>
      </c>
      <c r="F329">
        <v>80.900000000000006</v>
      </c>
      <c r="G329" s="2">
        <f t="shared" si="68"/>
        <v>1</v>
      </c>
      <c r="H329">
        <v>84.8</v>
      </c>
      <c r="I329">
        <v>71.7</v>
      </c>
      <c r="J329">
        <v>79.8</v>
      </c>
      <c r="K329">
        <v>53.8</v>
      </c>
      <c r="L329">
        <v>41.2</v>
      </c>
      <c r="M329" s="2">
        <f t="shared" si="60"/>
        <v>1</v>
      </c>
      <c r="N329">
        <v>0</v>
      </c>
      <c r="P329" s="2">
        <f t="shared" si="61"/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s="2">
        <f t="shared" si="62"/>
        <v>0</v>
      </c>
      <c r="X329">
        <v>18.3</v>
      </c>
      <c r="Z329" s="2">
        <f t="shared" si="63"/>
        <v>1</v>
      </c>
      <c r="AA329">
        <v>291.39999999999998</v>
      </c>
      <c r="AB329" s="2" t="str">
        <f>CHOOSE(MATCH(AA329,{0;11;80;111;161;191;241;281;341},1),"North","NorthEast","East","SouthEast","South","SouthWest","West","NorthWest","North")</f>
        <v>NorthWest</v>
      </c>
      <c r="AC329" s="5">
        <f>CHOOSE(MATCH(AB329,{"South";"SouthEast";"SouthWest";"North";"NorthEast";"East";"West";"NorthWest"},0),1,2,3,4,5,6,7,8)</f>
        <v>8</v>
      </c>
      <c r="AD329" s="2">
        <f t="shared" si="64"/>
        <v>1</v>
      </c>
      <c r="AE329">
        <v>1009.1</v>
      </c>
      <c r="AF329" s="4" t="s">
        <v>617</v>
      </c>
      <c r="AG329" s="2">
        <f t="shared" si="65"/>
        <v>1</v>
      </c>
      <c r="AH329" t="s">
        <v>618</v>
      </c>
      <c r="AI329" s="2">
        <f t="shared" si="66"/>
        <v>9</v>
      </c>
      <c r="AJ329" s="2">
        <f t="shared" si="67"/>
        <v>0</v>
      </c>
      <c r="AK329" s="3">
        <v>49.000000002561137</v>
      </c>
      <c r="AM329" s="2">
        <v>0</v>
      </c>
      <c r="AN329">
        <v>1</v>
      </c>
      <c r="AO329">
        <v>0</v>
      </c>
      <c r="AP329">
        <v>0</v>
      </c>
      <c r="AQ329" s="2">
        <f>IF((2*G329 + M329 -P329 + 3*W329 + 2*Z329+2*AD329 + AG329+2*AJ329 + 4*AM329) &gt;=8,1,0)</f>
        <v>0</v>
      </c>
    </row>
    <row r="330" spans="1:43" x14ac:dyDescent="0.25">
      <c r="A330" t="s">
        <v>27</v>
      </c>
      <c r="B330" s="1">
        <v>37883</v>
      </c>
      <c r="C330" s="7">
        <f t="shared" si="59"/>
        <v>2003</v>
      </c>
      <c r="D330">
        <v>82.5</v>
      </c>
      <c r="E330">
        <v>66.3</v>
      </c>
      <c r="F330">
        <v>75.400000000000006</v>
      </c>
      <c r="G330" s="2">
        <f t="shared" si="68"/>
        <v>1</v>
      </c>
      <c r="H330">
        <v>81.099999999999994</v>
      </c>
      <c r="I330">
        <v>66.3</v>
      </c>
      <c r="J330">
        <v>75</v>
      </c>
      <c r="K330">
        <v>49.1</v>
      </c>
      <c r="L330">
        <v>40.6</v>
      </c>
      <c r="M330" s="2">
        <f t="shared" si="60"/>
        <v>1</v>
      </c>
      <c r="N330">
        <v>0</v>
      </c>
      <c r="P330" s="2">
        <f t="shared" si="61"/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2">
        <f t="shared" si="62"/>
        <v>0</v>
      </c>
      <c r="X330">
        <v>17.2</v>
      </c>
      <c r="Z330" s="2">
        <f t="shared" si="63"/>
        <v>1</v>
      </c>
      <c r="AA330">
        <v>351</v>
      </c>
      <c r="AB330" s="2" t="str">
        <f>CHOOSE(MATCH(AA330,{0;11;80;111;161;191;241;281;341},1),"North","NorthEast","East","SouthEast","South","SouthWest","West","NorthWest","North")</f>
        <v>North</v>
      </c>
      <c r="AC330" s="5">
        <f>CHOOSE(MATCH(AB330,{"South";"SouthEast";"SouthWest";"North";"NorthEast";"East";"West";"NorthWest"},0),1,2,3,4,5,6,7,8)</f>
        <v>4</v>
      </c>
      <c r="AD330" s="2">
        <f t="shared" si="64"/>
        <v>1</v>
      </c>
      <c r="AE330">
        <v>1021.6</v>
      </c>
      <c r="AF330" s="4" t="s">
        <v>619</v>
      </c>
      <c r="AG330" s="2">
        <f t="shared" si="65"/>
        <v>1</v>
      </c>
      <c r="AH330" t="s">
        <v>620</v>
      </c>
      <c r="AI330" s="2">
        <f t="shared" si="66"/>
        <v>9</v>
      </c>
      <c r="AJ330" s="2">
        <f t="shared" si="67"/>
        <v>0</v>
      </c>
      <c r="AK330" s="3">
        <v>1313.999999997905</v>
      </c>
      <c r="AM330" s="2">
        <v>1</v>
      </c>
      <c r="AN330">
        <v>25</v>
      </c>
      <c r="AO330">
        <v>0</v>
      </c>
      <c r="AP330">
        <v>0</v>
      </c>
      <c r="AQ330" s="2">
        <f>IF((2*G330 + M330 -P330 + 3*W330 + 2*Z330+2*AD330 + AG330+2*AJ330 + 4*AM330) &gt;=8,1,0)</f>
        <v>1</v>
      </c>
    </row>
    <row r="331" spans="1:43" x14ac:dyDescent="0.25">
      <c r="A331" t="s">
        <v>27</v>
      </c>
      <c r="B331" s="1">
        <v>37887</v>
      </c>
      <c r="C331" s="7">
        <f t="shared" si="59"/>
        <v>2003</v>
      </c>
      <c r="D331">
        <v>86.1</v>
      </c>
      <c r="E331">
        <v>68.099999999999994</v>
      </c>
      <c r="F331">
        <v>75.3</v>
      </c>
      <c r="G331" s="2">
        <f t="shared" si="68"/>
        <v>1</v>
      </c>
      <c r="H331">
        <v>83.2</v>
      </c>
      <c r="I331">
        <v>68.099999999999994</v>
      </c>
      <c r="J331">
        <v>74.8</v>
      </c>
      <c r="K331">
        <v>51.7</v>
      </c>
      <c r="L331">
        <v>45.6</v>
      </c>
      <c r="M331" s="2">
        <f t="shared" si="60"/>
        <v>1</v>
      </c>
      <c r="N331">
        <v>0</v>
      </c>
      <c r="P331" s="2">
        <f t="shared" si="61"/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2">
        <f t="shared" si="62"/>
        <v>0</v>
      </c>
      <c r="X331">
        <v>16.100000000000001</v>
      </c>
      <c r="Z331" s="2">
        <f t="shared" si="63"/>
        <v>1</v>
      </c>
      <c r="AA331">
        <v>296.89999999999998</v>
      </c>
      <c r="AB331" s="2" t="str">
        <f>CHOOSE(MATCH(AA331,{0;11;80;111;161;191;241;281;341},1),"North","NorthEast","East","SouthEast","South","SouthWest","West","NorthWest","North")</f>
        <v>NorthWest</v>
      </c>
      <c r="AC331" s="5">
        <f>CHOOSE(MATCH(AB331,{"South";"SouthEast";"SouthWest";"North";"NorthEast";"East";"West";"NorthWest"},0),1,2,3,4,5,6,7,8)</f>
        <v>8</v>
      </c>
      <c r="AD331" s="2">
        <f t="shared" si="64"/>
        <v>1</v>
      </c>
      <c r="AE331">
        <v>1015.2</v>
      </c>
      <c r="AF331" s="4" t="s">
        <v>452</v>
      </c>
      <c r="AG331" s="2">
        <f t="shared" si="65"/>
        <v>1</v>
      </c>
      <c r="AH331" t="s">
        <v>621</v>
      </c>
      <c r="AI331" s="2">
        <f t="shared" si="66"/>
        <v>9</v>
      </c>
      <c r="AJ331" s="2">
        <f t="shared" si="67"/>
        <v>0</v>
      </c>
      <c r="AK331" s="3">
        <v>113.99999999441209</v>
      </c>
      <c r="AM331" s="2">
        <v>0</v>
      </c>
      <c r="AN331">
        <v>10</v>
      </c>
      <c r="AO331">
        <v>0</v>
      </c>
      <c r="AP331">
        <v>0</v>
      </c>
      <c r="AQ331" s="2">
        <f>IF((2*G331 + M331 -P331 + 3*W331 + 2*Z331+2*AD331 + AG331+2*AJ331 + 4*AM331) &gt;=8,1,0)</f>
        <v>0</v>
      </c>
    </row>
    <row r="332" spans="1:43" x14ac:dyDescent="0.25">
      <c r="A332" t="s">
        <v>27</v>
      </c>
      <c r="B332" s="1">
        <v>37892</v>
      </c>
      <c r="C332" s="7">
        <f t="shared" si="59"/>
        <v>2003</v>
      </c>
      <c r="D332">
        <v>80.7</v>
      </c>
      <c r="E332">
        <v>60.9</v>
      </c>
      <c r="F332">
        <v>70.2</v>
      </c>
      <c r="G332" s="2">
        <f t="shared" si="68"/>
        <v>0</v>
      </c>
      <c r="H332">
        <v>80.099999999999994</v>
      </c>
      <c r="I332">
        <v>60.9</v>
      </c>
      <c r="J332">
        <v>70.2</v>
      </c>
      <c r="K332">
        <v>53</v>
      </c>
      <c r="L332">
        <v>55.6</v>
      </c>
      <c r="M332" s="2">
        <f t="shared" si="60"/>
        <v>0</v>
      </c>
      <c r="N332">
        <v>0</v>
      </c>
      <c r="P332" s="2">
        <f t="shared" si="61"/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2">
        <f t="shared" si="62"/>
        <v>0</v>
      </c>
      <c r="X332">
        <v>9.1999999999999993</v>
      </c>
      <c r="Z332" s="2">
        <f t="shared" si="63"/>
        <v>0</v>
      </c>
      <c r="AA332">
        <v>238.1</v>
      </c>
      <c r="AB332" s="2" t="str">
        <f>CHOOSE(MATCH(AA332,{0;11;80;111;161;191;241;281;341},1),"North","NorthEast","East","SouthEast","South","SouthWest","West","NorthWest","North")</f>
        <v>SouthWest</v>
      </c>
      <c r="AC332" s="5">
        <f>CHOOSE(MATCH(AB332,{"South";"SouthEast";"SouthWest";"North";"NorthEast";"East";"West";"NorthWest"},0),1,2,3,4,5,6,7,8)</f>
        <v>3</v>
      </c>
      <c r="AD332" s="2">
        <f t="shared" si="64"/>
        <v>1</v>
      </c>
      <c r="AE332">
        <v>1018</v>
      </c>
      <c r="AF332" s="4" t="s">
        <v>622</v>
      </c>
      <c r="AG332" s="2">
        <f t="shared" si="65"/>
        <v>0</v>
      </c>
      <c r="AH332" t="s">
        <v>623</v>
      </c>
      <c r="AI332" s="2">
        <f t="shared" si="66"/>
        <v>9</v>
      </c>
      <c r="AJ332" s="2">
        <f t="shared" si="67"/>
        <v>0</v>
      </c>
      <c r="AK332" s="3">
        <v>304.99999999883579</v>
      </c>
      <c r="AM332" s="2">
        <v>0</v>
      </c>
      <c r="AN332">
        <v>8</v>
      </c>
      <c r="AO332">
        <v>0</v>
      </c>
      <c r="AP332">
        <v>0</v>
      </c>
      <c r="AQ332" s="2">
        <f>IF((2*G332 + M332 -P332 + 3*W332 + 2*Z332+2*AD332 + AG332+2*AJ332 + 4*AM332) &gt;=8,1,0)</f>
        <v>0</v>
      </c>
    </row>
    <row r="333" spans="1:43" x14ac:dyDescent="0.25">
      <c r="A333" t="s">
        <v>27</v>
      </c>
      <c r="B333" s="1">
        <v>37905</v>
      </c>
      <c r="C333" s="7">
        <f t="shared" si="59"/>
        <v>2003</v>
      </c>
      <c r="D333">
        <v>73.5</v>
      </c>
      <c r="E333">
        <v>51.9</v>
      </c>
      <c r="F333">
        <v>63.4</v>
      </c>
      <c r="G333" s="2">
        <f t="shared" si="68"/>
        <v>0</v>
      </c>
      <c r="H333">
        <v>73.5</v>
      </c>
      <c r="I333">
        <v>51.9</v>
      </c>
      <c r="J333">
        <v>63.4</v>
      </c>
      <c r="K333">
        <v>39.5</v>
      </c>
      <c r="L333">
        <v>43.7</v>
      </c>
      <c r="M333" s="2">
        <f t="shared" si="60"/>
        <v>1</v>
      </c>
      <c r="N333">
        <v>0</v>
      </c>
      <c r="P333" s="2">
        <f t="shared" si="61"/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2">
        <f t="shared" si="62"/>
        <v>0</v>
      </c>
      <c r="X333">
        <v>11.4</v>
      </c>
      <c r="Z333" s="2">
        <f t="shared" si="63"/>
        <v>0</v>
      </c>
      <c r="AA333">
        <v>336.7</v>
      </c>
      <c r="AB333" s="2" t="str">
        <f>CHOOSE(MATCH(AA333,{0;11;80;111;161;191;241;281;341},1),"North","NorthEast","East","SouthEast","South","SouthWest","West","NorthWest","North")</f>
        <v>NorthWest</v>
      </c>
      <c r="AC333" s="5">
        <f>CHOOSE(MATCH(AB333,{"South";"SouthEast";"SouthWest";"North";"NorthEast";"East";"West";"NorthWest"},0),1,2,3,4,5,6,7,8)</f>
        <v>8</v>
      </c>
      <c r="AD333" s="2">
        <f t="shared" si="64"/>
        <v>1</v>
      </c>
      <c r="AE333">
        <v>1021.9</v>
      </c>
      <c r="AF333" s="4" t="s">
        <v>624</v>
      </c>
      <c r="AG333" s="2">
        <f t="shared" si="65"/>
        <v>1</v>
      </c>
      <c r="AH333" t="s">
        <v>625</v>
      </c>
      <c r="AI333" s="2">
        <f t="shared" si="66"/>
        <v>10</v>
      </c>
      <c r="AJ333" s="2">
        <f t="shared" si="67"/>
        <v>0</v>
      </c>
      <c r="AK333" s="3">
        <v>375.99999999976723</v>
      </c>
      <c r="AM333" s="2">
        <v>1</v>
      </c>
      <c r="AN333">
        <v>4</v>
      </c>
      <c r="AO333">
        <v>0</v>
      </c>
      <c r="AP333">
        <v>0</v>
      </c>
      <c r="AQ333" s="2">
        <f>IF((2*G333 + M333 -P333 + 3*W333 + 2*Z333+2*AD333 + AG333+2*AJ333 + 4*AM333) &gt;=8,1,0)</f>
        <v>0</v>
      </c>
    </row>
    <row r="334" spans="1:43" x14ac:dyDescent="0.25">
      <c r="A334" t="s">
        <v>27</v>
      </c>
      <c r="B334" s="1">
        <v>38004</v>
      </c>
      <c r="C334" s="7">
        <f t="shared" si="59"/>
        <v>2004</v>
      </c>
      <c r="D334">
        <v>60.9</v>
      </c>
      <c r="E334">
        <v>39.299999999999997</v>
      </c>
      <c r="F334">
        <v>49.1</v>
      </c>
      <c r="G334" s="2">
        <f t="shared" si="68"/>
        <v>0</v>
      </c>
      <c r="H334">
        <v>60.9</v>
      </c>
      <c r="I334">
        <v>35.1</v>
      </c>
      <c r="J334">
        <v>48.6</v>
      </c>
      <c r="K334">
        <v>40.700000000000003</v>
      </c>
      <c r="L334">
        <v>74.2</v>
      </c>
      <c r="M334" s="2">
        <f t="shared" si="60"/>
        <v>0</v>
      </c>
      <c r="N334">
        <v>0</v>
      </c>
      <c r="O334">
        <f>AVERAGE(N334:N439)</f>
        <v>3.6698113207547173E-3</v>
      </c>
      <c r="P334" s="2">
        <f t="shared" si="61"/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s="2">
        <f t="shared" si="62"/>
        <v>0</v>
      </c>
      <c r="X334">
        <v>6.9</v>
      </c>
      <c r="Y334">
        <f>AVERAGE(X334:X4384)</f>
        <v>16.287688277668611</v>
      </c>
      <c r="Z334" s="2">
        <f t="shared" si="63"/>
        <v>0</v>
      </c>
      <c r="AA334">
        <v>230.9</v>
      </c>
      <c r="AB334" s="2" t="str">
        <f>CHOOSE(MATCH(AA334,{0;11;80;111;161;191;241;281;341},1),"North","NorthEast","East","SouthEast","South","SouthWest","West","NorthWest","North")</f>
        <v>SouthWest</v>
      </c>
      <c r="AC334" s="5">
        <f>CHOOSE(MATCH(AB334,{"South";"SouthEast";"SouthWest";"North";"NorthEast";"East";"West";"NorthWest"},0),1,2,3,4,5,6,7,8)</f>
        <v>3</v>
      </c>
      <c r="AD334" s="2">
        <f t="shared" si="64"/>
        <v>1</v>
      </c>
      <c r="AE334">
        <v>1016.5</v>
      </c>
      <c r="AF334" s="4" t="s">
        <v>626</v>
      </c>
      <c r="AG334" s="2">
        <f t="shared" si="65"/>
        <v>1</v>
      </c>
      <c r="AH334" t="s">
        <v>627</v>
      </c>
      <c r="AI334" s="2">
        <f t="shared" si="66"/>
        <v>1</v>
      </c>
      <c r="AJ334" s="2">
        <f t="shared" si="67"/>
        <v>0</v>
      </c>
      <c r="AK334" s="3">
        <v>50.999999998603023</v>
      </c>
      <c r="AL334" s="3">
        <f>AVERAGE(AK334:AK439)</f>
        <v>1145.2452830188329</v>
      </c>
      <c r="AM334" s="2">
        <v>0</v>
      </c>
      <c r="AN334">
        <v>0</v>
      </c>
      <c r="AO334">
        <v>0.1</v>
      </c>
      <c r="AP334">
        <v>0</v>
      </c>
      <c r="AQ334" s="2">
        <f>IF((2*G334 + M334 -P334 + 3*W334 + 2*Z334+2*AD334 + AG334+2*AJ334 + 4*AM334) &gt;=8,1,0)</f>
        <v>0</v>
      </c>
    </row>
    <row r="335" spans="1:43" x14ac:dyDescent="0.25">
      <c r="A335" t="s">
        <v>27</v>
      </c>
      <c r="B335" s="1">
        <v>38024</v>
      </c>
      <c r="C335" s="7">
        <f t="shared" si="59"/>
        <v>2004</v>
      </c>
      <c r="D335">
        <v>69</v>
      </c>
      <c r="E335">
        <v>44.7</v>
      </c>
      <c r="F335">
        <v>56.5</v>
      </c>
      <c r="G335" s="2">
        <f t="shared" si="68"/>
        <v>0</v>
      </c>
      <c r="H335">
        <v>69</v>
      </c>
      <c r="I335">
        <v>41.8</v>
      </c>
      <c r="J335">
        <v>56.3</v>
      </c>
      <c r="K335">
        <v>43.4</v>
      </c>
      <c r="L335">
        <v>64.599999999999994</v>
      </c>
      <c r="M335" s="2">
        <f t="shared" si="60"/>
        <v>0</v>
      </c>
      <c r="N335">
        <v>0</v>
      </c>
      <c r="P335" s="2">
        <f t="shared" si="61"/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2">
        <f t="shared" si="62"/>
        <v>0</v>
      </c>
      <c r="X335">
        <v>11.5</v>
      </c>
      <c r="Z335" s="2">
        <f t="shared" si="63"/>
        <v>0</v>
      </c>
      <c r="AA335">
        <v>257.60000000000002</v>
      </c>
      <c r="AB335" s="2" t="str">
        <f>CHOOSE(MATCH(AA335,{0;11;80;111;161;191;241;281;341},1),"North","NorthEast","East","SouthEast","South","SouthWest","West","NorthWest","North")</f>
        <v>West</v>
      </c>
      <c r="AC335" s="5">
        <f>CHOOSE(MATCH(AB335,{"South";"SouthEast";"SouthWest";"North";"NorthEast";"East";"West";"NorthWest"},0),1,2,3,4,5,6,7,8)</f>
        <v>7</v>
      </c>
      <c r="AD335" s="2">
        <f t="shared" si="64"/>
        <v>0</v>
      </c>
      <c r="AE335">
        <v>1021.8</v>
      </c>
      <c r="AF335" s="4" t="s">
        <v>55</v>
      </c>
      <c r="AG335" s="2">
        <f t="shared" si="65"/>
        <v>1</v>
      </c>
      <c r="AH335" t="s">
        <v>628</v>
      </c>
      <c r="AI335" s="2">
        <f t="shared" si="66"/>
        <v>2</v>
      </c>
      <c r="AJ335" s="2">
        <f t="shared" si="67"/>
        <v>0</v>
      </c>
      <c r="AK335" s="3">
        <v>65.000000002328306</v>
      </c>
      <c r="AM335" s="2">
        <v>0</v>
      </c>
      <c r="AN335">
        <v>0</v>
      </c>
      <c r="AO335">
        <v>0.1</v>
      </c>
      <c r="AP335">
        <v>0</v>
      </c>
      <c r="AQ335" s="2">
        <f>IF((2*G335 + M335 -P335 + 3*W335 + 2*Z335+2*AD335 + AG335+2*AJ335 + 4*AM335) &gt;=8,1,0)</f>
        <v>0</v>
      </c>
    </row>
    <row r="336" spans="1:43" x14ac:dyDescent="0.25">
      <c r="A336" t="s">
        <v>27</v>
      </c>
      <c r="B336" s="1">
        <v>38028</v>
      </c>
      <c r="C336" s="7">
        <f t="shared" si="59"/>
        <v>2004</v>
      </c>
      <c r="D336">
        <v>52.9</v>
      </c>
      <c r="E336">
        <v>42.9</v>
      </c>
      <c r="F336">
        <v>47.4</v>
      </c>
      <c r="G336" s="2">
        <f t="shared" si="68"/>
        <v>0</v>
      </c>
      <c r="H336">
        <v>52.9</v>
      </c>
      <c r="I336">
        <v>37.6</v>
      </c>
      <c r="J336">
        <v>44.7</v>
      </c>
      <c r="K336">
        <v>26.2</v>
      </c>
      <c r="L336">
        <v>44.6</v>
      </c>
      <c r="M336" s="2">
        <f t="shared" si="60"/>
        <v>1</v>
      </c>
      <c r="N336">
        <v>0</v>
      </c>
      <c r="P336" s="2">
        <f t="shared" si="61"/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2">
        <f t="shared" si="62"/>
        <v>0</v>
      </c>
      <c r="X336">
        <v>12.7</v>
      </c>
      <c r="Z336" s="2">
        <f t="shared" si="63"/>
        <v>0</v>
      </c>
      <c r="AA336">
        <v>321.5</v>
      </c>
      <c r="AB336" s="2" t="str">
        <f>CHOOSE(MATCH(AA336,{0;11;80;111;161;191;241;281;341},1),"North","NorthEast","East","SouthEast","South","SouthWest","West","NorthWest","North")</f>
        <v>NorthWest</v>
      </c>
      <c r="AC336" s="5">
        <f>CHOOSE(MATCH(AB336,{"South";"SouthEast";"SouthWest";"North";"NorthEast";"East";"West";"NorthWest"},0),1,2,3,4,5,6,7,8)</f>
        <v>8</v>
      </c>
      <c r="AD336" s="2">
        <f t="shared" si="64"/>
        <v>1</v>
      </c>
      <c r="AE336">
        <v>1020.8</v>
      </c>
      <c r="AF336" s="4" t="s">
        <v>123</v>
      </c>
      <c r="AG336" s="2">
        <f t="shared" si="65"/>
        <v>1</v>
      </c>
      <c r="AH336" t="s">
        <v>629</v>
      </c>
      <c r="AI336" s="2">
        <f t="shared" si="66"/>
        <v>2</v>
      </c>
      <c r="AJ336" s="2">
        <f t="shared" si="67"/>
        <v>0</v>
      </c>
      <c r="AK336" s="3">
        <v>524.99999999301508</v>
      </c>
      <c r="AM336" s="2">
        <v>1</v>
      </c>
      <c r="AN336">
        <v>5</v>
      </c>
      <c r="AO336">
        <v>0</v>
      </c>
      <c r="AP336">
        <v>0</v>
      </c>
      <c r="AQ336" s="2">
        <f>IF((2*G336 + M336 -P336 + 3*W336 + 2*Z336+2*AD336 + AG336+2*AJ336 + 4*AM336) &gt;=8,1,0)</f>
        <v>0</v>
      </c>
    </row>
    <row r="337" spans="1:43" x14ac:dyDescent="0.25">
      <c r="A337" t="s">
        <v>27</v>
      </c>
      <c r="B337" s="1">
        <v>38028</v>
      </c>
      <c r="C337" s="7">
        <f t="shared" si="59"/>
        <v>2004</v>
      </c>
      <c r="D337">
        <v>52.9</v>
      </c>
      <c r="E337">
        <v>42.9</v>
      </c>
      <c r="F337">
        <v>47.4</v>
      </c>
      <c r="G337" s="2">
        <f t="shared" si="68"/>
        <v>0</v>
      </c>
      <c r="H337">
        <v>52.9</v>
      </c>
      <c r="I337">
        <v>37.6</v>
      </c>
      <c r="J337">
        <v>44.7</v>
      </c>
      <c r="K337">
        <v>26.2</v>
      </c>
      <c r="L337">
        <v>44.6</v>
      </c>
      <c r="M337" s="2">
        <f t="shared" si="60"/>
        <v>1</v>
      </c>
      <c r="N337">
        <v>0</v>
      </c>
      <c r="P337" s="2">
        <f t="shared" si="61"/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2">
        <f t="shared" si="62"/>
        <v>0</v>
      </c>
      <c r="X337">
        <v>12.7</v>
      </c>
      <c r="Z337" s="2">
        <f t="shared" si="63"/>
        <v>0</v>
      </c>
      <c r="AA337">
        <v>321.5</v>
      </c>
      <c r="AB337" s="2" t="str">
        <f>CHOOSE(MATCH(AA337,{0;11;80;111;161;191;241;281;341},1),"North","NorthEast","East","SouthEast","South","SouthWest","West","NorthWest","North")</f>
        <v>NorthWest</v>
      </c>
      <c r="AC337" s="5">
        <f>CHOOSE(MATCH(AB337,{"South";"SouthEast";"SouthWest";"North";"NorthEast";"East";"West";"NorthWest"},0),1,2,3,4,5,6,7,8)</f>
        <v>8</v>
      </c>
      <c r="AD337" s="2">
        <f t="shared" si="64"/>
        <v>1</v>
      </c>
      <c r="AE337">
        <v>1020.8</v>
      </c>
      <c r="AF337" s="4" t="s">
        <v>630</v>
      </c>
      <c r="AG337" s="2">
        <f t="shared" si="65"/>
        <v>1</v>
      </c>
      <c r="AH337" t="s">
        <v>631</v>
      </c>
      <c r="AI337" s="2">
        <f t="shared" si="66"/>
        <v>2</v>
      </c>
      <c r="AJ337" s="2">
        <f t="shared" si="67"/>
        <v>0</v>
      </c>
      <c r="AK337" s="3">
        <v>214.99999999883579</v>
      </c>
      <c r="AM337" s="2">
        <v>0</v>
      </c>
      <c r="AN337">
        <v>0</v>
      </c>
      <c r="AO337">
        <v>0.1</v>
      </c>
      <c r="AP337">
        <v>0</v>
      </c>
      <c r="AQ337" s="2">
        <f>IF((2*G337 + M337 -P337 + 3*W337 + 2*Z337+2*AD337 + AG337+2*AJ337 + 4*AM337) &gt;=8,1,0)</f>
        <v>0</v>
      </c>
    </row>
    <row r="338" spans="1:43" x14ac:dyDescent="0.25">
      <c r="A338" t="s">
        <v>27</v>
      </c>
      <c r="B338" s="1">
        <v>38041</v>
      </c>
      <c r="C338" s="7">
        <f t="shared" si="59"/>
        <v>2004</v>
      </c>
      <c r="D338">
        <v>62.7</v>
      </c>
      <c r="E338">
        <v>46.5</v>
      </c>
      <c r="F338">
        <v>54.2</v>
      </c>
      <c r="G338" s="2">
        <f t="shared" si="68"/>
        <v>0</v>
      </c>
      <c r="H338">
        <v>62.7</v>
      </c>
      <c r="I338">
        <v>46.5</v>
      </c>
      <c r="J338">
        <v>54.2</v>
      </c>
      <c r="K338">
        <v>49</v>
      </c>
      <c r="L338">
        <v>83.2</v>
      </c>
      <c r="M338" s="2">
        <f t="shared" si="60"/>
        <v>0</v>
      </c>
      <c r="N338">
        <v>0</v>
      </c>
      <c r="P338" s="2">
        <f t="shared" si="61"/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2">
        <f t="shared" si="62"/>
        <v>0</v>
      </c>
      <c r="X338">
        <v>12.8</v>
      </c>
      <c r="Z338" s="2">
        <f t="shared" si="63"/>
        <v>0</v>
      </c>
      <c r="AA338">
        <v>199.7</v>
      </c>
      <c r="AB338" s="2" t="str">
        <f>CHOOSE(MATCH(AA338,{0;11;80;111;161;191;241;281;341},1),"North","NorthEast","East","SouthEast","South","SouthWest","West","NorthWest","North")</f>
        <v>SouthWest</v>
      </c>
      <c r="AC338" s="5">
        <f>CHOOSE(MATCH(AB338,{"South";"SouthEast";"SouthWest";"North";"NorthEast";"East";"West";"NorthWest"},0),1,2,3,4,5,6,7,8)</f>
        <v>3</v>
      </c>
      <c r="AD338" s="2">
        <f t="shared" si="64"/>
        <v>1</v>
      </c>
      <c r="AE338">
        <v>1013.8</v>
      </c>
      <c r="AF338" s="4" t="s">
        <v>236</v>
      </c>
      <c r="AG338" s="2">
        <f t="shared" si="65"/>
        <v>1</v>
      </c>
      <c r="AH338" t="s">
        <v>632</v>
      </c>
      <c r="AI338" s="2">
        <f t="shared" si="66"/>
        <v>2</v>
      </c>
      <c r="AJ338" s="2">
        <f t="shared" si="67"/>
        <v>0</v>
      </c>
      <c r="AK338" s="3">
        <v>65.000000002328306</v>
      </c>
      <c r="AM338" s="2">
        <v>0</v>
      </c>
      <c r="AN338">
        <v>0</v>
      </c>
      <c r="AO338">
        <v>0.1</v>
      </c>
      <c r="AP338">
        <v>0</v>
      </c>
      <c r="AQ338" s="2">
        <f>IF((2*G338 + M338 -P338 + 3*W338 + 2*Z338+2*AD338 + AG338+2*AJ338 + 4*AM338) &gt;=8,1,0)</f>
        <v>0</v>
      </c>
    </row>
    <row r="339" spans="1:43" x14ac:dyDescent="0.25">
      <c r="A339" t="s">
        <v>27</v>
      </c>
      <c r="B339" s="1">
        <v>38046</v>
      </c>
      <c r="C339" s="7">
        <f t="shared" si="59"/>
        <v>2004</v>
      </c>
      <c r="D339">
        <v>66.3</v>
      </c>
      <c r="E339">
        <v>51.8</v>
      </c>
      <c r="F339">
        <v>58.7</v>
      </c>
      <c r="G339" s="2">
        <f t="shared" si="68"/>
        <v>0</v>
      </c>
      <c r="H339">
        <v>66.3</v>
      </c>
      <c r="I339">
        <v>51.8</v>
      </c>
      <c r="J339">
        <v>58.7</v>
      </c>
      <c r="K339">
        <v>38.200000000000003</v>
      </c>
      <c r="L339">
        <v>48</v>
      </c>
      <c r="M339" s="2">
        <f t="shared" si="60"/>
        <v>1</v>
      </c>
      <c r="N339">
        <v>0</v>
      </c>
      <c r="P339" s="2">
        <f t="shared" si="61"/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2">
        <f t="shared" si="62"/>
        <v>0</v>
      </c>
      <c r="X339">
        <v>13</v>
      </c>
      <c r="Z339" s="2">
        <f t="shared" si="63"/>
        <v>0</v>
      </c>
      <c r="AA339">
        <v>253.8</v>
      </c>
      <c r="AB339" s="2" t="str">
        <f>CHOOSE(MATCH(AA339,{0;11;80;111;161;191;241;281;341},1),"North","NorthEast","East","SouthEast","South","SouthWest","West","NorthWest","North")</f>
        <v>West</v>
      </c>
      <c r="AC339" s="5">
        <f>CHOOSE(MATCH(AB339,{"South";"SouthEast";"SouthWest";"North";"NorthEast";"East";"West";"NorthWest"},0),1,2,3,4,5,6,7,8)</f>
        <v>7</v>
      </c>
      <c r="AD339" s="2">
        <f t="shared" si="64"/>
        <v>0</v>
      </c>
      <c r="AE339">
        <v>1012</v>
      </c>
      <c r="AF339" s="4" t="s">
        <v>92</v>
      </c>
      <c r="AG339" s="2">
        <f t="shared" si="65"/>
        <v>1</v>
      </c>
      <c r="AH339" t="s">
        <v>633</v>
      </c>
      <c r="AI339" s="2">
        <f t="shared" si="66"/>
        <v>2</v>
      </c>
      <c r="AJ339" s="2">
        <f t="shared" si="67"/>
        <v>0</v>
      </c>
      <c r="AK339" s="3">
        <v>180</v>
      </c>
      <c r="AM339" s="2">
        <v>0</v>
      </c>
      <c r="AN339">
        <v>0</v>
      </c>
      <c r="AO339">
        <v>2.5</v>
      </c>
      <c r="AP339">
        <v>0</v>
      </c>
      <c r="AQ339" s="2">
        <f>IF((2*G339 + M339 -P339 + 3*W339 + 2*Z339+2*AD339 + AG339+2*AJ339 + 4*AM339) &gt;=8,1,0)</f>
        <v>0</v>
      </c>
    </row>
    <row r="340" spans="1:43" x14ac:dyDescent="0.25">
      <c r="A340" t="s">
        <v>27</v>
      </c>
      <c r="B340" s="1">
        <v>38072</v>
      </c>
      <c r="C340" s="7">
        <f t="shared" si="59"/>
        <v>2004</v>
      </c>
      <c r="D340">
        <v>62.7</v>
      </c>
      <c r="E340">
        <v>50.1</v>
      </c>
      <c r="F340">
        <v>58.1</v>
      </c>
      <c r="G340" s="2">
        <f t="shared" si="68"/>
        <v>0</v>
      </c>
      <c r="H340">
        <v>62.7</v>
      </c>
      <c r="I340">
        <v>50.1</v>
      </c>
      <c r="J340">
        <v>58.1</v>
      </c>
      <c r="K340">
        <v>46.4</v>
      </c>
      <c r="L340">
        <v>65.5</v>
      </c>
      <c r="M340" s="2">
        <f t="shared" si="60"/>
        <v>0</v>
      </c>
      <c r="N340">
        <v>0</v>
      </c>
      <c r="P340" s="2">
        <f t="shared" si="61"/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2">
        <f t="shared" si="62"/>
        <v>0</v>
      </c>
      <c r="X340">
        <v>14.8</v>
      </c>
      <c r="Z340" s="2">
        <f t="shared" si="63"/>
        <v>0</v>
      </c>
      <c r="AA340">
        <v>166.1</v>
      </c>
      <c r="AB340" s="2" t="str">
        <f>CHOOSE(MATCH(AA340,{0;11;80;111;161;191;241;281;341},1),"North","NorthEast","East","SouthEast","South","SouthWest","West","NorthWest","North")</f>
        <v>South</v>
      </c>
      <c r="AC340" s="5">
        <f>CHOOSE(MATCH(AB340,{"South";"SouthEast";"SouthWest";"North";"NorthEast";"East";"West";"NorthWest"},0),1,2,3,4,5,6,7,8)</f>
        <v>1</v>
      </c>
      <c r="AD340" s="2">
        <f t="shared" si="64"/>
        <v>0</v>
      </c>
      <c r="AE340">
        <v>1012.3</v>
      </c>
      <c r="AF340" s="4" t="s">
        <v>634</v>
      </c>
      <c r="AG340" s="2">
        <f t="shared" si="65"/>
        <v>0</v>
      </c>
      <c r="AH340" t="s">
        <v>635</v>
      </c>
      <c r="AI340" s="2">
        <f t="shared" si="66"/>
        <v>3</v>
      </c>
      <c r="AJ340" s="2">
        <f t="shared" si="67"/>
        <v>0</v>
      </c>
      <c r="AK340" s="3">
        <v>139.99999999534339</v>
      </c>
      <c r="AM340" s="2">
        <v>0</v>
      </c>
      <c r="AN340">
        <v>0</v>
      </c>
      <c r="AO340">
        <v>0.5</v>
      </c>
      <c r="AP340">
        <v>0</v>
      </c>
      <c r="AQ340" s="2">
        <f>IF((2*G340 + M340 -P340 + 3*W340 + 2*Z340+2*AD340 + AG340+2*AJ340 + 4*AM340) &gt;=8,1,0)</f>
        <v>0</v>
      </c>
    </row>
    <row r="341" spans="1:43" x14ac:dyDescent="0.25">
      <c r="A341" t="s">
        <v>27</v>
      </c>
      <c r="B341" s="1">
        <v>38086</v>
      </c>
      <c r="C341" s="7">
        <f t="shared" si="59"/>
        <v>2004</v>
      </c>
      <c r="D341">
        <v>71.7</v>
      </c>
      <c r="E341">
        <v>50.9</v>
      </c>
      <c r="F341">
        <v>62.6</v>
      </c>
      <c r="G341" s="2">
        <f t="shared" si="68"/>
        <v>0</v>
      </c>
      <c r="H341">
        <v>71.7</v>
      </c>
      <c r="I341">
        <v>50.9</v>
      </c>
      <c r="J341">
        <v>62.6</v>
      </c>
      <c r="K341">
        <v>45.9</v>
      </c>
      <c r="L341">
        <v>57.1</v>
      </c>
      <c r="M341" s="2">
        <f t="shared" si="60"/>
        <v>0</v>
      </c>
      <c r="N341">
        <v>0</v>
      </c>
      <c r="P341" s="2">
        <f t="shared" si="61"/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2">
        <f t="shared" si="62"/>
        <v>0</v>
      </c>
      <c r="X341">
        <v>16.7</v>
      </c>
      <c r="Z341" s="2">
        <f t="shared" si="63"/>
        <v>1</v>
      </c>
      <c r="AA341">
        <v>187.5</v>
      </c>
      <c r="AB341" s="2" t="str">
        <f>CHOOSE(MATCH(AA341,{0;11;80;111;161;191;241;281;341},1),"North","NorthEast","East","SouthEast","South","SouthWest","West","NorthWest","North")</f>
        <v>South</v>
      </c>
      <c r="AC341" s="5">
        <f>CHOOSE(MATCH(AB341,{"South";"SouthEast";"SouthWest";"North";"NorthEast";"East";"West";"NorthWest"},0),1,2,3,4,5,6,7,8)</f>
        <v>1</v>
      </c>
      <c r="AD341" s="2">
        <f t="shared" si="64"/>
        <v>0</v>
      </c>
      <c r="AE341">
        <v>1016.8</v>
      </c>
      <c r="AF341" s="4" t="s">
        <v>636</v>
      </c>
      <c r="AG341" s="2">
        <f t="shared" si="65"/>
        <v>1</v>
      </c>
      <c r="AH341" t="s">
        <v>637</v>
      </c>
      <c r="AI341" s="2">
        <f t="shared" si="66"/>
        <v>4</v>
      </c>
      <c r="AJ341" s="2">
        <f t="shared" si="67"/>
        <v>0</v>
      </c>
      <c r="AK341" s="3">
        <v>178.9999999967404</v>
      </c>
      <c r="AM341" s="2">
        <v>0</v>
      </c>
      <c r="AN341">
        <v>0</v>
      </c>
      <c r="AO341">
        <v>3</v>
      </c>
      <c r="AP341">
        <v>0</v>
      </c>
      <c r="AQ341" s="2">
        <f>IF((2*G341 + M341 -P341 + 3*W341 + 2*Z341+2*AD341 + AG341+2*AJ341 + 4*AM341) &gt;=8,1,0)</f>
        <v>0</v>
      </c>
    </row>
    <row r="342" spans="1:43" x14ac:dyDescent="0.25">
      <c r="A342" t="s">
        <v>27</v>
      </c>
      <c r="B342" s="1">
        <v>38087</v>
      </c>
      <c r="C342" s="7">
        <f t="shared" si="59"/>
        <v>2004</v>
      </c>
      <c r="D342">
        <v>75.900000000000006</v>
      </c>
      <c r="E342">
        <v>55.9</v>
      </c>
      <c r="F342">
        <v>65.2</v>
      </c>
      <c r="G342" s="2">
        <f t="shared" si="68"/>
        <v>0</v>
      </c>
      <c r="H342">
        <v>75.900000000000006</v>
      </c>
      <c r="I342">
        <v>55.9</v>
      </c>
      <c r="J342">
        <v>65.2</v>
      </c>
      <c r="K342">
        <v>45.8</v>
      </c>
      <c r="L342">
        <v>51.5</v>
      </c>
      <c r="M342" s="2">
        <f t="shared" si="60"/>
        <v>0</v>
      </c>
      <c r="N342">
        <v>0</v>
      </c>
      <c r="P342" s="2">
        <f t="shared" si="61"/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2">
        <f t="shared" si="62"/>
        <v>0</v>
      </c>
      <c r="X342">
        <v>13.4</v>
      </c>
      <c r="Z342" s="2">
        <f t="shared" si="63"/>
        <v>0</v>
      </c>
      <c r="AA342">
        <v>178.6</v>
      </c>
      <c r="AB342" s="2" t="str">
        <f>CHOOSE(MATCH(AA342,{0;11;80;111;161;191;241;281;341},1),"North","NorthEast","East","SouthEast","South","SouthWest","West","NorthWest","North")</f>
        <v>South</v>
      </c>
      <c r="AC342" s="5">
        <f>CHOOSE(MATCH(AB342,{"South";"SouthEast";"SouthWest";"North";"NorthEast";"East";"West";"NorthWest"},0),1,2,3,4,5,6,7,8)</f>
        <v>1</v>
      </c>
      <c r="AD342" s="2">
        <f t="shared" si="64"/>
        <v>0</v>
      </c>
      <c r="AE342">
        <v>1015.8</v>
      </c>
      <c r="AF342" s="4" t="s">
        <v>638</v>
      </c>
      <c r="AG342" s="2">
        <f t="shared" si="65"/>
        <v>1</v>
      </c>
      <c r="AH342" t="s">
        <v>639</v>
      </c>
      <c r="AI342" s="2">
        <f t="shared" si="66"/>
        <v>4</v>
      </c>
      <c r="AJ342" s="2">
        <f t="shared" si="67"/>
        <v>0</v>
      </c>
      <c r="AK342" s="3">
        <v>140.99999999860299</v>
      </c>
      <c r="AM342" s="2">
        <v>0</v>
      </c>
      <c r="AN342">
        <v>1</v>
      </c>
      <c r="AO342">
        <v>0</v>
      </c>
      <c r="AP342">
        <v>0</v>
      </c>
      <c r="AQ342" s="2">
        <f>IF((2*G342 + M342 -P342 + 3*W342 + 2*Z342+2*AD342 + AG342+2*AJ342 + 4*AM342) &gt;=8,1,0)</f>
        <v>0</v>
      </c>
    </row>
    <row r="343" spans="1:43" x14ac:dyDescent="0.25">
      <c r="A343" t="s">
        <v>27</v>
      </c>
      <c r="B343" s="1">
        <v>38088</v>
      </c>
      <c r="C343" s="7">
        <f t="shared" si="59"/>
        <v>2004</v>
      </c>
      <c r="D343">
        <v>75.3</v>
      </c>
      <c r="E343">
        <v>55.2</v>
      </c>
      <c r="F343">
        <v>65.400000000000006</v>
      </c>
      <c r="G343" s="2">
        <f t="shared" si="68"/>
        <v>0</v>
      </c>
      <c r="H343">
        <v>75.3</v>
      </c>
      <c r="I343">
        <v>55.2</v>
      </c>
      <c r="J343">
        <v>65.400000000000006</v>
      </c>
      <c r="K343">
        <v>43.1</v>
      </c>
      <c r="L343">
        <v>45.7</v>
      </c>
      <c r="M343" s="2">
        <f t="shared" si="60"/>
        <v>1</v>
      </c>
      <c r="N343">
        <v>0</v>
      </c>
      <c r="P343" s="2">
        <f t="shared" si="61"/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2">
        <f t="shared" si="62"/>
        <v>0</v>
      </c>
      <c r="X343">
        <v>14.2</v>
      </c>
      <c r="Z343" s="2">
        <f t="shared" si="63"/>
        <v>0</v>
      </c>
      <c r="AA343">
        <v>181.3</v>
      </c>
      <c r="AB343" s="2" t="str">
        <f>CHOOSE(MATCH(AA343,{0;11;80;111;161;191;241;281;341},1),"North","NorthEast","East","SouthEast","South","SouthWest","West","NorthWest","North")</f>
        <v>South</v>
      </c>
      <c r="AC343" s="5">
        <f>CHOOSE(MATCH(AB343,{"South";"SouthEast";"SouthWest";"North";"NorthEast";"East";"West";"NorthWest"},0),1,2,3,4,5,6,7,8)</f>
        <v>1</v>
      </c>
      <c r="AD343" s="2">
        <f t="shared" si="64"/>
        <v>0</v>
      </c>
      <c r="AE343">
        <v>1016.1</v>
      </c>
      <c r="AF343" s="4" t="s">
        <v>640</v>
      </c>
      <c r="AG343" s="2">
        <f t="shared" si="65"/>
        <v>0</v>
      </c>
      <c r="AH343" t="s">
        <v>641</v>
      </c>
      <c r="AI343" s="2">
        <f t="shared" si="66"/>
        <v>4</v>
      </c>
      <c r="AJ343" s="2">
        <f t="shared" si="67"/>
        <v>0</v>
      </c>
      <c r="AK343" s="3">
        <v>175.99999999743889</v>
      </c>
      <c r="AM343" s="2">
        <v>0</v>
      </c>
      <c r="AN343">
        <v>1</v>
      </c>
      <c r="AO343">
        <v>0</v>
      </c>
      <c r="AP343">
        <v>0</v>
      </c>
      <c r="AQ343" s="2">
        <f>IF((2*G343 + M343 -P343 + 3*W343 + 2*Z343+2*AD343 + AG343+2*AJ343 + 4*AM343) &gt;=8,1,0)</f>
        <v>0</v>
      </c>
    </row>
    <row r="344" spans="1:43" x14ac:dyDescent="0.25">
      <c r="A344" t="s">
        <v>27</v>
      </c>
      <c r="B344" s="1">
        <v>38088</v>
      </c>
      <c r="C344" s="7">
        <f t="shared" si="59"/>
        <v>2004</v>
      </c>
      <c r="D344">
        <v>75.3</v>
      </c>
      <c r="E344">
        <v>55.2</v>
      </c>
      <c r="F344">
        <v>65.400000000000006</v>
      </c>
      <c r="G344" s="2">
        <f t="shared" si="68"/>
        <v>0</v>
      </c>
      <c r="H344">
        <v>75.3</v>
      </c>
      <c r="I344">
        <v>55.2</v>
      </c>
      <c r="J344">
        <v>65.400000000000006</v>
      </c>
      <c r="K344">
        <v>43.1</v>
      </c>
      <c r="L344">
        <v>45.7</v>
      </c>
      <c r="M344" s="2">
        <f t="shared" si="60"/>
        <v>1</v>
      </c>
      <c r="N344">
        <v>0</v>
      </c>
      <c r="P344" s="2">
        <f t="shared" si="61"/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s="2">
        <f t="shared" si="62"/>
        <v>0</v>
      </c>
      <c r="X344">
        <v>14.2</v>
      </c>
      <c r="Z344" s="2">
        <f t="shared" si="63"/>
        <v>0</v>
      </c>
      <c r="AA344">
        <v>181.3</v>
      </c>
      <c r="AB344" s="2" t="str">
        <f>CHOOSE(MATCH(AA344,{0;11;80;111;161;191;241;281;341},1),"North","NorthEast","East","SouthEast","South","SouthWest","West","NorthWest","North")</f>
        <v>South</v>
      </c>
      <c r="AC344" s="5">
        <f>CHOOSE(MATCH(AB344,{"South";"SouthEast";"SouthWest";"North";"NorthEast";"East";"West";"NorthWest"},0),1,2,3,4,5,6,7,8)</f>
        <v>1</v>
      </c>
      <c r="AD344" s="2">
        <f t="shared" si="64"/>
        <v>0</v>
      </c>
      <c r="AE344">
        <v>1016.1</v>
      </c>
      <c r="AF344" s="4" t="s">
        <v>580</v>
      </c>
      <c r="AG344" s="2">
        <f t="shared" si="65"/>
        <v>1</v>
      </c>
      <c r="AH344" t="s">
        <v>642</v>
      </c>
      <c r="AI344" s="2">
        <f t="shared" si="66"/>
        <v>4</v>
      </c>
      <c r="AJ344" s="2">
        <f t="shared" si="67"/>
        <v>0</v>
      </c>
      <c r="AK344" s="3">
        <v>140.99999999860299</v>
      </c>
      <c r="AM344" s="2">
        <v>0</v>
      </c>
      <c r="AN344">
        <v>0</v>
      </c>
      <c r="AO344">
        <v>1.5</v>
      </c>
      <c r="AP344">
        <v>0</v>
      </c>
      <c r="AQ344" s="2">
        <f>IF((2*G344 + M344 -P344 + 3*W344 + 2*Z344+2*AD344 + AG344+2*AJ344 + 4*AM344) &gt;=8,1,0)</f>
        <v>0</v>
      </c>
    </row>
    <row r="345" spans="1:43" x14ac:dyDescent="0.25">
      <c r="A345" t="s">
        <v>27</v>
      </c>
      <c r="B345" s="1">
        <v>38088</v>
      </c>
      <c r="C345" s="7">
        <f t="shared" si="59"/>
        <v>2004</v>
      </c>
      <c r="D345">
        <v>75.3</v>
      </c>
      <c r="E345">
        <v>55.2</v>
      </c>
      <c r="F345">
        <v>65.400000000000006</v>
      </c>
      <c r="G345" s="2">
        <f t="shared" si="68"/>
        <v>0</v>
      </c>
      <c r="H345">
        <v>75.3</v>
      </c>
      <c r="I345">
        <v>55.2</v>
      </c>
      <c r="J345">
        <v>65.400000000000006</v>
      </c>
      <c r="K345">
        <v>43.1</v>
      </c>
      <c r="L345">
        <v>45.7</v>
      </c>
      <c r="M345" s="2">
        <f t="shared" si="60"/>
        <v>1</v>
      </c>
      <c r="N345">
        <v>0</v>
      </c>
      <c r="P345" s="2">
        <f t="shared" si="61"/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2">
        <f t="shared" si="62"/>
        <v>0</v>
      </c>
      <c r="X345">
        <v>14.2</v>
      </c>
      <c r="Z345" s="2">
        <f t="shared" si="63"/>
        <v>0</v>
      </c>
      <c r="AA345">
        <v>181.3</v>
      </c>
      <c r="AB345" s="2" t="str">
        <f>CHOOSE(MATCH(AA345,{0;11;80;111;161;191;241;281;341},1),"North","NorthEast","East","SouthEast","South","SouthWest","West","NorthWest","North")</f>
        <v>South</v>
      </c>
      <c r="AC345" s="5">
        <f>CHOOSE(MATCH(AB345,{"South";"SouthEast";"SouthWest";"North";"NorthEast";"East";"West";"NorthWest"},0),1,2,3,4,5,6,7,8)</f>
        <v>1</v>
      </c>
      <c r="AD345" s="2">
        <f t="shared" si="64"/>
        <v>0</v>
      </c>
      <c r="AE345">
        <v>1016.1</v>
      </c>
      <c r="AF345" s="4" t="s">
        <v>643</v>
      </c>
      <c r="AG345" s="2">
        <f t="shared" si="65"/>
        <v>1</v>
      </c>
      <c r="AH345" t="s">
        <v>644</v>
      </c>
      <c r="AI345" s="2">
        <f t="shared" si="66"/>
        <v>4</v>
      </c>
      <c r="AJ345" s="2">
        <f t="shared" si="67"/>
        <v>0</v>
      </c>
      <c r="AK345" s="3">
        <v>206.00000000093129</v>
      </c>
      <c r="AM345" s="2">
        <v>0</v>
      </c>
      <c r="AN345">
        <v>0</v>
      </c>
      <c r="AO345">
        <v>10</v>
      </c>
      <c r="AP345">
        <v>0</v>
      </c>
      <c r="AQ345" s="2">
        <f>IF((2*G345 + M345 -P345 + 3*W345 + 2*Z345+2*AD345 + AG345+2*AJ345 + 4*AM345) &gt;=8,1,0)</f>
        <v>0</v>
      </c>
    </row>
    <row r="346" spans="1:43" x14ac:dyDescent="0.25">
      <c r="A346" t="s">
        <v>27</v>
      </c>
      <c r="B346" s="1">
        <v>38120</v>
      </c>
      <c r="C346" s="7">
        <f t="shared" si="59"/>
        <v>2004</v>
      </c>
      <c r="D346">
        <v>78.3</v>
      </c>
      <c r="E346">
        <v>55.4</v>
      </c>
      <c r="F346">
        <v>68.099999999999994</v>
      </c>
      <c r="G346" s="2">
        <f t="shared" si="68"/>
        <v>0</v>
      </c>
      <c r="H346">
        <v>78.3</v>
      </c>
      <c r="I346">
        <v>55.4</v>
      </c>
      <c r="J346">
        <v>68.099999999999994</v>
      </c>
      <c r="K346">
        <v>47.2</v>
      </c>
      <c r="L346">
        <v>48.8</v>
      </c>
      <c r="M346" s="2">
        <f t="shared" si="60"/>
        <v>1</v>
      </c>
      <c r="N346">
        <v>0</v>
      </c>
      <c r="P346" s="2">
        <f t="shared" si="61"/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2">
        <f t="shared" si="62"/>
        <v>0</v>
      </c>
      <c r="X346">
        <v>23</v>
      </c>
      <c r="Z346" s="2">
        <f t="shared" si="63"/>
        <v>1</v>
      </c>
      <c r="AA346">
        <v>214.9</v>
      </c>
      <c r="AB346" s="2" t="str">
        <f>CHOOSE(MATCH(AA346,{0;11;80;111;161;191;241;281;341},1),"North","NorthEast","East","SouthEast","South","SouthWest","West","NorthWest","North")</f>
        <v>SouthWest</v>
      </c>
      <c r="AC346" s="5">
        <f>CHOOSE(MATCH(AB346,{"South";"SouthEast";"SouthWest";"North";"NorthEast";"East";"West";"NorthWest"},0),1,2,3,4,5,6,7,8)</f>
        <v>3</v>
      </c>
      <c r="AD346" s="2">
        <f t="shared" si="64"/>
        <v>1</v>
      </c>
      <c r="AE346">
        <v>1004.8</v>
      </c>
      <c r="AF346" s="4" t="s">
        <v>645</v>
      </c>
      <c r="AG346" s="2">
        <f t="shared" si="65"/>
        <v>1</v>
      </c>
      <c r="AH346" t="s">
        <v>646</v>
      </c>
      <c r="AI346" s="2">
        <f t="shared" si="66"/>
        <v>5</v>
      </c>
      <c r="AJ346" s="2">
        <f t="shared" si="67"/>
        <v>0</v>
      </c>
      <c r="AK346" s="3">
        <v>35.999999991618097</v>
      </c>
      <c r="AM346" s="2">
        <v>0</v>
      </c>
      <c r="AN346">
        <v>0</v>
      </c>
      <c r="AO346">
        <v>0.1</v>
      </c>
      <c r="AP346">
        <v>0</v>
      </c>
      <c r="AQ346" s="2">
        <f>IF((2*G346 + M346 -P346 + 3*W346 + 2*Z346+2*AD346 + AG346+2*AJ346 + 4*AM346) &gt;=8,1,0)</f>
        <v>0</v>
      </c>
    </row>
    <row r="347" spans="1:43" x14ac:dyDescent="0.25">
      <c r="A347" t="s">
        <v>27</v>
      </c>
      <c r="B347" s="1">
        <v>38125</v>
      </c>
      <c r="C347" s="7">
        <f t="shared" si="59"/>
        <v>2004</v>
      </c>
      <c r="D347">
        <v>64.5</v>
      </c>
      <c r="E347">
        <v>54.5</v>
      </c>
      <c r="F347">
        <v>59.5</v>
      </c>
      <c r="G347" s="2">
        <f t="shared" si="68"/>
        <v>0</v>
      </c>
      <c r="H347">
        <v>64.5</v>
      </c>
      <c r="I347">
        <v>54.5</v>
      </c>
      <c r="J347">
        <v>59.5</v>
      </c>
      <c r="K347">
        <v>48.1</v>
      </c>
      <c r="L347">
        <v>66.7</v>
      </c>
      <c r="M347" s="2">
        <f t="shared" si="60"/>
        <v>0</v>
      </c>
      <c r="N347">
        <v>8.9999999999999993E-3</v>
      </c>
      <c r="P347" s="2">
        <f t="shared" si="61"/>
        <v>1</v>
      </c>
      <c r="Q347">
        <v>100</v>
      </c>
      <c r="R347">
        <v>4.17</v>
      </c>
      <c r="S347" t="s">
        <v>87</v>
      </c>
      <c r="T347">
        <v>0</v>
      </c>
      <c r="U347">
        <v>0</v>
      </c>
      <c r="V347">
        <v>0</v>
      </c>
      <c r="W347" s="2">
        <f t="shared" si="62"/>
        <v>0</v>
      </c>
      <c r="X347">
        <v>17.2</v>
      </c>
      <c r="Z347" s="2">
        <f t="shared" si="63"/>
        <v>1</v>
      </c>
      <c r="AA347">
        <v>345.8</v>
      </c>
      <c r="AB347" s="2" t="str">
        <f>CHOOSE(MATCH(AA347,{0;11;80;111;161;191;241;281;341},1),"North","NorthEast","East","SouthEast","South","SouthWest","West","NorthWest","North")</f>
        <v>North</v>
      </c>
      <c r="AC347" s="5">
        <f>CHOOSE(MATCH(AB347,{"South";"SouthEast";"SouthWest";"North";"NorthEast";"East";"West";"NorthWest"},0),1,2,3,4,5,6,7,8)</f>
        <v>4</v>
      </c>
      <c r="AD347" s="2">
        <f t="shared" si="64"/>
        <v>1</v>
      </c>
      <c r="AE347">
        <v>1016.4</v>
      </c>
      <c r="AF347" s="4" t="s">
        <v>601</v>
      </c>
      <c r="AG347" s="2">
        <f t="shared" si="65"/>
        <v>1</v>
      </c>
      <c r="AH347" t="s">
        <v>647</v>
      </c>
      <c r="AI347" s="2">
        <f t="shared" si="66"/>
        <v>5</v>
      </c>
      <c r="AJ347" s="2">
        <f t="shared" si="67"/>
        <v>0</v>
      </c>
      <c r="AK347" s="3">
        <v>145.00000000116421</v>
      </c>
      <c r="AM347" s="2">
        <v>0</v>
      </c>
      <c r="AN347">
        <v>0</v>
      </c>
      <c r="AO347">
        <v>1.5</v>
      </c>
      <c r="AP347">
        <v>0</v>
      </c>
      <c r="AQ347" s="2">
        <f>IF((2*G347 + M347 -P347 + 3*W347 + 2*Z347+2*AD347 + AG347+2*AJ347 + 4*AM347) &gt;=8,1,0)</f>
        <v>0</v>
      </c>
    </row>
    <row r="348" spans="1:43" x14ac:dyDescent="0.25">
      <c r="A348" t="s">
        <v>27</v>
      </c>
      <c r="B348" s="1">
        <v>38126</v>
      </c>
      <c r="C348" s="7">
        <f t="shared" si="59"/>
        <v>2004</v>
      </c>
      <c r="D348">
        <v>71.900000000000006</v>
      </c>
      <c r="E348">
        <v>56.1</v>
      </c>
      <c r="F348">
        <v>63.2</v>
      </c>
      <c r="G348" s="2">
        <f t="shared" si="68"/>
        <v>0</v>
      </c>
      <c r="H348">
        <v>71.900000000000006</v>
      </c>
      <c r="I348">
        <v>56.1</v>
      </c>
      <c r="J348">
        <v>63.2</v>
      </c>
      <c r="K348">
        <v>46.8</v>
      </c>
      <c r="L348">
        <v>56.3</v>
      </c>
      <c r="M348" s="2">
        <f t="shared" si="60"/>
        <v>0</v>
      </c>
      <c r="N348">
        <v>0</v>
      </c>
      <c r="P348" s="2">
        <f t="shared" si="61"/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2">
        <f t="shared" si="62"/>
        <v>0</v>
      </c>
      <c r="X348">
        <v>14.1</v>
      </c>
      <c r="Z348" s="2">
        <f t="shared" si="63"/>
        <v>0</v>
      </c>
      <c r="AA348">
        <v>357.5</v>
      </c>
      <c r="AB348" s="2" t="str">
        <f>CHOOSE(MATCH(AA348,{0;11;80;111;161;191;241;281;341},1),"North","NorthEast","East","SouthEast","South","SouthWest","West","NorthWest","North")</f>
        <v>North</v>
      </c>
      <c r="AC348" s="5">
        <f>CHOOSE(MATCH(AB348,{"South";"SouthEast";"SouthWest";"North";"NorthEast";"East";"West";"NorthWest"},0),1,2,3,4,5,6,7,8)</f>
        <v>4</v>
      </c>
      <c r="AD348" s="2">
        <f t="shared" si="64"/>
        <v>1</v>
      </c>
      <c r="AE348">
        <v>1020.4</v>
      </c>
      <c r="AF348" s="4" t="s">
        <v>648</v>
      </c>
      <c r="AG348" s="2">
        <f t="shared" si="65"/>
        <v>0</v>
      </c>
      <c r="AH348" t="s">
        <v>649</v>
      </c>
      <c r="AI348" s="2">
        <f t="shared" si="66"/>
        <v>5</v>
      </c>
      <c r="AJ348" s="2">
        <f t="shared" si="67"/>
        <v>0</v>
      </c>
      <c r="AK348" s="3">
        <v>53.999999997904517</v>
      </c>
      <c r="AM348" s="2">
        <v>0</v>
      </c>
      <c r="AN348">
        <v>0</v>
      </c>
      <c r="AO348">
        <v>2</v>
      </c>
      <c r="AP348">
        <v>0</v>
      </c>
      <c r="AQ348" s="2">
        <f>IF((2*G348 + M348 -P348 + 3*W348 + 2*Z348+2*AD348 + AG348+2*AJ348 + 4*AM348) &gt;=8,1,0)</f>
        <v>0</v>
      </c>
    </row>
    <row r="349" spans="1:43" x14ac:dyDescent="0.25">
      <c r="A349" t="s">
        <v>27</v>
      </c>
      <c r="B349" s="1">
        <v>38128</v>
      </c>
      <c r="C349" s="7">
        <f t="shared" si="59"/>
        <v>2004</v>
      </c>
      <c r="D349">
        <v>77.2</v>
      </c>
      <c r="E349">
        <v>54.5</v>
      </c>
      <c r="F349">
        <v>66.8</v>
      </c>
      <c r="G349" s="2">
        <f t="shared" si="68"/>
        <v>0</v>
      </c>
      <c r="H349">
        <v>77.2</v>
      </c>
      <c r="I349">
        <v>54.5</v>
      </c>
      <c r="J349">
        <v>66.8</v>
      </c>
      <c r="K349">
        <v>50.1</v>
      </c>
      <c r="L349">
        <v>57.6</v>
      </c>
      <c r="M349" s="2">
        <f t="shared" si="60"/>
        <v>0</v>
      </c>
      <c r="N349">
        <v>0</v>
      </c>
      <c r="P349" s="2">
        <f t="shared" si="61"/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2">
        <f t="shared" si="62"/>
        <v>0</v>
      </c>
      <c r="X349">
        <v>10.9</v>
      </c>
      <c r="Z349" s="2">
        <f t="shared" si="63"/>
        <v>0</v>
      </c>
      <c r="AA349">
        <v>171.4</v>
      </c>
      <c r="AB349" s="2" t="str">
        <f>CHOOSE(MATCH(AA349,{0;11;80;111;161;191;241;281;341},1),"North","NorthEast","East","SouthEast","South","SouthWest","West","NorthWest","North")</f>
        <v>South</v>
      </c>
      <c r="AC349" s="5">
        <f>CHOOSE(MATCH(AB349,{"South";"SouthEast";"SouthWest";"North";"NorthEast";"East";"West";"NorthWest"},0),1,2,3,4,5,6,7,8)</f>
        <v>1</v>
      </c>
      <c r="AD349" s="2">
        <f t="shared" si="64"/>
        <v>0</v>
      </c>
      <c r="AE349">
        <v>1017.3</v>
      </c>
      <c r="AF349" s="4" t="s">
        <v>650</v>
      </c>
      <c r="AG349" s="2">
        <f t="shared" si="65"/>
        <v>1</v>
      </c>
      <c r="AH349" t="s">
        <v>651</v>
      </c>
      <c r="AI349" s="2">
        <f t="shared" si="66"/>
        <v>5</v>
      </c>
      <c r="AJ349" s="2">
        <f t="shared" si="67"/>
        <v>0</v>
      </c>
      <c r="AK349" s="3">
        <v>148.99999999324791</v>
      </c>
      <c r="AM349" s="2">
        <v>0</v>
      </c>
      <c r="AN349">
        <v>0</v>
      </c>
      <c r="AO349">
        <v>0.5</v>
      </c>
      <c r="AP349">
        <v>0</v>
      </c>
      <c r="AQ349" s="2">
        <f>IF((2*G349 + M349 -P349 + 3*W349 + 2*Z349+2*AD349 + AG349+2*AJ349 + 4*AM349) &gt;=8,1,0)</f>
        <v>0</v>
      </c>
    </row>
    <row r="350" spans="1:43" x14ac:dyDescent="0.25">
      <c r="A350" t="s">
        <v>27</v>
      </c>
      <c r="B350" s="1">
        <v>38130</v>
      </c>
      <c r="C350" s="7">
        <f t="shared" ref="C350:C405" si="69">YEAR(B350)</f>
        <v>2004</v>
      </c>
      <c r="D350">
        <v>80.7</v>
      </c>
      <c r="E350">
        <v>60.4</v>
      </c>
      <c r="F350">
        <v>69.900000000000006</v>
      </c>
      <c r="G350" s="2">
        <f t="shared" si="68"/>
        <v>0</v>
      </c>
      <c r="H350">
        <v>79.599999999999994</v>
      </c>
      <c r="I350">
        <v>60.4</v>
      </c>
      <c r="J350">
        <v>69.8</v>
      </c>
      <c r="K350">
        <v>51.7</v>
      </c>
      <c r="L350">
        <v>54.5</v>
      </c>
      <c r="M350" s="2">
        <f t="shared" ref="M350:M405" si="70">IF(L350&lt;=49.3,1,0)</f>
        <v>0</v>
      </c>
      <c r="N350">
        <v>0</v>
      </c>
      <c r="P350" s="2">
        <f t="shared" ref="P350:P405" si="71">IF(N350&lt;=0.01,1,0)</f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2">
        <f t="shared" ref="W350:W405" si="72">IF(V350&lt;=10,0,1)</f>
        <v>0</v>
      </c>
      <c r="X350">
        <v>16.899999999999999</v>
      </c>
      <c r="Z350" s="2">
        <f t="shared" ref="Z350:Z405" si="73">IF(X350&gt;=16,1,0)</f>
        <v>1</v>
      </c>
      <c r="AA350">
        <v>190.1</v>
      </c>
      <c r="AB350" s="2" t="str">
        <f>CHOOSE(MATCH(AA350,{0;11;80;111;161;191;241;281;341},1),"North","NorthEast","East","SouthEast","South","SouthWest","West","NorthWest","North")</f>
        <v>South</v>
      </c>
      <c r="AC350" s="5">
        <f>CHOOSE(MATCH(AB350,{"South";"SouthEast";"SouthWest";"North";"NorthEast";"East";"West";"NorthWest"},0),1,2,3,4,5,6,7,8)</f>
        <v>1</v>
      </c>
      <c r="AD350" s="2">
        <f t="shared" ref="AD350:AD405" si="74">IF(OR(AC350=3,AC350=4,AC350=5,AC350=8),1,0)</f>
        <v>0</v>
      </c>
      <c r="AE350">
        <v>1013</v>
      </c>
      <c r="AF350" s="4" t="s">
        <v>280</v>
      </c>
      <c r="AG350" s="2">
        <f t="shared" ref="AG350:AG405" si="75">IF(TIMEVALUE(AF350)&lt;=TIME(12,30,0),0,1)</f>
        <v>1</v>
      </c>
      <c r="AH350" t="s">
        <v>652</v>
      </c>
      <c r="AI350" s="2">
        <f t="shared" ref="AI350:AI405" si="76">MONTH(AH350)</f>
        <v>5</v>
      </c>
      <c r="AJ350" s="2">
        <f t="shared" ref="AJ350:AJ405" si="77">IF(OR(AI350=6,AI350=7,AI350=8),1,0)</f>
        <v>0</v>
      </c>
      <c r="AK350" s="3">
        <v>175.99999999743889</v>
      </c>
      <c r="AM350" s="2">
        <v>0</v>
      </c>
      <c r="AN350">
        <v>0.1</v>
      </c>
      <c r="AO350">
        <v>0</v>
      </c>
      <c r="AP350">
        <v>0</v>
      </c>
      <c r="AQ350" s="2">
        <f>IF((2*G350 + M350 -P350 + 3*W350 + 2*Z350+2*AD350 + AG350+2*AJ350 + 4*AM350) &gt;=8,1,0)</f>
        <v>0</v>
      </c>
    </row>
    <row r="351" spans="1:43" x14ac:dyDescent="0.25">
      <c r="A351" t="s">
        <v>27</v>
      </c>
      <c r="B351" s="1">
        <v>38134</v>
      </c>
      <c r="C351" s="7">
        <f t="shared" si="69"/>
        <v>2004</v>
      </c>
      <c r="D351">
        <v>76.599999999999994</v>
      </c>
      <c r="E351">
        <v>56.5</v>
      </c>
      <c r="F351">
        <v>66.5</v>
      </c>
      <c r="G351" s="2">
        <f t="shared" si="68"/>
        <v>0</v>
      </c>
      <c r="H351">
        <v>76.599999999999994</v>
      </c>
      <c r="I351">
        <v>56.5</v>
      </c>
      <c r="J351">
        <v>66.5</v>
      </c>
      <c r="K351">
        <v>39</v>
      </c>
      <c r="L351">
        <v>38.200000000000003</v>
      </c>
      <c r="M351" s="2">
        <f t="shared" si="70"/>
        <v>1</v>
      </c>
      <c r="N351">
        <v>0</v>
      </c>
      <c r="P351" s="2">
        <f t="shared" si="71"/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2">
        <f t="shared" si="72"/>
        <v>0</v>
      </c>
      <c r="X351">
        <v>19.899999999999999</v>
      </c>
      <c r="Z351" s="2">
        <f t="shared" si="73"/>
        <v>1</v>
      </c>
      <c r="AA351">
        <v>3.3</v>
      </c>
      <c r="AB351" s="2" t="str">
        <f>CHOOSE(MATCH(AA351,{0;11;80;111;161;191;241;281;341},1),"North","NorthEast","East","SouthEast","South","SouthWest","West","NorthWest","North")</f>
        <v>North</v>
      </c>
      <c r="AC351" s="5">
        <f>CHOOSE(MATCH(AB351,{"South";"SouthEast";"SouthWest";"North";"NorthEast";"East";"West";"NorthWest"},0),1,2,3,4,5,6,7,8)</f>
        <v>4</v>
      </c>
      <c r="AD351" s="2">
        <f t="shared" si="74"/>
        <v>1</v>
      </c>
      <c r="AE351">
        <v>1017.8</v>
      </c>
      <c r="AF351" s="4" t="s">
        <v>653</v>
      </c>
      <c r="AG351" s="2">
        <f t="shared" si="75"/>
        <v>1</v>
      </c>
      <c r="AH351" t="s">
        <v>654</v>
      </c>
      <c r="AI351" s="2">
        <f t="shared" si="76"/>
        <v>5</v>
      </c>
      <c r="AJ351" s="2">
        <f t="shared" si="77"/>
        <v>0</v>
      </c>
      <c r="AK351" s="3">
        <v>160.0000000081491</v>
      </c>
      <c r="AM351" s="2">
        <v>0</v>
      </c>
      <c r="AN351">
        <v>0</v>
      </c>
      <c r="AO351">
        <v>15</v>
      </c>
      <c r="AP351">
        <v>0</v>
      </c>
      <c r="AQ351" s="2">
        <f>IF((2*G351 + M351 -P351 + 3*W351 + 2*Z351+2*AD351 + AG351+2*AJ351 + 4*AM351) &gt;=8,1,0)</f>
        <v>0</v>
      </c>
    </row>
    <row r="352" spans="1:43" x14ac:dyDescent="0.25">
      <c r="A352" t="s">
        <v>27</v>
      </c>
      <c r="B352" s="1">
        <v>38134</v>
      </c>
      <c r="C352" s="7">
        <f t="shared" si="69"/>
        <v>2004</v>
      </c>
      <c r="D352">
        <v>76.599999999999994</v>
      </c>
      <c r="E352">
        <v>56.5</v>
      </c>
      <c r="F352">
        <v>66.5</v>
      </c>
      <c r="G352" s="2">
        <f t="shared" si="68"/>
        <v>0</v>
      </c>
      <c r="H352">
        <v>76.599999999999994</v>
      </c>
      <c r="I352">
        <v>56.5</v>
      </c>
      <c r="J352">
        <v>66.5</v>
      </c>
      <c r="K352">
        <v>39</v>
      </c>
      <c r="L352">
        <v>38.200000000000003</v>
      </c>
      <c r="M352" s="2">
        <f t="shared" si="70"/>
        <v>1</v>
      </c>
      <c r="N352">
        <v>0</v>
      </c>
      <c r="P352" s="2">
        <f t="shared" si="71"/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2">
        <f t="shared" si="72"/>
        <v>0</v>
      </c>
      <c r="X352">
        <v>19.899999999999999</v>
      </c>
      <c r="Z352" s="2">
        <f t="shared" si="73"/>
        <v>1</v>
      </c>
      <c r="AA352">
        <v>3.3</v>
      </c>
      <c r="AB352" s="2" t="str">
        <f>CHOOSE(MATCH(AA352,{0;11;80;111;161;191;241;281;341},1),"North","NorthEast","East","SouthEast","South","SouthWest","West","NorthWest","North")</f>
        <v>North</v>
      </c>
      <c r="AC352" s="5">
        <f>CHOOSE(MATCH(AB352,{"South";"SouthEast";"SouthWest";"North";"NorthEast";"East";"West";"NorthWest"},0),1,2,3,4,5,6,7,8)</f>
        <v>4</v>
      </c>
      <c r="AD352" s="2">
        <f t="shared" si="74"/>
        <v>1</v>
      </c>
      <c r="AE352">
        <v>1017.8</v>
      </c>
      <c r="AF352" s="4" t="s">
        <v>655</v>
      </c>
      <c r="AG352" s="2">
        <f t="shared" si="75"/>
        <v>1</v>
      </c>
      <c r="AH352" t="s">
        <v>656</v>
      </c>
      <c r="AI352" s="2">
        <f t="shared" si="76"/>
        <v>5</v>
      </c>
      <c r="AJ352" s="2">
        <f t="shared" si="77"/>
        <v>0</v>
      </c>
      <c r="AK352" s="3">
        <v>176.00000000791621</v>
      </c>
      <c r="AM352" s="2">
        <v>0</v>
      </c>
      <c r="AN352">
        <v>0</v>
      </c>
      <c r="AO352">
        <v>15</v>
      </c>
      <c r="AP352">
        <v>0</v>
      </c>
      <c r="AQ352" s="2">
        <f>IF((2*G352 + M352 -P352 + 3*W352 + 2*Z352+2*AD352 + AG352+2*AJ352 + 4*AM352) &gt;=8,1,0)</f>
        <v>0</v>
      </c>
    </row>
    <row r="353" spans="1:43" x14ac:dyDescent="0.25">
      <c r="A353" t="s">
        <v>27</v>
      </c>
      <c r="B353" s="1">
        <v>38134</v>
      </c>
      <c r="C353" s="7">
        <f t="shared" si="69"/>
        <v>2004</v>
      </c>
      <c r="D353">
        <v>76.599999999999994</v>
      </c>
      <c r="E353">
        <v>56.5</v>
      </c>
      <c r="F353">
        <v>66.5</v>
      </c>
      <c r="G353" s="2">
        <f t="shared" si="68"/>
        <v>0</v>
      </c>
      <c r="H353">
        <v>76.599999999999994</v>
      </c>
      <c r="I353">
        <v>56.5</v>
      </c>
      <c r="J353">
        <v>66.5</v>
      </c>
      <c r="K353">
        <v>39</v>
      </c>
      <c r="L353">
        <v>38.200000000000003</v>
      </c>
      <c r="M353" s="2">
        <f t="shared" si="70"/>
        <v>1</v>
      </c>
      <c r="N353">
        <v>0</v>
      </c>
      <c r="P353" s="2">
        <f t="shared" si="71"/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2">
        <f t="shared" si="72"/>
        <v>0</v>
      </c>
      <c r="X353">
        <v>19.899999999999999</v>
      </c>
      <c r="Z353" s="2">
        <f t="shared" si="73"/>
        <v>1</v>
      </c>
      <c r="AA353">
        <v>3.3</v>
      </c>
      <c r="AB353" s="2" t="str">
        <f>CHOOSE(MATCH(AA353,{0;11;80;111;161;191;241;281;341},1),"North","NorthEast","East","SouthEast","South","SouthWest","West","NorthWest","North")</f>
        <v>North</v>
      </c>
      <c r="AC353" s="5">
        <f>CHOOSE(MATCH(AB353,{"South";"SouthEast";"SouthWest";"North";"NorthEast";"East";"West";"NorthWest"},0),1,2,3,4,5,6,7,8)</f>
        <v>4</v>
      </c>
      <c r="AD353" s="2">
        <f t="shared" si="74"/>
        <v>1</v>
      </c>
      <c r="AE353">
        <v>1017.8</v>
      </c>
      <c r="AF353" s="4" t="s">
        <v>494</v>
      </c>
      <c r="AG353" s="2">
        <f t="shared" si="75"/>
        <v>1</v>
      </c>
      <c r="AH353" t="s">
        <v>657</v>
      </c>
      <c r="AI353" s="2">
        <f t="shared" si="76"/>
        <v>5</v>
      </c>
      <c r="AJ353" s="2">
        <f t="shared" si="77"/>
        <v>0</v>
      </c>
      <c r="AK353" s="3">
        <v>276.0000000090804</v>
      </c>
      <c r="AM353" s="2">
        <v>0</v>
      </c>
      <c r="AN353">
        <v>0.1</v>
      </c>
      <c r="AO353">
        <v>0</v>
      </c>
      <c r="AP353">
        <v>0</v>
      </c>
      <c r="AQ353" s="2">
        <f>IF((2*G353 + M353 -P353 + 3*W353 + 2*Z353+2*AD353 + AG353+2*AJ353 + 4*AM353) &gt;=8,1,0)</f>
        <v>0</v>
      </c>
    </row>
    <row r="354" spans="1:43" x14ac:dyDescent="0.25">
      <c r="A354" t="s">
        <v>27</v>
      </c>
      <c r="B354" s="1">
        <v>38134</v>
      </c>
      <c r="C354" s="7">
        <f t="shared" si="69"/>
        <v>2004</v>
      </c>
      <c r="D354">
        <v>76.599999999999994</v>
      </c>
      <c r="E354">
        <v>56.5</v>
      </c>
      <c r="F354">
        <v>66.5</v>
      </c>
      <c r="G354" s="2">
        <f t="shared" si="68"/>
        <v>0</v>
      </c>
      <c r="H354">
        <v>76.599999999999994</v>
      </c>
      <c r="I354">
        <v>56.5</v>
      </c>
      <c r="J354">
        <v>66.5</v>
      </c>
      <c r="K354">
        <v>39</v>
      </c>
      <c r="L354">
        <v>38.200000000000003</v>
      </c>
      <c r="M354" s="2">
        <f t="shared" si="70"/>
        <v>1</v>
      </c>
      <c r="N354">
        <v>0</v>
      </c>
      <c r="P354" s="2">
        <f t="shared" si="71"/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2">
        <f t="shared" si="72"/>
        <v>0</v>
      </c>
      <c r="X354">
        <v>19.899999999999999</v>
      </c>
      <c r="Z354" s="2">
        <f t="shared" si="73"/>
        <v>1</v>
      </c>
      <c r="AA354">
        <v>3.3</v>
      </c>
      <c r="AB354" s="2" t="str">
        <f>CHOOSE(MATCH(AA354,{0;11;80;111;161;191;241;281;341},1),"North","NorthEast","East","SouthEast","South","SouthWest","West","NorthWest","North")</f>
        <v>North</v>
      </c>
      <c r="AC354" s="5">
        <f>CHOOSE(MATCH(AB354,{"South";"SouthEast";"SouthWest";"North";"NorthEast";"East";"West";"NorthWest"},0),1,2,3,4,5,6,7,8)</f>
        <v>4</v>
      </c>
      <c r="AD354" s="2">
        <f t="shared" si="74"/>
        <v>1</v>
      </c>
      <c r="AE354">
        <v>1017.8</v>
      </c>
      <c r="AF354" s="4" t="s">
        <v>658</v>
      </c>
      <c r="AG354" s="2">
        <f t="shared" si="75"/>
        <v>1</v>
      </c>
      <c r="AH354" t="s">
        <v>659</v>
      </c>
      <c r="AI354" s="2">
        <f t="shared" si="76"/>
        <v>5</v>
      </c>
      <c r="AJ354" s="2">
        <f t="shared" si="77"/>
        <v>0</v>
      </c>
      <c r="AK354" s="3">
        <v>68.000000001629815</v>
      </c>
      <c r="AM354" s="2">
        <v>0</v>
      </c>
      <c r="AN354">
        <v>0</v>
      </c>
      <c r="AO354">
        <v>0.1</v>
      </c>
      <c r="AP354">
        <v>0</v>
      </c>
      <c r="AQ354" s="2">
        <f>IF((2*G354 + M354 -P354 + 3*W354 + 2*Z354+2*AD354 + AG354+2*AJ354 + 4*AM354) &gt;=8,1,0)</f>
        <v>0</v>
      </c>
    </row>
    <row r="355" spans="1:43" x14ac:dyDescent="0.25">
      <c r="A355" t="s">
        <v>27</v>
      </c>
      <c r="B355" s="1">
        <v>38139</v>
      </c>
      <c r="C355" s="7">
        <f t="shared" si="69"/>
        <v>2004</v>
      </c>
      <c r="D355">
        <v>81.5</v>
      </c>
      <c r="E355">
        <v>61.6</v>
      </c>
      <c r="F355">
        <v>71.400000000000006</v>
      </c>
      <c r="G355" s="2">
        <f t="shared" si="68"/>
        <v>0</v>
      </c>
      <c r="H355">
        <v>80.8</v>
      </c>
      <c r="I355">
        <v>61.6</v>
      </c>
      <c r="J355">
        <v>71.400000000000006</v>
      </c>
      <c r="K355">
        <v>53.2</v>
      </c>
      <c r="L355">
        <v>54.1</v>
      </c>
      <c r="M355" s="2">
        <f t="shared" si="70"/>
        <v>0</v>
      </c>
      <c r="N355">
        <v>0</v>
      </c>
      <c r="P355" s="2">
        <f t="shared" si="71"/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2">
        <f t="shared" si="72"/>
        <v>0</v>
      </c>
      <c r="X355">
        <v>12.5</v>
      </c>
      <c r="Z355" s="2">
        <f t="shared" si="73"/>
        <v>0</v>
      </c>
      <c r="AA355">
        <v>193.2</v>
      </c>
      <c r="AB355" s="2" t="str">
        <f>CHOOSE(MATCH(AA355,{0;11;80;111;161;191;241;281;341},1),"North","NorthEast","East","SouthEast","South","SouthWest","West","NorthWest","North")</f>
        <v>SouthWest</v>
      </c>
      <c r="AC355" s="5">
        <f>CHOOSE(MATCH(AB355,{"South";"SouthEast";"SouthWest";"North";"NorthEast";"East";"West";"NorthWest"},0),1,2,3,4,5,6,7,8)</f>
        <v>3</v>
      </c>
      <c r="AD355" s="2">
        <f t="shared" si="74"/>
        <v>1</v>
      </c>
      <c r="AE355">
        <v>1015.6</v>
      </c>
      <c r="AF355" s="4" t="s">
        <v>601</v>
      </c>
      <c r="AG355" s="2">
        <f t="shared" si="75"/>
        <v>1</v>
      </c>
      <c r="AH355" t="s">
        <v>660</v>
      </c>
      <c r="AI355" s="2">
        <f t="shared" si="76"/>
        <v>6</v>
      </c>
      <c r="AJ355" s="2">
        <f t="shared" si="77"/>
        <v>1</v>
      </c>
      <c r="AK355" s="3">
        <v>850.00000000465661</v>
      </c>
      <c r="AM355" s="2">
        <v>1</v>
      </c>
      <c r="AN355">
        <v>0</v>
      </c>
      <c r="AO355">
        <v>4</v>
      </c>
      <c r="AP355">
        <v>0</v>
      </c>
      <c r="AQ355" s="2">
        <f>IF((2*G355 + M355 -P355 + 3*W355 + 2*Z355+2*AD355 + AG355+2*AJ355 + 4*AM355) &gt;=8,1,0)</f>
        <v>1</v>
      </c>
    </row>
    <row r="356" spans="1:43" x14ac:dyDescent="0.25">
      <c r="A356" t="s">
        <v>27</v>
      </c>
      <c r="B356" s="1">
        <v>38141</v>
      </c>
      <c r="C356" s="7">
        <f t="shared" si="69"/>
        <v>2004</v>
      </c>
      <c r="D356">
        <v>77.900000000000006</v>
      </c>
      <c r="E356">
        <v>59.1</v>
      </c>
      <c r="F356">
        <v>70.3</v>
      </c>
      <c r="G356" s="2">
        <f t="shared" si="68"/>
        <v>0</v>
      </c>
      <c r="H356">
        <v>77.900000000000006</v>
      </c>
      <c r="I356">
        <v>59.1</v>
      </c>
      <c r="J356">
        <v>70.3</v>
      </c>
      <c r="K356">
        <v>55.2</v>
      </c>
      <c r="L356">
        <v>60.2</v>
      </c>
      <c r="M356" s="2">
        <f t="shared" si="70"/>
        <v>0</v>
      </c>
      <c r="N356">
        <v>0</v>
      </c>
      <c r="P356" s="2">
        <f t="shared" si="71"/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2">
        <f t="shared" si="72"/>
        <v>0</v>
      </c>
      <c r="X356">
        <v>15</v>
      </c>
      <c r="Z356" s="2">
        <f t="shared" si="73"/>
        <v>0</v>
      </c>
      <c r="AA356">
        <v>175.6</v>
      </c>
      <c r="AB356" s="2" t="str">
        <f>CHOOSE(MATCH(AA356,{0;11;80;111;161;191;241;281;341},1),"North","NorthEast","East","SouthEast","South","SouthWest","West","NorthWest","North")</f>
        <v>South</v>
      </c>
      <c r="AC356" s="5">
        <f>CHOOSE(MATCH(AB356,{"South";"SouthEast";"SouthWest";"North";"NorthEast";"East";"West";"NorthWest"},0),1,2,3,4,5,6,7,8)</f>
        <v>1</v>
      </c>
      <c r="AD356" s="2">
        <f t="shared" si="74"/>
        <v>0</v>
      </c>
      <c r="AE356">
        <v>1012.9</v>
      </c>
      <c r="AF356" s="4" t="s">
        <v>191</v>
      </c>
      <c r="AG356" s="2">
        <f t="shared" si="75"/>
        <v>1</v>
      </c>
      <c r="AH356" t="s">
        <v>661</v>
      </c>
      <c r="AI356" s="2">
        <f t="shared" si="76"/>
        <v>6</v>
      </c>
      <c r="AJ356" s="2">
        <f t="shared" si="77"/>
        <v>1</v>
      </c>
      <c r="AK356" s="3">
        <v>40.999999997438863</v>
      </c>
      <c r="AM356" s="2">
        <v>0</v>
      </c>
      <c r="AN356">
        <v>0</v>
      </c>
      <c r="AO356">
        <v>0.1</v>
      </c>
      <c r="AP356">
        <v>0</v>
      </c>
      <c r="AQ356" s="2">
        <f>IF((2*G356 + M356 -P356 + 3*W356 + 2*Z356+2*AD356 + AG356+2*AJ356 + 4*AM356) &gt;=8,1,0)</f>
        <v>0</v>
      </c>
    </row>
    <row r="357" spans="1:43" x14ac:dyDescent="0.25">
      <c r="A357" t="s">
        <v>27</v>
      </c>
      <c r="B357" s="1">
        <v>38146</v>
      </c>
      <c r="C357" s="7">
        <f t="shared" si="69"/>
        <v>2004</v>
      </c>
      <c r="D357">
        <v>81.400000000000006</v>
      </c>
      <c r="E357">
        <v>60.9</v>
      </c>
      <c r="F357">
        <v>71.3</v>
      </c>
      <c r="G357" s="2">
        <f t="shared" si="68"/>
        <v>0</v>
      </c>
      <c r="H357">
        <v>80.8</v>
      </c>
      <c r="I357">
        <v>60.9</v>
      </c>
      <c r="J357">
        <v>71.2</v>
      </c>
      <c r="K357">
        <v>54.1</v>
      </c>
      <c r="L357">
        <v>56.5</v>
      </c>
      <c r="M357" s="2">
        <f t="shared" si="70"/>
        <v>0</v>
      </c>
      <c r="N357">
        <v>0</v>
      </c>
      <c r="P357" s="2">
        <f t="shared" si="71"/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2">
        <f t="shared" si="72"/>
        <v>0</v>
      </c>
      <c r="X357">
        <v>16.399999999999999</v>
      </c>
      <c r="Z357" s="2">
        <f t="shared" si="73"/>
        <v>1</v>
      </c>
      <c r="AA357">
        <v>356.8</v>
      </c>
      <c r="AB357" s="2" t="str">
        <f>CHOOSE(MATCH(AA357,{0;11;80;111;161;191;241;281;341},1),"North","NorthEast","East","SouthEast","South","SouthWest","West","NorthWest","North")</f>
        <v>North</v>
      </c>
      <c r="AC357" s="5">
        <f>CHOOSE(MATCH(AB357,{"South";"SouthEast";"SouthWest";"North";"NorthEast";"East";"West";"NorthWest"},0),1,2,3,4,5,6,7,8)</f>
        <v>4</v>
      </c>
      <c r="AD357" s="2">
        <f t="shared" si="74"/>
        <v>1</v>
      </c>
      <c r="AE357">
        <v>1016.9</v>
      </c>
      <c r="AF357" s="4" t="s">
        <v>663</v>
      </c>
      <c r="AG357" s="2">
        <f t="shared" si="75"/>
        <v>1</v>
      </c>
      <c r="AH357" t="s">
        <v>664</v>
      </c>
      <c r="AI357" s="2">
        <f t="shared" si="76"/>
        <v>6</v>
      </c>
      <c r="AJ357" s="2">
        <f t="shared" si="77"/>
        <v>1</v>
      </c>
      <c r="AK357" s="3">
        <v>26.000000000931319</v>
      </c>
      <c r="AM357" s="2">
        <v>0</v>
      </c>
      <c r="AN357">
        <v>0</v>
      </c>
      <c r="AO357">
        <v>1</v>
      </c>
      <c r="AP357">
        <v>0</v>
      </c>
      <c r="AQ357" s="2">
        <f>IF((2*G357 + M357 -P357 + 3*W357 + 2*Z357+2*AD357 + AG357+2*AJ357 + 4*AM357) &gt;=8,1,0)</f>
        <v>0</v>
      </c>
    </row>
    <row r="358" spans="1:43" x14ac:dyDescent="0.25">
      <c r="A358" t="s">
        <v>27</v>
      </c>
      <c r="B358" s="1">
        <v>38146</v>
      </c>
      <c r="C358" s="7">
        <f t="shared" si="69"/>
        <v>2004</v>
      </c>
      <c r="D358">
        <v>81.400000000000006</v>
      </c>
      <c r="E358">
        <v>60.9</v>
      </c>
      <c r="F358">
        <v>71.3</v>
      </c>
      <c r="G358" s="2">
        <f t="shared" si="68"/>
        <v>0</v>
      </c>
      <c r="H358">
        <v>80.8</v>
      </c>
      <c r="I358">
        <v>60.9</v>
      </c>
      <c r="J358">
        <v>71.2</v>
      </c>
      <c r="K358">
        <v>54.1</v>
      </c>
      <c r="L358">
        <v>56.5</v>
      </c>
      <c r="M358" s="2">
        <f t="shared" si="70"/>
        <v>0</v>
      </c>
      <c r="N358">
        <v>0</v>
      </c>
      <c r="P358" s="2">
        <f t="shared" si="71"/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2">
        <f t="shared" si="72"/>
        <v>0</v>
      </c>
      <c r="X358">
        <v>16.399999999999999</v>
      </c>
      <c r="Z358" s="2">
        <f t="shared" si="73"/>
        <v>1</v>
      </c>
      <c r="AA358">
        <v>356.8</v>
      </c>
      <c r="AB358" s="2" t="str">
        <f>CHOOSE(MATCH(AA358,{0;11;80;111;161;191;241;281;341},1),"North","NorthEast","East","SouthEast","South","SouthWest","West","NorthWest","North")</f>
        <v>North</v>
      </c>
      <c r="AC358" s="5">
        <f>CHOOSE(MATCH(AB358,{"South";"SouthEast";"SouthWest";"North";"NorthEast";"East";"West";"NorthWest"},0),1,2,3,4,5,6,7,8)</f>
        <v>4</v>
      </c>
      <c r="AD358" s="2">
        <f t="shared" si="74"/>
        <v>1</v>
      </c>
      <c r="AE358">
        <v>1016.9</v>
      </c>
      <c r="AF358" s="4" t="s">
        <v>665</v>
      </c>
      <c r="AG358" s="2">
        <f t="shared" si="75"/>
        <v>1</v>
      </c>
      <c r="AH358" t="s">
        <v>666</v>
      </c>
      <c r="AI358" s="2">
        <f t="shared" si="76"/>
        <v>6</v>
      </c>
      <c r="AJ358" s="2">
        <f t="shared" si="77"/>
        <v>1</v>
      </c>
      <c r="AK358" s="3">
        <v>1875.000000003492</v>
      </c>
      <c r="AM358" s="2">
        <v>1</v>
      </c>
      <c r="AN358">
        <v>0</v>
      </c>
      <c r="AO358">
        <v>0.5</v>
      </c>
      <c r="AP358">
        <v>0</v>
      </c>
      <c r="AQ358" s="2">
        <f>IF((2*G358 + M358 -P358 + 3*W358 + 2*Z358+2*AD358 + AG358+2*AJ358 + 4*AM358) &gt;=8,1,0)</f>
        <v>1</v>
      </c>
    </row>
    <row r="359" spans="1:43" x14ac:dyDescent="0.25">
      <c r="A359" t="s">
        <v>27</v>
      </c>
      <c r="B359" s="1">
        <v>38148</v>
      </c>
      <c r="C359" s="7">
        <f t="shared" si="69"/>
        <v>2004</v>
      </c>
      <c r="D359">
        <v>86.8</v>
      </c>
      <c r="E359">
        <v>59.7</v>
      </c>
      <c r="F359">
        <v>75.2</v>
      </c>
      <c r="G359" s="2">
        <f t="shared" si="68"/>
        <v>1</v>
      </c>
      <c r="H359">
        <v>84.9</v>
      </c>
      <c r="I359">
        <v>59.7</v>
      </c>
      <c r="J359">
        <v>74.7</v>
      </c>
      <c r="K359">
        <v>53.2</v>
      </c>
      <c r="L359">
        <v>48.7</v>
      </c>
      <c r="M359" s="2">
        <f t="shared" si="70"/>
        <v>1</v>
      </c>
      <c r="N359">
        <v>0</v>
      </c>
      <c r="P359" s="2">
        <f t="shared" si="71"/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2">
        <f t="shared" si="72"/>
        <v>0</v>
      </c>
      <c r="X359">
        <v>15.6</v>
      </c>
      <c r="Z359" s="2">
        <f t="shared" si="73"/>
        <v>0</v>
      </c>
      <c r="AA359">
        <v>357.9</v>
      </c>
      <c r="AB359" s="2" t="str">
        <f>CHOOSE(MATCH(AA359,{0;11;80;111;161;191;241;281;341},1),"North","NorthEast","East","SouthEast","South","SouthWest","West","NorthWest","North")</f>
        <v>North</v>
      </c>
      <c r="AC359" s="5">
        <f>CHOOSE(MATCH(AB359,{"South";"SouthEast";"SouthWest";"North";"NorthEast";"East";"West";"NorthWest"},0),1,2,3,4,5,6,7,8)</f>
        <v>4</v>
      </c>
      <c r="AD359" s="2">
        <f t="shared" si="74"/>
        <v>1</v>
      </c>
      <c r="AE359">
        <v>1017.2</v>
      </c>
      <c r="AF359" s="4" t="s">
        <v>50</v>
      </c>
      <c r="AG359" s="2">
        <f t="shared" si="75"/>
        <v>0</v>
      </c>
      <c r="AH359" t="s">
        <v>667</v>
      </c>
      <c r="AI359" s="2">
        <f t="shared" si="76"/>
        <v>6</v>
      </c>
      <c r="AJ359" s="2">
        <f t="shared" si="77"/>
        <v>1</v>
      </c>
      <c r="AK359" s="3">
        <v>705.99999999627471</v>
      </c>
      <c r="AM359" s="2">
        <v>1</v>
      </c>
      <c r="AN359">
        <v>0</v>
      </c>
      <c r="AO359">
        <v>15</v>
      </c>
      <c r="AP359">
        <v>0</v>
      </c>
      <c r="AQ359" s="2">
        <f>IF((2*G359 + M359 -P359 + 3*W359 + 2*Z359+2*AD359 + AG359+2*AJ359 + 4*AM359) &gt;=8,1,0)</f>
        <v>1</v>
      </c>
    </row>
    <row r="360" spans="1:43" x14ac:dyDescent="0.25">
      <c r="A360" t="s">
        <v>27</v>
      </c>
      <c r="B360" s="1">
        <v>38151</v>
      </c>
      <c r="C360" s="7">
        <f t="shared" si="69"/>
        <v>2004</v>
      </c>
      <c r="D360">
        <v>91.2</v>
      </c>
      <c r="E360">
        <v>66.5</v>
      </c>
      <c r="F360">
        <v>78.099999999999994</v>
      </c>
      <c r="G360" s="2">
        <f t="shared" si="68"/>
        <v>1</v>
      </c>
      <c r="H360">
        <v>89</v>
      </c>
      <c r="I360">
        <v>66.5</v>
      </c>
      <c r="J360">
        <v>77.7</v>
      </c>
      <c r="K360">
        <v>55.9</v>
      </c>
      <c r="L360">
        <v>48.2</v>
      </c>
      <c r="M360" s="2">
        <f t="shared" si="70"/>
        <v>1</v>
      </c>
      <c r="N360">
        <v>0</v>
      </c>
      <c r="P360" s="2">
        <f t="shared" si="71"/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2">
        <f t="shared" si="72"/>
        <v>0</v>
      </c>
      <c r="X360">
        <v>12.9</v>
      </c>
      <c r="Z360" s="2">
        <f t="shared" si="73"/>
        <v>0</v>
      </c>
      <c r="AA360">
        <v>184.8</v>
      </c>
      <c r="AB360" s="2" t="str">
        <f>CHOOSE(MATCH(AA360,{0;11;80;111;161;191;241;281;341},1),"North","NorthEast","East","SouthEast","South","SouthWest","West","NorthWest","North")</f>
        <v>South</v>
      </c>
      <c r="AC360" s="5">
        <f>CHOOSE(MATCH(AB360,{"South";"SouthEast";"SouthWest";"North";"NorthEast";"East";"West";"NorthWest"},0),1,2,3,4,5,6,7,8)</f>
        <v>1</v>
      </c>
      <c r="AD360" s="2">
        <f t="shared" si="74"/>
        <v>0</v>
      </c>
      <c r="AE360">
        <v>1014.9</v>
      </c>
      <c r="AF360" s="4" t="s">
        <v>668</v>
      </c>
      <c r="AG360" s="2">
        <f t="shared" si="75"/>
        <v>1</v>
      </c>
      <c r="AH360" t="s">
        <v>669</v>
      </c>
      <c r="AI360" s="2">
        <f t="shared" si="76"/>
        <v>6</v>
      </c>
      <c r="AJ360" s="2">
        <f t="shared" si="77"/>
        <v>1</v>
      </c>
      <c r="AK360" s="3">
        <v>72.999999996973202</v>
      </c>
      <c r="AM360" s="2">
        <v>0</v>
      </c>
      <c r="AN360">
        <v>0</v>
      </c>
      <c r="AO360">
        <v>2</v>
      </c>
      <c r="AP360">
        <v>0</v>
      </c>
      <c r="AQ360" s="2">
        <f>IF((2*G360 + M360 -P360 + 3*W360 + 2*Z360+2*AD360 + AG360+2*AJ360 + 4*AM360) &gt;=8,1,0)</f>
        <v>0</v>
      </c>
    </row>
    <row r="361" spans="1:43" x14ac:dyDescent="0.25">
      <c r="A361" t="s">
        <v>27</v>
      </c>
      <c r="B361" s="1">
        <v>38154</v>
      </c>
      <c r="C361" s="7">
        <f t="shared" si="69"/>
        <v>2004</v>
      </c>
      <c r="D361">
        <v>92.4</v>
      </c>
      <c r="E361">
        <v>69.3</v>
      </c>
      <c r="F361">
        <v>79.900000000000006</v>
      </c>
      <c r="G361" s="2">
        <f t="shared" si="68"/>
        <v>1</v>
      </c>
      <c r="H361">
        <v>90.9</v>
      </c>
      <c r="I361">
        <v>69.3</v>
      </c>
      <c r="J361">
        <v>79.7</v>
      </c>
      <c r="K361">
        <v>58.4</v>
      </c>
      <c r="L361">
        <v>49.7</v>
      </c>
      <c r="M361" s="2">
        <f t="shared" si="70"/>
        <v>0</v>
      </c>
      <c r="N361">
        <v>0</v>
      </c>
      <c r="P361" s="2">
        <f t="shared" si="71"/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2">
        <f t="shared" si="72"/>
        <v>0</v>
      </c>
      <c r="X361">
        <v>12.6</v>
      </c>
      <c r="Z361" s="2">
        <f t="shared" si="73"/>
        <v>0</v>
      </c>
      <c r="AA361">
        <v>226.6</v>
      </c>
      <c r="AB361" s="2" t="str">
        <f>CHOOSE(MATCH(AA361,{0;11;80;111;161;191;241;281;341},1),"North","NorthEast","East","SouthEast","South","SouthWest","West","NorthWest","North")</f>
        <v>SouthWest</v>
      </c>
      <c r="AC361" s="5">
        <f>CHOOSE(MATCH(AB361,{"South";"SouthEast";"SouthWest";"North";"NorthEast";"East";"West";"NorthWest"},0),1,2,3,4,5,6,7,8)</f>
        <v>3</v>
      </c>
      <c r="AD361" s="2">
        <f t="shared" si="74"/>
        <v>1</v>
      </c>
      <c r="AE361">
        <v>1009.7</v>
      </c>
      <c r="AF361" s="4" t="s">
        <v>103</v>
      </c>
      <c r="AG361" s="2">
        <f t="shared" si="75"/>
        <v>1</v>
      </c>
      <c r="AH361" t="s">
        <v>670</v>
      </c>
      <c r="AI361" s="2">
        <f t="shared" si="76"/>
        <v>6</v>
      </c>
      <c r="AJ361" s="2">
        <f t="shared" si="77"/>
        <v>1</v>
      </c>
      <c r="AK361" s="3">
        <v>239.99999999650751</v>
      </c>
      <c r="AM361" s="2">
        <v>0</v>
      </c>
      <c r="AN361">
        <v>0</v>
      </c>
      <c r="AO361">
        <v>2</v>
      </c>
      <c r="AP361">
        <v>0</v>
      </c>
      <c r="AQ361" s="2">
        <f>IF((2*G361 + M361 -P361 + 3*W361 + 2*Z361+2*AD361 + AG361+2*AJ361 + 4*AM361) &gt;=8,1,0)</f>
        <v>0</v>
      </c>
    </row>
    <row r="362" spans="1:43" x14ac:dyDescent="0.25">
      <c r="A362" t="s">
        <v>27</v>
      </c>
      <c r="B362" s="1">
        <v>38155</v>
      </c>
      <c r="C362" s="7">
        <f t="shared" si="69"/>
        <v>2004</v>
      </c>
      <c r="D362">
        <v>90.6</v>
      </c>
      <c r="E362">
        <v>70.8</v>
      </c>
      <c r="F362">
        <v>79.5</v>
      </c>
      <c r="G362" s="2">
        <f t="shared" si="68"/>
        <v>1</v>
      </c>
      <c r="H362">
        <v>89.6</v>
      </c>
      <c r="I362">
        <v>70.8</v>
      </c>
      <c r="J362">
        <v>79.5</v>
      </c>
      <c r="K362">
        <v>60.6</v>
      </c>
      <c r="L362">
        <v>53.8</v>
      </c>
      <c r="M362" s="2">
        <f t="shared" si="70"/>
        <v>0</v>
      </c>
      <c r="N362">
        <v>0</v>
      </c>
      <c r="P362" s="2">
        <f t="shared" si="71"/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2">
        <f t="shared" si="72"/>
        <v>0</v>
      </c>
      <c r="X362">
        <v>12.7</v>
      </c>
      <c r="Z362" s="2">
        <f t="shared" si="73"/>
        <v>0</v>
      </c>
      <c r="AA362">
        <v>111.3</v>
      </c>
      <c r="AB362" s="2" t="str">
        <f>CHOOSE(MATCH(AA362,{0;11;80;111;161;191;241;281;341},1),"North","NorthEast","East","SouthEast","South","SouthWest","West","NorthWest","North")</f>
        <v>SouthEast</v>
      </c>
      <c r="AC362" s="5">
        <f>CHOOSE(MATCH(AB362,{"South";"SouthEast";"SouthWest";"North";"NorthEast";"East";"West";"NorthWest"},0),1,2,3,4,5,6,7,8)</f>
        <v>2</v>
      </c>
      <c r="AD362" s="2">
        <f t="shared" si="74"/>
        <v>0</v>
      </c>
      <c r="AE362">
        <v>1009.4</v>
      </c>
      <c r="AF362" s="4" t="s">
        <v>251</v>
      </c>
      <c r="AG362" s="2">
        <f t="shared" si="75"/>
        <v>1</v>
      </c>
      <c r="AH362" t="s">
        <v>671</v>
      </c>
      <c r="AI362" s="2">
        <f t="shared" si="76"/>
        <v>6</v>
      </c>
      <c r="AJ362" s="2">
        <f t="shared" si="77"/>
        <v>1</v>
      </c>
      <c r="AK362" s="3">
        <v>120.0000000034925</v>
      </c>
      <c r="AM362" s="2">
        <v>0</v>
      </c>
      <c r="AN362">
        <v>0.1</v>
      </c>
      <c r="AO362">
        <v>0</v>
      </c>
      <c r="AP362">
        <v>0</v>
      </c>
      <c r="AQ362" s="2">
        <f>IF((2*G362 + M362 -P362 + 3*W362 + 2*Z362+2*AD362 + AG362+2*AJ362 + 4*AM362) &gt;=8,1,0)</f>
        <v>0</v>
      </c>
    </row>
    <row r="363" spans="1:43" x14ac:dyDescent="0.25">
      <c r="A363" t="s">
        <v>27</v>
      </c>
      <c r="B363" s="1">
        <v>38161</v>
      </c>
      <c r="C363" s="7">
        <f t="shared" si="69"/>
        <v>2004</v>
      </c>
      <c r="D363">
        <v>89.7</v>
      </c>
      <c r="E363">
        <v>71.8</v>
      </c>
      <c r="F363">
        <v>79.2</v>
      </c>
      <c r="G363" s="2">
        <f t="shared" si="68"/>
        <v>1</v>
      </c>
      <c r="H363">
        <v>87.5</v>
      </c>
      <c r="I363">
        <v>71.8</v>
      </c>
      <c r="J363">
        <v>78.8</v>
      </c>
      <c r="K363">
        <v>58</v>
      </c>
      <c r="L363">
        <v>49.7</v>
      </c>
      <c r="M363" s="2">
        <f t="shared" si="70"/>
        <v>0</v>
      </c>
      <c r="N363">
        <v>0</v>
      </c>
      <c r="P363" s="2">
        <f t="shared" si="71"/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2">
        <f t="shared" si="72"/>
        <v>0</v>
      </c>
      <c r="X363">
        <v>15</v>
      </c>
      <c r="Z363" s="2">
        <f t="shared" si="73"/>
        <v>0</v>
      </c>
      <c r="AA363">
        <v>20.5</v>
      </c>
      <c r="AB363" s="2" t="str">
        <f>CHOOSE(MATCH(AA363,{0;11;80;111;161;191;241;281;341},1),"North","NorthEast","East","SouthEast","South","SouthWest","West","NorthWest","North")</f>
        <v>NorthEast</v>
      </c>
      <c r="AC363" s="5">
        <f>CHOOSE(MATCH(AB363,{"South";"SouthEast";"SouthWest";"North";"NorthEast";"East";"West";"NorthWest"},0),1,2,3,4,5,6,7,8)</f>
        <v>5</v>
      </c>
      <c r="AD363" s="2">
        <f t="shared" si="74"/>
        <v>1</v>
      </c>
      <c r="AE363">
        <v>1013.1</v>
      </c>
      <c r="AF363" s="4" t="s">
        <v>237</v>
      </c>
      <c r="AG363" s="2">
        <f t="shared" si="75"/>
        <v>1</v>
      </c>
      <c r="AH363" t="s">
        <v>672</v>
      </c>
      <c r="AI363" s="2">
        <f t="shared" si="76"/>
        <v>6</v>
      </c>
      <c r="AJ363" s="2">
        <f t="shared" si="77"/>
        <v>1</v>
      </c>
      <c r="AK363" s="3">
        <v>129.00000000139701</v>
      </c>
      <c r="AM363" s="2">
        <v>0</v>
      </c>
      <c r="AN363">
        <v>0</v>
      </c>
      <c r="AO363">
        <v>2</v>
      </c>
      <c r="AP363">
        <v>0</v>
      </c>
      <c r="AQ363" s="2">
        <f>IF((2*G363 + M363 -P363 + 3*W363 + 2*Z363+2*AD363 + AG363+2*AJ363 + 4*AM363) &gt;=8,1,0)</f>
        <v>0</v>
      </c>
    </row>
    <row r="364" spans="1:43" x14ac:dyDescent="0.25">
      <c r="A364" t="s">
        <v>27</v>
      </c>
      <c r="B364" s="1">
        <v>38161</v>
      </c>
      <c r="C364" s="7">
        <f t="shared" si="69"/>
        <v>2004</v>
      </c>
      <c r="D364">
        <v>89.7</v>
      </c>
      <c r="E364">
        <v>71.8</v>
      </c>
      <c r="F364">
        <v>79.2</v>
      </c>
      <c r="G364" s="2">
        <f t="shared" si="68"/>
        <v>1</v>
      </c>
      <c r="H364">
        <v>87.5</v>
      </c>
      <c r="I364">
        <v>71.8</v>
      </c>
      <c r="J364">
        <v>78.8</v>
      </c>
      <c r="K364">
        <v>58</v>
      </c>
      <c r="L364">
        <v>49.7</v>
      </c>
      <c r="M364" s="2">
        <f t="shared" si="70"/>
        <v>0</v>
      </c>
      <c r="N364">
        <v>0</v>
      </c>
      <c r="P364" s="2">
        <f t="shared" si="71"/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s="2">
        <f t="shared" si="72"/>
        <v>0</v>
      </c>
      <c r="X364">
        <v>15</v>
      </c>
      <c r="Z364" s="2">
        <f t="shared" si="73"/>
        <v>0</v>
      </c>
      <c r="AA364">
        <v>20.5</v>
      </c>
      <c r="AB364" s="2" t="str">
        <f>CHOOSE(MATCH(AA364,{0;11;80;111;161;191;241;281;341},1),"North","NorthEast","East","SouthEast","South","SouthWest","West","NorthWest","North")</f>
        <v>NorthEast</v>
      </c>
      <c r="AC364" s="5">
        <f>CHOOSE(MATCH(AB364,{"South";"SouthEast";"SouthWest";"North";"NorthEast";"East";"West";"NorthWest"},0),1,2,3,4,5,6,7,8)</f>
        <v>5</v>
      </c>
      <c r="AD364" s="2">
        <f t="shared" si="74"/>
        <v>1</v>
      </c>
      <c r="AE364">
        <v>1013.1</v>
      </c>
      <c r="AF364" s="4" t="s">
        <v>65</v>
      </c>
      <c r="AG364" s="2">
        <f t="shared" si="75"/>
        <v>0</v>
      </c>
      <c r="AH364" t="s">
        <v>673</v>
      </c>
      <c r="AI364" s="2">
        <f t="shared" si="76"/>
        <v>6</v>
      </c>
      <c r="AJ364" s="2">
        <f t="shared" si="77"/>
        <v>1</v>
      </c>
      <c r="AK364" s="3">
        <v>94.999999995343387</v>
      </c>
      <c r="AM364" s="2">
        <v>0</v>
      </c>
      <c r="AN364">
        <v>0</v>
      </c>
      <c r="AO364">
        <v>0.3</v>
      </c>
      <c r="AP364">
        <v>0</v>
      </c>
      <c r="AQ364" s="2">
        <f>IF((2*G364 + M364 -P364 + 3*W364 + 2*Z364+2*AD364 + AG364+2*AJ364 + 4*AM364) &gt;=8,1,0)</f>
        <v>0</v>
      </c>
    </row>
    <row r="365" spans="1:43" x14ac:dyDescent="0.25">
      <c r="A365" t="s">
        <v>27</v>
      </c>
      <c r="B365" s="1">
        <v>38163</v>
      </c>
      <c r="C365" s="7">
        <f t="shared" si="69"/>
        <v>2004</v>
      </c>
      <c r="D365">
        <v>88.9</v>
      </c>
      <c r="E365">
        <v>68.8</v>
      </c>
      <c r="F365">
        <v>78</v>
      </c>
      <c r="G365" s="2">
        <f t="shared" si="68"/>
        <v>1</v>
      </c>
      <c r="H365">
        <v>86.8</v>
      </c>
      <c r="I365">
        <v>68.8</v>
      </c>
      <c r="J365">
        <v>77.7</v>
      </c>
      <c r="K365">
        <v>58.3</v>
      </c>
      <c r="L365">
        <v>52.7</v>
      </c>
      <c r="M365" s="2">
        <f t="shared" si="70"/>
        <v>0</v>
      </c>
      <c r="N365">
        <v>0</v>
      </c>
      <c r="P365" s="2">
        <f t="shared" si="71"/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s="2">
        <f t="shared" si="72"/>
        <v>0</v>
      </c>
      <c r="X365">
        <v>12.5</v>
      </c>
      <c r="Z365" s="2">
        <f t="shared" si="73"/>
        <v>0</v>
      </c>
      <c r="AA365">
        <v>167</v>
      </c>
      <c r="AB365" s="2" t="str">
        <f>CHOOSE(MATCH(AA365,{0;11;80;111;161;191;241;281;341},1),"North","NorthEast","East","SouthEast","South","SouthWest","West","NorthWest","North")</f>
        <v>South</v>
      </c>
      <c r="AC365" s="5">
        <f>CHOOSE(MATCH(AB365,{"South";"SouthEast";"SouthWest";"North";"NorthEast";"East";"West";"NorthWest"},0),1,2,3,4,5,6,7,8)</f>
        <v>1</v>
      </c>
      <c r="AD365" s="2">
        <f t="shared" si="74"/>
        <v>0</v>
      </c>
      <c r="AE365">
        <v>1012.7</v>
      </c>
      <c r="AF365" s="4" t="s">
        <v>674</v>
      </c>
      <c r="AG365" s="2">
        <f t="shared" si="75"/>
        <v>1</v>
      </c>
      <c r="AH365" t="s">
        <v>675</v>
      </c>
      <c r="AI365" s="2">
        <f t="shared" si="76"/>
        <v>6</v>
      </c>
      <c r="AJ365" s="2">
        <f t="shared" si="77"/>
        <v>1</v>
      </c>
      <c r="AK365" s="3">
        <v>155.00000000232831</v>
      </c>
      <c r="AM365" s="2">
        <v>0</v>
      </c>
      <c r="AN365">
        <v>0</v>
      </c>
      <c r="AO365">
        <v>0.1</v>
      </c>
      <c r="AP365">
        <v>0</v>
      </c>
      <c r="AQ365" s="2">
        <f>IF((2*G365 + M365 -P365 + 3*W365 + 2*Z365+2*AD365 + AG365+2*AJ365 + 4*AM365) &gt;=8,1,0)</f>
        <v>0</v>
      </c>
    </row>
    <row r="366" spans="1:43" x14ac:dyDescent="0.25">
      <c r="A366" t="s">
        <v>27</v>
      </c>
      <c r="B366" s="1">
        <v>38166</v>
      </c>
      <c r="C366" s="7">
        <f t="shared" si="69"/>
        <v>2004</v>
      </c>
      <c r="D366">
        <v>88</v>
      </c>
      <c r="E366">
        <v>70.400000000000006</v>
      </c>
      <c r="F366">
        <v>80</v>
      </c>
      <c r="G366" s="2">
        <f t="shared" si="68"/>
        <v>1</v>
      </c>
      <c r="H366">
        <v>87.4</v>
      </c>
      <c r="I366">
        <v>70.400000000000006</v>
      </c>
      <c r="J366">
        <v>79.400000000000006</v>
      </c>
      <c r="K366">
        <v>54.1</v>
      </c>
      <c r="L366">
        <v>41.5</v>
      </c>
      <c r="M366" s="2">
        <f t="shared" si="70"/>
        <v>1</v>
      </c>
      <c r="N366">
        <v>0</v>
      </c>
      <c r="P366" s="2">
        <f t="shared" si="71"/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s="2">
        <f t="shared" si="72"/>
        <v>0</v>
      </c>
      <c r="X366">
        <v>20.6</v>
      </c>
      <c r="Z366" s="2">
        <f t="shared" si="73"/>
        <v>1</v>
      </c>
      <c r="AA366">
        <v>8.6</v>
      </c>
      <c r="AB366" s="2" t="str">
        <f>CHOOSE(MATCH(AA366,{0;11;80;111;161;191;241;281;341},1),"North","NorthEast","East","SouthEast","South","SouthWest","West","NorthWest","North")</f>
        <v>North</v>
      </c>
      <c r="AC366" s="5">
        <f>CHOOSE(MATCH(AB366,{"South";"SouthEast";"SouthWest";"North";"NorthEast";"East";"West";"NorthWest"},0),1,2,3,4,5,6,7,8)</f>
        <v>4</v>
      </c>
      <c r="AD366" s="2">
        <f t="shared" si="74"/>
        <v>1</v>
      </c>
      <c r="AE366">
        <v>1018.5</v>
      </c>
      <c r="AF366" s="4" t="s">
        <v>676</v>
      </c>
      <c r="AG366" s="2">
        <f t="shared" si="75"/>
        <v>0</v>
      </c>
      <c r="AH366" t="s">
        <v>677</v>
      </c>
      <c r="AI366" s="2">
        <f t="shared" si="76"/>
        <v>6</v>
      </c>
      <c r="AJ366" s="2">
        <f t="shared" si="77"/>
        <v>1</v>
      </c>
      <c r="AK366" s="3">
        <v>1360.0000000011639</v>
      </c>
      <c r="AM366" s="2">
        <v>1</v>
      </c>
      <c r="AN366">
        <v>0</v>
      </c>
      <c r="AO366">
        <v>25</v>
      </c>
      <c r="AP366">
        <v>0</v>
      </c>
      <c r="AQ366" s="2">
        <f>IF((2*G366 + M366 -P366 + 3*W366 + 2*Z366+2*AD366 + AG366+2*AJ366 + 4*AM366) &gt;=8,1,0)</f>
        <v>1</v>
      </c>
    </row>
    <row r="367" spans="1:43" x14ac:dyDescent="0.25">
      <c r="A367" t="s">
        <v>27</v>
      </c>
      <c r="B367" s="1">
        <v>38172</v>
      </c>
      <c r="C367" s="7">
        <f t="shared" si="69"/>
        <v>2004</v>
      </c>
      <c r="D367">
        <v>94.6</v>
      </c>
      <c r="E367">
        <v>75.3</v>
      </c>
      <c r="F367">
        <v>84.5</v>
      </c>
      <c r="G367" s="2">
        <f t="shared" si="68"/>
        <v>1</v>
      </c>
      <c r="H367">
        <v>94.3</v>
      </c>
      <c r="I367">
        <v>75.3</v>
      </c>
      <c r="J367">
        <v>84.3</v>
      </c>
      <c r="K367">
        <v>60.1</v>
      </c>
      <c r="L367">
        <v>45.2</v>
      </c>
      <c r="M367" s="2">
        <f t="shared" si="70"/>
        <v>1</v>
      </c>
      <c r="N367">
        <v>0</v>
      </c>
      <c r="P367" s="2">
        <f t="shared" si="71"/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s="2">
        <f t="shared" si="72"/>
        <v>0</v>
      </c>
      <c r="X367">
        <v>17.899999999999999</v>
      </c>
      <c r="Z367" s="2">
        <f t="shared" si="73"/>
        <v>1</v>
      </c>
      <c r="AA367">
        <v>23.1</v>
      </c>
      <c r="AB367" s="2" t="str">
        <f>CHOOSE(MATCH(AA367,{0;11;80;111;161;191;241;281;341},1),"North","NorthEast","East","SouthEast","South","SouthWest","West","NorthWest","North")</f>
        <v>NorthEast</v>
      </c>
      <c r="AC367" s="5">
        <f>CHOOSE(MATCH(AB367,{"South";"SouthEast";"SouthWest";"North";"NorthEast";"East";"West";"NorthWest"},0),1,2,3,4,5,6,7,8)</f>
        <v>5</v>
      </c>
      <c r="AD367" s="2">
        <f t="shared" si="74"/>
        <v>1</v>
      </c>
      <c r="AE367">
        <v>1013.5</v>
      </c>
      <c r="AF367" s="4" t="s">
        <v>416</v>
      </c>
      <c r="AG367" s="2">
        <f t="shared" si="75"/>
        <v>0</v>
      </c>
      <c r="AH367" t="s">
        <v>678</v>
      </c>
      <c r="AI367" s="2">
        <f t="shared" si="76"/>
        <v>7</v>
      </c>
      <c r="AJ367" s="2">
        <f t="shared" si="77"/>
        <v>1</v>
      </c>
      <c r="AK367" s="3">
        <v>744.99999999767169</v>
      </c>
      <c r="AM367" s="2">
        <v>1</v>
      </c>
      <c r="AN367">
        <v>0</v>
      </c>
      <c r="AO367">
        <v>0.2</v>
      </c>
      <c r="AP367">
        <v>0</v>
      </c>
      <c r="AQ367" s="2">
        <f>IF((2*G367 + M367 -P367 + 3*W367 + 2*Z367+2*AD367 + AG367+2*AJ367 + 4*AM367) &gt;=8,1,0)</f>
        <v>1</v>
      </c>
    </row>
    <row r="368" spans="1:43" x14ac:dyDescent="0.25">
      <c r="A368" t="s">
        <v>27</v>
      </c>
      <c r="B368" s="1">
        <v>38173</v>
      </c>
      <c r="C368" s="7">
        <f t="shared" si="69"/>
        <v>2004</v>
      </c>
      <c r="D368">
        <v>90.8</v>
      </c>
      <c r="E368">
        <v>77.5</v>
      </c>
      <c r="F368">
        <v>83.3</v>
      </c>
      <c r="G368" s="2">
        <f t="shared" si="68"/>
        <v>1</v>
      </c>
      <c r="H368">
        <v>88</v>
      </c>
      <c r="I368">
        <v>77.5</v>
      </c>
      <c r="J368">
        <v>82</v>
      </c>
      <c r="K368">
        <v>51.3</v>
      </c>
      <c r="L368">
        <v>34.200000000000003</v>
      </c>
      <c r="M368" s="2">
        <f t="shared" si="70"/>
        <v>1</v>
      </c>
      <c r="N368">
        <v>0</v>
      </c>
      <c r="P368" s="2">
        <f t="shared" si="71"/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s="2">
        <f t="shared" si="72"/>
        <v>0</v>
      </c>
      <c r="X368">
        <v>24.8</v>
      </c>
      <c r="Z368" s="2">
        <f t="shared" si="73"/>
        <v>1</v>
      </c>
      <c r="AA368">
        <v>4.4000000000000004</v>
      </c>
      <c r="AB368" s="2" t="str">
        <f>CHOOSE(MATCH(AA368,{0;11;80;111;161;191;241;281;341},1),"North","NorthEast","East","SouthEast","South","SouthWest","West","NorthWest","North")</f>
        <v>North</v>
      </c>
      <c r="AC368" s="5">
        <f>CHOOSE(MATCH(AB368,{"South";"SouthEast";"SouthWest";"North";"NorthEast";"East";"West";"NorthWest"},0),1,2,3,4,5,6,7,8)</f>
        <v>4</v>
      </c>
      <c r="AD368" s="2">
        <f t="shared" si="74"/>
        <v>1</v>
      </c>
      <c r="AE368">
        <v>1015.1</v>
      </c>
      <c r="AF368" s="4" t="s">
        <v>481</v>
      </c>
      <c r="AG368" s="2">
        <f t="shared" si="75"/>
        <v>0</v>
      </c>
      <c r="AH368" t="s">
        <v>679</v>
      </c>
      <c r="AI368" s="2">
        <f t="shared" si="76"/>
        <v>7</v>
      </c>
      <c r="AJ368" s="2">
        <f t="shared" si="77"/>
        <v>1</v>
      </c>
      <c r="AK368" s="3">
        <v>1579.9999999953429</v>
      </c>
      <c r="AM368" s="2">
        <v>1</v>
      </c>
      <c r="AN368">
        <v>7</v>
      </c>
      <c r="AO368">
        <v>7</v>
      </c>
      <c r="AP368">
        <v>0</v>
      </c>
      <c r="AQ368" s="2">
        <f>IF((2*G368 + M368 -P368 + 3*W368 + 2*Z368+2*AD368 + AG368+2*AJ368 + 4*AM368) &gt;=8,1,0)</f>
        <v>1</v>
      </c>
    </row>
    <row r="369" spans="1:43" x14ac:dyDescent="0.25">
      <c r="A369" t="s">
        <v>27</v>
      </c>
      <c r="B369" s="1">
        <v>38173</v>
      </c>
      <c r="C369" s="7">
        <f t="shared" si="69"/>
        <v>2004</v>
      </c>
      <c r="D369">
        <v>90.8</v>
      </c>
      <c r="E369">
        <v>77.5</v>
      </c>
      <c r="F369">
        <v>83.3</v>
      </c>
      <c r="G369" s="2">
        <f t="shared" si="68"/>
        <v>1</v>
      </c>
      <c r="H369">
        <v>88</v>
      </c>
      <c r="I369">
        <v>77.5</v>
      </c>
      <c r="J369">
        <v>82</v>
      </c>
      <c r="K369">
        <v>51.3</v>
      </c>
      <c r="L369">
        <v>34.200000000000003</v>
      </c>
      <c r="M369" s="2">
        <f t="shared" si="70"/>
        <v>1</v>
      </c>
      <c r="N369">
        <v>0</v>
      </c>
      <c r="P369" s="2">
        <f t="shared" si="71"/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s="2">
        <f t="shared" si="72"/>
        <v>0</v>
      </c>
      <c r="X369">
        <v>24.8</v>
      </c>
      <c r="Z369" s="2">
        <f t="shared" si="73"/>
        <v>1</v>
      </c>
      <c r="AA369">
        <v>4.4000000000000004</v>
      </c>
      <c r="AB369" s="2" t="str">
        <f>CHOOSE(MATCH(AA369,{0;11;80;111;161;191;241;281;341},1),"North","NorthEast","East","SouthEast","South","SouthWest","West","NorthWest","North")</f>
        <v>North</v>
      </c>
      <c r="AC369" s="5">
        <f>CHOOSE(MATCH(AB369,{"South";"SouthEast";"SouthWest";"North";"NorthEast";"East";"West";"NorthWest"},0),1,2,3,4,5,6,7,8)</f>
        <v>4</v>
      </c>
      <c r="AD369" s="2">
        <f t="shared" si="74"/>
        <v>1</v>
      </c>
      <c r="AE369">
        <v>1015.1</v>
      </c>
      <c r="AF369" s="4" t="s">
        <v>680</v>
      </c>
      <c r="AG369" s="2">
        <f t="shared" si="75"/>
        <v>0</v>
      </c>
      <c r="AH369" t="s">
        <v>681</v>
      </c>
      <c r="AI369" s="2">
        <f t="shared" si="76"/>
        <v>7</v>
      </c>
      <c r="AJ369" s="2">
        <f t="shared" si="77"/>
        <v>1</v>
      </c>
      <c r="AK369" s="3">
        <v>1243.000000007451</v>
      </c>
      <c r="AM369" s="2">
        <v>1</v>
      </c>
      <c r="AN369">
        <v>170</v>
      </c>
      <c r="AO369">
        <v>20</v>
      </c>
      <c r="AP369">
        <v>0</v>
      </c>
      <c r="AQ369" s="2">
        <f>IF((2*G369 + M369 -P369 + 3*W369 + 2*Z369+2*AD369 + AG369+2*AJ369 + 4*AM369) &gt;=8,1,0)</f>
        <v>1</v>
      </c>
    </row>
    <row r="370" spans="1:43" x14ac:dyDescent="0.25">
      <c r="A370" t="s">
        <v>27</v>
      </c>
      <c r="B370" s="1">
        <v>38174</v>
      </c>
      <c r="C370" s="7">
        <f t="shared" si="69"/>
        <v>2004</v>
      </c>
      <c r="D370">
        <v>89.6</v>
      </c>
      <c r="E370">
        <v>73.900000000000006</v>
      </c>
      <c r="F370">
        <v>81.900000000000006</v>
      </c>
      <c r="G370" s="2">
        <f t="shared" si="68"/>
        <v>1</v>
      </c>
      <c r="H370">
        <v>86</v>
      </c>
      <c r="I370">
        <v>73.900000000000006</v>
      </c>
      <c r="J370">
        <v>80.400000000000006</v>
      </c>
      <c r="K370">
        <v>46.5</v>
      </c>
      <c r="L370">
        <v>30.1</v>
      </c>
      <c r="M370" s="2">
        <f t="shared" si="70"/>
        <v>1</v>
      </c>
      <c r="N370">
        <v>0</v>
      </c>
      <c r="P370" s="2">
        <f t="shared" si="71"/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s="2">
        <f t="shared" si="72"/>
        <v>0</v>
      </c>
      <c r="X370">
        <v>28.7</v>
      </c>
      <c r="Z370" s="2">
        <f t="shared" si="73"/>
        <v>1</v>
      </c>
      <c r="AA370">
        <v>358.3</v>
      </c>
      <c r="AB370" s="2" t="str">
        <f>CHOOSE(MATCH(AA370,{0;11;80;111;161;191;241;281;341},1),"North","NorthEast","East","SouthEast","South","SouthWest","West","NorthWest","North")</f>
        <v>North</v>
      </c>
      <c r="AC370" s="5">
        <f>CHOOSE(MATCH(AB370,{"South";"SouthEast";"SouthWest";"North";"NorthEast";"East";"West";"NorthWest"},0),1,2,3,4,5,6,7,8)</f>
        <v>4</v>
      </c>
      <c r="AD370" s="2">
        <f t="shared" si="74"/>
        <v>1</v>
      </c>
      <c r="AE370">
        <v>1013</v>
      </c>
      <c r="AF370" s="4" t="s">
        <v>76</v>
      </c>
      <c r="AG370" s="2">
        <f t="shared" si="75"/>
        <v>0</v>
      </c>
      <c r="AH370" t="s">
        <v>682</v>
      </c>
      <c r="AI370" s="2">
        <f t="shared" si="76"/>
        <v>7</v>
      </c>
      <c r="AJ370" s="2">
        <f t="shared" si="77"/>
        <v>1</v>
      </c>
      <c r="AK370" s="3">
        <v>5595.9999999997672</v>
      </c>
      <c r="AM370" s="2">
        <v>1</v>
      </c>
      <c r="AN370">
        <v>50</v>
      </c>
      <c r="AO370">
        <v>50</v>
      </c>
      <c r="AP370">
        <v>0</v>
      </c>
      <c r="AQ370" s="2">
        <f>IF((2*G370 + M370 -P370 + 3*W370 + 2*Z370+2*AD370 + AG370+2*AJ370 + 4*AM370) &gt;=8,1,0)</f>
        <v>1</v>
      </c>
    </row>
    <row r="371" spans="1:43" x14ac:dyDescent="0.25">
      <c r="A371" t="s">
        <v>27</v>
      </c>
      <c r="B371" s="1">
        <v>38175</v>
      </c>
      <c r="C371" s="7">
        <f t="shared" si="69"/>
        <v>2004</v>
      </c>
      <c r="D371">
        <v>92.1</v>
      </c>
      <c r="E371">
        <v>75.099999999999994</v>
      </c>
      <c r="F371">
        <v>83</v>
      </c>
      <c r="G371" s="2">
        <f t="shared" si="68"/>
        <v>1</v>
      </c>
      <c r="H371">
        <v>88.1</v>
      </c>
      <c r="I371">
        <v>75.099999999999994</v>
      </c>
      <c r="J371">
        <v>81.099999999999994</v>
      </c>
      <c r="K371">
        <v>44.6</v>
      </c>
      <c r="L371">
        <v>27.6</v>
      </c>
      <c r="M371" s="2">
        <f t="shared" si="70"/>
        <v>1</v>
      </c>
      <c r="N371">
        <v>0</v>
      </c>
      <c r="P371" s="2">
        <f t="shared" si="71"/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2">
        <f t="shared" si="72"/>
        <v>0</v>
      </c>
      <c r="X371">
        <v>24.4</v>
      </c>
      <c r="Z371" s="2">
        <f t="shared" si="73"/>
        <v>1</v>
      </c>
      <c r="AA371">
        <v>355.5</v>
      </c>
      <c r="AB371" s="2" t="str">
        <f>CHOOSE(MATCH(AA371,{0;11;80;111;161;191;241;281;341},1),"North","NorthEast","East","SouthEast","South","SouthWest","West","NorthWest","North")</f>
        <v>North</v>
      </c>
      <c r="AC371" s="5">
        <f>CHOOSE(MATCH(AB371,{"South";"SouthEast";"SouthWest";"North";"NorthEast";"East";"West";"NorthWest"},0),1,2,3,4,5,6,7,8)</f>
        <v>4</v>
      </c>
      <c r="AD371" s="2">
        <f t="shared" si="74"/>
        <v>1</v>
      </c>
      <c r="AE371">
        <v>1012.1</v>
      </c>
      <c r="AF371" s="4" t="s">
        <v>162</v>
      </c>
      <c r="AG371" s="2">
        <f t="shared" si="75"/>
        <v>1</v>
      </c>
      <c r="AH371" t="s">
        <v>683</v>
      </c>
      <c r="AI371" s="2">
        <f t="shared" si="76"/>
        <v>7</v>
      </c>
      <c r="AJ371" s="2">
        <f t="shared" si="77"/>
        <v>1</v>
      </c>
      <c r="AK371" s="3">
        <v>1993.9999999932479</v>
      </c>
      <c r="AM371" s="2">
        <v>1</v>
      </c>
      <c r="AN371">
        <v>150</v>
      </c>
      <c r="AO371">
        <v>150</v>
      </c>
      <c r="AP371">
        <v>0</v>
      </c>
      <c r="AQ371" s="2">
        <f>IF((2*G371 + M371 -P371 + 3*W371 + 2*Z371+2*AD371 + AG371+2*AJ371 + 4*AM371) &gt;=8,1,0)</f>
        <v>1</v>
      </c>
    </row>
    <row r="372" spans="1:43" x14ac:dyDescent="0.25">
      <c r="A372" t="s">
        <v>27</v>
      </c>
      <c r="B372" s="1">
        <v>38175</v>
      </c>
      <c r="C372" s="7">
        <f t="shared" si="69"/>
        <v>2004</v>
      </c>
      <c r="D372">
        <v>92.1</v>
      </c>
      <c r="E372">
        <v>75.099999999999994</v>
      </c>
      <c r="F372">
        <v>83</v>
      </c>
      <c r="G372" s="2">
        <f t="shared" si="68"/>
        <v>1</v>
      </c>
      <c r="H372">
        <v>88.1</v>
      </c>
      <c r="I372">
        <v>75.099999999999994</v>
      </c>
      <c r="J372">
        <v>81.099999999999994</v>
      </c>
      <c r="K372">
        <v>44.6</v>
      </c>
      <c r="L372">
        <v>27.6</v>
      </c>
      <c r="M372" s="2">
        <f t="shared" si="70"/>
        <v>1</v>
      </c>
      <c r="N372">
        <v>0</v>
      </c>
      <c r="P372" s="2">
        <f t="shared" si="71"/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s="2">
        <f t="shared" si="72"/>
        <v>0</v>
      </c>
      <c r="X372">
        <v>24.4</v>
      </c>
      <c r="Z372" s="2">
        <f t="shared" si="73"/>
        <v>1</v>
      </c>
      <c r="AA372">
        <v>355.5</v>
      </c>
      <c r="AB372" s="2" t="str">
        <f>CHOOSE(MATCH(AA372,{0;11;80;111;161;191;241;281;341},1),"North","NorthEast","East","SouthEast","South","SouthWest","West","NorthWest","North")</f>
        <v>North</v>
      </c>
      <c r="AC372" s="5">
        <f>CHOOSE(MATCH(AB372,{"South";"SouthEast";"SouthWest";"North";"NorthEast";"East";"West";"NorthWest"},0),1,2,3,4,5,6,7,8)</f>
        <v>4</v>
      </c>
      <c r="AD372" s="2">
        <f t="shared" si="74"/>
        <v>1</v>
      </c>
      <c r="AE372">
        <v>1012.1</v>
      </c>
      <c r="AF372" s="4" t="s">
        <v>315</v>
      </c>
      <c r="AG372" s="2">
        <f t="shared" si="75"/>
        <v>1</v>
      </c>
      <c r="AH372" t="s">
        <v>684</v>
      </c>
      <c r="AI372" s="2">
        <f t="shared" si="76"/>
        <v>7</v>
      </c>
      <c r="AJ372" s="2">
        <f t="shared" si="77"/>
        <v>1</v>
      </c>
      <c r="AK372" s="3">
        <v>304.99999999883579</v>
      </c>
      <c r="AM372" s="2">
        <v>0</v>
      </c>
      <c r="AN372">
        <v>0</v>
      </c>
      <c r="AO372">
        <v>0.1</v>
      </c>
      <c r="AP372">
        <v>0</v>
      </c>
      <c r="AQ372" s="2">
        <f>IF((2*G372 + M372 -P372 + 3*W372 + 2*Z372+2*AD372 + AG372+2*AJ372 + 4*AM372) &gt;=8,1,0)</f>
        <v>1</v>
      </c>
    </row>
    <row r="373" spans="1:43" x14ac:dyDescent="0.25">
      <c r="A373" t="s">
        <v>27</v>
      </c>
      <c r="B373" s="1">
        <v>38176</v>
      </c>
      <c r="C373" s="7">
        <f t="shared" si="69"/>
        <v>2004</v>
      </c>
      <c r="D373">
        <v>90.6</v>
      </c>
      <c r="E373">
        <v>75</v>
      </c>
      <c r="F373">
        <v>82.7</v>
      </c>
      <c r="G373" s="2">
        <f t="shared" si="68"/>
        <v>1</v>
      </c>
      <c r="H373">
        <v>87.1</v>
      </c>
      <c r="I373">
        <v>75</v>
      </c>
      <c r="J373">
        <v>81.099999999999994</v>
      </c>
      <c r="K373">
        <v>48.4</v>
      </c>
      <c r="L373">
        <v>31.2</v>
      </c>
      <c r="M373" s="2">
        <f t="shared" si="70"/>
        <v>1</v>
      </c>
      <c r="N373">
        <v>0</v>
      </c>
      <c r="P373" s="2">
        <f t="shared" si="71"/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s="2">
        <f t="shared" si="72"/>
        <v>0</v>
      </c>
      <c r="X373">
        <v>24.7</v>
      </c>
      <c r="Z373" s="2">
        <f t="shared" si="73"/>
        <v>1</v>
      </c>
      <c r="AA373">
        <v>354.9</v>
      </c>
      <c r="AB373" s="2" t="str">
        <f>CHOOSE(MATCH(AA373,{0;11;80;111;161;191;241;281;341},1),"North","NorthEast","East","SouthEast","South","SouthWest","West","NorthWest","North")</f>
        <v>North</v>
      </c>
      <c r="AC373" s="5">
        <f>CHOOSE(MATCH(AB373,{"South";"SouthEast";"SouthWest";"North";"NorthEast";"East";"West";"NorthWest"},0),1,2,3,4,5,6,7,8)</f>
        <v>4</v>
      </c>
      <c r="AD373" s="2">
        <f t="shared" si="74"/>
        <v>1</v>
      </c>
      <c r="AE373">
        <v>1013.2</v>
      </c>
      <c r="AF373" s="4" t="s">
        <v>685</v>
      </c>
      <c r="AG373" s="2">
        <f t="shared" si="75"/>
        <v>0</v>
      </c>
      <c r="AH373" t="s">
        <v>686</v>
      </c>
      <c r="AI373" s="2">
        <f t="shared" si="76"/>
        <v>7</v>
      </c>
      <c r="AJ373" s="2">
        <f t="shared" si="77"/>
        <v>1</v>
      </c>
      <c r="AK373" s="3">
        <v>6334.0000000060536</v>
      </c>
      <c r="AM373" s="2">
        <v>1</v>
      </c>
      <c r="AN373">
        <v>110</v>
      </c>
      <c r="AO373">
        <v>110</v>
      </c>
      <c r="AP373">
        <v>0</v>
      </c>
      <c r="AQ373" s="2">
        <f>IF((2*G373 + M373 -P373 + 3*W373 + 2*Z373+2*AD373 + AG373+2*AJ373 + 4*AM373) &gt;=8,1,0)</f>
        <v>1</v>
      </c>
    </row>
    <row r="374" spans="1:43" x14ac:dyDescent="0.25">
      <c r="A374" t="s">
        <v>27</v>
      </c>
      <c r="B374" s="1">
        <v>38176</v>
      </c>
      <c r="C374" s="7">
        <f t="shared" si="69"/>
        <v>2004</v>
      </c>
      <c r="D374">
        <v>90.6</v>
      </c>
      <c r="E374">
        <v>75</v>
      </c>
      <c r="F374">
        <v>82.7</v>
      </c>
      <c r="G374" s="2">
        <f t="shared" si="68"/>
        <v>1</v>
      </c>
      <c r="H374">
        <v>87.1</v>
      </c>
      <c r="I374">
        <v>75</v>
      </c>
      <c r="J374">
        <v>81.099999999999994</v>
      </c>
      <c r="K374">
        <v>48.4</v>
      </c>
      <c r="L374">
        <v>31.2</v>
      </c>
      <c r="M374" s="2">
        <f t="shared" si="70"/>
        <v>1</v>
      </c>
      <c r="N374">
        <v>0</v>
      </c>
      <c r="P374" s="2">
        <f t="shared" si="71"/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s="2">
        <f t="shared" si="72"/>
        <v>0</v>
      </c>
      <c r="X374">
        <v>24.7</v>
      </c>
      <c r="Z374" s="2">
        <f t="shared" si="73"/>
        <v>1</v>
      </c>
      <c r="AA374">
        <v>354.9</v>
      </c>
      <c r="AB374" s="2" t="str">
        <f>CHOOSE(MATCH(AA374,{0;11;80;111;161;191;241;281;341},1),"North","NorthEast","East","SouthEast","South","SouthWest","West","NorthWest","North")</f>
        <v>North</v>
      </c>
      <c r="AC374" s="5">
        <f>CHOOSE(MATCH(AB374,{"South";"SouthEast";"SouthWest";"North";"NorthEast";"East";"West";"NorthWest"},0),1,2,3,4,5,6,7,8)</f>
        <v>4</v>
      </c>
      <c r="AD374" s="2">
        <f t="shared" si="74"/>
        <v>1</v>
      </c>
      <c r="AE374">
        <v>1013.2</v>
      </c>
      <c r="AF374" s="4" t="s">
        <v>148</v>
      </c>
      <c r="AG374" s="2">
        <f t="shared" si="75"/>
        <v>0</v>
      </c>
      <c r="AH374" t="s">
        <v>687</v>
      </c>
      <c r="AI374" s="2">
        <f t="shared" si="76"/>
        <v>7</v>
      </c>
      <c r="AJ374" s="2">
        <f t="shared" si="77"/>
        <v>1</v>
      </c>
      <c r="AK374" s="3">
        <v>4189.9999999953434</v>
      </c>
      <c r="AM374" s="2">
        <v>1</v>
      </c>
      <c r="AN374">
        <v>0</v>
      </c>
      <c r="AO374">
        <v>300</v>
      </c>
      <c r="AP374">
        <v>0</v>
      </c>
      <c r="AQ374" s="2">
        <f>IF((2*G374 + M374 -P374 + 3*W374 + 2*Z374+2*AD374 + AG374+2*AJ374 + 4*AM374) &gt;=8,1,0)</f>
        <v>1</v>
      </c>
    </row>
    <row r="375" spans="1:43" x14ac:dyDescent="0.25">
      <c r="A375" t="s">
        <v>27</v>
      </c>
      <c r="B375" s="1">
        <v>38176</v>
      </c>
      <c r="C375" s="7">
        <f t="shared" si="69"/>
        <v>2004</v>
      </c>
      <c r="D375">
        <v>90.6</v>
      </c>
      <c r="E375">
        <v>75</v>
      </c>
      <c r="F375">
        <v>82.7</v>
      </c>
      <c r="G375" s="2">
        <f t="shared" si="68"/>
        <v>1</v>
      </c>
      <c r="H375">
        <v>87.1</v>
      </c>
      <c r="I375">
        <v>75</v>
      </c>
      <c r="J375">
        <v>81.099999999999994</v>
      </c>
      <c r="K375">
        <v>48.4</v>
      </c>
      <c r="L375">
        <v>31.2</v>
      </c>
      <c r="M375" s="2">
        <f t="shared" si="70"/>
        <v>1</v>
      </c>
      <c r="N375">
        <v>0</v>
      </c>
      <c r="P375" s="2">
        <f t="shared" si="71"/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s="2">
        <f t="shared" si="72"/>
        <v>0</v>
      </c>
      <c r="X375">
        <v>24.7</v>
      </c>
      <c r="Z375" s="2">
        <f t="shared" si="73"/>
        <v>1</v>
      </c>
      <c r="AA375">
        <v>354.9</v>
      </c>
      <c r="AB375" s="2" t="str">
        <f>CHOOSE(MATCH(AA375,{0;11;80;111;161;191;241;281;341},1),"North","NorthEast","East","SouthEast","South","SouthWest","West","NorthWest","North")</f>
        <v>North</v>
      </c>
      <c r="AC375" s="5">
        <f>CHOOSE(MATCH(AB375,{"South";"SouthEast";"SouthWest";"North";"NorthEast";"East";"West";"NorthWest"},0),1,2,3,4,5,6,7,8)</f>
        <v>4</v>
      </c>
      <c r="AD375" s="2">
        <f t="shared" si="74"/>
        <v>1</v>
      </c>
      <c r="AE375">
        <v>1013.2</v>
      </c>
      <c r="AF375" s="4" t="s">
        <v>688</v>
      </c>
      <c r="AG375" s="2">
        <f t="shared" si="75"/>
        <v>1</v>
      </c>
      <c r="AH375" t="s">
        <v>689</v>
      </c>
      <c r="AI375" s="2">
        <f t="shared" si="76"/>
        <v>7</v>
      </c>
      <c r="AJ375" s="2">
        <f t="shared" si="77"/>
        <v>1</v>
      </c>
      <c r="AK375" s="3">
        <v>11351.99999999721</v>
      </c>
      <c r="AM375" s="2">
        <v>1</v>
      </c>
      <c r="AN375">
        <v>0</v>
      </c>
      <c r="AO375">
        <v>3500</v>
      </c>
      <c r="AP375">
        <v>0</v>
      </c>
      <c r="AQ375" s="2">
        <f>IF((2*G375 + M375 -P375 + 3*W375 + 2*Z375+2*AD375 + AG375+2*AJ375 + 4*AM375) &gt;=8,1,0)</f>
        <v>1</v>
      </c>
    </row>
    <row r="376" spans="1:43" x14ac:dyDescent="0.25">
      <c r="A376" t="s">
        <v>27</v>
      </c>
      <c r="B376" s="1">
        <v>38177</v>
      </c>
      <c r="C376" s="7">
        <f t="shared" si="69"/>
        <v>2004</v>
      </c>
      <c r="D376">
        <v>94.3</v>
      </c>
      <c r="E376">
        <v>76.5</v>
      </c>
      <c r="F376">
        <v>85.5</v>
      </c>
      <c r="G376" s="2">
        <f t="shared" si="68"/>
        <v>1</v>
      </c>
      <c r="H376">
        <v>91.5</v>
      </c>
      <c r="I376">
        <v>76.5</v>
      </c>
      <c r="J376">
        <v>84</v>
      </c>
      <c r="K376">
        <v>52.3</v>
      </c>
      <c r="L376">
        <v>32.6</v>
      </c>
      <c r="M376" s="2">
        <f t="shared" si="70"/>
        <v>1</v>
      </c>
      <c r="N376">
        <v>0</v>
      </c>
      <c r="P376" s="2">
        <f t="shared" si="71"/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s="2">
        <f t="shared" si="72"/>
        <v>0</v>
      </c>
      <c r="X376">
        <v>24.2</v>
      </c>
      <c r="Z376" s="2">
        <f t="shared" si="73"/>
        <v>1</v>
      </c>
      <c r="AA376">
        <v>357.6</v>
      </c>
      <c r="AB376" s="2" t="str">
        <f>CHOOSE(MATCH(AA376,{0;11;80;111;161;191;241;281;341},1),"North","NorthEast","East","SouthEast","South","SouthWest","West","NorthWest","North")</f>
        <v>North</v>
      </c>
      <c r="AC376" s="5">
        <f>CHOOSE(MATCH(AB376,{"South";"SouthEast";"SouthWest";"North";"NorthEast";"East";"West";"NorthWest"},0),1,2,3,4,5,6,7,8)</f>
        <v>4</v>
      </c>
      <c r="AD376" s="2">
        <f t="shared" si="74"/>
        <v>1</v>
      </c>
      <c r="AE376">
        <v>1012.8</v>
      </c>
      <c r="AF376" s="4" t="s">
        <v>138</v>
      </c>
      <c r="AG376" s="2">
        <f t="shared" si="75"/>
        <v>1</v>
      </c>
      <c r="AH376" t="s">
        <v>690</v>
      </c>
      <c r="AI376" s="2">
        <f t="shared" si="76"/>
        <v>7</v>
      </c>
      <c r="AJ376" s="2">
        <f t="shared" si="77"/>
        <v>1</v>
      </c>
      <c r="AK376" s="3">
        <v>1794.999999994179</v>
      </c>
      <c r="AM376" s="2">
        <v>1</v>
      </c>
      <c r="AN376">
        <v>16</v>
      </c>
      <c r="AO376">
        <v>16</v>
      </c>
      <c r="AP376">
        <v>0</v>
      </c>
      <c r="AQ376" s="2">
        <f>IF((2*G376 + M376 -P376 + 3*W376 + 2*Z376+2*AD376 + AG376+2*AJ376 + 4*AM376) &gt;=8,1,0)</f>
        <v>1</v>
      </c>
    </row>
    <row r="377" spans="1:43" x14ac:dyDescent="0.25">
      <c r="A377" t="s">
        <v>27</v>
      </c>
      <c r="B377" s="1">
        <v>38178</v>
      </c>
      <c r="C377" s="7">
        <f t="shared" si="69"/>
        <v>2004</v>
      </c>
      <c r="D377">
        <v>98.6</v>
      </c>
      <c r="E377">
        <v>77.099999999999994</v>
      </c>
      <c r="F377">
        <v>87.5</v>
      </c>
      <c r="G377" s="2">
        <f t="shared" si="68"/>
        <v>1</v>
      </c>
      <c r="H377">
        <v>97.4</v>
      </c>
      <c r="I377">
        <v>77.099999999999994</v>
      </c>
      <c r="J377">
        <v>86.8</v>
      </c>
      <c r="K377">
        <v>56.7</v>
      </c>
      <c r="L377">
        <v>36.6</v>
      </c>
      <c r="M377" s="2">
        <f t="shared" si="70"/>
        <v>1</v>
      </c>
      <c r="N377">
        <v>0</v>
      </c>
      <c r="P377" s="2">
        <f t="shared" si="71"/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s="2">
        <f t="shared" si="72"/>
        <v>0</v>
      </c>
      <c r="X377">
        <v>16.100000000000001</v>
      </c>
      <c r="Z377" s="2">
        <f t="shared" si="73"/>
        <v>1</v>
      </c>
      <c r="AA377">
        <v>6.3</v>
      </c>
      <c r="AB377" s="2" t="str">
        <f>CHOOSE(MATCH(AA377,{0;11;80;111;161;191;241;281;341},1),"North","NorthEast","East","SouthEast","South","SouthWest","West","NorthWest","North")</f>
        <v>North</v>
      </c>
      <c r="AC377" s="5">
        <f>CHOOSE(MATCH(AB377,{"South";"SouthEast";"SouthWest";"North";"NorthEast";"East";"West";"NorthWest"},0),1,2,3,4,5,6,7,8)</f>
        <v>4</v>
      </c>
      <c r="AD377" s="2">
        <f t="shared" si="74"/>
        <v>1</v>
      </c>
      <c r="AE377">
        <v>1010.9</v>
      </c>
      <c r="AF377" s="4" t="s">
        <v>259</v>
      </c>
      <c r="AG377" s="2">
        <f t="shared" si="75"/>
        <v>1</v>
      </c>
      <c r="AH377" t="s">
        <v>691</v>
      </c>
      <c r="AI377" s="2">
        <f t="shared" si="76"/>
        <v>7</v>
      </c>
      <c r="AJ377" s="2">
        <f t="shared" si="77"/>
        <v>1</v>
      </c>
      <c r="AK377" s="3">
        <v>69.999999997671694</v>
      </c>
      <c r="AM377" s="2">
        <v>0</v>
      </c>
      <c r="AN377">
        <v>0</v>
      </c>
      <c r="AO377">
        <v>1</v>
      </c>
      <c r="AP377">
        <v>0</v>
      </c>
      <c r="AQ377" s="2">
        <f>IF((2*G377 + M377 -P377 + 3*W377 + 2*Z377+2*AD377 + AG377+2*AJ377 + 4*AM377) &gt;=8,1,0)</f>
        <v>1</v>
      </c>
    </row>
    <row r="378" spans="1:43" x14ac:dyDescent="0.25">
      <c r="A378" t="s">
        <v>27</v>
      </c>
      <c r="B378" s="1">
        <v>38182</v>
      </c>
      <c r="C378" s="7">
        <f t="shared" si="69"/>
        <v>2004</v>
      </c>
      <c r="D378">
        <v>86.3</v>
      </c>
      <c r="E378">
        <v>70.8</v>
      </c>
      <c r="F378">
        <v>78.3</v>
      </c>
      <c r="G378" s="2">
        <f t="shared" si="68"/>
        <v>1</v>
      </c>
      <c r="H378">
        <v>84.5</v>
      </c>
      <c r="I378">
        <v>70.8</v>
      </c>
      <c r="J378">
        <v>77.8</v>
      </c>
      <c r="K378">
        <v>52.9</v>
      </c>
      <c r="L378">
        <v>42.5</v>
      </c>
      <c r="M378" s="2">
        <f t="shared" si="70"/>
        <v>1</v>
      </c>
      <c r="N378">
        <v>0</v>
      </c>
      <c r="P378" s="2">
        <f t="shared" si="71"/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2">
        <f t="shared" si="72"/>
        <v>0</v>
      </c>
      <c r="X378">
        <v>15.8</v>
      </c>
      <c r="Z378" s="2">
        <f t="shared" si="73"/>
        <v>0</v>
      </c>
      <c r="AA378">
        <v>340.3</v>
      </c>
      <c r="AB378" s="2" t="str">
        <f>CHOOSE(MATCH(AA378,{0;11;80;111;161;191;241;281;341},1),"North","NorthEast","East","SouthEast","South","SouthWest","West","NorthWest","North")</f>
        <v>NorthWest</v>
      </c>
      <c r="AC378" s="5">
        <f>CHOOSE(MATCH(AB378,{"South";"SouthEast";"SouthWest";"North";"NorthEast";"East";"West";"NorthWest"},0),1,2,3,4,5,6,7,8)</f>
        <v>8</v>
      </c>
      <c r="AD378" s="2">
        <f t="shared" si="74"/>
        <v>1</v>
      </c>
      <c r="AE378">
        <v>1007.9</v>
      </c>
      <c r="AF378" s="4" t="s">
        <v>692</v>
      </c>
      <c r="AG378" s="2">
        <f t="shared" si="75"/>
        <v>0</v>
      </c>
      <c r="AH378" t="s">
        <v>693</v>
      </c>
      <c r="AI378" s="2">
        <f t="shared" si="76"/>
        <v>7</v>
      </c>
      <c r="AJ378" s="2">
        <f t="shared" si="77"/>
        <v>1</v>
      </c>
      <c r="AK378" s="3">
        <v>339.99999999767169</v>
      </c>
      <c r="AM378" s="2">
        <v>0</v>
      </c>
      <c r="AN378">
        <v>0</v>
      </c>
      <c r="AO378">
        <v>50</v>
      </c>
      <c r="AP378">
        <v>0</v>
      </c>
      <c r="AQ378" s="2">
        <f>IF((2*G378 + M378 -P378 + 3*W378 + 2*Z378+2*AD378 + AG378+2*AJ378 + 4*AM378) &gt;=8,1,0)</f>
        <v>0</v>
      </c>
    </row>
    <row r="379" spans="1:43" x14ac:dyDescent="0.25">
      <c r="A379" t="s">
        <v>27</v>
      </c>
      <c r="B379" s="1">
        <v>38182</v>
      </c>
      <c r="C379" s="7">
        <f t="shared" si="69"/>
        <v>2004</v>
      </c>
      <c r="D379">
        <v>86.3</v>
      </c>
      <c r="E379">
        <v>70.8</v>
      </c>
      <c r="F379">
        <v>78.3</v>
      </c>
      <c r="G379" s="2">
        <f t="shared" si="68"/>
        <v>1</v>
      </c>
      <c r="H379">
        <v>84.5</v>
      </c>
      <c r="I379">
        <v>70.8</v>
      </c>
      <c r="J379">
        <v>77.8</v>
      </c>
      <c r="K379">
        <v>52.9</v>
      </c>
      <c r="L379">
        <v>42.5</v>
      </c>
      <c r="M379" s="2">
        <f t="shared" si="70"/>
        <v>1</v>
      </c>
      <c r="N379">
        <v>0</v>
      </c>
      <c r="P379" s="2">
        <f t="shared" si="71"/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2">
        <f t="shared" si="72"/>
        <v>0</v>
      </c>
      <c r="X379">
        <v>15.8</v>
      </c>
      <c r="Z379" s="2">
        <f t="shared" si="73"/>
        <v>0</v>
      </c>
      <c r="AA379">
        <v>340.3</v>
      </c>
      <c r="AB379" s="2" t="str">
        <f>CHOOSE(MATCH(AA379,{0;11;80;111;161;191;241;281;341},1),"North","NorthEast","East","SouthEast","South","SouthWest","West","NorthWest","North")</f>
        <v>NorthWest</v>
      </c>
      <c r="AC379" s="5">
        <f>CHOOSE(MATCH(AB379,{"South";"SouthEast";"SouthWest";"North";"NorthEast";"East";"West";"NorthWest"},0),1,2,3,4,5,6,7,8)</f>
        <v>8</v>
      </c>
      <c r="AD379" s="2">
        <f t="shared" si="74"/>
        <v>1</v>
      </c>
      <c r="AE379">
        <v>1007.9</v>
      </c>
      <c r="AF379" s="4" t="s">
        <v>694</v>
      </c>
      <c r="AG379" s="2">
        <f t="shared" si="75"/>
        <v>1</v>
      </c>
      <c r="AH379" t="s">
        <v>695</v>
      </c>
      <c r="AI379" s="2">
        <f t="shared" si="76"/>
        <v>7</v>
      </c>
      <c r="AJ379" s="2">
        <f t="shared" si="77"/>
        <v>1</v>
      </c>
      <c r="AK379" s="3">
        <v>1028.000000008615</v>
      </c>
      <c r="AM379" s="2">
        <v>1</v>
      </c>
      <c r="AN379">
        <v>25</v>
      </c>
      <c r="AO379">
        <v>0</v>
      </c>
      <c r="AP379">
        <v>0</v>
      </c>
      <c r="AQ379" s="2">
        <f>IF((2*G379 + M379 -P379 + 3*W379 + 2*Z379+2*AD379 + AG379+2*AJ379 + 4*AM379) &gt;=8,1,0)</f>
        <v>1</v>
      </c>
    </row>
    <row r="380" spans="1:43" x14ac:dyDescent="0.25">
      <c r="A380" t="s">
        <v>27</v>
      </c>
      <c r="B380" s="1">
        <v>38183</v>
      </c>
      <c r="C380" s="7">
        <f t="shared" si="69"/>
        <v>2004</v>
      </c>
      <c r="D380">
        <v>82.8</v>
      </c>
      <c r="E380">
        <v>65.599999999999994</v>
      </c>
      <c r="F380">
        <v>74.400000000000006</v>
      </c>
      <c r="G380" s="2">
        <f t="shared" si="68"/>
        <v>1</v>
      </c>
      <c r="H380">
        <v>81.3</v>
      </c>
      <c r="I380">
        <v>65.599999999999994</v>
      </c>
      <c r="J380">
        <v>74.2</v>
      </c>
      <c r="K380">
        <v>53.8</v>
      </c>
      <c r="L380">
        <v>49.9</v>
      </c>
      <c r="M380" s="2">
        <f t="shared" si="70"/>
        <v>0</v>
      </c>
      <c r="N380">
        <v>0.26600000000000001</v>
      </c>
      <c r="P380" s="2">
        <f t="shared" si="71"/>
        <v>0</v>
      </c>
      <c r="Q380">
        <v>100</v>
      </c>
      <c r="R380">
        <v>4.17</v>
      </c>
      <c r="S380" t="s">
        <v>87</v>
      </c>
      <c r="T380">
        <v>0</v>
      </c>
      <c r="U380">
        <v>0</v>
      </c>
      <c r="V380">
        <v>0</v>
      </c>
      <c r="W380" s="2">
        <f t="shared" si="72"/>
        <v>0</v>
      </c>
      <c r="X380">
        <v>18.399999999999999</v>
      </c>
      <c r="Z380" s="2">
        <f t="shared" si="73"/>
        <v>1</v>
      </c>
      <c r="AA380">
        <v>3.5</v>
      </c>
      <c r="AB380" s="2" t="str">
        <f>CHOOSE(MATCH(AA380,{0;11;80;111;161;191;241;281;341},1),"North","NorthEast","East","SouthEast","South","SouthWest","West","NorthWest","North")</f>
        <v>North</v>
      </c>
      <c r="AC380" s="5">
        <f>CHOOSE(MATCH(AB380,{"South";"SouthEast";"SouthWest";"North";"NorthEast";"East";"West";"NorthWest"},0),1,2,3,4,5,6,7,8)</f>
        <v>4</v>
      </c>
      <c r="AD380" s="2">
        <f t="shared" si="74"/>
        <v>1</v>
      </c>
      <c r="AE380">
        <v>1010.2</v>
      </c>
      <c r="AF380" s="4" t="s">
        <v>696</v>
      </c>
      <c r="AG380" s="2">
        <f t="shared" si="75"/>
        <v>0</v>
      </c>
      <c r="AH380" t="s">
        <v>697</v>
      </c>
      <c r="AI380" s="2">
        <f t="shared" si="76"/>
        <v>7</v>
      </c>
      <c r="AJ380" s="2">
        <f t="shared" si="77"/>
        <v>1</v>
      </c>
      <c r="AK380" s="3">
        <v>149.99999999650751</v>
      </c>
      <c r="AM380" s="2">
        <v>0</v>
      </c>
      <c r="AN380">
        <v>0</v>
      </c>
      <c r="AO380">
        <v>2</v>
      </c>
      <c r="AP380">
        <v>0</v>
      </c>
      <c r="AQ380" s="2">
        <f>IF((2*G380 + M380 -P380 + 3*W380 + 2*Z380+2*AD380 + AG380+2*AJ380 + 4*AM380) &gt;=8,1,0)</f>
        <v>1</v>
      </c>
    </row>
    <row r="381" spans="1:43" x14ac:dyDescent="0.25">
      <c r="A381" t="s">
        <v>27</v>
      </c>
      <c r="B381" s="1">
        <v>38186</v>
      </c>
      <c r="C381" s="7">
        <f t="shared" si="69"/>
        <v>2004</v>
      </c>
      <c r="D381">
        <v>85.9</v>
      </c>
      <c r="E381">
        <v>68.400000000000006</v>
      </c>
      <c r="F381">
        <v>76.900000000000006</v>
      </c>
      <c r="G381" s="2">
        <f t="shared" si="68"/>
        <v>1</v>
      </c>
      <c r="H381">
        <v>82.7</v>
      </c>
      <c r="I381">
        <v>68.400000000000006</v>
      </c>
      <c r="J381">
        <v>76.099999999999994</v>
      </c>
      <c r="K381">
        <v>47.1</v>
      </c>
      <c r="L381">
        <v>36.5</v>
      </c>
      <c r="M381" s="2">
        <f t="shared" si="70"/>
        <v>1</v>
      </c>
      <c r="N381">
        <v>0</v>
      </c>
      <c r="P381" s="2">
        <f t="shared" si="71"/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s="2">
        <f t="shared" si="72"/>
        <v>0</v>
      </c>
      <c r="X381">
        <v>23.1</v>
      </c>
      <c r="Z381" s="2">
        <f t="shared" si="73"/>
        <v>1</v>
      </c>
      <c r="AA381">
        <v>0.5</v>
      </c>
      <c r="AB381" s="2" t="str">
        <f>CHOOSE(MATCH(AA381,{0;11;80;111;161;191;241;281;341},1),"North","NorthEast","East","SouthEast","South","SouthWest","West","NorthWest","North")</f>
        <v>North</v>
      </c>
      <c r="AC381" s="5">
        <f>CHOOSE(MATCH(AB381,{"South";"SouthEast";"SouthWest";"North";"NorthEast";"East";"West";"NorthWest"},0),1,2,3,4,5,6,7,8)</f>
        <v>4</v>
      </c>
      <c r="AD381" s="2">
        <f t="shared" si="74"/>
        <v>1</v>
      </c>
      <c r="AE381">
        <v>1018.9</v>
      </c>
      <c r="AF381" s="4" t="s">
        <v>698</v>
      </c>
      <c r="AG381" s="2">
        <f t="shared" si="75"/>
        <v>1</v>
      </c>
      <c r="AH381" t="s">
        <v>699</v>
      </c>
      <c r="AI381" s="2">
        <f t="shared" si="76"/>
        <v>7</v>
      </c>
      <c r="AJ381" s="2">
        <f t="shared" si="77"/>
        <v>1</v>
      </c>
      <c r="AK381" s="3">
        <v>1445.000000005821</v>
      </c>
      <c r="AM381" s="2">
        <v>1</v>
      </c>
      <c r="AN381">
        <v>0</v>
      </c>
      <c r="AO381">
        <v>10</v>
      </c>
      <c r="AP381">
        <v>0</v>
      </c>
      <c r="AQ381" s="2">
        <f>IF((2*G381 + M381 -P381 + 3*W381 + 2*Z381+2*AD381 + AG381+2*AJ381 + 4*AM381) &gt;=8,1,0)</f>
        <v>1</v>
      </c>
    </row>
    <row r="382" spans="1:43" x14ac:dyDescent="0.25">
      <c r="A382" t="s">
        <v>27</v>
      </c>
      <c r="B382" s="1">
        <v>38188</v>
      </c>
      <c r="C382" s="7">
        <f t="shared" si="69"/>
        <v>2004</v>
      </c>
      <c r="D382">
        <v>89.4</v>
      </c>
      <c r="E382">
        <v>74.7</v>
      </c>
      <c r="F382">
        <v>81.7</v>
      </c>
      <c r="G382" s="2">
        <f t="shared" si="68"/>
        <v>1</v>
      </c>
      <c r="H382">
        <v>86.4</v>
      </c>
      <c r="I382">
        <v>74.7</v>
      </c>
      <c r="J382">
        <v>80.599999999999994</v>
      </c>
      <c r="K382">
        <v>50</v>
      </c>
      <c r="L382">
        <v>33.5</v>
      </c>
      <c r="M382" s="2">
        <f t="shared" si="70"/>
        <v>1</v>
      </c>
      <c r="N382">
        <v>0</v>
      </c>
      <c r="P382" s="2">
        <f t="shared" si="71"/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s="2">
        <f t="shared" si="72"/>
        <v>0</v>
      </c>
      <c r="X382">
        <v>22.9</v>
      </c>
      <c r="Z382" s="2">
        <f t="shared" si="73"/>
        <v>1</v>
      </c>
      <c r="AA382">
        <v>354.8</v>
      </c>
      <c r="AB382" s="2" t="str">
        <f>CHOOSE(MATCH(AA382,{0;11;80;111;161;191;241;281;341},1),"North","NorthEast","East","SouthEast","South","SouthWest","West","NorthWest","North")</f>
        <v>North</v>
      </c>
      <c r="AC382" s="5">
        <f>CHOOSE(MATCH(AB382,{"South";"SouthEast";"SouthWest";"North";"NorthEast";"East";"West";"NorthWest"},0),1,2,3,4,5,6,7,8)</f>
        <v>4</v>
      </c>
      <c r="AD382" s="2">
        <f t="shared" si="74"/>
        <v>1</v>
      </c>
      <c r="AE382">
        <v>1013.8</v>
      </c>
      <c r="AF382" s="4" t="s">
        <v>700</v>
      </c>
      <c r="AG382" s="2">
        <f t="shared" si="75"/>
        <v>0</v>
      </c>
      <c r="AH382" t="s">
        <v>701</v>
      </c>
      <c r="AI382" s="2">
        <f t="shared" si="76"/>
        <v>7</v>
      </c>
      <c r="AJ382" s="2">
        <f t="shared" si="77"/>
        <v>1</v>
      </c>
      <c r="AK382" s="3">
        <v>320.00000000582082</v>
      </c>
      <c r="AM382" s="2">
        <v>0</v>
      </c>
      <c r="AN382">
        <v>0</v>
      </c>
      <c r="AO382">
        <v>0.1</v>
      </c>
      <c r="AP382">
        <v>0</v>
      </c>
      <c r="AQ382" s="2">
        <f>IF((2*G382 + M382 -P382 + 3*W382 + 2*Z382+2*AD382 + AG382+2*AJ382 + 4*AM382) &gt;=8,1,0)</f>
        <v>1</v>
      </c>
    </row>
    <row r="383" spans="1:43" x14ac:dyDescent="0.25">
      <c r="A383" t="s">
        <v>27</v>
      </c>
      <c r="B383" s="1">
        <v>38189</v>
      </c>
      <c r="C383" s="7">
        <f t="shared" si="69"/>
        <v>2004</v>
      </c>
      <c r="D383">
        <v>89.2</v>
      </c>
      <c r="E383">
        <v>75.3</v>
      </c>
      <c r="F383">
        <v>81.8</v>
      </c>
      <c r="G383" s="2">
        <f t="shared" si="68"/>
        <v>1</v>
      </c>
      <c r="H383">
        <v>85.7</v>
      </c>
      <c r="I383">
        <v>75.3</v>
      </c>
      <c r="J383">
        <v>80.5</v>
      </c>
      <c r="K383">
        <v>50</v>
      </c>
      <c r="L383">
        <v>34.299999999999997</v>
      </c>
      <c r="M383" s="2">
        <f t="shared" si="70"/>
        <v>1</v>
      </c>
      <c r="N383">
        <v>0</v>
      </c>
      <c r="P383" s="2">
        <f t="shared" si="71"/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s="2">
        <f t="shared" si="72"/>
        <v>0</v>
      </c>
      <c r="X383">
        <v>22.4</v>
      </c>
      <c r="Z383" s="2">
        <f t="shared" si="73"/>
        <v>1</v>
      </c>
      <c r="AA383">
        <v>0.4</v>
      </c>
      <c r="AB383" s="2" t="str">
        <f>CHOOSE(MATCH(AA383,{0;11;80;111;161;191;241;281;341},1),"North","NorthEast","East","SouthEast","South","SouthWest","West","NorthWest","North")</f>
        <v>North</v>
      </c>
      <c r="AC383" s="5">
        <f>CHOOSE(MATCH(AB383,{"South";"SouthEast";"SouthWest";"North";"NorthEast";"East";"West";"NorthWest"},0),1,2,3,4,5,6,7,8)</f>
        <v>4</v>
      </c>
      <c r="AD383" s="2">
        <f t="shared" si="74"/>
        <v>1</v>
      </c>
      <c r="AE383">
        <v>1013.5</v>
      </c>
      <c r="AF383" s="4" t="s">
        <v>702</v>
      </c>
      <c r="AG383" s="2">
        <f t="shared" si="75"/>
        <v>0</v>
      </c>
      <c r="AH383" t="s">
        <v>703</v>
      </c>
      <c r="AI383" s="2">
        <f t="shared" si="76"/>
        <v>7</v>
      </c>
      <c r="AJ383" s="2">
        <f t="shared" si="77"/>
        <v>1</v>
      </c>
      <c r="AK383" s="3">
        <v>1200.9999999962749</v>
      </c>
      <c r="AM383" s="2">
        <v>1</v>
      </c>
      <c r="AN383">
        <v>0</v>
      </c>
      <c r="AO383">
        <v>5</v>
      </c>
      <c r="AP383">
        <v>0</v>
      </c>
      <c r="AQ383" s="2">
        <f>IF((2*G383 + M383 -P383 + 3*W383 + 2*Z383+2*AD383 + AG383+2*AJ383 + 4*AM383) &gt;=8,1,0)</f>
        <v>1</v>
      </c>
    </row>
    <row r="384" spans="1:43" x14ac:dyDescent="0.25">
      <c r="A384" t="s">
        <v>27</v>
      </c>
      <c r="B384" s="1">
        <v>38189</v>
      </c>
      <c r="C384" s="7">
        <f t="shared" si="69"/>
        <v>2004</v>
      </c>
      <c r="D384">
        <v>89.2</v>
      </c>
      <c r="E384">
        <v>75.3</v>
      </c>
      <c r="F384">
        <v>81.8</v>
      </c>
      <c r="G384" s="2">
        <f t="shared" si="68"/>
        <v>1</v>
      </c>
      <c r="H384">
        <v>85.7</v>
      </c>
      <c r="I384">
        <v>75.3</v>
      </c>
      <c r="J384">
        <v>80.5</v>
      </c>
      <c r="K384">
        <v>50</v>
      </c>
      <c r="L384">
        <v>34.299999999999997</v>
      </c>
      <c r="M384" s="2">
        <f t="shared" si="70"/>
        <v>1</v>
      </c>
      <c r="N384">
        <v>0</v>
      </c>
      <c r="P384" s="2">
        <f t="shared" si="71"/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s="2">
        <f t="shared" si="72"/>
        <v>0</v>
      </c>
      <c r="X384">
        <v>22.4</v>
      </c>
      <c r="Z384" s="2">
        <f t="shared" si="73"/>
        <v>1</v>
      </c>
      <c r="AA384">
        <v>0.4</v>
      </c>
      <c r="AB384" s="2" t="str">
        <f>CHOOSE(MATCH(AA384,{0;11;80;111;161;191;241;281;341},1),"North","NorthEast","East","SouthEast","South","SouthWest","West","NorthWest","North")</f>
        <v>North</v>
      </c>
      <c r="AC384" s="5">
        <f>CHOOSE(MATCH(AB384,{"South";"SouthEast";"SouthWest";"North";"NorthEast";"East";"West";"NorthWest"},0),1,2,3,4,5,6,7,8)</f>
        <v>4</v>
      </c>
      <c r="AD384" s="2">
        <f t="shared" si="74"/>
        <v>1</v>
      </c>
      <c r="AE384">
        <v>1013.5</v>
      </c>
      <c r="AF384" s="4" t="s">
        <v>704</v>
      </c>
      <c r="AG384" s="2">
        <f t="shared" si="75"/>
        <v>1</v>
      </c>
      <c r="AH384" t="s">
        <v>705</v>
      </c>
      <c r="AI384" s="2">
        <f t="shared" si="76"/>
        <v>7</v>
      </c>
      <c r="AJ384" s="2">
        <f t="shared" si="77"/>
        <v>1</v>
      </c>
      <c r="AK384" s="3">
        <v>2509.9999999988358</v>
      </c>
      <c r="AM384" s="2">
        <v>1</v>
      </c>
      <c r="AN384">
        <v>0</v>
      </c>
      <c r="AO384">
        <v>20</v>
      </c>
      <c r="AP384">
        <v>0</v>
      </c>
      <c r="AQ384" s="2">
        <f>IF((2*G384 + M384 -P384 + 3*W384 + 2*Z384+2*AD384 + AG384+2*AJ384 + 4*AM384) &gt;=8,1,0)</f>
        <v>1</v>
      </c>
    </row>
    <row r="385" spans="1:43" x14ac:dyDescent="0.25">
      <c r="A385" t="s">
        <v>27</v>
      </c>
      <c r="B385" s="1">
        <v>38190</v>
      </c>
      <c r="C385" s="7">
        <f t="shared" si="69"/>
        <v>2004</v>
      </c>
      <c r="D385">
        <v>91</v>
      </c>
      <c r="E385">
        <v>76.3</v>
      </c>
      <c r="F385">
        <v>83</v>
      </c>
      <c r="G385" s="2">
        <f t="shared" si="68"/>
        <v>1</v>
      </c>
      <c r="H385">
        <v>88.9</v>
      </c>
      <c r="I385">
        <v>76.3</v>
      </c>
      <c r="J385">
        <v>81.8</v>
      </c>
      <c r="K385">
        <v>51.7</v>
      </c>
      <c r="L385">
        <v>34.799999999999997</v>
      </c>
      <c r="M385" s="2">
        <f t="shared" si="70"/>
        <v>1</v>
      </c>
      <c r="N385">
        <v>0</v>
      </c>
      <c r="P385" s="2">
        <f t="shared" si="71"/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2">
        <f t="shared" si="72"/>
        <v>0</v>
      </c>
      <c r="X385">
        <v>22.3</v>
      </c>
      <c r="Z385" s="2">
        <f t="shared" si="73"/>
        <v>1</v>
      </c>
      <c r="AA385">
        <v>357.7</v>
      </c>
      <c r="AB385" s="2" t="str">
        <f>CHOOSE(MATCH(AA385,{0;11;80;111;161;191;241;281;341},1),"North","NorthEast","East","SouthEast","South","SouthWest","West","NorthWest","North")</f>
        <v>North</v>
      </c>
      <c r="AC385" s="5">
        <f>CHOOSE(MATCH(AB385,{"South";"SouthEast";"SouthWest";"North";"NorthEast";"East";"West";"NorthWest"},0),1,2,3,4,5,6,7,8)</f>
        <v>4</v>
      </c>
      <c r="AD385" s="2">
        <f t="shared" si="74"/>
        <v>1</v>
      </c>
      <c r="AE385">
        <v>1013.3</v>
      </c>
      <c r="AF385" s="4" t="s">
        <v>706</v>
      </c>
      <c r="AG385" s="2">
        <f t="shared" si="75"/>
        <v>0</v>
      </c>
      <c r="AH385" t="s">
        <v>707</v>
      </c>
      <c r="AI385" s="2">
        <f t="shared" si="76"/>
        <v>7</v>
      </c>
      <c r="AJ385" s="2">
        <f t="shared" si="77"/>
        <v>1</v>
      </c>
      <c r="AK385" s="3">
        <v>11318.00000000163</v>
      </c>
      <c r="AM385" s="2">
        <v>1</v>
      </c>
      <c r="AN385">
        <v>5</v>
      </c>
      <c r="AO385">
        <v>0</v>
      </c>
      <c r="AP385">
        <v>0</v>
      </c>
      <c r="AQ385" s="2">
        <f>IF((2*G385 + M385 -P385 + 3*W385 + 2*Z385+2*AD385 + AG385+2*AJ385 + 4*AM385) &gt;=8,1,0)</f>
        <v>1</v>
      </c>
    </row>
    <row r="386" spans="1:43" x14ac:dyDescent="0.25">
      <c r="A386" t="s">
        <v>27</v>
      </c>
      <c r="B386" s="1">
        <v>38190</v>
      </c>
      <c r="C386" s="7">
        <f t="shared" si="69"/>
        <v>2004</v>
      </c>
      <c r="D386">
        <v>91</v>
      </c>
      <c r="E386">
        <v>76.3</v>
      </c>
      <c r="F386">
        <v>83</v>
      </c>
      <c r="G386" s="2">
        <f t="shared" ref="G386:G449" si="78">IF(F386&lt;=73.6,0,1)</f>
        <v>1</v>
      </c>
      <c r="H386">
        <v>88.9</v>
      </c>
      <c r="I386">
        <v>76.3</v>
      </c>
      <c r="J386">
        <v>81.8</v>
      </c>
      <c r="K386">
        <v>51.7</v>
      </c>
      <c r="L386">
        <v>34.799999999999997</v>
      </c>
      <c r="M386" s="2">
        <f t="shared" si="70"/>
        <v>1</v>
      </c>
      <c r="N386">
        <v>0</v>
      </c>
      <c r="P386" s="2">
        <f t="shared" si="71"/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2">
        <f t="shared" si="72"/>
        <v>0</v>
      </c>
      <c r="X386">
        <v>22.3</v>
      </c>
      <c r="Z386" s="2">
        <f t="shared" si="73"/>
        <v>1</v>
      </c>
      <c r="AA386">
        <v>357.7</v>
      </c>
      <c r="AB386" s="2" t="str">
        <f>CHOOSE(MATCH(AA386,{0;11;80;111;161;191;241;281;341},1),"North","NorthEast","East","SouthEast","South","SouthWest","West","NorthWest","North")</f>
        <v>North</v>
      </c>
      <c r="AC386" s="5">
        <f>CHOOSE(MATCH(AB386,{"South";"SouthEast";"SouthWest";"North";"NorthEast";"East";"West";"NorthWest"},0),1,2,3,4,5,6,7,8)</f>
        <v>4</v>
      </c>
      <c r="AD386" s="2">
        <f t="shared" si="74"/>
        <v>1</v>
      </c>
      <c r="AE386">
        <v>1013.3</v>
      </c>
      <c r="AF386" s="4" t="s">
        <v>115</v>
      </c>
      <c r="AG386" s="2">
        <f t="shared" si="75"/>
        <v>1</v>
      </c>
      <c r="AH386" t="s">
        <v>708</v>
      </c>
      <c r="AI386" s="2">
        <f t="shared" si="76"/>
        <v>7</v>
      </c>
      <c r="AJ386" s="2">
        <f t="shared" si="77"/>
        <v>1</v>
      </c>
      <c r="AK386" s="3">
        <v>6106.0000000067521</v>
      </c>
      <c r="AM386" s="2">
        <v>1</v>
      </c>
      <c r="AN386">
        <v>0.5</v>
      </c>
      <c r="AO386">
        <v>0</v>
      </c>
      <c r="AP386">
        <v>0</v>
      </c>
      <c r="AQ386" s="2">
        <f>IF((2*G386 + M386 -P386 + 3*W386 + 2*Z386+2*AD386 + AG386+2*AJ386 + 4*AM386) &gt;=8,1,0)</f>
        <v>1</v>
      </c>
    </row>
    <row r="387" spans="1:43" x14ac:dyDescent="0.25">
      <c r="A387" t="s">
        <v>27</v>
      </c>
      <c r="B387" s="1">
        <v>38192</v>
      </c>
      <c r="C387" s="7">
        <f t="shared" si="69"/>
        <v>2004</v>
      </c>
      <c r="D387">
        <v>94.2</v>
      </c>
      <c r="E387">
        <v>77.099999999999994</v>
      </c>
      <c r="F387">
        <v>85.8</v>
      </c>
      <c r="G387" s="2">
        <f t="shared" si="78"/>
        <v>1</v>
      </c>
      <c r="H387">
        <v>94.8</v>
      </c>
      <c r="I387">
        <v>77.099999999999994</v>
      </c>
      <c r="J387">
        <v>85.9</v>
      </c>
      <c r="K387">
        <v>60</v>
      </c>
      <c r="L387">
        <v>42.9</v>
      </c>
      <c r="M387" s="2">
        <f t="shared" si="70"/>
        <v>1</v>
      </c>
      <c r="N387">
        <v>0</v>
      </c>
      <c r="P387" s="2">
        <f t="shared" si="71"/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2">
        <f t="shared" si="72"/>
        <v>0</v>
      </c>
      <c r="X387">
        <v>13.7</v>
      </c>
      <c r="Z387" s="2">
        <f t="shared" si="73"/>
        <v>0</v>
      </c>
      <c r="AA387">
        <v>40.9</v>
      </c>
      <c r="AB387" s="2" t="str">
        <f>CHOOSE(MATCH(AA387,{0;11;80;111;161;191;241;281;341},1),"North","NorthEast","East","SouthEast","South","SouthWest","West","NorthWest","North")</f>
        <v>NorthEast</v>
      </c>
      <c r="AC387" s="5">
        <f>CHOOSE(MATCH(AB387,{"South";"SouthEast";"SouthWest";"North";"NorthEast";"East";"West";"NorthWest"},0),1,2,3,4,5,6,7,8)</f>
        <v>5</v>
      </c>
      <c r="AD387" s="2">
        <f t="shared" si="74"/>
        <v>1</v>
      </c>
      <c r="AE387">
        <v>1009.8</v>
      </c>
      <c r="AF387" s="4" t="s">
        <v>709</v>
      </c>
      <c r="AG387" s="2">
        <f t="shared" si="75"/>
        <v>1</v>
      </c>
      <c r="AH387" t="s">
        <v>710</v>
      </c>
      <c r="AI387" s="2">
        <f t="shared" si="76"/>
        <v>7</v>
      </c>
      <c r="AJ387" s="2">
        <f t="shared" si="77"/>
        <v>1</v>
      </c>
      <c r="AK387" s="3">
        <v>1023.999999995576</v>
      </c>
      <c r="AM387" s="2">
        <v>1</v>
      </c>
      <c r="AN387">
        <v>0</v>
      </c>
      <c r="AO387">
        <v>20</v>
      </c>
      <c r="AP387">
        <v>0</v>
      </c>
      <c r="AQ387" s="2">
        <f>IF((2*G387 + M387 -P387 + 3*W387 + 2*Z387+2*AD387 + AG387+2*AJ387 + 4*AM387) &gt;=8,1,0)</f>
        <v>1</v>
      </c>
    </row>
    <row r="388" spans="1:43" x14ac:dyDescent="0.25">
      <c r="A388" t="s">
        <v>27</v>
      </c>
      <c r="B388" s="1">
        <v>38192</v>
      </c>
      <c r="C388" s="7">
        <f t="shared" si="69"/>
        <v>2004</v>
      </c>
      <c r="D388">
        <v>94.2</v>
      </c>
      <c r="E388">
        <v>77.099999999999994</v>
      </c>
      <c r="F388">
        <v>85.8</v>
      </c>
      <c r="G388" s="2">
        <f t="shared" si="78"/>
        <v>1</v>
      </c>
      <c r="H388">
        <v>94.8</v>
      </c>
      <c r="I388">
        <v>77.099999999999994</v>
      </c>
      <c r="J388">
        <v>85.9</v>
      </c>
      <c r="K388">
        <v>60</v>
      </c>
      <c r="L388">
        <v>42.9</v>
      </c>
      <c r="M388" s="2">
        <f t="shared" si="70"/>
        <v>1</v>
      </c>
      <c r="N388">
        <v>0</v>
      </c>
      <c r="P388" s="2">
        <f t="shared" si="71"/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2">
        <f t="shared" si="72"/>
        <v>0</v>
      </c>
      <c r="X388">
        <v>13.7</v>
      </c>
      <c r="Z388" s="2">
        <f t="shared" si="73"/>
        <v>0</v>
      </c>
      <c r="AA388">
        <v>40.9</v>
      </c>
      <c r="AB388" s="2" t="str">
        <f>CHOOSE(MATCH(AA388,{0;11;80;111;161;191;241;281;341},1),"North","NorthEast","East","SouthEast","South","SouthWest","West","NorthWest","North")</f>
        <v>NorthEast</v>
      </c>
      <c r="AC388" s="5">
        <f>CHOOSE(MATCH(AB388,{"South";"SouthEast";"SouthWest";"North";"NorthEast";"East";"West";"NorthWest"},0),1,2,3,4,5,6,7,8)</f>
        <v>5</v>
      </c>
      <c r="AD388" s="2">
        <f t="shared" si="74"/>
        <v>1</v>
      </c>
      <c r="AE388">
        <v>1009.8</v>
      </c>
      <c r="AF388" s="4" t="s">
        <v>711</v>
      </c>
      <c r="AG388" s="2">
        <f t="shared" si="75"/>
        <v>1</v>
      </c>
      <c r="AH388" t="s">
        <v>712</v>
      </c>
      <c r="AI388" s="2">
        <f t="shared" si="76"/>
        <v>7</v>
      </c>
      <c r="AJ388" s="2">
        <f t="shared" si="77"/>
        <v>1</v>
      </c>
      <c r="AK388" s="3">
        <v>2537.999999995809</v>
      </c>
      <c r="AM388" s="2">
        <v>1</v>
      </c>
      <c r="AN388">
        <v>0</v>
      </c>
      <c r="AO388">
        <v>50</v>
      </c>
      <c r="AP388">
        <v>0</v>
      </c>
      <c r="AQ388" s="2">
        <f>IF((2*G388 + M388 -P388 + 3*W388 + 2*Z388+2*AD388 + AG388+2*AJ388 + 4*AM388) &gt;=8,1,0)</f>
        <v>1</v>
      </c>
    </row>
    <row r="389" spans="1:43" x14ac:dyDescent="0.25">
      <c r="A389" t="s">
        <v>27</v>
      </c>
      <c r="B389" s="1">
        <v>38193</v>
      </c>
      <c r="C389" s="7">
        <f t="shared" si="69"/>
        <v>2004</v>
      </c>
      <c r="D389">
        <v>89.6</v>
      </c>
      <c r="E389">
        <v>75.3</v>
      </c>
      <c r="F389">
        <v>82.2</v>
      </c>
      <c r="G389" s="2">
        <f t="shared" si="78"/>
        <v>1</v>
      </c>
      <c r="H389">
        <v>91.8</v>
      </c>
      <c r="I389">
        <v>75.3</v>
      </c>
      <c r="J389">
        <v>83.1</v>
      </c>
      <c r="K389">
        <v>63.9</v>
      </c>
      <c r="L389">
        <v>54.7</v>
      </c>
      <c r="M389" s="2">
        <f t="shared" si="70"/>
        <v>0</v>
      </c>
      <c r="N389">
        <v>0</v>
      </c>
      <c r="P389" s="2">
        <f t="shared" si="71"/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2">
        <f t="shared" si="72"/>
        <v>0</v>
      </c>
      <c r="X389">
        <v>13.8</v>
      </c>
      <c r="Z389" s="2">
        <f t="shared" si="73"/>
        <v>0</v>
      </c>
      <c r="AA389">
        <v>91.8</v>
      </c>
      <c r="AB389" s="2" t="str">
        <f>CHOOSE(MATCH(AA389,{0;11;80;111;161;191;241;281;341},1),"North","NorthEast","East","SouthEast","South","SouthWest","West","NorthWest","North")</f>
        <v>East</v>
      </c>
      <c r="AC389" s="5">
        <f>CHOOSE(MATCH(AB389,{"South";"SouthEast";"SouthWest";"North";"NorthEast";"East";"West";"NorthWest"},0),1,2,3,4,5,6,7,8)</f>
        <v>6</v>
      </c>
      <c r="AD389" s="2">
        <f t="shared" si="74"/>
        <v>0</v>
      </c>
      <c r="AE389">
        <v>1007.7</v>
      </c>
      <c r="AF389" s="4" t="s">
        <v>201</v>
      </c>
      <c r="AG389" s="2">
        <f t="shared" si="75"/>
        <v>1</v>
      </c>
      <c r="AH389" t="s">
        <v>713</v>
      </c>
      <c r="AI389" s="2">
        <f t="shared" si="76"/>
        <v>7</v>
      </c>
      <c r="AJ389" s="2">
        <f t="shared" si="77"/>
        <v>1</v>
      </c>
      <c r="AK389" s="3">
        <v>190.00000000116421</v>
      </c>
      <c r="AM389" s="2">
        <v>0</v>
      </c>
      <c r="AN389">
        <v>50</v>
      </c>
      <c r="AO389">
        <v>0</v>
      </c>
      <c r="AP389">
        <v>0</v>
      </c>
      <c r="AQ389" s="2">
        <f>IF((2*G389 + M389 -P389 + 3*W389 + 2*Z389+2*AD389 + AG389+2*AJ389 + 4*AM389) &gt;=8,1,0)</f>
        <v>0</v>
      </c>
    </row>
    <row r="390" spans="1:43" x14ac:dyDescent="0.25">
      <c r="A390" t="s">
        <v>27</v>
      </c>
      <c r="B390" s="1">
        <v>38194</v>
      </c>
      <c r="C390" s="7">
        <f t="shared" si="69"/>
        <v>2004</v>
      </c>
      <c r="D390">
        <v>88.8</v>
      </c>
      <c r="E390">
        <v>72.099999999999994</v>
      </c>
      <c r="F390">
        <v>80.400000000000006</v>
      </c>
      <c r="G390" s="2">
        <f t="shared" si="78"/>
        <v>1</v>
      </c>
      <c r="H390">
        <v>89</v>
      </c>
      <c r="I390">
        <v>72.099999999999994</v>
      </c>
      <c r="J390">
        <v>80.599999999999994</v>
      </c>
      <c r="K390">
        <v>61.5</v>
      </c>
      <c r="L390">
        <v>53.8</v>
      </c>
      <c r="M390" s="2">
        <f t="shared" si="70"/>
        <v>0</v>
      </c>
      <c r="N390">
        <v>0</v>
      </c>
      <c r="P390" s="2">
        <f t="shared" si="71"/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s="2">
        <f t="shared" si="72"/>
        <v>0</v>
      </c>
      <c r="X390">
        <v>15.3</v>
      </c>
      <c r="Z390" s="2">
        <f t="shared" si="73"/>
        <v>0</v>
      </c>
      <c r="AA390">
        <v>140.5</v>
      </c>
      <c r="AB390" s="2" t="str">
        <f>CHOOSE(MATCH(AA390,{0;11;80;111;161;191;241;281;341},1),"North","NorthEast","East","SouthEast","South","SouthWest","West","NorthWest","North")</f>
        <v>SouthEast</v>
      </c>
      <c r="AC390" s="5">
        <f>CHOOSE(MATCH(AB390,{"South";"SouthEast";"SouthWest";"North";"NorthEast";"East";"West";"NorthWest"},0),1,2,3,4,5,6,7,8)</f>
        <v>2</v>
      </c>
      <c r="AD390" s="2">
        <f t="shared" si="74"/>
        <v>0</v>
      </c>
      <c r="AE390">
        <v>1007.2</v>
      </c>
      <c r="AF390" s="4" t="s">
        <v>714</v>
      </c>
      <c r="AG390" s="2">
        <f t="shared" si="75"/>
        <v>0</v>
      </c>
      <c r="AH390" t="s">
        <v>715</v>
      </c>
      <c r="AI390" s="2">
        <f t="shared" si="76"/>
        <v>7</v>
      </c>
      <c r="AJ390" s="2">
        <f t="shared" si="77"/>
        <v>1</v>
      </c>
      <c r="AK390" s="3">
        <v>533.00000000861473</v>
      </c>
      <c r="AM390" s="2">
        <v>1</v>
      </c>
      <c r="AN390">
        <v>0</v>
      </c>
      <c r="AO390">
        <v>10</v>
      </c>
      <c r="AP390">
        <v>0</v>
      </c>
      <c r="AQ390" s="2">
        <f>IF((2*G390 + M390 -P390 + 3*W390 + 2*Z390+2*AD390 + AG390+2*AJ390 + 4*AM390) &gt;=8,1,0)</f>
        <v>0</v>
      </c>
    </row>
    <row r="391" spans="1:43" x14ac:dyDescent="0.25">
      <c r="A391" t="s">
        <v>27</v>
      </c>
      <c r="B391" s="1">
        <v>38201</v>
      </c>
      <c r="C391" s="7">
        <f t="shared" si="69"/>
        <v>2004</v>
      </c>
      <c r="D391">
        <v>91.1</v>
      </c>
      <c r="E391">
        <v>71</v>
      </c>
      <c r="F391">
        <v>81.3</v>
      </c>
      <c r="G391" s="2">
        <f t="shared" si="78"/>
        <v>1</v>
      </c>
      <c r="H391">
        <v>90.8</v>
      </c>
      <c r="I391">
        <v>71</v>
      </c>
      <c r="J391">
        <v>80.599999999999994</v>
      </c>
      <c r="K391">
        <v>56.3</v>
      </c>
      <c r="L391">
        <v>44.1</v>
      </c>
      <c r="M391" s="2">
        <f t="shared" si="70"/>
        <v>1</v>
      </c>
      <c r="N391">
        <v>0</v>
      </c>
      <c r="P391" s="2">
        <f t="shared" si="71"/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s="2">
        <f t="shared" si="72"/>
        <v>0</v>
      </c>
      <c r="X391">
        <v>15.1</v>
      </c>
      <c r="Z391" s="2">
        <f t="shared" si="73"/>
        <v>0</v>
      </c>
      <c r="AA391">
        <v>355.7</v>
      </c>
      <c r="AB391" s="2" t="str">
        <f>CHOOSE(MATCH(AA391,{0;11;80;111;161;191;241;281;341},1),"North","NorthEast","East","SouthEast","South","SouthWest","West","NorthWest","North")</f>
        <v>North</v>
      </c>
      <c r="AC391" s="5">
        <f>CHOOSE(MATCH(AB391,{"South";"SouthEast";"SouthWest";"North";"NorthEast";"East";"West";"NorthWest"},0),1,2,3,4,5,6,7,8)</f>
        <v>4</v>
      </c>
      <c r="AD391" s="2">
        <f t="shared" si="74"/>
        <v>1</v>
      </c>
      <c r="AE391">
        <v>1010</v>
      </c>
      <c r="AF391" s="4" t="s">
        <v>716</v>
      </c>
      <c r="AG391" s="2">
        <f t="shared" si="75"/>
        <v>1</v>
      </c>
      <c r="AH391" t="s">
        <v>717</v>
      </c>
      <c r="AI391" s="2">
        <f t="shared" si="76"/>
        <v>8</v>
      </c>
      <c r="AJ391" s="2">
        <f t="shared" si="77"/>
        <v>1</v>
      </c>
      <c r="AK391" s="3">
        <v>148.00000000046569</v>
      </c>
      <c r="AM391" s="2">
        <v>0</v>
      </c>
      <c r="AN391">
        <v>0</v>
      </c>
      <c r="AO391">
        <v>4</v>
      </c>
      <c r="AP391">
        <v>0</v>
      </c>
      <c r="AQ391" s="2">
        <f>IF((2*G391 + M391 -P391 + 3*W391 + 2*Z391+2*AD391 + AG391+2*AJ391 + 4*AM391) &gt;=8,1,0)</f>
        <v>0</v>
      </c>
    </row>
    <row r="392" spans="1:43" x14ac:dyDescent="0.25">
      <c r="A392" t="s">
        <v>27</v>
      </c>
      <c r="B392" s="1">
        <v>38201</v>
      </c>
      <c r="C392" s="7">
        <f t="shared" si="69"/>
        <v>2004</v>
      </c>
      <c r="D392">
        <v>91.1</v>
      </c>
      <c r="E392">
        <v>71</v>
      </c>
      <c r="F392">
        <v>81.3</v>
      </c>
      <c r="G392" s="2">
        <f t="shared" si="78"/>
        <v>1</v>
      </c>
      <c r="H392">
        <v>90.8</v>
      </c>
      <c r="I392">
        <v>71</v>
      </c>
      <c r="J392">
        <v>80.599999999999994</v>
      </c>
      <c r="K392">
        <v>56.3</v>
      </c>
      <c r="L392">
        <v>44.1</v>
      </c>
      <c r="M392" s="2">
        <f t="shared" si="70"/>
        <v>1</v>
      </c>
      <c r="N392">
        <v>0</v>
      </c>
      <c r="P392" s="2">
        <f t="shared" si="71"/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s="2">
        <f t="shared" si="72"/>
        <v>0</v>
      </c>
      <c r="X392">
        <v>15.1</v>
      </c>
      <c r="Z392" s="2">
        <f t="shared" si="73"/>
        <v>0</v>
      </c>
      <c r="AA392">
        <v>355.7</v>
      </c>
      <c r="AB392" s="2" t="str">
        <f>CHOOSE(MATCH(AA392,{0;11;80;111;161;191;241;281;341},1),"North","NorthEast","East","SouthEast","South","SouthWest","West","NorthWest","North")</f>
        <v>North</v>
      </c>
      <c r="AC392" s="5">
        <f>CHOOSE(MATCH(AB392,{"South";"SouthEast";"SouthWest";"North";"NorthEast";"East";"West";"NorthWest"},0),1,2,3,4,5,6,7,8)</f>
        <v>4</v>
      </c>
      <c r="AD392" s="2">
        <f t="shared" si="74"/>
        <v>1</v>
      </c>
      <c r="AE392">
        <v>1010</v>
      </c>
      <c r="AF392" s="4" t="s">
        <v>718</v>
      </c>
      <c r="AG392" s="2">
        <f t="shared" si="75"/>
        <v>1</v>
      </c>
      <c r="AH392" t="s">
        <v>719</v>
      </c>
      <c r="AI392" s="2">
        <f t="shared" si="76"/>
        <v>8</v>
      </c>
      <c r="AJ392" s="2">
        <f t="shared" si="77"/>
        <v>1</v>
      </c>
      <c r="AK392" s="3">
        <v>956.00000000442378</v>
      </c>
      <c r="AM392" s="2">
        <v>1</v>
      </c>
      <c r="AN392">
        <v>3</v>
      </c>
      <c r="AO392">
        <v>0</v>
      </c>
      <c r="AP392">
        <v>0</v>
      </c>
      <c r="AQ392" s="2">
        <f>IF((2*G392 + M392 -P392 + 3*W392 + 2*Z392+2*AD392 + AG392+2*AJ392 + 4*AM392) &gt;=8,1,0)</f>
        <v>1</v>
      </c>
    </row>
    <row r="393" spans="1:43" x14ac:dyDescent="0.25">
      <c r="A393" t="s">
        <v>27</v>
      </c>
      <c r="B393" s="1">
        <v>38203</v>
      </c>
      <c r="C393" s="7">
        <f t="shared" si="69"/>
        <v>2004</v>
      </c>
      <c r="D393">
        <v>92.3</v>
      </c>
      <c r="E393">
        <v>72.599999999999994</v>
      </c>
      <c r="F393">
        <v>82</v>
      </c>
      <c r="G393" s="2">
        <f t="shared" si="78"/>
        <v>1</v>
      </c>
      <c r="H393">
        <v>93.4</v>
      </c>
      <c r="I393">
        <v>72.599999999999994</v>
      </c>
      <c r="J393">
        <v>82.1</v>
      </c>
      <c r="K393">
        <v>60.2</v>
      </c>
      <c r="L393">
        <v>48.9</v>
      </c>
      <c r="M393" s="2">
        <f t="shared" si="70"/>
        <v>1</v>
      </c>
      <c r="N393">
        <v>0</v>
      </c>
      <c r="P393" s="2">
        <f t="shared" si="71"/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s="2">
        <f t="shared" si="72"/>
        <v>0</v>
      </c>
      <c r="X393">
        <v>11.9</v>
      </c>
      <c r="Z393" s="2">
        <f t="shared" si="73"/>
        <v>0</v>
      </c>
      <c r="AA393">
        <v>174.8</v>
      </c>
      <c r="AB393" s="2" t="str">
        <f>CHOOSE(MATCH(AA393,{0;11;80;111;161;191;241;281;341},1),"North","NorthEast","East","SouthEast","South","SouthWest","West","NorthWest","North")</f>
        <v>South</v>
      </c>
      <c r="AC393" s="5">
        <f>CHOOSE(MATCH(AB393,{"South";"SouthEast";"SouthWest";"North";"NorthEast";"East";"West";"NorthWest"},0),1,2,3,4,5,6,7,8)</f>
        <v>1</v>
      </c>
      <c r="AD393" s="2">
        <f t="shared" si="74"/>
        <v>0</v>
      </c>
      <c r="AE393">
        <v>1008</v>
      </c>
      <c r="AF393" s="4" t="s">
        <v>322</v>
      </c>
      <c r="AG393" s="2">
        <f t="shared" si="75"/>
        <v>1</v>
      </c>
      <c r="AH393" t="s">
        <v>720</v>
      </c>
      <c r="AI393" s="2">
        <f t="shared" si="76"/>
        <v>8</v>
      </c>
      <c r="AJ393" s="2">
        <f t="shared" si="77"/>
        <v>1</v>
      </c>
      <c r="AK393" s="3">
        <v>5378.9999999944121</v>
      </c>
      <c r="AM393" s="2">
        <v>1</v>
      </c>
      <c r="AN393">
        <v>0</v>
      </c>
      <c r="AO393">
        <v>110</v>
      </c>
      <c r="AP393">
        <v>0</v>
      </c>
      <c r="AQ393" s="2">
        <f>IF((2*G393 + M393 -P393 + 3*W393 + 2*Z393+2*AD393 + AG393+2*AJ393 + 4*AM393) &gt;=8,1,0)</f>
        <v>1</v>
      </c>
    </row>
    <row r="394" spans="1:43" x14ac:dyDescent="0.25">
      <c r="A394" t="s">
        <v>27</v>
      </c>
      <c r="B394" s="1">
        <v>38205</v>
      </c>
      <c r="C394" s="7">
        <f t="shared" si="69"/>
        <v>2004</v>
      </c>
      <c r="D394">
        <v>92.3</v>
      </c>
      <c r="E394">
        <v>72.2</v>
      </c>
      <c r="F394">
        <v>81.900000000000006</v>
      </c>
      <c r="G394" s="2">
        <f t="shared" si="78"/>
        <v>1</v>
      </c>
      <c r="H394">
        <v>93.2</v>
      </c>
      <c r="I394">
        <v>72.2</v>
      </c>
      <c r="J394">
        <v>82.7</v>
      </c>
      <c r="K394">
        <v>63</v>
      </c>
      <c r="L394">
        <v>54.1</v>
      </c>
      <c r="M394" s="2">
        <f t="shared" si="70"/>
        <v>0</v>
      </c>
      <c r="N394">
        <v>0</v>
      </c>
      <c r="P394" s="2">
        <f t="shared" si="71"/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s="2">
        <f t="shared" si="72"/>
        <v>0</v>
      </c>
      <c r="X394">
        <v>12.2</v>
      </c>
      <c r="Z394" s="2">
        <f t="shared" si="73"/>
        <v>0</v>
      </c>
      <c r="AA394">
        <v>196.4</v>
      </c>
      <c r="AB394" s="2" t="str">
        <f>CHOOSE(MATCH(AA394,{0;11;80;111;161;191;241;281;341},1),"North","NorthEast","East","SouthEast","South","SouthWest","West","NorthWest","North")</f>
        <v>SouthWest</v>
      </c>
      <c r="AC394" s="5">
        <f>CHOOSE(MATCH(AB394,{"South";"SouthEast";"SouthWest";"North";"NorthEast";"East";"West";"NorthWest"},0),1,2,3,4,5,6,7,8)</f>
        <v>3</v>
      </c>
      <c r="AD394" s="2">
        <f t="shared" si="74"/>
        <v>1</v>
      </c>
      <c r="AE394">
        <v>1010.6</v>
      </c>
      <c r="AF394" s="4" t="s">
        <v>721</v>
      </c>
      <c r="AG394" s="2">
        <f t="shared" si="75"/>
        <v>1</v>
      </c>
      <c r="AH394" t="s">
        <v>722</v>
      </c>
      <c r="AI394" s="2">
        <f t="shared" si="76"/>
        <v>8</v>
      </c>
      <c r="AJ394" s="2">
        <f t="shared" si="77"/>
        <v>1</v>
      </c>
      <c r="AK394" s="3">
        <v>4694.9999999965084</v>
      </c>
      <c r="AM394" s="2">
        <v>1</v>
      </c>
      <c r="AN394">
        <v>0</v>
      </c>
      <c r="AO394">
        <v>10</v>
      </c>
      <c r="AP394">
        <v>0</v>
      </c>
      <c r="AQ394" s="2">
        <f>IF((2*G394 + M394 -P394 + 3*W394 + 2*Z394+2*AD394 + AG394+2*AJ394 + 4*AM394) &gt;=8,1,0)</f>
        <v>1</v>
      </c>
    </row>
    <row r="395" spans="1:43" x14ac:dyDescent="0.25">
      <c r="A395" t="s">
        <v>27</v>
      </c>
      <c r="B395" s="1">
        <v>38207</v>
      </c>
      <c r="C395" s="7">
        <f t="shared" si="69"/>
        <v>2004</v>
      </c>
      <c r="D395">
        <v>89.6</v>
      </c>
      <c r="E395">
        <v>73.400000000000006</v>
      </c>
      <c r="F395">
        <v>80.8</v>
      </c>
      <c r="G395" s="2">
        <f t="shared" si="78"/>
        <v>1</v>
      </c>
      <c r="H395">
        <v>92.3</v>
      </c>
      <c r="I395">
        <v>73.400000000000006</v>
      </c>
      <c r="J395">
        <v>81.400000000000006</v>
      </c>
      <c r="K395">
        <v>64.2</v>
      </c>
      <c r="L395">
        <v>58.5</v>
      </c>
      <c r="M395" s="2">
        <f t="shared" si="70"/>
        <v>0</v>
      </c>
      <c r="N395">
        <v>0</v>
      </c>
      <c r="P395" s="2">
        <f t="shared" si="71"/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s="2">
        <f t="shared" si="72"/>
        <v>0</v>
      </c>
      <c r="X395">
        <v>13.9</v>
      </c>
      <c r="Z395" s="2">
        <f t="shared" si="73"/>
        <v>0</v>
      </c>
      <c r="AA395">
        <v>40.700000000000003</v>
      </c>
      <c r="AB395" s="2" t="str">
        <f>CHOOSE(MATCH(AA395,{0;11;80;111;161;191;241;281;341},1),"North","NorthEast","East","SouthEast","South","SouthWest","West","NorthWest","North")</f>
        <v>NorthEast</v>
      </c>
      <c r="AC395" s="5">
        <f>CHOOSE(MATCH(AB395,{"South";"SouthEast";"SouthWest";"North";"NorthEast";"East";"West";"NorthWest"},0),1,2,3,4,5,6,7,8)</f>
        <v>5</v>
      </c>
      <c r="AD395" s="2">
        <f t="shared" si="74"/>
        <v>1</v>
      </c>
      <c r="AE395">
        <v>1010.5</v>
      </c>
      <c r="AF395" s="4" t="s">
        <v>209</v>
      </c>
      <c r="AG395" s="2">
        <f t="shared" si="75"/>
        <v>0</v>
      </c>
      <c r="AH395" t="s">
        <v>723</v>
      </c>
      <c r="AI395" s="2">
        <f t="shared" si="76"/>
        <v>8</v>
      </c>
      <c r="AJ395" s="2">
        <f t="shared" si="77"/>
        <v>1</v>
      </c>
      <c r="AK395" s="3">
        <v>1865.999999995111</v>
      </c>
      <c r="AM395" s="2">
        <v>1</v>
      </c>
      <c r="AN395">
        <v>0</v>
      </c>
      <c r="AO395">
        <v>1</v>
      </c>
      <c r="AP395">
        <v>0</v>
      </c>
      <c r="AQ395" s="2">
        <f>IF((2*G395 + M395 -P395 + 3*W395 + 2*Z395+2*AD395 + AG395+2*AJ395 + 4*AM395) &gt;=8,1,0)</f>
        <v>1</v>
      </c>
    </row>
    <row r="396" spans="1:43" x14ac:dyDescent="0.25">
      <c r="A396" t="s">
        <v>27</v>
      </c>
      <c r="B396" s="1">
        <v>38210</v>
      </c>
      <c r="C396" s="7">
        <f t="shared" si="69"/>
        <v>2004</v>
      </c>
      <c r="D396">
        <v>89</v>
      </c>
      <c r="E396">
        <v>75.8</v>
      </c>
      <c r="F396">
        <v>81.3</v>
      </c>
      <c r="G396" s="2">
        <f t="shared" si="78"/>
        <v>1</v>
      </c>
      <c r="H396">
        <v>88.2</v>
      </c>
      <c r="I396">
        <v>75.8</v>
      </c>
      <c r="J396">
        <v>81.3</v>
      </c>
      <c r="K396">
        <v>61.2</v>
      </c>
      <c r="L396">
        <v>52.2</v>
      </c>
      <c r="M396" s="2">
        <f t="shared" si="70"/>
        <v>0</v>
      </c>
      <c r="N396">
        <v>0</v>
      </c>
      <c r="P396" s="2">
        <f t="shared" si="71"/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s="2">
        <f t="shared" si="72"/>
        <v>0</v>
      </c>
      <c r="X396">
        <v>13.1</v>
      </c>
      <c r="Z396" s="2">
        <f t="shared" si="73"/>
        <v>0</v>
      </c>
      <c r="AA396">
        <v>22.4</v>
      </c>
      <c r="AB396" s="2" t="str">
        <f>CHOOSE(MATCH(AA396,{0;11;80;111;161;191;241;281;341},1),"North","NorthEast","East","SouthEast","South","SouthWest","West","NorthWest","North")</f>
        <v>NorthEast</v>
      </c>
      <c r="AC396" s="5">
        <f>CHOOSE(MATCH(AB396,{"South";"SouthEast";"SouthWest";"North";"NorthEast";"East";"West";"NorthWest"},0),1,2,3,4,5,6,7,8)</f>
        <v>5</v>
      </c>
      <c r="AD396" s="2">
        <f t="shared" si="74"/>
        <v>1</v>
      </c>
      <c r="AE396">
        <v>1011.2</v>
      </c>
      <c r="AF396" s="4" t="s">
        <v>442</v>
      </c>
      <c r="AG396" s="2">
        <f t="shared" si="75"/>
        <v>1</v>
      </c>
      <c r="AH396" t="s">
        <v>724</v>
      </c>
      <c r="AI396" s="2">
        <f t="shared" si="76"/>
        <v>8</v>
      </c>
      <c r="AJ396" s="2">
        <f t="shared" si="77"/>
        <v>1</v>
      </c>
      <c r="AK396" s="3">
        <v>1596.0000000055879</v>
      </c>
      <c r="AM396" s="2">
        <v>1</v>
      </c>
      <c r="AN396">
        <v>15</v>
      </c>
      <c r="AO396">
        <v>0</v>
      </c>
      <c r="AP396">
        <v>0</v>
      </c>
      <c r="AQ396" s="2">
        <f>IF((2*G396 + M396 -P396 + 3*W396 + 2*Z396+2*AD396 + AG396+2*AJ396 + 4*AM396) &gt;=8,1,0)</f>
        <v>1</v>
      </c>
    </row>
    <row r="397" spans="1:43" x14ac:dyDescent="0.25">
      <c r="A397" t="s">
        <v>27</v>
      </c>
      <c r="B397" s="1">
        <v>38212</v>
      </c>
      <c r="C397" s="7">
        <f t="shared" si="69"/>
        <v>2004</v>
      </c>
      <c r="D397">
        <v>93.3</v>
      </c>
      <c r="E397">
        <v>71.2</v>
      </c>
      <c r="F397">
        <v>82.1</v>
      </c>
      <c r="G397" s="2">
        <f t="shared" si="78"/>
        <v>1</v>
      </c>
      <c r="H397">
        <v>91.5</v>
      </c>
      <c r="I397">
        <v>71.2</v>
      </c>
      <c r="J397">
        <v>82</v>
      </c>
      <c r="K397">
        <v>60</v>
      </c>
      <c r="L397">
        <v>49.1</v>
      </c>
      <c r="M397" s="2">
        <f t="shared" si="70"/>
        <v>1</v>
      </c>
      <c r="N397">
        <v>0</v>
      </c>
      <c r="P397" s="2">
        <f t="shared" si="71"/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s="2">
        <f t="shared" si="72"/>
        <v>0</v>
      </c>
      <c r="X397">
        <v>10.5</v>
      </c>
      <c r="Z397" s="2">
        <f t="shared" si="73"/>
        <v>0</v>
      </c>
      <c r="AA397">
        <v>179.7</v>
      </c>
      <c r="AB397" s="2" t="str">
        <f>CHOOSE(MATCH(AA397,{0;11;80;111;161;191;241;281;341},1),"North","NorthEast","East","SouthEast","South","SouthWest","West","NorthWest","North")</f>
        <v>South</v>
      </c>
      <c r="AC397" s="5">
        <f>CHOOSE(MATCH(AB397,{"South";"SouthEast";"SouthWest";"North";"NorthEast";"East";"West";"NorthWest"},0),1,2,3,4,5,6,7,8)</f>
        <v>1</v>
      </c>
      <c r="AD397" s="2">
        <f t="shared" si="74"/>
        <v>0</v>
      </c>
      <c r="AE397">
        <v>1011</v>
      </c>
      <c r="AF397" s="4" t="s">
        <v>725</v>
      </c>
      <c r="AG397" s="2">
        <f t="shared" si="75"/>
        <v>0</v>
      </c>
      <c r="AH397" t="s">
        <v>726</v>
      </c>
      <c r="AI397" s="2">
        <f t="shared" si="76"/>
        <v>8</v>
      </c>
      <c r="AJ397" s="2">
        <f t="shared" si="77"/>
        <v>1</v>
      </c>
      <c r="AK397" s="3">
        <v>273.99999999208381</v>
      </c>
      <c r="AM397" s="2">
        <v>0</v>
      </c>
      <c r="AN397">
        <v>0</v>
      </c>
      <c r="AO397">
        <v>0.2</v>
      </c>
      <c r="AP397">
        <v>0</v>
      </c>
      <c r="AQ397" s="2">
        <f>IF((2*G397 + M397 -P397 + 3*W397 + 2*Z397+2*AD397 + AG397+2*AJ397 + 4*AM397) &gt;=8,1,0)</f>
        <v>0</v>
      </c>
    </row>
    <row r="398" spans="1:43" x14ac:dyDescent="0.25">
      <c r="A398" t="s">
        <v>27</v>
      </c>
      <c r="B398" s="1">
        <v>38212</v>
      </c>
      <c r="C398" s="7">
        <f t="shared" si="69"/>
        <v>2004</v>
      </c>
      <c r="D398">
        <v>93.3</v>
      </c>
      <c r="E398">
        <v>71.2</v>
      </c>
      <c r="F398">
        <v>82.1</v>
      </c>
      <c r="G398" s="2">
        <f t="shared" si="78"/>
        <v>1</v>
      </c>
      <c r="H398">
        <v>91.5</v>
      </c>
      <c r="I398">
        <v>71.2</v>
      </c>
      <c r="J398">
        <v>82</v>
      </c>
      <c r="K398">
        <v>60</v>
      </c>
      <c r="L398">
        <v>49.1</v>
      </c>
      <c r="M398" s="2">
        <f t="shared" si="70"/>
        <v>1</v>
      </c>
      <c r="N398">
        <v>0</v>
      </c>
      <c r="P398" s="2">
        <f t="shared" si="71"/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s="2">
        <f t="shared" si="72"/>
        <v>0</v>
      </c>
      <c r="X398">
        <v>10.5</v>
      </c>
      <c r="Z398" s="2">
        <f t="shared" si="73"/>
        <v>0</v>
      </c>
      <c r="AA398">
        <v>179.7</v>
      </c>
      <c r="AB398" s="2" t="str">
        <f>CHOOSE(MATCH(AA398,{0;11;80;111;161;191;241;281;341},1),"North","NorthEast","East","SouthEast","South","SouthWest","West","NorthWest","North")</f>
        <v>South</v>
      </c>
      <c r="AC398" s="5">
        <f>CHOOSE(MATCH(AB398,{"South";"SouthEast";"SouthWest";"North";"NorthEast";"East";"West";"NorthWest"},0),1,2,3,4,5,6,7,8)</f>
        <v>1</v>
      </c>
      <c r="AD398" s="2">
        <f t="shared" si="74"/>
        <v>0</v>
      </c>
      <c r="AE398">
        <v>1011</v>
      </c>
      <c r="AF398" s="4" t="s">
        <v>727</v>
      </c>
      <c r="AG398" s="2">
        <f t="shared" si="75"/>
        <v>1</v>
      </c>
      <c r="AH398" t="s">
        <v>728</v>
      </c>
      <c r="AI398" s="2">
        <f t="shared" si="76"/>
        <v>8</v>
      </c>
      <c r="AJ398" s="2">
        <f t="shared" si="77"/>
        <v>1</v>
      </c>
      <c r="AK398" s="3">
        <v>182.99999999930151</v>
      </c>
      <c r="AM398" s="2">
        <v>0</v>
      </c>
      <c r="AN398">
        <v>0</v>
      </c>
      <c r="AO398">
        <v>0.5</v>
      </c>
      <c r="AP398">
        <v>0</v>
      </c>
      <c r="AQ398" s="2">
        <f>IF((2*G398 + M398 -P398 + 3*W398 + 2*Z398+2*AD398 + AG398+2*AJ398 + 4*AM398) &gt;=8,1,0)</f>
        <v>0</v>
      </c>
    </row>
    <row r="399" spans="1:43" x14ac:dyDescent="0.25">
      <c r="A399" t="s">
        <v>27</v>
      </c>
      <c r="B399" s="1">
        <v>38213</v>
      </c>
      <c r="C399" s="7">
        <f t="shared" si="69"/>
        <v>2004</v>
      </c>
      <c r="D399">
        <v>95.8</v>
      </c>
      <c r="E399">
        <v>71.900000000000006</v>
      </c>
      <c r="F399">
        <v>83.9</v>
      </c>
      <c r="G399" s="2">
        <f t="shared" si="78"/>
        <v>1</v>
      </c>
      <c r="H399">
        <v>95.3</v>
      </c>
      <c r="I399">
        <v>71.900000000000006</v>
      </c>
      <c r="J399">
        <v>85</v>
      </c>
      <c r="K399">
        <v>62.8</v>
      </c>
      <c r="L399">
        <v>50.6</v>
      </c>
      <c r="M399" s="2">
        <f t="shared" si="70"/>
        <v>0</v>
      </c>
      <c r="N399">
        <v>0</v>
      </c>
      <c r="P399" s="2">
        <f t="shared" si="71"/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s="2">
        <f t="shared" si="72"/>
        <v>0</v>
      </c>
      <c r="X399">
        <v>16.7</v>
      </c>
      <c r="Z399" s="2">
        <f t="shared" si="73"/>
        <v>1</v>
      </c>
      <c r="AA399">
        <v>205.1</v>
      </c>
      <c r="AB399" s="2" t="str">
        <f>CHOOSE(MATCH(AA399,{0;11;80;111;161;191;241;281;341},1),"North","NorthEast","East","SouthEast","South","SouthWest","West","NorthWest","North")</f>
        <v>SouthWest</v>
      </c>
      <c r="AC399" s="5">
        <f>CHOOSE(MATCH(AB399,{"South";"SouthEast";"SouthWest";"North";"NorthEast";"East";"West";"NorthWest"},0),1,2,3,4,5,6,7,8)</f>
        <v>3</v>
      </c>
      <c r="AD399" s="2">
        <f t="shared" si="74"/>
        <v>1</v>
      </c>
      <c r="AE399">
        <v>1007.9</v>
      </c>
      <c r="AF399" s="4" t="s">
        <v>729</v>
      </c>
      <c r="AG399" s="2">
        <f t="shared" si="75"/>
        <v>1</v>
      </c>
      <c r="AH399" t="s">
        <v>730</v>
      </c>
      <c r="AI399" s="2">
        <f t="shared" si="76"/>
        <v>8</v>
      </c>
      <c r="AJ399" s="2">
        <f t="shared" si="77"/>
        <v>1</v>
      </c>
      <c r="AK399" s="3">
        <v>30.99999999627471</v>
      </c>
      <c r="AM399" s="2">
        <v>0</v>
      </c>
      <c r="AN399">
        <v>0</v>
      </c>
      <c r="AO399">
        <v>0.1</v>
      </c>
      <c r="AP399">
        <v>0</v>
      </c>
      <c r="AQ399" s="2">
        <f>IF((2*G399 + M399 -P399 + 3*W399 + 2*Z399+2*AD399 + AG399+2*AJ399 + 4*AM399) &gt;=8,1,0)</f>
        <v>1</v>
      </c>
    </row>
    <row r="400" spans="1:43" x14ac:dyDescent="0.25">
      <c r="A400" t="s">
        <v>27</v>
      </c>
      <c r="B400" s="1">
        <v>38215</v>
      </c>
      <c r="C400" s="7">
        <f t="shared" si="69"/>
        <v>2004</v>
      </c>
      <c r="D400">
        <v>84.1</v>
      </c>
      <c r="E400">
        <v>73.900000000000006</v>
      </c>
      <c r="F400">
        <v>77.8</v>
      </c>
      <c r="G400" s="2">
        <f t="shared" si="78"/>
        <v>1</v>
      </c>
      <c r="H400">
        <v>83.1</v>
      </c>
      <c r="I400">
        <v>73.900000000000006</v>
      </c>
      <c r="J400">
        <v>77.7</v>
      </c>
      <c r="K400">
        <v>57.9</v>
      </c>
      <c r="L400">
        <v>51</v>
      </c>
      <c r="M400" s="2">
        <f t="shared" si="70"/>
        <v>0</v>
      </c>
      <c r="N400">
        <v>0</v>
      </c>
      <c r="P400" s="2">
        <f t="shared" si="71"/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s="2">
        <f t="shared" si="72"/>
        <v>0</v>
      </c>
      <c r="X400">
        <v>22.2</v>
      </c>
      <c r="Z400" s="2">
        <f t="shared" si="73"/>
        <v>1</v>
      </c>
      <c r="AA400">
        <v>355.7</v>
      </c>
      <c r="AB400" s="2" t="str">
        <f>CHOOSE(MATCH(AA400,{0;11;80;111;161;191;241;281;341},1),"North","NorthEast","East","SouthEast","South","SouthWest","West","NorthWest","North")</f>
        <v>North</v>
      </c>
      <c r="AC400" s="5">
        <f>CHOOSE(MATCH(AB400,{"South";"SouthEast";"SouthWest";"North";"NorthEast";"East";"West";"NorthWest"},0),1,2,3,4,5,6,7,8)</f>
        <v>4</v>
      </c>
      <c r="AD400" s="2">
        <f t="shared" si="74"/>
        <v>1</v>
      </c>
      <c r="AE400">
        <v>1010.3</v>
      </c>
      <c r="AF400" s="4" t="s">
        <v>599</v>
      </c>
      <c r="AG400" s="2">
        <f t="shared" si="75"/>
        <v>0</v>
      </c>
      <c r="AH400" t="s">
        <v>731</v>
      </c>
      <c r="AI400" s="2">
        <f t="shared" si="76"/>
        <v>8</v>
      </c>
      <c r="AJ400" s="2">
        <f t="shared" si="77"/>
        <v>1</v>
      </c>
      <c r="AK400" s="3">
        <v>519.99999999767169</v>
      </c>
      <c r="AM400" s="2">
        <v>1</v>
      </c>
      <c r="AN400">
        <v>0</v>
      </c>
      <c r="AO400">
        <v>50</v>
      </c>
      <c r="AP400">
        <v>0</v>
      </c>
      <c r="AQ400" s="2">
        <f>IF((2*G400 + M400 -P400 + 3*W400 + 2*Z400+2*AD400 + AG400+2*AJ400 + 4*AM400) &gt;=8,1,0)</f>
        <v>1</v>
      </c>
    </row>
    <row r="401" spans="1:43" x14ac:dyDescent="0.25">
      <c r="A401" t="s">
        <v>27</v>
      </c>
      <c r="B401" s="1">
        <v>38219</v>
      </c>
      <c r="C401" s="7">
        <f t="shared" si="69"/>
        <v>2004</v>
      </c>
      <c r="D401">
        <v>92.6</v>
      </c>
      <c r="E401">
        <v>68.099999999999994</v>
      </c>
      <c r="F401">
        <v>80.5</v>
      </c>
      <c r="G401" s="2">
        <f t="shared" si="78"/>
        <v>1</v>
      </c>
      <c r="H401">
        <v>91</v>
      </c>
      <c r="I401">
        <v>68.099999999999994</v>
      </c>
      <c r="J401">
        <v>80.099999999999994</v>
      </c>
      <c r="K401">
        <v>57.4</v>
      </c>
      <c r="L401">
        <v>48</v>
      </c>
      <c r="M401" s="2">
        <f t="shared" si="70"/>
        <v>1</v>
      </c>
      <c r="N401">
        <v>0</v>
      </c>
      <c r="P401" s="2">
        <f t="shared" si="71"/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s="2">
        <f t="shared" si="72"/>
        <v>0</v>
      </c>
      <c r="X401">
        <v>11.7</v>
      </c>
      <c r="Z401" s="2">
        <f t="shared" si="73"/>
        <v>0</v>
      </c>
      <c r="AA401">
        <v>162</v>
      </c>
      <c r="AB401" s="2" t="str">
        <f>CHOOSE(MATCH(AA401,{0;11;80;111;161;191;241;281;341},1),"North","NorthEast","East","SouthEast","South","SouthWest","West","NorthWest","North")</f>
        <v>South</v>
      </c>
      <c r="AC401" s="5">
        <f>CHOOSE(MATCH(AB401,{"South";"SouthEast";"SouthWest";"North";"NorthEast";"East";"West";"NorthWest"},0),1,2,3,4,5,6,7,8)</f>
        <v>1</v>
      </c>
      <c r="AD401" s="2">
        <f t="shared" si="74"/>
        <v>0</v>
      </c>
      <c r="AE401">
        <v>1011.4</v>
      </c>
      <c r="AF401" s="4" t="s">
        <v>107</v>
      </c>
      <c r="AG401" s="2">
        <f t="shared" si="75"/>
        <v>1</v>
      </c>
      <c r="AH401" t="s">
        <v>732</v>
      </c>
      <c r="AI401" s="2">
        <f t="shared" si="76"/>
        <v>8</v>
      </c>
      <c r="AJ401" s="2">
        <f t="shared" si="77"/>
        <v>1</v>
      </c>
      <c r="AK401" s="3">
        <v>2934.9999999906868</v>
      </c>
      <c r="AM401" s="2">
        <v>1</v>
      </c>
      <c r="AN401">
        <v>5</v>
      </c>
      <c r="AO401">
        <v>0</v>
      </c>
      <c r="AP401">
        <v>0</v>
      </c>
      <c r="AQ401" s="2">
        <f>IF((2*G401 + M401 -P401 + 3*W401 + 2*Z401+2*AD401 + AG401+2*AJ401 + 4*AM401) &gt;=8,1,0)</f>
        <v>1</v>
      </c>
    </row>
    <row r="402" spans="1:43" x14ac:dyDescent="0.25">
      <c r="A402" t="s">
        <v>27</v>
      </c>
      <c r="B402" s="1">
        <v>38222</v>
      </c>
      <c r="C402" s="7">
        <f t="shared" si="69"/>
        <v>2004</v>
      </c>
      <c r="D402">
        <v>88.6</v>
      </c>
      <c r="E402">
        <v>71.7</v>
      </c>
      <c r="F402">
        <v>80.7</v>
      </c>
      <c r="G402" s="2">
        <f t="shared" si="78"/>
        <v>1</v>
      </c>
      <c r="H402">
        <v>87.5</v>
      </c>
      <c r="I402">
        <v>71.7</v>
      </c>
      <c r="J402">
        <v>80.099999999999994</v>
      </c>
      <c r="K402">
        <v>54.6</v>
      </c>
      <c r="L402">
        <v>41.4</v>
      </c>
      <c r="M402" s="2">
        <f t="shared" si="70"/>
        <v>1</v>
      </c>
      <c r="N402">
        <v>0</v>
      </c>
      <c r="P402" s="2">
        <f t="shared" si="71"/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s="2">
        <f t="shared" si="72"/>
        <v>0</v>
      </c>
      <c r="X402">
        <v>20.7</v>
      </c>
      <c r="Z402" s="2">
        <f t="shared" si="73"/>
        <v>1</v>
      </c>
      <c r="AA402">
        <v>3.2</v>
      </c>
      <c r="AB402" s="2" t="str">
        <f>CHOOSE(MATCH(AA402,{0;11;80;111;161;191;241;281;341},1),"North","NorthEast","East","SouthEast","South","SouthWest","West","NorthWest","North")</f>
        <v>North</v>
      </c>
      <c r="AC402" s="5">
        <f>CHOOSE(MATCH(AB402,{"South";"SouthEast";"SouthWest";"North";"NorthEast";"East";"West";"NorthWest"},0),1,2,3,4,5,6,7,8)</f>
        <v>4</v>
      </c>
      <c r="AD402" s="2">
        <f t="shared" si="74"/>
        <v>1</v>
      </c>
      <c r="AE402">
        <v>1014.4</v>
      </c>
      <c r="AF402" s="4" t="s">
        <v>88</v>
      </c>
      <c r="AG402" s="2">
        <f t="shared" si="75"/>
        <v>1</v>
      </c>
      <c r="AH402" t="s">
        <v>733</v>
      </c>
      <c r="AI402" s="2">
        <f t="shared" si="76"/>
        <v>8</v>
      </c>
      <c r="AJ402" s="2">
        <f t="shared" si="77"/>
        <v>1</v>
      </c>
      <c r="AK402" s="3">
        <v>1885.9999999974391</v>
      </c>
      <c r="AM402" s="2">
        <v>1</v>
      </c>
      <c r="AN402">
        <v>0</v>
      </c>
      <c r="AO402">
        <v>15</v>
      </c>
      <c r="AP402">
        <v>0</v>
      </c>
      <c r="AQ402" s="2">
        <f>IF((2*G402 + M402 -P402 + 3*W402 + 2*Z402+2*AD402 + AG402+2*AJ402 + 4*AM402) &gt;=8,1,0)</f>
        <v>1</v>
      </c>
    </row>
    <row r="403" spans="1:43" x14ac:dyDescent="0.25">
      <c r="A403" t="s">
        <v>27</v>
      </c>
      <c r="B403" s="1">
        <v>38222</v>
      </c>
      <c r="C403" s="7">
        <f t="shared" si="69"/>
        <v>2004</v>
      </c>
      <c r="D403">
        <v>88.6</v>
      </c>
      <c r="E403">
        <v>71.7</v>
      </c>
      <c r="F403">
        <v>80.7</v>
      </c>
      <c r="G403" s="2">
        <f t="shared" si="78"/>
        <v>1</v>
      </c>
      <c r="H403">
        <v>87.5</v>
      </c>
      <c r="I403">
        <v>71.7</v>
      </c>
      <c r="J403">
        <v>80.099999999999994</v>
      </c>
      <c r="K403">
        <v>54.6</v>
      </c>
      <c r="L403">
        <v>41.4</v>
      </c>
      <c r="M403" s="2">
        <f t="shared" si="70"/>
        <v>1</v>
      </c>
      <c r="N403">
        <v>0</v>
      </c>
      <c r="P403" s="2">
        <f t="shared" si="71"/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s="2">
        <f t="shared" si="72"/>
        <v>0</v>
      </c>
      <c r="X403">
        <v>20.7</v>
      </c>
      <c r="Z403" s="2">
        <f t="shared" si="73"/>
        <v>1</v>
      </c>
      <c r="AA403">
        <v>3.2</v>
      </c>
      <c r="AB403" s="2" t="str">
        <f>CHOOSE(MATCH(AA403,{0;11;80;111;161;191;241;281;341},1),"North","NorthEast","East","SouthEast","South","SouthWest","West","NorthWest","North")</f>
        <v>North</v>
      </c>
      <c r="AC403" s="5">
        <f>CHOOSE(MATCH(AB403,{"South";"SouthEast";"SouthWest";"North";"NorthEast";"East";"West";"NorthWest"},0),1,2,3,4,5,6,7,8)</f>
        <v>4</v>
      </c>
      <c r="AD403" s="2">
        <f t="shared" si="74"/>
        <v>1</v>
      </c>
      <c r="AE403">
        <v>1014.4</v>
      </c>
      <c r="AF403" s="4" t="s">
        <v>734</v>
      </c>
      <c r="AG403" s="2">
        <f t="shared" si="75"/>
        <v>1</v>
      </c>
      <c r="AH403" t="s">
        <v>735</v>
      </c>
      <c r="AI403" s="2">
        <f t="shared" si="76"/>
        <v>8</v>
      </c>
      <c r="AJ403" s="2">
        <f t="shared" si="77"/>
        <v>1</v>
      </c>
      <c r="AK403" s="3">
        <v>1853.000000005122</v>
      </c>
      <c r="AM403" s="2">
        <v>1</v>
      </c>
      <c r="AN403">
        <v>0</v>
      </c>
      <c r="AO403">
        <v>15</v>
      </c>
      <c r="AP403">
        <v>0</v>
      </c>
      <c r="AQ403" s="2">
        <f>IF((2*G403 + M403 -P403 + 3*W403 + 2*Z403+2*AD403 + AG403+2*AJ403 + 4*AM403) &gt;=8,1,0)</f>
        <v>1</v>
      </c>
    </row>
    <row r="404" spans="1:43" x14ac:dyDescent="0.25">
      <c r="A404" t="s">
        <v>27</v>
      </c>
      <c r="B404" s="1">
        <v>38223</v>
      </c>
      <c r="C404" s="7">
        <f t="shared" si="69"/>
        <v>2004</v>
      </c>
      <c r="D404">
        <v>86.4</v>
      </c>
      <c r="E404">
        <v>71.7</v>
      </c>
      <c r="F404">
        <v>78.5</v>
      </c>
      <c r="G404" s="2">
        <f t="shared" si="78"/>
        <v>1</v>
      </c>
      <c r="H404">
        <v>84.5</v>
      </c>
      <c r="I404">
        <v>71.7</v>
      </c>
      <c r="J404">
        <v>78.099999999999994</v>
      </c>
      <c r="K404">
        <v>54.2</v>
      </c>
      <c r="L404">
        <v>43.6</v>
      </c>
      <c r="M404" s="2">
        <f t="shared" si="70"/>
        <v>1</v>
      </c>
      <c r="N404">
        <v>0</v>
      </c>
      <c r="P404" s="2">
        <f t="shared" si="71"/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2">
        <f t="shared" si="72"/>
        <v>0</v>
      </c>
      <c r="X404">
        <v>18.399999999999999</v>
      </c>
      <c r="Z404" s="2">
        <f t="shared" si="73"/>
        <v>1</v>
      </c>
      <c r="AA404">
        <v>12</v>
      </c>
      <c r="AB404" s="2" t="str">
        <f>CHOOSE(MATCH(AA404,{0;11;80;111;161;191;241;281;341},1),"North","NorthEast","East","SouthEast","South","SouthWest","West","NorthWest","North")</f>
        <v>NorthEast</v>
      </c>
      <c r="AC404" s="5">
        <f>CHOOSE(MATCH(AB404,{"South";"SouthEast";"SouthWest";"North";"NorthEast";"East";"West";"NorthWest"},0),1,2,3,4,5,6,7,8)</f>
        <v>5</v>
      </c>
      <c r="AD404" s="2">
        <f t="shared" si="74"/>
        <v>1</v>
      </c>
      <c r="AE404">
        <v>1018.2</v>
      </c>
      <c r="AF404" s="4" t="s">
        <v>385</v>
      </c>
      <c r="AG404" s="2">
        <f t="shared" si="75"/>
        <v>1</v>
      </c>
      <c r="AH404" t="s">
        <v>736</v>
      </c>
      <c r="AI404" s="2">
        <f t="shared" si="76"/>
        <v>8</v>
      </c>
      <c r="AJ404" s="2">
        <f t="shared" si="77"/>
        <v>1</v>
      </c>
      <c r="AK404" s="3">
        <v>344.99999999301508</v>
      </c>
      <c r="AM404" s="2">
        <v>0</v>
      </c>
      <c r="AN404">
        <v>0</v>
      </c>
      <c r="AO404">
        <v>1</v>
      </c>
      <c r="AP404">
        <v>0</v>
      </c>
      <c r="AQ404" s="2">
        <f>IF((2*G404 + M404 -P404 + 3*W404 + 2*Z404+2*AD404 + AG404+2*AJ404 + 4*AM404) &gt;=8,1,0)</f>
        <v>1</v>
      </c>
    </row>
    <row r="405" spans="1:43" x14ac:dyDescent="0.25">
      <c r="A405" t="s">
        <v>27</v>
      </c>
      <c r="B405" s="1">
        <v>38224</v>
      </c>
      <c r="C405" s="7">
        <f t="shared" si="69"/>
        <v>2004</v>
      </c>
      <c r="D405">
        <v>88.9</v>
      </c>
      <c r="E405">
        <v>69.3</v>
      </c>
      <c r="F405">
        <v>79.3</v>
      </c>
      <c r="G405" s="2">
        <f t="shared" si="78"/>
        <v>1</v>
      </c>
      <c r="H405">
        <v>88.9</v>
      </c>
      <c r="I405">
        <v>69.3</v>
      </c>
      <c r="J405">
        <v>78.900000000000006</v>
      </c>
      <c r="K405">
        <v>55.1</v>
      </c>
      <c r="L405">
        <v>44.2</v>
      </c>
      <c r="M405" s="2">
        <f t="shared" si="70"/>
        <v>1</v>
      </c>
      <c r="N405">
        <v>0</v>
      </c>
      <c r="P405" s="2">
        <f t="shared" si="71"/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s="2">
        <f t="shared" si="72"/>
        <v>0</v>
      </c>
      <c r="X405">
        <v>16.7</v>
      </c>
      <c r="Z405" s="2">
        <f t="shared" si="73"/>
        <v>1</v>
      </c>
      <c r="AA405">
        <v>353.3</v>
      </c>
      <c r="AB405" s="2" t="str">
        <f>CHOOSE(MATCH(AA405,{0;11;80;111;161;191;241;281;341},1),"North","NorthEast","East","SouthEast","South","SouthWest","West","NorthWest","North")</f>
        <v>North</v>
      </c>
      <c r="AC405" s="5">
        <f>CHOOSE(MATCH(AB405,{"South";"SouthEast";"SouthWest";"North";"NorthEast";"East";"West";"NorthWest"},0),1,2,3,4,5,6,7,8)</f>
        <v>4</v>
      </c>
      <c r="AD405" s="2">
        <f t="shared" si="74"/>
        <v>1</v>
      </c>
      <c r="AE405">
        <v>1016.3</v>
      </c>
      <c r="AF405" s="4" t="s">
        <v>101</v>
      </c>
      <c r="AG405" s="2">
        <f t="shared" si="75"/>
        <v>1</v>
      </c>
      <c r="AH405" t="s">
        <v>737</v>
      </c>
      <c r="AI405" s="2">
        <f t="shared" si="76"/>
        <v>8</v>
      </c>
      <c r="AJ405" s="2">
        <f t="shared" si="77"/>
        <v>1</v>
      </c>
      <c r="AK405" s="3">
        <v>62.000000003026798</v>
      </c>
      <c r="AM405" s="2">
        <v>0</v>
      </c>
      <c r="AN405">
        <v>0</v>
      </c>
      <c r="AO405">
        <v>0.1</v>
      </c>
      <c r="AP405">
        <v>0</v>
      </c>
      <c r="AQ405" s="2">
        <f>IF((2*G405 + M405 -P405 + 3*W405 + 2*Z405+2*AD405 + AG405+2*AJ405 + 4*AM405) &gt;=8,1,0)</f>
        <v>1</v>
      </c>
    </row>
    <row r="406" spans="1:43" x14ac:dyDescent="0.25">
      <c r="A406" t="s">
        <v>27</v>
      </c>
      <c r="B406" s="1">
        <v>38228</v>
      </c>
      <c r="C406" s="7">
        <f t="shared" ref="C406:C464" si="79">YEAR(B406)</f>
        <v>2004</v>
      </c>
      <c r="D406">
        <v>85.1</v>
      </c>
      <c r="E406">
        <v>68.400000000000006</v>
      </c>
      <c r="F406">
        <v>76.400000000000006</v>
      </c>
      <c r="G406" s="2">
        <f t="shared" si="78"/>
        <v>1</v>
      </c>
      <c r="H406">
        <v>84</v>
      </c>
      <c r="I406">
        <v>68.400000000000006</v>
      </c>
      <c r="J406">
        <v>76.099999999999994</v>
      </c>
      <c r="K406">
        <v>56.2</v>
      </c>
      <c r="L406">
        <v>51.1</v>
      </c>
      <c r="M406" s="2">
        <f t="shared" ref="M406:M464" si="80">IF(L406&lt;=49.3,1,0)</f>
        <v>0</v>
      </c>
      <c r="N406">
        <v>0</v>
      </c>
      <c r="P406" s="2">
        <f t="shared" ref="P406:P464" si="81">IF(N406&lt;=0.01,1,0)</f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s="2">
        <f t="shared" ref="W406:W464" si="82">IF(V406&lt;=10,0,1)</f>
        <v>0</v>
      </c>
      <c r="X406">
        <v>13.7</v>
      </c>
      <c r="Z406" s="2">
        <f t="shared" ref="Z406:Z464" si="83">IF(X406&gt;=16,1,0)</f>
        <v>0</v>
      </c>
      <c r="AA406">
        <v>329.5</v>
      </c>
      <c r="AB406" s="2" t="str">
        <f>CHOOSE(MATCH(AA406,{0;11;80;111;161;191;241;281;341},1),"North","NorthEast","East","SouthEast","South","SouthWest","West","NorthWest","North")</f>
        <v>NorthWest</v>
      </c>
      <c r="AC406" s="5">
        <f>CHOOSE(MATCH(AB406,{"South";"SouthEast";"SouthWest";"North";"NorthEast";"East";"West";"NorthWest"},0),1,2,3,4,5,6,7,8)</f>
        <v>8</v>
      </c>
      <c r="AD406" s="2">
        <f t="shared" ref="AD406:AD464" si="84">IF(OR(AC406=3,AC406=4,AC406=5,AC406=8),1,0)</f>
        <v>1</v>
      </c>
      <c r="AE406">
        <v>1014.8</v>
      </c>
      <c r="AF406" s="4" t="s">
        <v>630</v>
      </c>
      <c r="AG406" s="2">
        <f t="shared" ref="AG406:AG464" si="85">IF(TIMEVALUE(AF406)&lt;=TIME(12,30,0),0,1)</f>
        <v>1</v>
      </c>
      <c r="AH406" t="s">
        <v>738</v>
      </c>
      <c r="AI406" s="2">
        <f t="shared" ref="AI406:AI464" si="86">MONTH(AH406)</f>
        <v>8</v>
      </c>
      <c r="AJ406" s="2">
        <f t="shared" ref="AJ406:AJ464" si="87">IF(OR(AI406=6,AI406=7,AI406=8),1,0)</f>
        <v>1</v>
      </c>
      <c r="AK406" s="3">
        <v>79.999999998835847</v>
      </c>
      <c r="AM406" s="2">
        <v>0</v>
      </c>
      <c r="AN406">
        <v>0</v>
      </c>
      <c r="AO406">
        <v>1</v>
      </c>
      <c r="AP406">
        <v>0</v>
      </c>
      <c r="AQ406" s="2">
        <f>IF((2*G406 + M406 -P406 + 3*W406 + 2*Z406+2*AD406 + AG406+2*AJ406 + 4*AM406) &gt;=8,1,0)</f>
        <v>0</v>
      </c>
    </row>
    <row r="407" spans="1:43" x14ac:dyDescent="0.25">
      <c r="A407" t="s">
        <v>27</v>
      </c>
      <c r="B407" s="1">
        <v>38233</v>
      </c>
      <c r="C407" s="7">
        <f t="shared" si="79"/>
        <v>2004</v>
      </c>
      <c r="D407">
        <v>88.3</v>
      </c>
      <c r="E407">
        <v>76.8</v>
      </c>
      <c r="F407">
        <v>81.7</v>
      </c>
      <c r="G407" s="2">
        <f t="shared" si="78"/>
        <v>1</v>
      </c>
      <c r="H407">
        <v>87.4</v>
      </c>
      <c r="I407">
        <v>76.8</v>
      </c>
      <c r="J407">
        <v>81.599999999999994</v>
      </c>
      <c r="K407">
        <v>58.5</v>
      </c>
      <c r="L407">
        <v>45.6</v>
      </c>
      <c r="M407" s="2">
        <f t="shared" si="80"/>
        <v>1</v>
      </c>
      <c r="N407">
        <v>0</v>
      </c>
      <c r="P407" s="2">
        <f t="shared" si="81"/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2">
        <f t="shared" si="82"/>
        <v>0</v>
      </c>
      <c r="X407">
        <v>25.3</v>
      </c>
      <c r="Z407" s="2">
        <f t="shared" si="83"/>
        <v>1</v>
      </c>
      <c r="AA407">
        <v>352.9</v>
      </c>
      <c r="AB407" s="2" t="str">
        <f>CHOOSE(MATCH(AA407,{0;11;80;111;161;191;241;281;341},1),"North","NorthEast","East","SouthEast","South","SouthWest","West","NorthWest","North")</f>
        <v>North</v>
      </c>
      <c r="AC407" s="5">
        <f>CHOOSE(MATCH(AB407,{"South";"SouthEast";"SouthWest";"North";"NorthEast";"East";"West";"NorthWest"},0),1,2,3,4,5,6,7,8)</f>
        <v>4</v>
      </c>
      <c r="AD407" s="2">
        <f t="shared" si="84"/>
        <v>1</v>
      </c>
      <c r="AE407">
        <v>1016.2</v>
      </c>
      <c r="AF407" s="4" t="s">
        <v>734</v>
      </c>
      <c r="AG407" s="2">
        <f t="shared" si="85"/>
        <v>1</v>
      </c>
      <c r="AH407" t="s">
        <v>739</v>
      </c>
      <c r="AI407" s="2">
        <f t="shared" si="86"/>
        <v>9</v>
      </c>
      <c r="AJ407" s="2">
        <f t="shared" si="87"/>
        <v>0</v>
      </c>
      <c r="AK407" s="3">
        <v>1733.00000000163</v>
      </c>
      <c r="AM407" s="2">
        <v>1</v>
      </c>
      <c r="AN407">
        <v>0</v>
      </c>
      <c r="AO407">
        <v>5</v>
      </c>
      <c r="AP407">
        <v>0</v>
      </c>
      <c r="AQ407" s="2">
        <f>IF((2*G407 + M407 -P407 + 3*W407 + 2*Z407+2*AD407 + AG407+2*AJ407 + 4*AM407) &gt;=8,1,0)</f>
        <v>1</v>
      </c>
    </row>
    <row r="408" spans="1:43" x14ac:dyDescent="0.25">
      <c r="A408" t="s">
        <v>27</v>
      </c>
      <c r="B408" s="1">
        <v>38234</v>
      </c>
      <c r="C408" s="7">
        <f t="shared" si="79"/>
        <v>2004</v>
      </c>
      <c r="D408">
        <v>89.4</v>
      </c>
      <c r="E408">
        <v>75.7</v>
      </c>
      <c r="F408">
        <v>81.400000000000006</v>
      </c>
      <c r="G408" s="2">
        <f t="shared" si="78"/>
        <v>1</v>
      </c>
      <c r="H408">
        <v>86.7</v>
      </c>
      <c r="I408">
        <v>75.7</v>
      </c>
      <c r="J408">
        <v>80.8</v>
      </c>
      <c r="K408">
        <v>56.6</v>
      </c>
      <c r="L408">
        <v>43.8</v>
      </c>
      <c r="M408" s="2">
        <f t="shared" si="80"/>
        <v>1</v>
      </c>
      <c r="N408">
        <v>0</v>
      </c>
      <c r="P408" s="2">
        <f t="shared" si="81"/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s="2">
        <f t="shared" si="82"/>
        <v>0</v>
      </c>
      <c r="X408">
        <v>23.3</v>
      </c>
      <c r="Z408" s="2">
        <f t="shared" si="83"/>
        <v>1</v>
      </c>
      <c r="AA408">
        <v>352.6</v>
      </c>
      <c r="AB408" s="2" t="str">
        <f>CHOOSE(MATCH(AA408,{0;11;80;111;161;191;241;281;341},1),"North","NorthEast","East","SouthEast","South","SouthWest","West","NorthWest","North")</f>
        <v>North</v>
      </c>
      <c r="AC408" s="5">
        <f>CHOOSE(MATCH(AB408,{"South";"SouthEast";"SouthWest";"North";"NorthEast";"East";"West";"NorthWest"},0),1,2,3,4,5,6,7,8)</f>
        <v>4</v>
      </c>
      <c r="AD408" s="2">
        <f t="shared" si="84"/>
        <v>1</v>
      </c>
      <c r="AE408">
        <v>1016.1</v>
      </c>
      <c r="AF408" s="4" t="s">
        <v>59</v>
      </c>
      <c r="AG408" s="2">
        <f t="shared" si="85"/>
        <v>1</v>
      </c>
      <c r="AH408" t="s">
        <v>740</v>
      </c>
      <c r="AI408" s="2">
        <f t="shared" si="86"/>
        <v>9</v>
      </c>
      <c r="AJ408" s="2">
        <f t="shared" si="87"/>
        <v>0</v>
      </c>
      <c r="AK408" s="3">
        <v>425.00000000232831</v>
      </c>
      <c r="AM408" s="2">
        <v>1</v>
      </c>
      <c r="AN408">
        <v>0</v>
      </c>
      <c r="AO408">
        <v>3</v>
      </c>
      <c r="AP408">
        <v>0</v>
      </c>
      <c r="AQ408" s="2">
        <f>IF((2*G408 + M408 -P408 + 3*W408 + 2*Z408+2*AD408 + AG408+2*AJ408 + 4*AM408) &gt;=8,1,0)</f>
        <v>1</v>
      </c>
    </row>
    <row r="409" spans="1:43" x14ac:dyDescent="0.25">
      <c r="A409" t="s">
        <v>27</v>
      </c>
      <c r="B409" s="1">
        <v>38235</v>
      </c>
      <c r="C409" s="7">
        <f t="shared" si="79"/>
        <v>2004</v>
      </c>
      <c r="D409">
        <v>83.9</v>
      </c>
      <c r="E409">
        <v>73.2</v>
      </c>
      <c r="F409">
        <v>78.3</v>
      </c>
      <c r="G409" s="2">
        <f t="shared" si="78"/>
        <v>1</v>
      </c>
      <c r="H409">
        <v>82.1</v>
      </c>
      <c r="I409">
        <v>73.2</v>
      </c>
      <c r="J409">
        <v>78</v>
      </c>
      <c r="K409">
        <v>54.7</v>
      </c>
      <c r="L409">
        <v>44.7</v>
      </c>
      <c r="M409" s="2">
        <f t="shared" si="80"/>
        <v>1</v>
      </c>
      <c r="N409">
        <v>0</v>
      </c>
      <c r="P409" s="2">
        <f t="shared" si="81"/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s="2">
        <f t="shared" si="82"/>
        <v>0</v>
      </c>
      <c r="X409">
        <v>23.1</v>
      </c>
      <c r="Z409" s="2">
        <f t="shared" si="83"/>
        <v>1</v>
      </c>
      <c r="AA409">
        <v>0</v>
      </c>
      <c r="AB409" s="2" t="str">
        <f>CHOOSE(MATCH(AA409,{0;11;80;111;161;191;241;281;341},1),"North","NorthEast","East","SouthEast","South","SouthWest","West","NorthWest","North")</f>
        <v>North</v>
      </c>
      <c r="AC409" s="5">
        <f>CHOOSE(MATCH(AB409,{"South";"SouthEast";"SouthWest";"North";"NorthEast";"East";"West";"NorthWest"},0),1,2,3,4,5,6,7,8)</f>
        <v>4</v>
      </c>
      <c r="AD409" s="2">
        <f t="shared" si="84"/>
        <v>1</v>
      </c>
      <c r="AE409">
        <v>1015.8</v>
      </c>
      <c r="AF409" s="4" t="s">
        <v>741</v>
      </c>
      <c r="AG409" s="2">
        <f t="shared" si="85"/>
        <v>0</v>
      </c>
      <c r="AH409" t="s">
        <v>742</v>
      </c>
      <c r="AI409" s="2">
        <f t="shared" si="86"/>
        <v>9</v>
      </c>
      <c r="AJ409" s="2">
        <f t="shared" si="87"/>
        <v>0</v>
      </c>
      <c r="AK409" s="3">
        <v>85.000000004656613</v>
      </c>
      <c r="AM409" s="2">
        <v>0</v>
      </c>
      <c r="AN409">
        <v>0</v>
      </c>
      <c r="AO409">
        <v>0.8</v>
      </c>
      <c r="AP409">
        <v>0</v>
      </c>
      <c r="AQ409" s="2">
        <f>IF((2*G409 + M409 -P409 + 3*W409 + 2*Z409+2*AD409 + AG409+2*AJ409 + 4*AM409) &gt;=8,1,0)</f>
        <v>0</v>
      </c>
    </row>
    <row r="410" spans="1:43" x14ac:dyDescent="0.25">
      <c r="A410" t="s">
        <v>27</v>
      </c>
      <c r="B410" s="1">
        <v>38236</v>
      </c>
      <c r="C410" s="7">
        <f t="shared" si="79"/>
        <v>2004</v>
      </c>
      <c r="D410">
        <v>78.7</v>
      </c>
      <c r="E410">
        <v>70.7</v>
      </c>
      <c r="F410">
        <v>73.7</v>
      </c>
      <c r="G410" s="2">
        <f t="shared" si="78"/>
        <v>1</v>
      </c>
      <c r="H410">
        <v>78.7</v>
      </c>
      <c r="I410">
        <v>70.7</v>
      </c>
      <c r="J410">
        <v>73.7</v>
      </c>
      <c r="K410">
        <v>53.1</v>
      </c>
      <c r="L410">
        <v>48.8</v>
      </c>
      <c r="M410" s="2">
        <f t="shared" si="80"/>
        <v>1</v>
      </c>
      <c r="N410">
        <v>0</v>
      </c>
      <c r="P410" s="2">
        <f t="shared" si="81"/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2">
        <f t="shared" si="82"/>
        <v>0</v>
      </c>
      <c r="X410">
        <v>27.4</v>
      </c>
      <c r="Z410" s="2">
        <f t="shared" si="83"/>
        <v>1</v>
      </c>
      <c r="AA410">
        <v>11.2</v>
      </c>
      <c r="AB410" s="2" t="str">
        <f>CHOOSE(MATCH(AA410,{0;11;80;111;161;191;241;281;341},1),"North","NorthEast","East","SouthEast","South","SouthWest","West","NorthWest","North")</f>
        <v>NorthEast</v>
      </c>
      <c r="AC410" s="5">
        <f>CHOOSE(MATCH(AB410,{"South";"SouthEast";"SouthWest";"North";"NorthEast";"East";"West";"NorthWest"},0),1,2,3,4,5,6,7,8)</f>
        <v>5</v>
      </c>
      <c r="AD410" s="2">
        <f t="shared" si="84"/>
        <v>1</v>
      </c>
      <c r="AE410">
        <v>1016.4</v>
      </c>
      <c r="AF410" s="4" t="s">
        <v>743</v>
      </c>
      <c r="AG410" s="2">
        <f t="shared" si="85"/>
        <v>1</v>
      </c>
      <c r="AH410" t="s">
        <v>744</v>
      </c>
      <c r="AI410" s="2">
        <f t="shared" si="86"/>
        <v>9</v>
      </c>
      <c r="AJ410" s="2">
        <f t="shared" si="87"/>
        <v>0</v>
      </c>
      <c r="AK410" s="3">
        <v>214.99999999883579</v>
      </c>
      <c r="AM410" s="2">
        <v>0</v>
      </c>
      <c r="AN410">
        <v>0</v>
      </c>
      <c r="AO410">
        <v>1.5</v>
      </c>
      <c r="AP410">
        <v>0</v>
      </c>
      <c r="AQ410" s="2">
        <f>IF((2*G410 + M410 -P410 + 3*W410 + 2*Z410+2*AD410 + AG410+2*AJ410 + 4*AM410) &gt;=8,1,0)</f>
        <v>0</v>
      </c>
    </row>
    <row r="411" spans="1:43" x14ac:dyDescent="0.25">
      <c r="A411" t="s">
        <v>27</v>
      </c>
      <c r="B411" s="1">
        <v>38236</v>
      </c>
      <c r="C411" s="7">
        <f t="shared" si="79"/>
        <v>2004</v>
      </c>
      <c r="D411">
        <v>78.7</v>
      </c>
      <c r="E411">
        <v>70.7</v>
      </c>
      <c r="F411">
        <v>73.7</v>
      </c>
      <c r="G411" s="2">
        <f t="shared" si="78"/>
        <v>1</v>
      </c>
      <c r="H411">
        <v>78.7</v>
      </c>
      <c r="I411">
        <v>70.7</v>
      </c>
      <c r="J411">
        <v>73.7</v>
      </c>
      <c r="K411">
        <v>53.1</v>
      </c>
      <c r="L411">
        <v>48.8</v>
      </c>
      <c r="M411" s="2">
        <f t="shared" si="80"/>
        <v>1</v>
      </c>
      <c r="N411">
        <v>0</v>
      </c>
      <c r="P411" s="2">
        <f t="shared" si="81"/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2">
        <f t="shared" si="82"/>
        <v>0</v>
      </c>
      <c r="X411">
        <v>27.4</v>
      </c>
      <c r="Z411" s="2">
        <f t="shared" si="83"/>
        <v>1</v>
      </c>
      <c r="AA411">
        <v>11.2</v>
      </c>
      <c r="AB411" s="2" t="str">
        <f>CHOOSE(MATCH(AA411,{0;11;80;111;161;191;241;281;341},1),"North","NorthEast","East","SouthEast","South","SouthWest","West","NorthWest","North")</f>
        <v>NorthEast</v>
      </c>
      <c r="AC411" s="5">
        <f>CHOOSE(MATCH(AB411,{"South";"SouthEast";"SouthWest";"North";"NorthEast";"East";"West";"NorthWest"},0),1,2,3,4,5,6,7,8)</f>
        <v>5</v>
      </c>
      <c r="AD411" s="2">
        <f t="shared" si="84"/>
        <v>1</v>
      </c>
      <c r="AE411">
        <v>1016.4</v>
      </c>
      <c r="AF411" s="4" t="s">
        <v>745</v>
      </c>
      <c r="AG411" s="2">
        <f t="shared" si="85"/>
        <v>1</v>
      </c>
      <c r="AH411" t="s">
        <v>746</v>
      </c>
      <c r="AI411" s="2">
        <f t="shared" si="86"/>
        <v>9</v>
      </c>
      <c r="AJ411" s="2">
        <f t="shared" si="87"/>
        <v>0</v>
      </c>
      <c r="AK411" s="3">
        <v>3186.9999999948782</v>
      </c>
      <c r="AM411" s="2">
        <v>1</v>
      </c>
      <c r="AN411">
        <v>0</v>
      </c>
      <c r="AO411">
        <v>150</v>
      </c>
      <c r="AP411">
        <v>0</v>
      </c>
      <c r="AQ411" s="2">
        <f>IF((2*G411 + M411 -P411 + 3*W411 + 2*Z411+2*AD411 + AG411+2*AJ411 + 4*AM411) &gt;=8,1,0)</f>
        <v>1</v>
      </c>
    </row>
    <row r="412" spans="1:43" x14ac:dyDescent="0.25">
      <c r="A412" t="s">
        <v>27</v>
      </c>
      <c r="B412" s="1">
        <v>38239</v>
      </c>
      <c r="C412" s="7">
        <f t="shared" si="79"/>
        <v>2004</v>
      </c>
      <c r="D412">
        <v>83.2</v>
      </c>
      <c r="E412">
        <v>62.3</v>
      </c>
      <c r="F412">
        <v>72</v>
      </c>
      <c r="G412" s="2">
        <f t="shared" si="78"/>
        <v>0</v>
      </c>
      <c r="H412">
        <v>81.099999999999994</v>
      </c>
      <c r="I412">
        <v>62.3</v>
      </c>
      <c r="J412">
        <v>71.599999999999994</v>
      </c>
      <c r="K412">
        <v>47.3</v>
      </c>
      <c r="L412">
        <v>43.2</v>
      </c>
      <c r="M412" s="2">
        <f t="shared" si="80"/>
        <v>1</v>
      </c>
      <c r="N412">
        <v>0</v>
      </c>
      <c r="P412" s="2">
        <f t="shared" si="81"/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2">
        <f t="shared" si="82"/>
        <v>0</v>
      </c>
      <c r="X412">
        <v>17.899999999999999</v>
      </c>
      <c r="Z412" s="2">
        <f t="shared" si="83"/>
        <v>1</v>
      </c>
      <c r="AA412">
        <v>347</v>
      </c>
      <c r="AB412" s="2" t="str">
        <f>CHOOSE(MATCH(AA412,{0;11;80;111;161;191;241;281;341},1),"North","NorthEast","East","SouthEast","South","SouthWest","West","NorthWest","North")</f>
        <v>North</v>
      </c>
      <c r="AC412" s="5">
        <f>CHOOSE(MATCH(AB412,{"South";"SouthEast";"SouthWest";"North";"NorthEast";"East";"West";"NorthWest"},0),1,2,3,4,5,6,7,8)</f>
        <v>4</v>
      </c>
      <c r="AD412" s="2">
        <f t="shared" si="84"/>
        <v>1</v>
      </c>
      <c r="AE412">
        <v>1016.4</v>
      </c>
      <c r="AF412" s="4" t="s">
        <v>747</v>
      </c>
      <c r="AG412" s="2">
        <f t="shared" si="85"/>
        <v>0</v>
      </c>
      <c r="AH412" t="s">
        <v>748</v>
      </c>
      <c r="AI412" s="2">
        <f t="shared" si="86"/>
        <v>9</v>
      </c>
      <c r="AJ412" s="2">
        <f t="shared" si="87"/>
        <v>0</v>
      </c>
      <c r="AK412" s="3">
        <v>1256.000000007916</v>
      </c>
      <c r="AM412" s="2">
        <v>1</v>
      </c>
      <c r="AN412">
        <v>0</v>
      </c>
      <c r="AO412">
        <v>0.5</v>
      </c>
      <c r="AP412">
        <v>0</v>
      </c>
      <c r="AQ412" s="2">
        <f>IF((2*G412 + M412 -P412 + 3*W412 + 2*Z412+2*AD412 + AG412+2*AJ412 + 4*AM412) &gt;=8,1,0)</f>
        <v>1</v>
      </c>
    </row>
    <row r="413" spans="1:43" x14ac:dyDescent="0.25">
      <c r="A413" t="s">
        <v>27</v>
      </c>
      <c r="B413" s="1">
        <v>38240</v>
      </c>
      <c r="C413" s="7">
        <f t="shared" si="79"/>
        <v>2004</v>
      </c>
      <c r="D413">
        <v>73.400000000000006</v>
      </c>
      <c r="E413">
        <v>61.9</v>
      </c>
      <c r="F413">
        <v>68.5</v>
      </c>
      <c r="G413" s="2">
        <f t="shared" si="78"/>
        <v>0</v>
      </c>
      <c r="H413">
        <v>73.400000000000006</v>
      </c>
      <c r="I413">
        <v>61.9</v>
      </c>
      <c r="J413">
        <v>68.5</v>
      </c>
      <c r="K413">
        <v>47.7</v>
      </c>
      <c r="L413">
        <v>48</v>
      </c>
      <c r="M413" s="2">
        <f t="shared" si="80"/>
        <v>1</v>
      </c>
      <c r="N413">
        <v>0</v>
      </c>
      <c r="P413" s="2">
        <f t="shared" si="81"/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2">
        <f t="shared" si="82"/>
        <v>0</v>
      </c>
      <c r="X413">
        <v>16.600000000000001</v>
      </c>
      <c r="Z413" s="2">
        <f t="shared" si="83"/>
        <v>1</v>
      </c>
      <c r="AA413">
        <v>24.7</v>
      </c>
      <c r="AB413" s="2" t="str">
        <f>CHOOSE(MATCH(AA413,{0;11;80;111;161;191;241;281;341},1),"North","NorthEast","East","SouthEast","South","SouthWest","West","NorthWest","North")</f>
        <v>NorthEast</v>
      </c>
      <c r="AC413" s="5">
        <f>CHOOSE(MATCH(AB413,{"South";"SouthEast";"SouthWest";"North";"NorthEast";"East";"West";"NorthWest"},0),1,2,3,4,5,6,7,8)</f>
        <v>5</v>
      </c>
      <c r="AD413" s="2">
        <f t="shared" si="84"/>
        <v>1</v>
      </c>
      <c r="AE413">
        <v>1021.5</v>
      </c>
      <c r="AF413" s="4" t="s">
        <v>247</v>
      </c>
      <c r="AG413" s="2">
        <f t="shared" si="85"/>
        <v>1</v>
      </c>
      <c r="AH413" t="s">
        <v>749</v>
      </c>
      <c r="AI413" s="2">
        <f t="shared" si="86"/>
        <v>9</v>
      </c>
      <c r="AJ413" s="2">
        <f t="shared" si="87"/>
        <v>0</v>
      </c>
      <c r="AK413" s="3">
        <v>576.00000000209548</v>
      </c>
      <c r="AM413" s="2">
        <v>1</v>
      </c>
      <c r="AN413">
        <v>0</v>
      </c>
      <c r="AO413">
        <v>0</v>
      </c>
      <c r="AP413">
        <v>13</v>
      </c>
      <c r="AQ413" s="2">
        <f>IF((2*G413 + M413 -P413 + 3*W413 + 2*Z413+2*AD413 + AG413+2*AJ413 + 4*AM413) &gt;=8,1,0)</f>
        <v>1</v>
      </c>
    </row>
    <row r="414" spans="1:43" x14ac:dyDescent="0.25">
      <c r="A414" t="s">
        <v>27</v>
      </c>
      <c r="B414" s="1">
        <v>38241</v>
      </c>
      <c r="C414" s="7">
        <f t="shared" si="79"/>
        <v>2004</v>
      </c>
      <c r="D414">
        <v>72.900000000000006</v>
      </c>
      <c r="E414">
        <v>59.4</v>
      </c>
      <c r="F414">
        <v>65.8</v>
      </c>
      <c r="G414" s="2">
        <f t="shared" si="78"/>
        <v>0</v>
      </c>
      <c r="H414">
        <v>72.900000000000006</v>
      </c>
      <c r="I414">
        <v>59.4</v>
      </c>
      <c r="J414">
        <v>65.8</v>
      </c>
      <c r="K414">
        <v>40.799999999999997</v>
      </c>
      <c r="L414">
        <v>40.9</v>
      </c>
      <c r="M414" s="2">
        <f t="shared" si="80"/>
        <v>1</v>
      </c>
      <c r="N414">
        <v>0</v>
      </c>
      <c r="P414" s="2">
        <f t="shared" si="81"/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2">
        <f t="shared" si="82"/>
        <v>0</v>
      </c>
      <c r="X414">
        <v>21.3</v>
      </c>
      <c r="Z414" s="2">
        <f t="shared" si="83"/>
        <v>1</v>
      </c>
      <c r="AA414">
        <v>5.9</v>
      </c>
      <c r="AB414" s="2" t="str">
        <f>CHOOSE(MATCH(AA414,{0;11;80;111;161;191;241;281;341},1),"North","NorthEast","East","SouthEast","South","SouthWest","West","NorthWest","North")</f>
        <v>North</v>
      </c>
      <c r="AC414" s="5">
        <f>CHOOSE(MATCH(AB414,{"South";"SouthEast";"SouthWest";"North";"NorthEast";"East";"West";"NorthWest"},0),1,2,3,4,5,6,7,8)</f>
        <v>4</v>
      </c>
      <c r="AD414" s="2">
        <f t="shared" si="84"/>
        <v>1</v>
      </c>
      <c r="AE414">
        <v>1025</v>
      </c>
      <c r="AF414" s="4" t="s">
        <v>750</v>
      </c>
      <c r="AG414" s="2">
        <f t="shared" si="85"/>
        <v>1</v>
      </c>
      <c r="AH414" t="s">
        <v>751</v>
      </c>
      <c r="AI414" s="2">
        <f t="shared" si="86"/>
        <v>9</v>
      </c>
      <c r="AJ414" s="2">
        <f t="shared" si="87"/>
        <v>0</v>
      </c>
      <c r="AK414" s="3">
        <v>85.000000004656613</v>
      </c>
      <c r="AM414" s="2">
        <v>0</v>
      </c>
      <c r="AN414">
        <v>0</v>
      </c>
      <c r="AO414">
        <v>0.5</v>
      </c>
      <c r="AP414">
        <v>0</v>
      </c>
      <c r="AQ414" s="2">
        <f>IF((2*G414 + M414 -P414 + 3*W414 + 2*Z414+2*AD414 + AG414+2*AJ414 + 4*AM414) &gt;=8,1,0)</f>
        <v>0</v>
      </c>
    </row>
    <row r="415" spans="1:43" x14ac:dyDescent="0.25">
      <c r="A415" t="s">
        <v>27</v>
      </c>
      <c r="B415" s="1">
        <v>38241</v>
      </c>
      <c r="C415" s="7">
        <f t="shared" si="79"/>
        <v>2004</v>
      </c>
      <c r="D415">
        <v>72.900000000000006</v>
      </c>
      <c r="E415">
        <v>59.4</v>
      </c>
      <c r="F415">
        <v>65.8</v>
      </c>
      <c r="G415" s="2">
        <f t="shared" si="78"/>
        <v>0</v>
      </c>
      <c r="H415">
        <v>72.900000000000006</v>
      </c>
      <c r="I415">
        <v>59.4</v>
      </c>
      <c r="J415">
        <v>65.8</v>
      </c>
      <c r="K415">
        <v>40.799999999999997</v>
      </c>
      <c r="L415">
        <v>40.9</v>
      </c>
      <c r="M415" s="2">
        <f t="shared" si="80"/>
        <v>1</v>
      </c>
      <c r="N415">
        <v>0</v>
      </c>
      <c r="P415" s="2">
        <f t="shared" si="81"/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s="2">
        <f t="shared" si="82"/>
        <v>0</v>
      </c>
      <c r="X415">
        <v>21.3</v>
      </c>
      <c r="Z415" s="2">
        <f t="shared" si="83"/>
        <v>1</v>
      </c>
      <c r="AA415">
        <v>5.9</v>
      </c>
      <c r="AB415" s="2" t="str">
        <f>CHOOSE(MATCH(AA415,{0;11;80;111;161;191;241;281;341},1),"North","NorthEast","East","SouthEast","South","SouthWest","West","NorthWest","North")</f>
        <v>North</v>
      </c>
      <c r="AC415" s="5">
        <f>CHOOSE(MATCH(AB415,{"South";"SouthEast";"SouthWest";"North";"NorthEast";"East";"West";"NorthWest"},0),1,2,3,4,5,6,7,8)</f>
        <v>4</v>
      </c>
      <c r="AD415" s="2">
        <f t="shared" si="84"/>
        <v>1</v>
      </c>
      <c r="AE415">
        <v>1025</v>
      </c>
      <c r="AF415" s="4" t="s">
        <v>752</v>
      </c>
      <c r="AG415" s="2">
        <f t="shared" si="85"/>
        <v>0</v>
      </c>
      <c r="AH415" t="s">
        <v>753</v>
      </c>
      <c r="AI415" s="2">
        <f t="shared" si="86"/>
        <v>9</v>
      </c>
      <c r="AJ415" s="2">
        <f t="shared" si="87"/>
        <v>0</v>
      </c>
      <c r="AK415" s="3">
        <v>3874.0000000025611</v>
      </c>
      <c r="AM415" s="2">
        <v>1</v>
      </c>
      <c r="AN415">
        <v>0</v>
      </c>
      <c r="AO415">
        <v>25</v>
      </c>
      <c r="AP415">
        <v>0</v>
      </c>
      <c r="AQ415" s="2">
        <f>IF((2*G415 + M415 -P415 + 3*W415 + 2*Z415+2*AD415 + AG415+2*AJ415 + 4*AM415) &gt;=8,1,0)</f>
        <v>1</v>
      </c>
    </row>
    <row r="416" spans="1:43" x14ac:dyDescent="0.25">
      <c r="A416" t="s">
        <v>27</v>
      </c>
      <c r="B416" s="1">
        <v>38242</v>
      </c>
      <c r="C416" s="7">
        <f t="shared" si="79"/>
        <v>2004</v>
      </c>
      <c r="D416">
        <v>76.3</v>
      </c>
      <c r="E416">
        <v>59.9</v>
      </c>
      <c r="F416">
        <v>67.2</v>
      </c>
      <c r="G416" s="2">
        <f t="shared" si="78"/>
        <v>0</v>
      </c>
      <c r="H416">
        <v>76.3</v>
      </c>
      <c r="I416">
        <v>59.9</v>
      </c>
      <c r="J416">
        <v>67.2</v>
      </c>
      <c r="K416">
        <v>44.1</v>
      </c>
      <c r="L416">
        <v>44.1</v>
      </c>
      <c r="M416" s="2">
        <f t="shared" si="80"/>
        <v>1</v>
      </c>
      <c r="N416">
        <v>0</v>
      </c>
      <c r="P416" s="2">
        <f t="shared" si="81"/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s="2">
        <f t="shared" si="82"/>
        <v>0</v>
      </c>
      <c r="X416">
        <v>17.899999999999999</v>
      </c>
      <c r="Z416" s="2">
        <f t="shared" si="83"/>
        <v>1</v>
      </c>
      <c r="AA416">
        <v>3.6</v>
      </c>
      <c r="AB416" s="2" t="str">
        <f>CHOOSE(MATCH(AA416,{0;11;80;111;161;191;241;281;341},1),"North","NorthEast","East","SouthEast","South","SouthWest","West","NorthWest","North")</f>
        <v>North</v>
      </c>
      <c r="AC416" s="5">
        <f>CHOOSE(MATCH(AB416,{"South";"SouthEast";"SouthWest";"North";"NorthEast";"East";"West";"NorthWest"},0),1,2,3,4,5,6,7,8)</f>
        <v>4</v>
      </c>
      <c r="AD416" s="2">
        <f t="shared" si="84"/>
        <v>1</v>
      </c>
      <c r="AE416">
        <v>1022.1</v>
      </c>
      <c r="AF416" s="4" t="s">
        <v>284</v>
      </c>
      <c r="AG416" s="2">
        <f t="shared" si="85"/>
        <v>0</v>
      </c>
      <c r="AH416" t="s">
        <v>754</v>
      </c>
      <c r="AI416" s="2">
        <f t="shared" si="86"/>
        <v>9</v>
      </c>
      <c r="AJ416" s="2">
        <f t="shared" si="87"/>
        <v>0</v>
      </c>
      <c r="AK416" s="3">
        <v>511.99999999254942</v>
      </c>
      <c r="AM416" s="2">
        <v>1</v>
      </c>
      <c r="AN416">
        <v>0</v>
      </c>
      <c r="AO416">
        <v>2.5</v>
      </c>
      <c r="AP416">
        <v>0</v>
      </c>
      <c r="AQ416" s="2">
        <f>IF((2*G416 + M416 -P416 + 3*W416 + 2*Z416+2*AD416 + AG416+2*AJ416 + 4*AM416) &gt;=8,1,0)</f>
        <v>1</v>
      </c>
    </row>
    <row r="417" spans="1:43" x14ac:dyDescent="0.25">
      <c r="A417" t="s">
        <v>27</v>
      </c>
      <c r="B417" s="1">
        <v>38243</v>
      </c>
      <c r="C417" s="7">
        <f t="shared" si="79"/>
        <v>2004</v>
      </c>
      <c r="D417">
        <v>79.400000000000006</v>
      </c>
      <c r="E417">
        <v>55.9</v>
      </c>
      <c r="F417">
        <v>68.3</v>
      </c>
      <c r="G417" s="2">
        <f t="shared" si="78"/>
        <v>0</v>
      </c>
      <c r="H417">
        <v>79.400000000000006</v>
      </c>
      <c r="I417">
        <v>55.9</v>
      </c>
      <c r="J417">
        <v>68.3</v>
      </c>
      <c r="K417">
        <v>46.7</v>
      </c>
      <c r="L417">
        <v>46.9</v>
      </c>
      <c r="M417" s="2">
        <f t="shared" si="80"/>
        <v>1</v>
      </c>
      <c r="N417">
        <v>0</v>
      </c>
      <c r="P417" s="2">
        <f t="shared" si="81"/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s="2">
        <f t="shared" si="82"/>
        <v>0</v>
      </c>
      <c r="X417">
        <v>17.2</v>
      </c>
      <c r="Z417" s="2">
        <f t="shared" si="83"/>
        <v>1</v>
      </c>
      <c r="AA417">
        <v>7.9</v>
      </c>
      <c r="AB417" s="2" t="str">
        <f>CHOOSE(MATCH(AA417,{0;11;80;111;161;191;241;281;341},1),"North","NorthEast","East","SouthEast","South","SouthWest","West","NorthWest","North")</f>
        <v>North</v>
      </c>
      <c r="AC417" s="5">
        <f>CHOOSE(MATCH(AB417,{"South";"SouthEast";"SouthWest";"North";"NorthEast";"East";"West";"NorthWest"},0),1,2,3,4,5,6,7,8)</f>
        <v>4</v>
      </c>
      <c r="AD417" s="2">
        <f t="shared" si="84"/>
        <v>1</v>
      </c>
      <c r="AE417">
        <v>1018.8</v>
      </c>
      <c r="AF417" s="4" t="s">
        <v>265</v>
      </c>
      <c r="AG417" s="2">
        <f t="shared" si="85"/>
        <v>1</v>
      </c>
      <c r="AH417" t="s">
        <v>755</v>
      </c>
      <c r="AI417" s="2">
        <f t="shared" si="86"/>
        <v>9</v>
      </c>
      <c r="AJ417" s="2">
        <f t="shared" si="87"/>
        <v>0</v>
      </c>
      <c r="AK417" s="3">
        <v>1789.9999999988361</v>
      </c>
      <c r="AM417" s="2">
        <v>1</v>
      </c>
      <c r="AN417">
        <v>0</v>
      </c>
      <c r="AO417">
        <v>6.5</v>
      </c>
      <c r="AP417">
        <v>0</v>
      </c>
      <c r="AQ417" s="2">
        <f>IF((2*G417 + M417 -P417 + 3*W417 + 2*Z417+2*AD417 + AG417+2*AJ417 + 4*AM417) &gt;=8,1,0)</f>
        <v>1</v>
      </c>
    </row>
    <row r="418" spans="1:43" x14ac:dyDescent="0.25">
      <c r="A418" t="s">
        <v>27</v>
      </c>
      <c r="B418" s="1">
        <v>38253</v>
      </c>
      <c r="C418" s="7">
        <f t="shared" si="79"/>
        <v>2004</v>
      </c>
      <c r="D418">
        <v>83.5</v>
      </c>
      <c r="E418">
        <v>66</v>
      </c>
      <c r="F418">
        <v>75</v>
      </c>
      <c r="G418" s="2">
        <f t="shared" si="78"/>
        <v>1</v>
      </c>
      <c r="H418">
        <v>83.8</v>
      </c>
      <c r="I418">
        <v>66</v>
      </c>
      <c r="J418">
        <v>75.2</v>
      </c>
      <c r="K418">
        <v>63.8</v>
      </c>
      <c r="L418">
        <v>69.5</v>
      </c>
      <c r="M418" s="2">
        <f t="shared" si="80"/>
        <v>0</v>
      </c>
      <c r="N418">
        <v>0</v>
      </c>
      <c r="P418" s="2">
        <f t="shared" si="81"/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s="2">
        <f t="shared" si="82"/>
        <v>0</v>
      </c>
      <c r="X418">
        <v>11</v>
      </c>
      <c r="Z418" s="2">
        <f t="shared" si="83"/>
        <v>0</v>
      </c>
      <c r="AA418">
        <v>142.69999999999999</v>
      </c>
      <c r="AB418" s="2" t="str">
        <f>CHOOSE(MATCH(AA418,{0;11;80;111;161;191;241;281;341},1),"North","NorthEast","East","SouthEast","South","SouthWest","West","NorthWest","North")</f>
        <v>SouthEast</v>
      </c>
      <c r="AC418" s="5">
        <f>CHOOSE(MATCH(AB418,{"South";"SouthEast";"SouthWest";"North";"NorthEast";"East";"West";"NorthWest"},0),1,2,3,4,5,6,7,8)</f>
        <v>2</v>
      </c>
      <c r="AD418" s="2">
        <f t="shared" si="84"/>
        <v>0</v>
      </c>
      <c r="AE418">
        <v>1010.2</v>
      </c>
      <c r="AF418" s="4" t="s">
        <v>756</v>
      </c>
      <c r="AG418" s="2">
        <f t="shared" si="85"/>
        <v>1</v>
      </c>
      <c r="AH418" t="s">
        <v>757</v>
      </c>
      <c r="AI418" s="2">
        <f t="shared" si="86"/>
        <v>9</v>
      </c>
      <c r="AJ418" s="2">
        <f t="shared" si="87"/>
        <v>0</v>
      </c>
      <c r="AK418" s="3">
        <v>124.9999999988358</v>
      </c>
      <c r="AM418" s="2">
        <v>0</v>
      </c>
      <c r="AN418">
        <v>0</v>
      </c>
      <c r="AO418">
        <v>1.5</v>
      </c>
      <c r="AP418">
        <v>0</v>
      </c>
      <c r="AQ418" s="2">
        <f>IF((2*G418 + M418 -P418 + 3*W418 + 2*Z418+2*AD418 + AG418+2*AJ418 + 4*AM418) &gt;=8,1,0)</f>
        <v>0</v>
      </c>
    </row>
    <row r="419" spans="1:43" x14ac:dyDescent="0.25">
      <c r="A419" t="s">
        <v>27</v>
      </c>
      <c r="B419" s="1">
        <v>38253</v>
      </c>
      <c r="C419" s="7">
        <f t="shared" si="79"/>
        <v>2004</v>
      </c>
      <c r="D419">
        <v>83.5</v>
      </c>
      <c r="E419">
        <v>66</v>
      </c>
      <c r="F419">
        <v>75</v>
      </c>
      <c r="G419" s="2">
        <f t="shared" si="78"/>
        <v>1</v>
      </c>
      <c r="H419">
        <v>83.8</v>
      </c>
      <c r="I419">
        <v>66</v>
      </c>
      <c r="J419">
        <v>75.2</v>
      </c>
      <c r="K419">
        <v>63.8</v>
      </c>
      <c r="L419">
        <v>69.5</v>
      </c>
      <c r="M419" s="2">
        <f t="shared" si="80"/>
        <v>0</v>
      </c>
      <c r="N419">
        <v>0</v>
      </c>
      <c r="P419" s="2">
        <f t="shared" si="81"/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s="2">
        <f t="shared" si="82"/>
        <v>0</v>
      </c>
      <c r="X419">
        <v>11</v>
      </c>
      <c r="Z419" s="2">
        <f t="shared" si="83"/>
        <v>0</v>
      </c>
      <c r="AA419">
        <v>142.69999999999999</v>
      </c>
      <c r="AB419" s="2" t="str">
        <f>CHOOSE(MATCH(AA419,{0;11;80;111;161;191;241;281;341},1),"North","NorthEast","East","SouthEast","South","SouthWest","West","NorthWest","North")</f>
        <v>SouthEast</v>
      </c>
      <c r="AC419" s="5">
        <f>CHOOSE(MATCH(AB419,{"South";"SouthEast";"SouthWest";"North";"NorthEast";"East";"West";"NorthWest"},0),1,2,3,4,5,6,7,8)</f>
        <v>2</v>
      </c>
      <c r="AD419" s="2">
        <f t="shared" si="84"/>
        <v>0</v>
      </c>
      <c r="AE419">
        <v>1010.2</v>
      </c>
      <c r="AF419" s="4" t="s">
        <v>758</v>
      </c>
      <c r="AG419" s="2">
        <f t="shared" si="85"/>
        <v>1</v>
      </c>
      <c r="AH419" t="s">
        <v>759</v>
      </c>
      <c r="AI419" s="2">
        <f t="shared" si="86"/>
        <v>9</v>
      </c>
      <c r="AJ419" s="2">
        <f t="shared" si="87"/>
        <v>0</v>
      </c>
      <c r="AK419" s="3">
        <v>2443.0000000004661</v>
      </c>
      <c r="AM419" s="2">
        <v>1</v>
      </c>
      <c r="AN419">
        <v>0</v>
      </c>
      <c r="AO419">
        <v>0.5</v>
      </c>
      <c r="AP419">
        <v>0</v>
      </c>
      <c r="AQ419" s="2">
        <f>IF((2*G419 + M419 -P419 + 3*W419 + 2*Z419+2*AD419 + AG419+2*AJ419 + 4*AM419) &gt;=8,1,0)</f>
        <v>0</v>
      </c>
    </row>
    <row r="420" spans="1:43" x14ac:dyDescent="0.25">
      <c r="A420" t="s">
        <v>27</v>
      </c>
      <c r="B420" s="1">
        <v>38256</v>
      </c>
      <c r="C420" s="7">
        <f t="shared" si="79"/>
        <v>2004</v>
      </c>
      <c r="D420">
        <v>82.7</v>
      </c>
      <c r="E420">
        <v>69</v>
      </c>
      <c r="F420">
        <v>75.099999999999994</v>
      </c>
      <c r="G420" s="2">
        <f t="shared" si="78"/>
        <v>1</v>
      </c>
      <c r="H420">
        <v>84</v>
      </c>
      <c r="I420">
        <v>69</v>
      </c>
      <c r="J420">
        <v>75.400000000000006</v>
      </c>
      <c r="K420">
        <v>65</v>
      </c>
      <c r="L420">
        <v>71.7</v>
      </c>
      <c r="M420" s="2">
        <f t="shared" si="80"/>
        <v>0</v>
      </c>
      <c r="N420">
        <v>0</v>
      </c>
      <c r="P420" s="2">
        <f t="shared" si="81"/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2">
        <f t="shared" si="82"/>
        <v>0</v>
      </c>
      <c r="X420">
        <v>13.5</v>
      </c>
      <c r="Z420" s="2">
        <f t="shared" si="83"/>
        <v>0</v>
      </c>
      <c r="AA420">
        <v>155.5</v>
      </c>
      <c r="AB420" s="2" t="str">
        <f>CHOOSE(MATCH(AA420,{0;11;80;111;161;191;241;281;341},1),"North","NorthEast","East","SouthEast","South","SouthWest","West","NorthWest","North")</f>
        <v>SouthEast</v>
      </c>
      <c r="AC420" s="5">
        <f>CHOOSE(MATCH(AB420,{"South";"SouthEast";"SouthWest";"North";"NorthEast";"East";"West";"NorthWest"},0),1,2,3,4,5,6,7,8)</f>
        <v>2</v>
      </c>
      <c r="AD420" s="2">
        <f t="shared" si="84"/>
        <v>0</v>
      </c>
      <c r="AE420">
        <v>1011.7</v>
      </c>
      <c r="AF420" s="4" t="s">
        <v>760</v>
      </c>
      <c r="AG420" s="2">
        <f t="shared" si="85"/>
        <v>1</v>
      </c>
      <c r="AH420" t="s">
        <v>761</v>
      </c>
      <c r="AI420" s="2">
        <f t="shared" si="86"/>
        <v>9</v>
      </c>
      <c r="AJ420" s="2">
        <f t="shared" si="87"/>
        <v>0</v>
      </c>
      <c r="AK420" s="3">
        <v>49.999999995343387</v>
      </c>
      <c r="AM420" s="2">
        <v>0</v>
      </c>
      <c r="AN420">
        <v>0.3</v>
      </c>
      <c r="AO420">
        <v>0</v>
      </c>
      <c r="AP420">
        <v>0</v>
      </c>
      <c r="AQ420" s="2">
        <f>IF((2*G420 + M420 -P420 + 3*W420 + 2*Z420+2*AD420 + AG420+2*AJ420 + 4*AM420) &gt;=8,1,0)</f>
        <v>0</v>
      </c>
    </row>
    <row r="421" spans="1:43" x14ac:dyDescent="0.25">
      <c r="A421" t="s">
        <v>27</v>
      </c>
      <c r="B421" s="1">
        <v>38258</v>
      </c>
      <c r="C421" s="7">
        <f t="shared" si="79"/>
        <v>2004</v>
      </c>
      <c r="D421">
        <v>84.3</v>
      </c>
      <c r="E421">
        <v>67.599999999999994</v>
      </c>
      <c r="F421">
        <v>75.3</v>
      </c>
      <c r="G421" s="2">
        <f t="shared" si="78"/>
        <v>1</v>
      </c>
      <c r="H421">
        <v>85.4</v>
      </c>
      <c r="I421">
        <v>67.599999999999994</v>
      </c>
      <c r="J421">
        <v>75.400000000000006</v>
      </c>
      <c r="K421">
        <v>63.7</v>
      </c>
      <c r="L421">
        <v>68.7</v>
      </c>
      <c r="M421" s="2">
        <f t="shared" si="80"/>
        <v>0</v>
      </c>
      <c r="N421">
        <v>0</v>
      </c>
      <c r="P421" s="2">
        <f t="shared" si="81"/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2">
        <f t="shared" si="82"/>
        <v>0</v>
      </c>
      <c r="X421">
        <v>10.4</v>
      </c>
      <c r="Z421" s="2">
        <f t="shared" si="83"/>
        <v>0</v>
      </c>
      <c r="AA421">
        <v>112.6</v>
      </c>
      <c r="AB421" s="2" t="str">
        <f>CHOOSE(MATCH(AA421,{0;11;80;111;161;191;241;281;341},1),"North","NorthEast","East","SouthEast","South","SouthWest","West","NorthWest","North")</f>
        <v>SouthEast</v>
      </c>
      <c r="AC421" s="5">
        <f>CHOOSE(MATCH(AB421,{"South";"SouthEast";"SouthWest";"North";"NorthEast";"East";"West";"NorthWest"},0),1,2,3,4,5,6,7,8)</f>
        <v>2</v>
      </c>
      <c r="AD421" s="2">
        <f t="shared" si="84"/>
        <v>0</v>
      </c>
      <c r="AE421">
        <v>1016.9</v>
      </c>
      <c r="AF421" s="4" t="s">
        <v>78</v>
      </c>
      <c r="AG421" s="2">
        <f t="shared" si="85"/>
        <v>0</v>
      </c>
      <c r="AH421" t="s">
        <v>762</v>
      </c>
      <c r="AI421" s="2">
        <f t="shared" si="86"/>
        <v>9</v>
      </c>
      <c r="AJ421" s="2">
        <f t="shared" si="87"/>
        <v>0</v>
      </c>
      <c r="AK421" s="3">
        <v>1350</v>
      </c>
      <c r="AM421" s="2">
        <v>1</v>
      </c>
      <c r="AN421">
        <v>0</v>
      </c>
      <c r="AO421">
        <v>3</v>
      </c>
      <c r="AP421">
        <v>0</v>
      </c>
      <c r="AQ421" s="2">
        <f>IF((2*G421 + M421 -P421 + 3*W421 + 2*Z421+2*AD421 + AG421+2*AJ421 + 4*AM421) &gt;=8,1,0)</f>
        <v>0</v>
      </c>
    </row>
    <row r="422" spans="1:43" x14ac:dyDescent="0.25">
      <c r="A422" t="s">
        <v>27</v>
      </c>
      <c r="B422" s="1">
        <v>38265</v>
      </c>
      <c r="C422" s="7">
        <f t="shared" si="79"/>
        <v>2004</v>
      </c>
      <c r="D422">
        <v>74.2</v>
      </c>
      <c r="E422">
        <v>61.9</v>
      </c>
      <c r="F422">
        <v>67.8</v>
      </c>
      <c r="G422" s="2">
        <f t="shared" si="78"/>
        <v>0</v>
      </c>
      <c r="H422">
        <v>74.2</v>
      </c>
      <c r="I422">
        <v>61.9</v>
      </c>
      <c r="J422">
        <v>67.8</v>
      </c>
      <c r="K422">
        <v>48</v>
      </c>
      <c r="L422">
        <v>50</v>
      </c>
      <c r="M422" s="2">
        <f t="shared" si="80"/>
        <v>0</v>
      </c>
      <c r="N422">
        <v>0</v>
      </c>
      <c r="P422" s="2">
        <f t="shared" si="81"/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s="2">
        <f t="shared" si="82"/>
        <v>0</v>
      </c>
      <c r="X422">
        <v>26</v>
      </c>
      <c r="Z422" s="2">
        <f t="shared" si="83"/>
        <v>1</v>
      </c>
      <c r="AA422">
        <v>356.1</v>
      </c>
      <c r="AB422" s="2" t="str">
        <f>CHOOSE(MATCH(AA422,{0;11;80;111;161;191;241;281;341},1),"North","NorthEast","East","SouthEast","South","SouthWest","West","NorthWest","North")</f>
        <v>North</v>
      </c>
      <c r="AC422" s="5">
        <f>CHOOSE(MATCH(AB422,{"South";"SouthEast";"SouthWest";"North";"NorthEast";"East";"West";"NorthWest"},0),1,2,3,4,5,6,7,8)</f>
        <v>4</v>
      </c>
      <c r="AD422" s="2">
        <f t="shared" si="84"/>
        <v>1</v>
      </c>
      <c r="AE422">
        <v>1020.1</v>
      </c>
      <c r="AF422" s="4" t="s">
        <v>763</v>
      </c>
      <c r="AG422" s="2">
        <f t="shared" si="85"/>
        <v>0</v>
      </c>
      <c r="AH422" t="s">
        <v>764</v>
      </c>
      <c r="AI422" s="2">
        <f t="shared" si="86"/>
        <v>10</v>
      </c>
      <c r="AJ422" s="2">
        <f t="shared" si="87"/>
        <v>0</v>
      </c>
      <c r="AK422" s="3">
        <v>2878.0000000039581</v>
      </c>
      <c r="AM422" s="2">
        <v>1</v>
      </c>
      <c r="AN422">
        <v>5</v>
      </c>
      <c r="AO422">
        <v>5</v>
      </c>
      <c r="AP422">
        <v>0</v>
      </c>
      <c r="AQ422" s="2">
        <f>IF((2*G422 + M422 -P422 + 3*W422 + 2*Z422+2*AD422 + AG422+2*AJ422 + 4*AM422) &gt;=8,1,0)</f>
        <v>0</v>
      </c>
    </row>
    <row r="423" spans="1:43" x14ac:dyDescent="0.25">
      <c r="A423" t="s">
        <v>27</v>
      </c>
      <c r="B423" s="1">
        <v>38265</v>
      </c>
      <c r="C423" s="7">
        <f t="shared" si="79"/>
        <v>2004</v>
      </c>
      <c r="D423">
        <v>74.2</v>
      </c>
      <c r="E423">
        <v>61.9</v>
      </c>
      <c r="F423">
        <v>67.8</v>
      </c>
      <c r="G423" s="2">
        <f t="shared" si="78"/>
        <v>0</v>
      </c>
      <c r="H423">
        <v>74.2</v>
      </c>
      <c r="I423">
        <v>61.9</v>
      </c>
      <c r="J423">
        <v>67.8</v>
      </c>
      <c r="K423">
        <v>48</v>
      </c>
      <c r="L423">
        <v>50</v>
      </c>
      <c r="M423" s="2">
        <f t="shared" si="80"/>
        <v>0</v>
      </c>
      <c r="N423">
        <v>0</v>
      </c>
      <c r="P423" s="2">
        <f t="shared" si="81"/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s="2">
        <f t="shared" si="82"/>
        <v>0</v>
      </c>
      <c r="X423">
        <v>26</v>
      </c>
      <c r="Z423" s="2">
        <f t="shared" si="83"/>
        <v>1</v>
      </c>
      <c r="AA423">
        <v>356.1</v>
      </c>
      <c r="AB423" s="2" t="str">
        <f>CHOOSE(MATCH(AA423,{0;11;80;111;161;191;241;281;341},1),"North","NorthEast","East","SouthEast","South","SouthWest","West","NorthWest","North")</f>
        <v>North</v>
      </c>
      <c r="AC423" s="5">
        <f>CHOOSE(MATCH(AB423,{"South";"SouthEast";"SouthWest";"North";"NorthEast";"East";"West";"NorthWest"},0),1,2,3,4,5,6,7,8)</f>
        <v>4</v>
      </c>
      <c r="AD423" s="2">
        <f t="shared" si="84"/>
        <v>1</v>
      </c>
      <c r="AE423">
        <v>1020.1</v>
      </c>
      <c r="AF423" s="4" t="s">
        <v>144</v>
      </c>
      <c r="AG423" s="2">
        <f t="shared" si="85"/>
        <v>1</v>
      </c>
      <c r="AH423" t="s">
        <v>765</v>
      </c>
      <c r="AI423" s="2">
        <f t="shared" si="86"/>
        <v>10</v>
      </c>
      <c r="AJ423" s="2">
        <f t="shared" si="87"/>
        <v>0</v>
      </c>
      <c r="AK423" s="3">
        <v>1010.999999995111</v>
      </c>
      <c r="AM423" s="2">
        <v>1</v>
      </c>
      <c r="AN423">
        <v>1</v>
      </c>
      <c r="AO423">
        <v>20</v>
      </c>
      <c r="AP423">
        <v>0</v>
      </c>
      <c r="AQ423" s="2">
        <f>IF((2*G423 + M423 -P423 + 3*W423 + 2*Z423+2*AD423 + AG423+2*AJ423 + 4*AM423) &gt;=8,1,0)</f>
        <v>1</v>
      </c>
    </row>
    <row r="424" spans="1:43" x14ac:dyDescent="0.25">
      <c r="A424" t="s">
        <v>27</v>
      </c>
      <c r="B424" s="1">
        <v>38266</v>
      </c>
      <c r="C424" s="7">
        <f t="shared" si="79"/>
        <v>2004</v>
      </c>
      <c r="D424">
        <v>73.7</v>
      </c>
      <c r="E424">
        <v>62.5</v>
      </c>
      <c r="F424">
        <v>67.2</v>
      </c>
      <c r="G424" s="2">
        <f t="shared" si="78"/>
        <v>0</v>
      </c>
      <c r="H424">
        <v>73.7</v>
      </c>
      <c r="I424">
        <v>62.5</v>
      </c>
      <c r="J424">
        <v>67.2</v>
      </c>
      <c r="K424">
        <v>48.7</v>
      </c>
      <c r="L424">
        <v>52.4</v>
      </c>
      <c r="M424" s="2">
        <f t="shared" si="80"/>
        <v>0</v>
      </c>
      <c r="N424">
        <v>0</v>
      </c>
      <c r="P424" s="2">
        <f t="shared" si="81"/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s="2">
        <f t="shared" si="82"/>
        <v>0</v>
      </c>
      <c r="X424">
        <v>24.6</v>
      </c>
      <c r="Z424" s="2">
        <f t="shared" si="83"/>
        <v>1</v>
      </c>
      <c r="AA424">
        <v>0.4</v>
      </c>
      <c r="AB424" s="2" t="str">
        <f>CHOOSE(MATCH(AA424,{0;11;80;111;161;191;241;281;341},1),"North","NorthEast","East","SouthEast","South","SouthWest","West","NorthWest","North")</f>
        <v>North</v>
      </c>
      <c r="AC424" s="5">
        <f>CHOOSE(MATCH(AB424,{"South";"SouthEast";"SouthWest";"North";"NorthEast";"East";"West";"NorthWest"},0),1,2,3,4,5,6,7,8)</f>
        <v>4</v>
      </c>
      <c r="AD424" s="2">
        <f t="shared" si="84"/>
        <v>1</v>
      </c>
      <c r="AE424">
        <v>1019.1</v>
      </c>
      <c r="AF424" s="4" t="s">
        <v>766</v>
      </c>
      <c r="AG424" s="2">
        <f t="shared" si="85"/>
        <v>1</v>
      </c>
      <c r="AH424" t="s">
        <v>767</v>
      </c>
      <c r="AI424" s="2">
        <f t="shared" si="86"/>
        <v>10</v>
      </c>
      <c r="AJ424" s="2">
        <f t="shared" si="87"/>
        <v>0</v>
      </c>
      <c r="AK424" s="3">
        <v>182.99999999930151</v>
      </c>
      <c r="AM424" s="2">
        <v>0</v>
      </c>
      <c r="AN424">
        <v>8</v>
      </c>
      <c r="AO424">
        <v>8</v>
      </c>
      <c r="AP424">
        <v>0</v>
      </c>
      <c r="AQ424" s="2">
        <f>IF((2*G424 + M424 -P424 + 3*W424 + 2*Z424+2*AD424 + AG424+2*AJ424 + 4*AM424) &gt;=8,1,0)</f>
        <v>0</v>
      </c>
    </row>
    <row r="425" spans="1:43" x14ac:dyDescent="0.25">
      <c r="A425" t="s">
        <v>27</v>
      </c>
      <c r="B425" s="1">
        <v>38266</v>
      </c>
      <c r="C425" s="7">
        <f t="shared" si="79"/>
        <v>2004</v>
      </c>
      <c r="D425">
        <v>73.7</v>
      </c>
      <c r="E425">
        <v>62.5</v>
      </c>
      <c r="F425">
        <v>67.2</v>
      </c>
      <c r="G425" s="2">
        <f t="shared" si="78"/>
        <v>0</v>
      </c>
      <c r="H425">
        <v>73.7</v>
      </c>
      <c r="I425">
        <v>62.5</v>
      </c>
      <c r="J425">
        <v>67.2</v>
      </c>
      <c r="K425">
        <v>48.7</v>
      </c>
      <c r="L425">
        <v>52.4</v>
      </c>
      <c r="M425" s="2">
        <f t="shared" si="80"/>
        <v>0</v>
      </c>
      <c r="N425">
        <v>0</v>
      </c>
      <c r="P425" s="2">
        <f t="shared" si="81"/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2">
        <f t="shared" si="82"/>
        <v>0</v>
      </c>
      <c r="X425">
        <v>24.6</v>
      </c>
      <c r="Z425" s="2">
        <f t="shared" si="83"/>
        <v>1</v>
      </c>
      <c r="AA425">
        <v>0.4</v>
      </c>
      <c r="AB425" s="2" t="str">
        <f>CHOOSE(MATCH(AA425,{0;11;80;111;161;191;241;281;341},1),"North","NorthEast","East","SouthEast","South","SouthWest","West","NorthWest","North")</f>
        <v>North</v>
      </c>
      <c r="AC425" s="5">
        <f>CHOOSE(MATCH(AB425,{"South";"SouthEast";"SouthWest";"North";"NorthEast";"East";"West";"NorthWest"},0),1,2,3,4,5,6,7,8)</f>
        <v>4</v>
      </c>
      <c r="AD425" s="2">
        <f t="shared" si="84"/>
        <v>1</v>
      </c>
      <c r="AE425">
        <v>1019.1</v>
      </c>
      <c r="AF425" s="4" t="s">
        <v>768</v>
      </c>
      <c r="AG425" s="2">
        <f t="shared" si="85"/>
        <v>1</v>
      </c>
      <c r="AH425" t="s">
        <v>769</v>
      </c>
      <c r="AI425" s="2">
        <f t="shared" si="86"/>
        <v>10</v>
      </c>
      <c r="AJ425" s="2">
        <f t="shared" si="87"/>
        <v>0</v>
      </c>
      <c r="AK425" s="3">
        <v>857.99999999930151</v>
      </c>
      <c r="AM425" s="2">
        <v>1</v>
      </c>
      <c r="AN425">
        <v>0</v>
      </c>
      <c r="AO425">
        <v>8</v>
      </c>
      <c r="AP425">
        <v>0</v>
      </c>
      <c r="AQ425" s="2">
        <f>IF((2*G425 + M425 -P425 + 3*W425 + 2*Z425+2*AD425 + AG425+2*AJ425 + 4*AM425) &gt;=8,1,0)</f>
        <v>1</v>
      </c>
    </row>
    <row r="426" spans="1:43" x14ac:dyDescent="0.25">
      <c r="A426" t="s">
        <v>27</v>
      </c>
      <c r="B426" s="1">
        <v>38272</v>
      </c>
      <c r="C426" s="7">
        <f t="shared" si="79"/>
        <v>2004</v>
      </c>
      <c r="D426">
        <v>80</v>
      </c>
      <c r="E426">
        <v>64.5</v>
      </c>
      <c r="F426">
        <v>71.099999999999994</v>
      </c>
      <c r="G426" s="2">
        <f t="shared" si="78"/>
        <v>0</v>
      </c>
      <c r="H426">
        <v>80</v>
      </c>
      <c r="I426">
        <v>64.5</v>
      </c>
      <c r="J426">
        <v>71.099999999999994</v>
      </c>
      <c r="K426">
        <v>61.5</v>
      </c>
      <c r="L426">
        <v>72.2</v>
      </c>
      <c r="M426" s="2">
        <f t="shared" si="80"/>
        <v>0</v>
      </c>
      <c r="N426">
        <v>0</v>
      </c>
      <c r="P426" s="2">
        <f t="shared" si="81"/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2">
        <f t="shared" si="82"/>
        <v>0</v>
      </c>
      <c r="X426">
        <v>12.7</v>
      </c>
      <c r="Z426" s="2">
        <f t="shared" si="83"/>
        <v>0</v>
      </c>
      <c r="AA426">
        <v>45.3</v>
      </c>
      <c r="AB426" s="2" t="str">
        <f>CHOOSE(MATCH(AA426,{0;11;80;111;161;191;241;281;341},1),"North","NorthEast","East","SouthEast","South","SouthWest","West","NorthWest","North")</f>
        <v>NorthEast</v>
      </c>
      <c r="AC426" s="5">
        <f>CHOOSE(MATCH(AB426,{"South";"SouthEast";"SouthWest";"North";"NorthEast";"East";"West";"NorthWest"},0),1,2,3,4,5,6,7,8)</f>
        <v>5</v>
      </c>
      <c r="AD426" s="2">
        <f t="shared" si="84"/>
        <v>1</v>
      </c>
      <c r="AE426">
        <v>1016.9</v>
      </c>
      <c r="AF426" s="4" t="s">
        <v>698</v>
      </c>
      <c r="AG426" s="2">
        <f t="shared" si="85"/>
        <v>1</v>
      </c>
      <c r="AH426" t="s">
        <v>770</v>
      </c>
      <c r="AI426" s="2">
        <f t="shared" si="86"/>
        <v>10</v>
      </c>
      <c r="AJ426" s="2">
        <f t="shared" si="87"/>
        <v>0</v>
      </c>
      <c r="AK426" s="3">
        <v>155.00000000232831</v>
      </c>
      <c r="AM426" s="2">
        <v>0</v>
      </c>
      <c r="AN426">
        <v>1</v>
      </c>
      <c r="AO426">
        <v>0</v>
      </c>
      <c r="AP426">
        <v>0</v>
      </c>
      <c r="AQ426" s="2">
        <f>IF((2*G426 + M426 -P426 + 3*W426 + 2*Z426+2*AD426 + AG426+2*AJ426 + 4*AM426) &gt;=8,1,0)</f>
        <v>0</v>
      </c>
    </row>
    <row r="427" spans="1:43" x14ac:dyDescent="0.25">
      <c r="A427" t="s">
        <v>27</v>
      </c>
      <c r="B427" s="1">
        <v>38272</v>
      </c>
      <c r="C427" s="7">
        <f t="shared" si="79"/>
        <v>2004</v>
      </c>
      <c r="D427">
        <v>80</v>
      </c>
      <c r="E427">
        <v>64.5</v>
      </c>
      <c r="F427">
        <v>71.099999999999994</v>
      </c>
      <c r="G427" s="2">
        <f t="shared" si="78"/>
        <v>0</v>
      </c>
      <c r="H427">
        <v>80</v>
      </c>
      <c r="I427">
        <v>64.5</v>
      </c>
      <c r="J427">
        <v>71.099999999999994</v>
      </c>
      <c r="K427">
        <v>61.5</v>
      </c>
      <c r="L427">
        <v>72.2</v>
      </c>
      <c r="M427" s="2">
        <f t="shared" si="80"/>
        <v>0</v>
      </c>
      <c r="N427">
        <v>0</v>
      </c>
      <c r="P427" s="2">
        <f t="shared" si="81"/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2">
        <f t="shared" si="82"/>
        <v>0</v>
      </c>
      <c r="X427">
        <v>12.7</v>
      </c>
      <c r="Z427" s="2">
        <f t="shared" si="83"/>
        <v>0</v>
      </c>
      <c r="AA427">
        <v>45.3</v>
      </c>
      <c r="AB427" s="2" t="str">
        <f>CHOOSE(MATCH(AA427,{0;11;80;111;161;191;241;281;341},1),"North","NorthEast","East","SouthEast","South","SouthWest","West","NorthWest","North")</f>
        <v>NorthEast</v>
      </c>
      <c r="AC427" s="5">
        <f>CHOOSE(MATCH(AB427,{"South";"SouthEast";"SouthWest";"North";"NorthEast";"East";"West";"NorthWest"},0),1,2,3,4,5,6,7,8)</f>
        <v>5</v>
      </c>
      <c r="AD427" s="2">
        <f t="shared" si="84"/>
        <v>1</v>
      </c>
      <c r="AE427">
        <v>1016.9</v>
      </c>
      <c r="AF427" s="4" t="s">
        <v>771</v>
      </c>
      <c r="AG427" s="2">
        <f t="shared" si="85"/>
        <v>1</v>
      </c>
      <c r="AH427" t="s">
        <v>772</v>
      </c>
      <c r="AI427" s="2">
        <f t="shared" si="86"/>
        <v>10</v>
      </c>
      <c r="AJ427" s="2">
        <f t="shared" si="87"/>
        <v>0</v>
      </c>
      <c r="AK427" s="3">
        <v>135</v>
      </c>
      <c r="AM427" s="2">
        <v>0</v>
      </c>
      <c r="AN427">
        <v>0</v>
      </c>
      <c r="AO427">
        <v>0.2</v>
      </c>
      <c r="AP427">
        <v>0</v>
      </c>
      <c r="AQ427" s="2">
        <f>IF((2*G427 + M427 -P427 + 3*W427 + 2*Z427+2*AD427 + AG427+2*AJ427 + 4*AM427) &gt;=8,1,0)</f>
        <v>0</v>
      </c>
    </row>
    <row r="428" spans="1:43" x14ac:dyDescent="0.25">
      <c r="A428" t="s">
        <v>27</v>
      </c>
      <c r="B428" s="1">
        <v>38274</v>
      </c>
      <c r="C428" s="7">
        <f t="shared" si="79"/>
        <v>2004</v>
      </c>
      <c r="D428">
        <v>68.099999999999994</v>
      </c>
      <c r="E428">
        <v>58.9</v>
      </c>
      <c r="F428">
        <v>63.2</v>
      </c>
      <c r="G428" s="2">
        <f t="shared" si="78"/>
        <v>0</v>
      </c>
      <c r="H428">
        <v>68.099999999999994</v>
      </c>
      <c r="I428">
        <v>58.9</v>
      </c>
      <c r="J428">
        <v>63.2</v>
      </c>
      <c r="K428">
        <v>51.6</v>
      </c>
      <c r="L428">
        <v>66.099999999999994</v>
      </c>
      <c r="M428" s="2">
        <f t="shared" si="80"/>
        <v>0</v>
      </c>
      <c r="N428">
        <v>0</v>
      </c>
      <c r="P428" s="2">
        <f t="shared" si="81"/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s="2">
        <f t="shared" si="82"/>
        <v>0</v>
      </c>
      <c r="X428">
        <v>11.5</v>
      </c>
      <c r="Z428" s="2">
        <f t="shared" si="83"/>
        <v>0</v>
      </c>
      <c r="AA428">
        <v>34.5</v>
      </c>
      <c r="AB428" s="2" t="str">
        <f>CHOOSE(MATCH(AA428,{0;11;80;111;161;191;241;281;341},1),"North","NorthEast","East","SouthEast","South","SouthWest","West","NorthWest","North")</f>
        <v>NorthEast</v>
      </c>
      <c r="AC428" s="5">
        <f>CHOOSE(MATCH(AB428,{"South";"SouthEast";"SouthWest";"North";"NorthEast";"East";"West";"NorthWest"},0),1,2,3,4,5,6,7,8)</f>
        <v>5</v>
      </c>
      <c r="AD428" s="2">
        <f t="shared" si="84"/>
        <v>1</v>
      </c>
      <c r="AE428">
        <v>1020.6</v>
      </c>
      <c r="AF428" s="4" t="s">
        <v>773</v>
      </c>
      <c r="AG428" s="2">
        <f t="shared" si="85"/>
        <v>0</v>
      </c>
      <c r="AH428" t="s">
        <v>774</v>
      </c>
      <c r="AI428" s="2">
        <f t="shared" si="86"/>
        <v>10</v>
      </c>
      <c r="AJ428" s="2">
        <f t="shared" si="87"/>
        <v>0</v>
      </c>
      <c r="AK428" s="3">
        <v>467.0000000030268</v>
      </c>
      <c r="AM428" s="2">
        <v>1</v>
      </c>
      <c r="AN428">
        <v>0</v>
      </c>
      <c r="AO428">
        <v>0.5</v>
      </c>
      <c r="AP428">
        <v>0</v>
      </c>
      <c r="AQ428" s="2">
        <f>IF((2*G428 + M428 -P428 + 3*W428 + 2*Z428+2*AD428 + AG428+2*AJ428 + 4*AM428) &gt;=8,1,0)</f>
        <v>0</v>
      </c>
    </row>
    <row r="429" spans="1:43" x14ac:dyDescent="0.25">
      <c r="A429" t="s">
        <v>27</v>
      </c>
      <c r="B429" s="1">
        <v>38276</v>
      </c>
      <c r="C429" s="7">
        <f t="shared" si="79"/>
        <v>2004</v>
      </c>
      <c r="D429">
        <v>77.7</v>
      </c>
      <c r="E429">
        <v>66.2</v>
      </c>
      <c r="F429">
        <v>71.8</v>
      </c>
      <c r="G429" s="2">
        <f t="shared" si="78"/>
        <v>0</v>
      </c>
      <c r="H429">
        <v>77.7</v>
      </c>
      <c r="I429">
        <v>66.2</v>
      </c>
      <c r="J429">
        <v>71.8</v>
      </c>
      <c r="K429">
        <v>64.400000000000006</v>
      </c>
      <c r="L429">
        <v>78.7</v>
      </c>
      <c r="M429" s="2">
        <f t="shared" si="80"/>
        <v>0</v>
      </c>
      <c r="N429">
        <v>0</v>
      </c>
      <c r="P429" s="2">
        <f t="shared" si="81"/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2">
        <f t="shared" si="82"/>
        <v>0</v>
      </c>
      <c r="X429">
        <v>16.100000000000001</v>
      </c>
      <c r="Z429" s="2">
        <f t="shared" si="83"/>
        <v>1</v>
      </c>
      <c r="AA429">
        <v>175.4</v>
      </c>
      <c r="AB429" s="2" t="str">
        <f>CHOOSE(MATCH(AA429,{0;11;80;111;161;191;241;281;341},1),"North","NorthEast","East","SouthEast","South","SouthWest","West","NorthWest","North")</f>
        <v>South</v>
      </c>
      <c r="AC429" s="5">
        <f>CHOOSE(MATCH(AB429,{"South";"SouthEast";"SouthWest";"North";"NorthEast";"East";"West";"NorthWest"},0),1,2,3,4,5,6,7,8)</f>
        <v>1</v>
      </c>
      <c r="AD429" s="2">
        <f t="shared" si="84"/>
        <v>0</v>
      </c>
      <c r="AE429">
        <v>1016.1</v>
      </c>
      <c r="AF429" s="4" t="s">
        <v>775</v>
      </c>
      <c r="AG429" s="2">
        <f t="shared" si="85"/>
        <v>1</v>
      </c>
      <c r="AH429" t="s">
        <v>776</v>
      </c>
      <c r="AI429" s="2">
        <f t="shared" si="86"/>
        <v>10</v>
      </c>
      <c r="AJ429" s="2">
        <f t="shared" si="87"/>
        <v>0</v>
      </c>
      <c r="AK429" s="3">
        <v>17.000000003026798</v>
      </c>
      <c r="AM429" s="2">
        <v>0</v>
      </c>
      <c r="AN429">
        <v>0</v>
      </c>
      <c r="AO429">
        <v>0.8</v>
      </c>
      <c r="AP429">
        <v>0</v>
      </c>
      <c r="AQ429" s="2">
        <f>IF((2*G429 + M429 -P429 + 3*W429 + 2*Z429+2*AD429 + AG429+2*AJ429 + 4*AM429) &gt;=8,1,0)</f>
        <v>0</v>
      </c>
    </row>
    <row r="430" spans="1:43" x14ac:dyDescent="0.25">
      <c r="A430" t="s">
        <v>27</v>
      </c>
      <c r="B430" s="1">
        <v>38280</v>
      </c>
      <c r="C430" s="7">
        <f t="shared" si="79"/>
        <v>2004</v>
      </c>
      <c r="D430">
        <v>86.1</v>
      </c>
      <c r="E430">
        <v>59.3</v>
      </c>
      <c r="F430">
        <v>70.400000000000006</v>
      </c>
      <c r="G430" s="2">
        <f t="shared" si="78"/>
        <v>0</v>
      </c>
      <c r="H430">
        <v>83</v>
      </c>
      <c r="I430">
        <v>59.3</v>
      </c>
      <c r="J430">
        <v>70.3</v>
      </c>
      <c r="K430">
        <v>57.2</v>
      </c>
      <c r="L430">
        <v>65.599999999999994</v>
      </c>
      <c r="M430" s="2">
        <f t="shared" si="80"/>
        <v>0</v>
      </c>
      <c r="N430">
        <v>0</v>
      </c>
      <c r="P430" s="2">
        <f t="shared" si="81"/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2">
        <f t="shared" si="82"/>
        <v>0</v>
      </c>
      <c r="X430">
        <v>9.1999999999999993</v>
      </c>
      <c r="Z430" s="2">
        <f t="shared" si="83"/>
        <v>0</v>
      </c>
      <c r="AA430">
        <v>115.8</v>
      </c>
      <c r="AB430" s="2" t="str">
        <f>CHOOSE(MATCH(AA430,{0;11;80;111;161;191;241;281;341},1),"North","NorthEast","East","SouthEast","South","SouthWest","West","NorthWest","North")</f>
        <v>SouthEast</v>
      </c>
      <c r="AC430" s="5">
        <f>CHOOSE(MATCH(AB430,{"South";"SouthEast";"SouthWest";"North";"NorthEast";"East";"West";"NorthWest"},0),1,2,3,4,5,6,7,8)</f>
        <v>2</v>
      </c>
      <c r="AD430" s="2">
        <f t="shared" si="84"/>
        <v>0</v>
      </c>
      <c r="AE430">
        <v>1014.4</v>
      </c>
      <c r="AF430" s="4" t="s">
        <v>324</v>
      </c>
      <c r="AG430" s="2">
        <f t="shared" si="85"/>
        <v>0</v>
      </c>
      <c r="AH430" t="s">
        <v>777</v>
      </c>
      <c r="AI430" s="2">
        <f t="shared" si="86"/>
        <v>10</v>
      </c>
      <c r="AJ430" s="2">
        <f t="shared" si="87"/>
        <v>0</v>
      </c>
      <c r="AK430" s="3">
        <v>547.00000000186265</v>
      </c>
      <c r="AM430" s="2">
        <v>1</v>
      </c>
      <c r="AN430">
        <v>2</v>
      </c>
      <c r="AO430">
        <v>2</v>
      </c>
      <c r="AP430">
        <v>0</v>
      </c>
      <c r="AQ430" s="2">
        <f>IF((2*G430 + M430 -P430 + 3*W430 + 2*Z430+2*AD430 + AG430+2*AJ430 + 4*AM430) &gt;=8,1,0)</f>
        <v>0</v>
      </c>
    </row>
    <row r="431" spans="1:43" x14ac:dyDescent="0.25">
      <c r="A431" t="s">
        <v>27</v>
      </c>
      <c r="B431" s="1">
        <v>38283</v>
      </c>
      <c r="C431" s="7">
        <f t="shared" si="79"/>
        <v>2004</v>
      </c>
      <c r="D431">
        <v>77.7</v>
      </c>
      <c r="E431">
        <v>64</v>
      </c>
      <c r="F431">
        <v>69.900000000000006</v>
      </c>
      <c r="G431" s="2">
        <f t="shared" si="78"/>
        <v>0</v>
      </c>
      <c r="H431">
        <v>77.7</v>
      </c>
      <c r="I431">
        <v>64</v>
      </c>
      <c r="J431">
        <v>69.900000000000006</v>
      </c>
      <c r="K431">
        <v>56.5</v>
      </c>
      <c r="L431">
        <v>63.2</v>
      </c>
      <c r="M431" s="2">
        <f t="shared" si="80"/>
        <v>0</v>
      </c>
      <c r="N431">
        <v>0</v>
      </c>
      <c r="P431" s="2">
        <f t="shared" si="81"/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s="2">
        <f t="shared" si="82"/>
        <v>0</v>
      </c>
      <c r="X431">
        <v>13.8</v>
      </c>
      <c r="Z431" s="2">
        <f t="shared" si="83"/>
        <v>0</v>
      </c>
      <c r="AA431">
        <v>358.9</v>
      </c>
      <c r="AB431" s="2" t="str">
        <f>CHOOSE(MATCH(AA431,{0;11;80;111;161;191;241;281;341},1),"North","NorthEast","East","SouthEast","South","SouthWest","West","NorthWest","North")</f>
        <v>North</v>
      </c>
      <c r="AC431" s="5">
        <f>CHOOSE(MATCH(AB431,{"South";"SouthEast";"SouthWest";"North";"NorthEast";"East";"West";"NorthWest"},0),1,2,3,4,5,6,7,8)</f>
        <v>4</v>
      </c>
      <c r="AD431" s="2">
        <f t="shared" si="84"/>
        <v>1</v>
      </c>
      <c r="AE431">
        <v>1020.3</v>
      </c>
      <c r="AF431" s="4" t="s">
        <v>352</v>
      </c>
      <c r="AG431" s="2">
        <f t="shared" si="85"/>
        <v>1</v>
      </c>
      <c r="AH431" t="s">
        <v>778</v>
      </c>
      <c r="AI431" s="2">
        <f t="shared" si="86"/>
        <v>10</v>
      </c>
      <c r="AJ431" s="2">
        <f t="shared" si="87"/>
        <v>0</v>
      </c>
      <c r="AK431" s="3">
        <v>95.000000005820766</v>
      </c>
      <c r="AM431" s="2">
        <v>0</v>
      </c>
      <c r="AN431">
        <v>0</v>
      </c>
      <c r="AO431">
        <v>0.1</v>
      </c>
      <c r="AP431">
        <v>0</v>
      </c>
      <c r="AQ431" s="2">
        <f>IF((2*G431 + M431 -P431 + 3*W431 + 2*Z431+2*AD431 + AG431+2*AJ431 + 4*AM431) &gt;=8,1,0)</f>
        <v>0</v>
      </c>
    </row>
    <row r="432" spans="1:43" x14ac:dyDescent="0.25">
      <c r="A432" t="s">
        <v>27</v>
      </c>
      <c r="B432" s="1">
        <v>38295</v>
      </c>
      <c r="C432" s="7">
        <f t="shared" si="79"/>
        <v>2004</v>
      </c>
      <c r="D432">
        <v>66.5</v>
      </c>
      <c r="E432">
        <v>62.6</v>
      </c>
      <c r="F432">
        <v>64.099999999999994</v>
      </c>
      <c r="G432" s="2">
        <f t="shared" si="78"/>
        <v>0</v>
      </c>
      <c r="H432">
        <v>66.5</v>
      </c>
      <c r="I432">
        <v>62.6</v>
      </c>
      <c r="J432">
        <v>64.099999999999994</v>
      </c>
      <c r="K432">
        <v>51.3</v>
      </c>
      <c r="L432">
        <v>63.2</v>
      </c>
      <c r="M432" s="2">
        <f t="shared" si="80"/>
        <v>0</v>
      </c>
      <c r="N432">
        <v>0</v>
      </c>
      <c r="P432" s="2">
        <f t="shared" si="81"/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s="2">
        <f t="shared" si="82"/>
        <v>0</v>
      </c>
      <c r="X432">
        <v>24.1</v>
      </c>
      <c r="Z432" s="2">
        <f t="shared" si="83"/>
        <v>1</v>
      </c>
      <c r="AA432">
        <v>0.6</v>
      </c>
      <c r="AB432" s="2" t="str">
        <f>CHOOSE(MATCH(AA432,{0;11;80;111;161;191;241;281;341},1),"North","NorthEast","East","SouthEast","South","SouthWest","West","NorthWest","North")</f>
        <v>North</v>
      </c>
      <c r="AC432" s="5">
        <f>CHOOSE(MATCH(AB432,{"South";"SouthEast";"SouthWest";"North";"NorthEast";"East";"West";"NorthWest"},0),1,2,3,4,5,6,7,8)</f>
        <v>4</v>
      </c>
      <c r="AD432" s="2">
        <f t="shared" si="84"/>
        <v>1</v>
      </c>
      <c r="AE432">
        <v>1020.7</v>
      </c>
      <c r="AF432" s="4" t="s">
        <v>779</v>
      </c>
      <c r="AG432" s="2">
        <f t="shared" si="85"/>
        <v>0</v>
      </c>
      <c r="AH432" t="s">
        <v>780</v>
      </c>
      <c r="AI432" s="2">
        <f t="shared" si="86"/>
        <v>11</v>
      </c>
      <c r="AJ432" s="2">
        <f t="shared" si="87"/>
        <v>0</v>
      </c>
      <c r="AK432" s="3">
        <v>185.00000000582079</v>
      </c>
      <c r="AM432" s="2">
        <v>0</v>
      </c>
      <c r="AN432">
        <v>0</v>
      </c>
      <c r="AO432">
        <v>1.5</v>
      </c>
      <c r="AP432">
        <v>0</v>
      </c>
      <c r="AQ432" s="2">
        <f>IF((2*G432 + M432 -P432 + 3*W432 + 2*Z432+2*AD432 + AG432+2*AJ432 + 4*AM432) &gt;=8,1,0)</f>
        <v>0</v>
      </c>
    </row>
    <row r="433" spans="1:43" x14ac:dyDescent="0.25">
      <c r="A433" t="s">
        <v>27</v>
      </c>
      <c r="B433" s="1">
        <v>38311</v>
      </c>
      <c r="C433" s="7">
        <f t="shared" si="79"/>
        <v>2004</v>
      </c>
      <c r="D433">
        <v>67.8</v>
      </c>
      <c r="E433">
        <v>50.4</v>
      </c>
      <c r="F433">
        <v>58.9</v>
      </c>
      <c r="G433" s="2">
        <f t="shared" si="78"/>
        <v>0</v>
      </c>
      <c r="H433">
        <v>67.8</v>
      </c>
      <c r="I433">
        <v>50.4</v>
      </c>
      <c r="J433">
        <v>58.9</v>
      </c>
      <c r="K433">
        <v>46.4</v>
      </c>
      <c r="L433">
        <v>63.9</v>
      </c>
      <c r="M433" s="2">
        <f t="shared" si="80"/>
        <v>0</v>
      </c>
      <c r="N433">
        <v>0.09</v>
      </c>
      <c r="P433" s="2">
        <f t="shared" si="81"/>
        <v>0</v>
      </c>
      <c r="Q433">
        <v>100</v>
      </c>
      <c r="R433">
        <v>4.17</v>
      </c>
      <c r="S433" t="s">
        <v>87</v>
      </c>
      <c r="T433">
        <v>0</v>
      </c>
      <c r="U433">
        <v>0</v>
      </c>
      <c r="V433">
        <v>0</v>
      </c>
      <c r="W433" s="2">
        <f t="shared" si="82"/>
        <v>0</v>
      </c>
      <c r="X433">
        <v>18.600000000000001</v>
      </c>
      <c r="Z433" s="2">
        <f t="shared" si="83"/>
        <v>1</v>
      </c>
      <c r="AA433">
        <v>322.60000000000002</v>
      </c>
      <c r="AB433" s="2" t="str">
        <f>CHOOSE(MATCH(AA433,{0;11;80;111;161;191;241;281;341},1),"North","NorthEast","East","SouthEast","South","SouthWest","West","NorthWest","North")</f>
        <v>NorthWest</v>
      </c>
      <c r="AC433" s="5">
        <f>CHOOSE(MATCH(AB433,{"South";"SouthEast";"SouthWest";"North";"NorthEast";"East";"West";"NorthWest"},0),1,2,3,4,5,6,7,8)</f>
        <v>8</v>
      </c>
      <c r="AD433" s="2">
        <f t="shared" si="84"/>
        <v>1</v>
      </c>
      <c r="AE433">
        <v>1007.5</v>
      </c>
      <c r="AF433" s="4" t="s">
        <v>702</v>
      </c>
      <c r="AG433" s="2">
        <f t="shared" si="85"/>
        <v>0</v>
      </c>
      <c r="AH433" t="s">
        <v>781</v>
      </c>
      <c r="AI433" s="2">
        <f t="shared" si="86"/>
        <v>11</v>
      </c>
      <c r="AJ433" s="2">
        <f t="shared" si="87"/>
        <v>0</v>
      </c>
      <c r="AK433" s="3">
        <v>81.000000002095476</v>
      </c>
      <c r="AM433" s="2">
        <v>0</v>
      </c>
      <c r="AN433">
        <v>0</v>
      </c>
      <c r="AO433">
        <v>0.1</v>
      </c>
      <c r="AP433">
        <v>0</v>
      </c>
      <c r="AQ433" s="2">
        <f>IF((2*G433 + M433 -P433 + 3*W433 + 2*Z433+2*AD433 + AG433+2*AJ433 + 4*AM433) &gt;=8,1,0)</f>
        <v>0</v>
      </c>
    </row>
    <row r="434" spans="1:43" x14ac:dyDescent="0.25">
      <c r="A434" t="s">
        <v>27</v>
      </c>
      <c r="B434" s="1">
        <v>38312</v>
      </c>
      <c r="C434" s="7">
        <f t="shared" si="79"/>
        <v>2004</v>
      </c>
      <c r="D434">
        <v>51</v>
      </c>
      <c r="E434">
        <v>35.700000000000003</v>
      </c>
      <c r="F434">
        <v>47.3</v>
      </c>
      <c r="G434" s="2">
        <f t="shared" si="78"/>
        <v>0</v>
      </c>
      <c r="H434">
        <v>51</v>
      </c>
      <c r="I434">
        <v>28.7</v>
      </c>
      <c r="J434">
        <v>44</v>
      </c>
      <c r="K434">
        <v>32.700000000000003</v>
      </c>
      <c r="L434">
        <v>57.8</v>
      </c>
      <c r="M434" s="2">
        <f t="shared" si="80"/>
        <v>0</v>
      </c>
      <c r="N434">
        <v>2.4E-2</v>
      </c>
      <c r="P434" s="2">
        <f t="shared" si="81"/>
        <v>0</v>
      </c>
      <c r="Q434">
        <v>100</v>
      </c>
      <c r="R434">
        <v>8.33</v>
      </c>
      <c r="S434" t="s">
        <v>87</v>
      </c>
      <c r="T434">
        <v>0</v>
      </c>
      <c r="U434">
        <v>0</v>
      </c>
      <c r="V434">
        <v>0</v>
      </c>
      <c r="W434" s="2">
        <f t="shared" si="82"/>
        <v>0</v>
      </c>
      <c r="X434">
        <v>10.199999999999999</v>
      </c>
      <c r="Z434" s="2">
        <f t="shared" si="83"/>
        <v>0</v>
      </c>
      <c r="AA434">
        <v>346.1</v>
      </c>
      <c r="AB434" s="2" t="str">
        <f>CHOOSE(MATCH(AA434,{0;11;80;111;161;191;241;281;341},1),"North","NorthEast","East","SouthEast","South","SouthWest","West","NorthWest","North")</f>
        <v>North</v>
      </c>
      <c r="AC434" s="5">
        <f>CHOOSE(MATCH(AB434,{"South";"SouthEast";"SouthWest";"North";"NorthEast";"East";"West";"NorthWest"},0),1,2,3,4,5,6,7,8)</f>
        <v>4</v>
      </c>
      <c r="AD434" s="2">
        <f t="shared" si="84"/>
        <v>1</v>
      </c>
      <c r="AE434">
        <v>1018.1</v>
      </c>
      <c r="AF434" s="4" t="s">
        <v>550</v>
      </c>
      <c r="AG434" s="2">
        <f t="shared" si="85"/>
        <v>1</v>
      </c>
      <c r="AH434" t="s">
        <v>782</v>
      </c>
      <c r="AI434" s="2">
        <f t="shared" si="86"/>
        <v>11</v>
      </c>
      <c r="AJ434" s="2">
        <f t="shared" si="87"/>
        <v>0</v>
      </c>
      <c r="AK434" s="3">
        <v>170.0000000093132</v>
      </c>
      <c r="AM434" s="2">
        <v>0</v>
      </c>
      <c r="AN434">
        <v>0</v>
      </c>
      <c r="AO434">
        <v>0.5</v>
      </c>
      <c r="AP434">
        <v>0</v>
      </c>
      <c r="AQ434" s="2">
        <f>IF((2*G434 + M434 -P434 + 3*W434 + 2*Z434+2*AD434 + AG434+2*AJ434 + 4*AM434) &gt;=8,1,0)</f>
        <v>0</v>
      </c>
    </row>
    <row r="435" spans="1:43" x14ac:dyDescent="0.25">
      <c r="A435" t="s">
        <v>27</v>
      </c>
      <c r="B435" s="1">
        <v>38338</v>
      </c>
      <c r="C435" s="7">
        <f t="shared" si="79"/>
        <v>2004</v>
      </c>
      <c r="D435">
        <v>57.9</v>
      </c>
      <c r="E435">
        <v>38.700000000000003</v>
      </c>
      <c r="F435">
        <v>50.2</v>
      </c>
      <c r="G435" s="2">
        <f t="shared" si="78"/>
        <v>0</v>
      </c>
      <c r="H435">
        <v>57.9</v>
      </c>
      <c r="I435">
        <v>34</v>
      </c>
      <c r="J435">
        <v>49.3</v>
      </c>
      <c r="K435">
        <v>40.799999999999997</v>
      </c>
      <c r="L435">
        <v>70.5</v>
      </c>
      <c r="M435" s="2">
        <f t="shared" si="80"/>
        <v>0</v>
      </c>
      <c r="N435">
        <v>0</v>
      </c>
      <c r="P435" s="2">
        <f t="shared" si="81"/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2">
        <f t="shared" si="82"/>
        <v>0</v>
      </c>
      <c r="X435">
        <v>9.9</v>
      </c>
      <c r="Z435" s="2">
        <f t="shared" si="83"/>
        <v>0</v>
      </c>
      <c r="AA435">
        <v>125.2</v>
      </c>
      <c r="AB435" s="2" t="str">
        <f>CHOOSE(MATCH(AA435,{0;11;80;111;161;191;241;281;341},1),"North","NorthEast","East","SouthEast","South","SouthWest","West","NorthWest","North")</f>
        <v>SouthEast</v>
      </c>
      <c r="AC435" s="5">
        <f>CHOOSE(MATCH(AB435,{"South";"SouthEast";"SouthWest";"North";"NorthEast";"East";"West";"NorthWest"},0),1,2,3,4,5,6,7,8)</f>
        <v>2</v>
      </c>
      <c r="AD435" s="2">
        <f t="shared" si="84"/>
        <v>0</v>
      </c>
      <c r="AE435">
        <v>1020.4</v>
      </c>
      <c r="AF435" s="4" t="s">
        <v>92</v>
      </c>
      <c r="AG435" s="2">
        <f t="shared" si="85"/>
        <v>1</v>
      </c>
      <c r="AH435" t="s">
        <v>783</v>
      </c>
      <c r="AI435" s="2">
        <f t="shared" si="86"/>
        <v>12</v>
      </c>
      <c r="AJ435" s="2">
        <f t="shared" si="87"/>
        <v>0</v>
      </c>
      <c r="AK435" s="3">
        <v>169.99999999883579</v>
      </c>
      <c r="AM435" s="2">
        <v>0</v>
      </c>
      <c r="AN435">
        <v>0</v>
      </c>
      <c r="AO435">
        <v>2.5</v>
      </c>
      <c r="AP435">
        <v>0</v>
      </c>
      <c r="AQ435" s="2">
        <f>IF((2*G435 + M435 -P435 + 3*W435 + 2*Z435+2*AD435 + AG435+2*AJ435 + 4*AM435) &gt;=8,1,0)</f>
        <v>0</v>
      </c>
    </row>
    <row r="436" spans="1:43" x14ac:dyDescent="0.25">
      <c r="A436" t="s">
        <v>27</v>
      </c>
      <c r="B436" s="1">
        <v>38347</v>
      </c>
      <c r="C436" s="7">
        <f t="shared" si="79"/>
        <v>2004</v>
      </c>
      <c r="D436">
        <v>61.6</v>
      </c>
      <c r="E436">
        <v>40.799999999999997</v>
      </c>
      <c r="F436">
        <v>54.3</v>
      </c>
      <c r="G436" s="2">
        <f t="shared" si="78"/>
        <v>0</v>
      </c>
      <c r="H436">
        <v>61.6</v>
      </c>
      <c r="I436">
        <v>37.200000000000003</v>
      </c>
      <c r="J436">
        <v>53.9</v>
      </c>
      <c r="K436">
        <v>45.7</v>
      </c>
      <c r="L436">
        <v>73.7</v>
      </c>
      <c r="M436" s="2">
        <f t="shared" si="80"/>
        <v>0</v>
      </c>
      <c r="N436">
        <v>0</v>
      </c>
      <c r="P436" s="2">
        <f t="shared" si="81"/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s="2">
        <f t="shared" si="82"/>
        <v>0</v>
      </c>
      <c r="X436">
        <v>16.899999999999999</v>
      </c>
      <c r="Z436" s="2">
        <f t="shared" si="83"/>
        <v>1</v>
      </c>
      <c r="AA436">
        <v>163.4</v>
      </c>
      <c r="AB436" s="2" t="str">
        <f>CHOOSE(MATCH(AA436,{0;11;80;111;161;191;241;281;341},1),"North","NorthEast","East","SouthEast","South","SouthWest","West","NorthWest","North")</f>
        <v>South</v>
      </c>
      <c r="AC436" s="5">
        <f>CHOOSE(MATCH(AB436,{"South";"SouthEast";"SouthWest";"North";"NorthEast";"East";"West";"NorthWest"},0),1,2,3,4,5,6,7,8)</f>
        <v>1</v>
      </c>
      <c r="AD436" s="2">
        <f t="shared" si="84"/>
        <v>0</v>
      </c>
      <c r="AE436">
        <v>1019.6</v>
      </c>
      <c r="AF436" s="4" t="s">
        <v>784</v>
      </c>
      <c r="AG436" s="2">
        <f t="shared" si="85"/>
        <v>0</v>
      </c>
      <c r="AH436" t="s">
        <v>785</v>
      </c>
      <c r="AI436" s="2">
        <f t="shared" si="86"/>
        <v>12</v>
      </c>
      <c r="AJ436" s="2">
        <f t="shared" si="87"/>
        <v>0</v>
      </c>
      <c r="AK436" s="3">
        <v>326.00000000442378</v>
      </c>
      <c r="AM436" s="2">
        <v>0</v>
      </c>
      <c r="AN436">
        <v>0</v>
      </c>
      <c r="AO436">
        <v>6</v>
      </c>
      <c r="AP436">
        <v>0</v>
      </c>
      <c r="AQ436" s="2">
        <f>IF((2*G436 + M436 -P436 + 3*W436 + 2*Z436+2*AD436 + AG436+2*AJ436 + 4*AM436) &gt;=8,1,0)</f>
        <v>0</v>
      </c>
    </row>
    <row r="437" spans="1:43" x14ac:dyDescent="0.25">
      <c r="A437" t="s">
        <v>27</v>
      </c>
      <c r="B437" s="1">
        <v>38347</v>
      </c>
      <c r="C437" s="7">
        <f t="shared" si="79"/>
        <v>2004</v>
      </c>
      <c r="D437">
        <v>61.6</v>
      </c>
      <c r="E437">
        <v>40.799999999999997</v>
      </c>
      <c r="F437">
        <v>54.3</v>
      </c>
      <c r="G437" s="2">
        <f t="shared" si="78"/>
        <v>0</v>
      </c>
      <c r="H437">
        <v>61.6</v>
      </c>
      <c r="I437">
        <v>37.200000000000003</v>
      </c>
      <c r="J437">
        <v>53.9</v>
      </c>
      <c r="K437">
        <v>45.7</v>
      </c>
      <c r="L437">
        <v>73.7</v>
      </c>
      <c r="M437" s="2">
        <f t="shared" si="80"/>
        <v>0</v>
      </c>
      <c r="N437">
        <v>0</v>
      </c>
      <c r="P437" s="2">
        <f t="shared" si="81"/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2">
        <f t="shared" si="82"/>
        <v>0</v>
      </c>
      <c r="X437">
        <v>16.899999999999999</v>
      </c>
      <c r="Z437" s="2">
        <f t="shared" si="83"/>
        <v>1</v>
      </c>
      <c r="AA437">
        <v>163.4</v>
      </c>
      <c r="AB437" s="2" t="str">
        <f>CHOOSE(MATCH(AA437,{0;11;80;111;161;191;241;281;341},1),"North","NorthEast","East","SouthEast","South","SouthWest","West","NorthWest","North")</f>
        <v>South</v>
      </c>
      <c r="AC437" s="5">
        <f>CHOOSE(MATCH(AB437,{"South";"SouthEast";"SouthWest";"North";"NorthEast";"East";"West";"NorthWest"},0),1,2,3,4,5,6,7,8)</f>
        <v>1</v>
      </c>
      <c r="AD437" s="2">
        <f t="shared" si="84"/>
        <v>0</v>
      </c>
      <c r="AE437">
        <v>1019.6</v>
      </c>
      <c r="AF437" s="4" t="s">
        <v>452</v>
      </c>
      <c r="AG437" s="2">
        <f t="shared" si="85"/>
        <v>1</v>
      </c>
      <c r="AH437" t="s">
        <v>786</v>
      </c>
      <c r="AI437" s="2">
        <f t="shared" si="86"/>
        <v>12</v>
      </c>
      <c r="AJ437" s="2">
        <f t="shared" si="87"/>
        <v>0</v>
      </c>
      <c r="AK437" s="3">
        <v>149.99999999650751</v>
      </c>
      <c r="AM437" s="2">
        <v>0</v>
      </c>
      <c r="AN437">
        <v>0</v>
      </c>
      <c r="AO437">
        <v>12</v>
      </c>
      <c r="AP437">
        <v>0</v>
      </c>
      <c r="AQ437" s="2">
        <f>IF((2*G437 + M437 -P437 + 3*W437 + 2*Z437+2*AD437 + AG437+2*AJ437 + 4*AM437) &gt;=8,1,0)</f>
        <v>0</v>
      </c>
    </row>
    <row r="438" spans="1:43" x14ac:dyDescent="0.25">
      <c r="A438" t="s">
        <v>27</v>
      </c>
      <c r="B438" s="1">
        <v>38348</v>
      </c>
      <c r="C438" s="7">
        <f t="shared" si="79"/>
        <v>2004</v>
      </c>
      <c r="D438">
        <v>66</v>
      </c>
      <c r="E438">
        <v>59.1</v>
      </c>
      <c r="F438">
        <v>62.1</v>
      </c>
      <c r="G438" s="2">
        <f t="shared" si="78"/>
        <v>0</v>
      </c>
      <c r="H438">
        <v>66</v>
      </c>
      <c r="I438">
        <v>59.1</v>
      </c>
      <c r="J438">
        <v>62.1</v>
      </c>
      <c r="K438">
        <v>52.1</v>
      </c>
      <c r="L438">
        <v>69.8</v>
      </c>
      <c r="M438" s="2">
        <f t="shared" si="80"/>
        <v>0</v>
      </c>
      <c r="N438">
        <v>0</v>
      </c>
      <c r="P438" s="2">
        <f t="shared" si="81"/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2">
        <f t="shared" si="82"/>
        <v>0</v>
      </c>
      <c r="X438">
        <v>19.7</v>
      </c>
      <c r="Z438" s="2">
        <f t="shared" si="83"/>
        <v>1</v>
      </c>
      <c r="AA438">
        <v>177.7</v>
      </c>
      <c r="AB438" s="2" t="str">
        <f>CHOOSE(MATCH(AA438,{0;11;80;111;161;191;241;281;341},1),"North","NorthEast","East","SouthEast","South","SouthWest","West","NorthWest","North")</f>
        <v>South</v>
      </c>
      <c r="AC438" s="5">
        <f>CHOOSE(MATCH(AB438,{"South";"SouthEast";"SouthWest";"North";"NorthEast";"East";"West";"NorthWest"},0),1,2,3,4,5,6,7,8)</f>
        <v>1</v>
      </c>
      <c r="AD438" s="2">
        <f t="shared" si="84"/>
        <v>0</v>
      </c>
      <c r="AE438">
        <v>1022.2</v>
      </c>
      <c r="AF438" s="4" t="s">
        <v>655</v>
      </c>
      <c r="AG438" s="2">
        <f t="shared" si="85"/>
        <v>1</v>
      </c>
      <c r="AH438" t="s">
        <v>787</v>
      </c>
      <c r="AI438" s="2">
        <f t="shared" si="86"/>
        <v>12</v>
      </c>
      <c r="AJ438" s="2">
        <f t="shared" si="87"/>
        <v>0</v>
      </c>
      <c r="AK438" s="3">
        <v>386.00000000093132</v>
      </c>
      <c r="AM438" s="2">
        <v>1</v>
      </c>
      <c r="AN438">
        <v>0</v>
      </c>
      <c r="AO438">
        <v>8</v>
      </c>
      <c r="AP438">
        <v>0</v>
      </c>
      <c r="AQ438" s="2">
        <f>IF((2*G438 + M438 -P438 + 3*W438 + 2*Z438+2*AD438 + AG438+2*AJ438 + 4*AM438) &gt;=8,1,0)</f>
        <v>0</v>
      </c>
    </row>
    <row r="439" spans="1:43" x14ac:dyDescent="0.25">
      <c r="A439" t="s">
        <v>27</v>
      </c>
      <c r="B439" s="1">
        <v>38348</v>
      </c>
      <c r="C439" s="7">
        <f t="shared" si="79"/>
        <v>2004</v>
      </c>
      <c r="D439">
        <v>66</v>
      </c>
      <c r="E439">
        <v>59.1</v>
      </c>
      <c r="F439">
        <v>62.1</v>
      </c>
      <c r="G439" s="2">
        <f t="shared" si="78"/>
        <v>0</v>
      </c>
      <c r="H439">
        <v>66</v>
      </c>
      <c r="I439">
        <v>59.1</v>
      </c>
      <c r="J439">
        <v>62.1</v>
      </c>
      <c r="K439">
        <v>52.1</v>
      </c>
      <c r="L439">
        <v>69.8</v>
      </c>
      <c r="M439" s="2">
        <f t="shared" si="80"/>
        <v>0</v>
      </c>
      <c r="N439">
        <v>0</v>
      </c>
      <c r="P439" s="2">
        <f t="shared" si="81"/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s="2">
        <f t="shared" si="82"/>
        <v>0</v>
      </c>
      <c r="X439">
        <v>19.7</v>
      </c>
      <c r="Z439" s="2">
        <f t="shared" si="83"/>
        <v>1</v>
      </c>
      <c r="AA439">
        <v>177.7</v>
      </c>
      <c r="AB439" s="2" t="str">
        <f>CHOOSE(MATCH(AA439,{0;11;80;111;161;191;241;281;341},1),"North","NorthEast","East","SouthEast","South","SouthWest","West","NorthWest","North")</f>
        <v>South</v>
      </c>
      <c r="AC439" s="5">
        <f>CHOOSE(MATCH(AB439,{"South";"SouthEast";"SouthWest";"North";"NorthEast";"East";"West";"NorthWest"},0),1,2,3,4,5,6,7,8)</f>
        <v>1</v>
      </c>
      <c r="AD439" s="2">
        <f t="shared" si="84"/>
        <v>0</v>
      </c>
      <c r="AE439">
        <v>1022.2</v>
      </c>
      <c r="AF439" s="4" t="s">
        <v>626</v>
      </c>
      <c r="AG439" s="2">
        <f t="shared" si="85"/>
        <v>1</v>
      </c>
      <c r="AH439" t="s">
        <v>788</v>
      </c>
      <c r="AI439" s="2">
        <f t="shared" si="86"/>
        <v>12</v>
      </c>
      <c r="AJ439" s="2">
        <f t="shared" si="87"/>
        <v>0</v>
      </c>
      <c r="AK439" s="3">
        <v>165.99999999627471</v>
      </c>
      <c r="AM439" s="2">
        <v>0</v>
      </c>
      <c r="AN439">
        <v>0</v>
      </c>
      <c r="AO439">
        <v>1</v>
      </c>
      <c r="AP439">
        <v>0</v>
      </c>
      <c r="AQ439" s="2">
        <f>IF((2*G439 + M439 -P439 + 3*W439 + 2*Z439+2*AD439 + AG439+2*AJ439 + 4*AM439) &gt;=8,1,0)</f>
        <v>0</v>
      </c>
    </row>
    <row r="440" spans="1:43" x14ac:dyDescent="0.25">
      <c r="A440" t="s">
        <v>27</v>
      </c>
      <c r="B440" s="1">
        <v>38357</v>
      </c>
      <c r="C440" s="7">
        <f t="shared" si="79"/>
        <v>2005</v>
      </c>
      <c r="D440">
        <v>58.2</v>
      </c>
      <c r="E440">
        <v>36.6</v>
      </c>
      <c r="F440">
        <v>48.5</v>
      </c>
      <c r="G440" s="2">
        <f t="shared" si="78"/>
        <v>0</v>
      </c>
      <c r="H440">
        <v>58.2</v>
      </c>
      <c r="I440">
        <v>31.5</v>
      </c>
      <c r="J440">
        <v>47.6</v>
      </c>
      <c r="K440">
        <v>31.2</v>
      </c>
      <c r="L440">
        <v>52.2</v>
      </c>
      <c r="M440" s="2">
        <f t="shared" si="80"/>
        <v>0</v>
      </c>
      <c r="N440">
        <v>0</v>
      </c>
      <c r="O440">
        <f>AVERAGE(N440:N524)</f>
        <v>2.521176470588235E-2</v>
      </c>
      <c r="P440" s="2">
        <f t="shared" si="81"/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s="2">
        <f t="shared" si="82"/>
        <v>0</v>
      </c>
      <c r="X440">
        <v>13.8</v>
      </c>
      <c r="Y440">
        <f>AVERAGE(X440:X524)</f>
        <v>15.63764705882352</v>
      </c>
      <c r="Z440" s="2">
        <f t="shared" si="83"/>
        <v>0</v>
      </c>
      <c r="AA440">
        <v>325.2</v>
      </c>
      <c r="AB440" s="2" t="str">
        <f>CHOOSE(MATCH(AA440,{0;11;80;111;161;191;241;281;341},1),"North","NorthEast","East","SouthEast","South","SouthWest","West","NorthWest","North")</f>
        <v>NorthWest</v>
      </c>
      <c r="AC440" s="5">
        <f>CHOOSE(MATCH(AB440,{"South";"SouthEast";"SouthWest";"North";"NorthEast";"East";"West";"NorthWest"},0),1,2,3,4,5,6,7,8)</f>
        <v>8</v>
      </c>
      <c r="AD440" s="2">
        <f t="shared" si="84"/>
        <v>1</v>
      </c>
      <c r="AE440">
        <v>1025.5</v>
      </c>
      <c r="AF440" s="4" t="s">
        <v>614</v>
      </c>
      <c r="AG440" s="2">
        <f t="shared" si="85"/>
        <v>1</v>
      </c>
      <c r="AH440" t="s">
        <v>789</v>
      </c>
      <c r="AI440" s="2">
        <f t="shared" si="86"/>
        <v>1</v>
      </c>
      <c r="AJ440" s="2">
        <f t="shared" si="87"/>
        <v>0</v>
      </c>
      <c r="AK440" s="3">
        <v>60.999999999767169</v>
      </c>
      <c r="AL440" s="3">
        <f>AVERAGE(AK440:AK524)</f>
        <v>842.81176470535092</v>
      </c>
      <c r="AM440" s="2">
        <v>0</v>
      </c>
      <c r="AN440">
        <v>0</v>
      </c>
      <c r="AO440">
        <v>0.1</v>
      </c>
      <c r="AP440">
        <v>0</v>
      </c>
      <c r="AQ440" s="2">
        <f>IF((2*G440 + M440 -P440 + 3*W440 + 2*Z440+2*AD440 + AG440+2*AJ440 + 4*AM440) &gt;=8,1,0)</f>
        <v>0</v>
      </c>
    </row>
    <row r="441" spans="1:43" x14ac:dyDescent="0.25">
      <c r="A441" t="s">
        <v>27</v>
      </c>
      <c r="B441" s="1">
        <v>38393</v>
      </c>
      <c r="C441" s="7">
        <f t="shared" si="79"/>
        <v>2005</v>
      </c>
      <c r="D441">
        <v>44.9</v>
      </c>
      <c r="E441">
        <v>38.1</v>
      </c>
      <c r="F441">
        <v>41</v>
      </c>
      <c r="G441" s="2">
        <f t="shared" si="78"/>
        <v>0</v>
      </c>
      <c r="H441">
        <v>38.700000000000003</v>
      </c>
      <c r="I441">
        <v>29.4</v>
      </c>
      <c r="J441">
        <v>34.200000000000003</v>
      </c>
      <c r="K441">
        <v>26.8</v>
      </c>
      <c r="L441">
        <v>57.1</v>
      </c>
      <c r="M441" s="2">
        <f t="shared" si="80"/>
        <v>0</v>
      </c>
      <c r="N441">
        <v>0</v>
      </c>
      <c r="P441" s="2">
        <f t="shared" si="81"/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s="2">
        <f t="shared" si="82"/>
        <v>0</v>
      </c>
      <c r="X441">
        <v>20.8</v>
      </c>
      <c r="Z441" s="2">
        <f t="shared" si="83"/>
        <v>1</v>
      </c>
      <c r="AA441">
        <v>359.9</v>
      </c>
      <c r="AB441" s="2" t="str">
        <f>CHOOSE(MATCH(AA441,{0;11;80;111;161;191;241;281;341},1),"North","NorthEast","East","SouthEast","South","SouthWest","West","NorthWest","North")</f>
        <v>North</v>
      </c>
      <c r="AC441" s="5">
        <f>CHOOSE(MATCH(AB441,{"South";"SouthEast";"SouthWest";"North";"NorthEast";"East";"West";"NorthWest"},0),1,2,3,4,5,6,7,8)</f>
        <v>4</v>
      </c>
      <c r="AD441" s="2">
        <f t="shared" si="84"/>
        <v>1</v>
      </c>
      <c r="AE441">
        <v>1028.8</v>
      </c>
      <c r="AF441" s="4" t="s">
        <v>790</v>
      </c>
      <c r="AG441" s="2">
        <f t="shared" si="85"/>
        <v>0</v>
      </c>
      <c r="AH441" t="s">
        <v>791</v>
      </c>
      <c r="AI441" s="2">
        <f t="shared" si="86"/>
        <v>2</v>
      </c>
      <c r="AJ441" s="2">
        <f t="shared" si="87"/>
        <v>0</v>
      </c>
      <c r="AK441" s="3">
        <v>36.000000002095483</v>
      </c>
      <c r="AM441" s="2">
        <v>0</v>
      </c>
      <c r="AN441">
        <v>0.1</v>
      </c>
      <c r="AO441">
        <v>0</v>
      </c>
      <c r="AP441">
        <v>0</v>
      </c>
      <c r="AQ441" s="2">
        <f>IF((2*G441 + M441 -P441 + 3*W441 + 2*Z441+2*AD441 + AG441+2*AJ441 + 4*AM441) &gt;=8,1,0)</f>
        <v>0</v>
      </c>
    </row>
    <row r="442" spans="1:43" x14ac:dyDescent="0.25">
      <c r="A442" t="s">
        <v>27</v>
      </c>
      <c r="B442" s="1">
        <v>38398</v>
      </c>
      <c r="C442" s="7">
        <f t="shared" si="79"/>
        <v>2005</v>
      </c>
      <c r="D442">
        <v>59.8</v>
      </c>
      <c r="E442">
        <v>50.9</v>
      </c>
      <c r="F442">
        <v>56.2</v>
      </c>
      <c r="G442" s="2">
        <f t="shared" si="78"/>
        <v>0</v>
      </c>
      <c r="H442">
        <v>59.8</v>
      </c>
      <c r="I442">
        <v>50.9</v>
      </c>
      <c r="J442">
        <v>56.2</v>
      </c>
      <c r="K442">
        <v>43.8</v>
      </c>
      <c r="L442">
        <v>63.4</v>
      </c>
      <c r="M442" s="2">
        <f t="shared" si="80"/>
        <v>0</v>
      </c>
      <c r="N442">
        <v>0.153</v>
      </c>
      <c r="P442" s="2">
        <f t="shared" si="81"/>
        <v>0</v>
      </c>
      <c r="Q442">
        <v>100</v>
      </c>
      <c r="R442">
        <v>4.17</v>
      </c>
      <c r="S442" t="s">
        <v>87</v>
      </c>
      <c r="T442">
        <v>0</v>
      </c>
      <c r="U442">
        <v>0</v>
      </c>
      <c r="V442">
        <v>0</v>
      </c>
      <c r="W442" s="2">
        <f t="shared" si="82"/>
        <v>0</v>
      </c>
      <c r="X442">
        <v>33.799999999999997</v>
      </c>
      <c r="Z442" s="2">
        <f t="shared" si="83"/>
        <v>1</v>
      </c>
      <c r="AA442">
        <v>175.9</v>
      </c>
      <c r="AB442" s="2" t="str">
        <f>CHOOSE(MATCH(AA442,{0;11;80;111;161;191;241;281;341},1),"North","NorthEast","East","SouthEast","South","SouthWest","West","NorthWest","North")</f>
        <v>South</v>
      </c>
      <c r="AC442" s="5">
        <f>CHOOSE(MATCH(AB442,{"South";"SouthEast";"SouthWest";"North";"NorthEast";"East";"West";"NorthWest"},0),1,2,3,4,5,6,7,8)</f>
        <v>1</v>
      </c>
      <c r="AD442" s="2">
        <f t="shared" si="84"/>
        <v>0</v>
      </c>
      <c r="AE442">
        <v>998.2</v>
      </c>
      <c r="AF442" s="4" t="s">
        <v>792</v>
      </c>
      <c r="AG442" s="2">
        <f t="shared" si="85"/>
        <v>0</v>
      </c>
      <c r="AH442" t="s">
        <v>793</v>
      </c>
      <c r="AI442" s="2">
        <f t="shared" si="86"/>
        <v>2</v>
      </c>
      <c r="AJ442" s="2">
        <f t="shared" si="87"/>
        <v>0</v>
      </c>
      <c r="AK442" s="3">
        <v>29.000000000232831</v>
      </c>
      <c r="AM442" s="2">
        <v>0</v>
      </c>
      <c r="AN442">
        <v>0</v>
      </c>
      <c r="AO442">
        <v>0.1</v>
      </c>
      <c r="AP442">
        <v>0</v>
      </c>
      <c r="AQ442" s="2">
        <f>IF((2*G442 + M442 -P442 + 3*W442 + 2*Z442+2*AD442 + AG442+2*AJ442 + 4*AM442) &gt;=8,1,0)</f>
        <v>0</v>
      </c>
    </row>
    <row r="443" spans="1:43" x14ac:dyDescent="0.25">
      <c r="A443" t="s">
        <v>27</v>
      </c>
      <c r="B443" s="1">
        <v>38403</v>
      </c>
      <c r="C443" s="7">
        <f t="shared" si="79"/>
        <v>2005</v>
      </c>
      <c r="D443">
        <v>56.1</v>
      </c>
      <c r="E443">
        <v>41.1</v>
      </c>
      <c r="F443">
        <v>47.6</v>
      </c>
      <c r="G443" s="2">
        <f t="shared" si="78"/>
        <v>0</v>
      </c>
      <c r="H443">
        <v>56.1</v>
      </c>
      <c r="I443">
        <v>36.5</v>
      </c>
      <c r="J443">
        <v>46.9</v>
      </c>
      <c r="K443">
        <v>37.9</v>
      </c>
      <c r="L443">
        <v>70.2</v>
      </c>
      <c r="M443" s="2">
        <f t="shared" si="80"/>
        <v>0</v>
      </c>
      <c r="N443">
        <v>0</v>
      </c>
      <c r="P443" s="2">
        <f t="shared" si="81"/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s="2">
        <f t="shared" si="82"/>
        <v>0</v>
      </c>
      <c r="X443">
        <v>13.9</v>
      </c>
      <c r="Z443" s="2">
        <f t="shared" si="83"/>
        <v>0</v>
      </c>
      <c r="AA443">
        <v>254.3</v>
      </c>
      <c r="AB443" s="2" t="str">
        <f>CHOOSE(MATCH(AA443,{0;11;80;111;161;191;241;281;341},1),"North","NorthEast","East","SouthEast","South","SouthWest","West","NorthWest","North")</f>
        <v>West</v>
      </c>
      <c r="AC443" s="5">
        <f>CHOOSE(MATCH(AB443,{"South";"SouthEast";"SouthWest";"North";"NorthEast";"East";"West";"NorthWest"},0),1,2,3,4,5,6,7,8)</f>
        <v>7</v>
      </c>
      <c r="AD443" s="2">
        <f t="shared" si="84"/>
        <v>0</v>
      </c>
      <c r="AE443">
        <v>1009.5</v>
      </c>
      <c r="AF443" s="4" t="s">
        <v>518</v>
      </c>
      <c r="AG443" s="2">
        <f t="shared" si="85"/>
        <v>1</v>
      </c>
      <c r="AH443" t="s">
        <v>794</v>
      </c>
      <c r="AI443" s="2">
        <f t="shared" si="86"/>
        <v>2</v>
      </c>
      <c r="AJ443" s="2">
        <f t="shared" si="87"/>
        <v>0</v>
      </c>
      <c r="AK443" s="3">
        <v>110.9999999951106</v>
      </c>
      <c r="AM443" s="2">
        <v>0</v>
      </c>
      <c r="AN443">
        <v>0</v>
      </c>
      <c r="AO443">
        <v>0.1</v>
      </c>
      <c r="AP443">
        <v>0</v>
      </c>
      <c r="AQ443" s="2">
        <f>IF((2*G443 + M443 -P443 + 3*W443 + 2*Z443+2*AD443 + AG443+2*AJ443 + 4*AM443) &gt;=8,1,0)</f>
        <v>0</v>
      </c>
    </row>
    <row r="444" spans="1:43" x14ac:dyDescent="0.25">
      <c r="A444" t="s">
        <v>27</v>
      </c>
      <c r="B444" s="1">
        <v>38430</v>
      </c>
      <c r="C444" s="7">
        <f t="shared" si="79"/>
        <v>2005</v>
      </c>
      <c r="D444">
        <v>73.5</v>
      </c>
      <c r="E444">
        <v>45.7</v>
      </c>
      <c r="F444">
        <v>59.2</v>
      </c>
      <c r="G444" s="2">
        <f t="shared" si="78"/>
        <v>0</v>
      </c>
      <c r="H444">
        <v>73.5</v>
      </c>
      <c r="I444">
        <v>45.7</v>
      </c>
      <c r="J444">
        <v>59.2</v>
      </c>
      <c r="K444">
        <v>45.6</v>
      </c>
      <c r="L444">
        <v>63.1</v>
      </c>
      <c r="M444" s="2">
        <f t="shared" si="80"/>
        <v>0</v>
      </c>
      <c r="N444">
        <v>0</v>
      </c>
      <c r="P444" s="2">
        <f t="shared" si="81"/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s="2">
        <f t="shared" si="82"/>
        <v>0</v>
      </c>
      <c r="X444">
        <v>13.6</v>
      </c>
      <c r="Z444" s="2">
        <f t="shared" si="83"/>
        <v>0</v>
      </c>
      <c r="AA444">
        <v>203.6</v>
      </c>
      <c r="AB444" s="2" t="str">
        <f>CHOOSE(MATCH(AA444,{0;11;80;111;161;191;241;281;341},1),"North","NorthEast","East","SouthEast","South","SouthWest","West","NorthWest","North")</f>
        <v>SouthWest</v>
      </c>
      <c r="AC444" s="5">
        <f>CHOOSE(MATCH(AB444,{"South";"SouthEast";"SouthWest";"North";"NorthEast";"East";"West";"NorthWest"},0),1,2,3,4,5,6,7,8)</f>
        <v>3</v>
      </c>
      <c r="AD444" s="2">
        <f t="shared" si="84"/>
        <v>1</v>
      </c>
      <c r="AE444">
        <v>1015.6</v>
      </c>
      <c r="AF444" s="4" t="s">
        <v>795</v>
      </c>
      <c r="AG444" s="2">
        <f t="shared" si="85"/>
        <v>1</v>
      </c>
      <c r="AH444" t="s">
        <v>796</v>
      </c>
      <c r="AI444" s="2">
        <f t="shared" si="86"/>
        <v>3</v>
      </c>
      <c r="AJ444" s="2">
        <f t="shared" si="87"/>
        <v>0</v>
      </c>
      <c r="AK444" s="3">
        <v>461.99999999720598</v>
      </c>
      <c r="AM444" s="2">
        <v>1</v>
      </c>
      <c r="AN444">
        <v>0</v>
      </c>
      <c r="AO444">
        <v>15</v>
      </c>
      <c r="AP444">
        <v>0</v>
      </c>
      <c r="AQ444" s="2">
        <f>IF((2*G444 + M444 -P444 + 3*W444 + 2*Z444+2*AD444 + AG444+2*AJ444 + 4*AM444) &gt;=8,1,0)</f>
        <v>0</v>
      </c>
    </row>
    <row r="445" spans="1:43" x14ac:dyDescent="0.25">
      <c r="A445" t="s">
        <v>27</v>
      </c>
      <c r="B445" s="1">
        <v>38430</v>
      </c>
      <c r="C445" s="7">
        <f t="shared" si="79"/>
        <v>2005</v>
      </c>
      <c r="D445">
        <v>73.5</v>
      </c>
      <c r="E445">
        <v>45.7</v>
      </c>
      <c r="F445">
        <v>59.2</v>
      </c>
      <c r="G445" s="2">
        <f t="shared" si="78"/>
        <v>0</v>
      </c>
      <c r="H445">
        <v>73.5</v>
      </c>
      <c r="I445">
        <v>45.7</v>
      </c>
      <c r="J445">
        <v>59.2</v>
      </c>
      <c r="K445">
        <v>45.6</v>
      </c>
      <c r="L445">
        <v>63.1</v>
      </c>
      <c r="M445" s="2">
        <f t="shared" si="80"/>
        <v>0</v>
      </c>
      <c r="N445">
        <v>0</v>
      </c>
      <c r="P445" s="2">
        <f t="shared" si="81"/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s="2">
        <f t="shared" si="82"/>
        <v>0</v>
      </c>
      <c r="X445">
        <v>13.6</v>
      </c>
      <c r="Z445" s="2">
        <f t="shared" si="83"/>
        <v>0</v>
      </c>
      <c r="AA445">
        <v>203.6</v>
      </c>
      <c r="AB445" s="2" t="str">
        <f>CHOOSE(MATCH(AA445,{0;11;80;111;161;191;241;281;341},1),"North","NorthEast","East","SouthEast","South","SouthWest","West","NorthWest","North")</f>
        <v>SouthWest</v>
      </c>
      <c r="AC445" s="5">
        <f>CHOOSE(MATCH(AB445,{"South";"SouthEast";"SouthWest";"North";"NorthEast";"East";"West";"NorthWest"},0),1,2,3,4,5,6,7,8)</f>
        <v>3</v>
      </c>
      <c r="AD445" s="2">
        <f t="shared" si="84"/>
        <v>1</v>
      </c>
      <c r="AE445">
        <v>1015.6</v>
      </c>
      <c r="AF445" s="4" t="s">
        <v>797</v>
      </c>
      <c r="AG445" s="2">
        <f t="shared" si="85"/>
        <v>0</v>
      </c>
      <c r="AH445" t="s">
        <v>798</v>
      </c>
      <c r="AI445" s="2">
        <f t="shared" si="86"/>
        <v>3</v>
      </c>
      <c r="AJ445" s="2">
        <f t="shared" si="87"/>
        <v>0</v>
      </c>
      <c r="AK445" s="3">
        <v>574.99999999883585</v>
      </c>
      <c r="AM445" s="2">
        <v>1</v>
      </c>
      <c r="AN445">
        <v>6</v>
      </c>
      <c r="AO445">
        <v>0</v>
      </c>
      <c r="AP445">
        <v>0</v>
      </c>
      <c r="AQ445" s="2">
        <f>IF((2*G445 + M445 -P445 + 3*W445 + 2*Z445+2*AD445 + AG445+2*AJ445 + 4*AM445) &gt;=8,1,0)</f>
        <v>0</v>
      </c>
    </row>
    <row r="446" spans="1:43" x14ac:dyDescent="0.25">
      <c r="A446" t="s">
        <v>27</v>
      </c>
      <c r="B446" s="1">
        <v>38431</v>
      </c>
      <c r="C446" s="7">
        <f t="shared" si="79"/>
        <v>2005</v>
      </c>
      <c r="D446">
        <v>66.7</v>
      </c>
      <c r="E446">
        <v>49.3</v>
      </c>
      <c r="F446">
        <v>57.3</v>
      </c>
      <c r="G446" s="2">
        <f t="shared" si="78"/>
        <v>0</v>
      </c>
      <c r="H446">
        <v>66.7</v>
      </c>
      <c r="I446">
        <v>49.3</v>
      </c>
      <c r="J446">
        <v>57.3</v>
      </c>
      <c r="K446">
        <v>44.7</v>
      </c>
      <c r="L446">
        <v>63.2</v>
      </c>
      <c r="M446" s="2">
        <f t="shared" si="80"/>
        <v>0</v>
      </c>
      <c r="N446">
        <v>0</v>
      </c>
      <c r="P446" s="2">
        <f t="shared" si="81"/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s="2">
        <f t="shared" si="82"/>
        <v>0</v>
      </c>
      <c r="X446">
        <v>20.6</v>
      </c>
      <c r="Z446" s="2">
        <f t="shared" si="83"/>
        <v>1</v>
      </c>
      <c r="AA446">
        <v>52.1</v>
      </c>
      <c r="AB446" s="2" t="str">
        <f>CHOOSE(MATCH(AA446,{0;11;80;111;161;191;241;281;341},1),"North","NorthEast","East","SouthEast","South","SouthWest","West","NorthWest","North")</f>
        <v>NorthEast</v>
      </c>
      <c r="AC446" s="5">
        <f>CHOOSE(MATCH(AB446,{"South";"SouthEast";"SouthWest";"North";"NorthEast";"East";"West";"NorthWest"},0),1,2,3,4,5,6,7,8)</f>
        <v>5</v>
      </c>
      <c r="AD446" s="2">
        <f t="shared" si="84"/>
        <v>1</v>
      </c>
      <c r="AE446">
        <v>1015.2</v>
      </c>
      <c r="AF446" s="4" t="s">
        <v>799</v>
      </c>
      <c r="AG446" s="2">
        <f t="shared" si="85"/>
        <v>0</v>
      </c>
      <c r="AH446" t="s">
        <v>800</v>
      </c>
      <c r="AI446" s="2">
        <f t="shared" si="86"/>
        <v>3</v>
      </c>
      <c r="AJ446" s="2">
        <f t="shared" si="87"/>
        <v>0</v>
      </c>
      <c r="AK446" s="3">
        <v>82.999999998137355</v>
      </c>
      <c r="AM446" s="2">
        <v>0</v>
      </c>
      <c r="AN446">
        <v>0</v>
      </c>
      <c r="AO446">
        <v>0.2</v>
      </c>
      <c r="AP446">
        <v>0</v>
      </c>
      <c r="AQ446" s="2">
        <f>IF((2*G446 + M446 -P446 + 3*W446 + 2*Z446+2*AD446 + AG446+2*AJ446 + 4*AM446) &gt;=8,1,0)</f>
        <v>0</v>
      </c>
    </row>
    <row r="447" spans="1:43" x14ac:dyDescent="0.25">
      <c r="A447" t="s">
        <v>27</v>
      </c>
      <c r="B447" s="1">
        <v>38433</v>
      </c>
      <c r="C447" s="7">
        <f t="shared" si="79"/>
        <v>2005</v>
      </c>
      <c r="D447">
        <v>57.2</v>
      </c>
      <c r="E447">
        <v>47.9</v>
      </c>
      <c r="F447">
        <v>51.9</v>
      </c>
      <c r="G447" s="2">
        <f t="shared" si="78"/>
        <v>0</v>
      </c>
      <c r="H447">
        <v>57.2</v>
      </c>
      <c r="I447">
        <v>47.1</v>
      </c>
      <c r="J447">
        <v>51.8</v>
      </c>
      <c r="K447">
        <v>42.4</v>
      </c>
      <c r="L447">
        <v>70.099999999999994</v>
      </c>
      <c r="M447" s="2">
        <f t="shared" si="80"/>
        <v>0</v>
      </c>
      <c r="N447">
        <v>0</v>
      </c>
      <c r="P447" s="2">
        <f t="shared" si="81"/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s="2">
        <f t="shared" si="82"/>
        <v>0</v>
      </c>
      <c r="X447">
        <v>13.2</v>
      </c>
      <c r="Z447" s="2">
        <f t="shared" si="83"/>
        <v>0</v>
      </c>
      <c r="AA447">
        <v>15.6</v>
      </c>
      <c r="AB447" s="2" t="str">
        <f>CHOOSE(MATCH(AA447,{0;11;80;111;161;191;241;281;341},1),"North","NorthEast","East","SouthEast","South","SouthWest","West","NorthWest","North")</f>
        <v>NorthEast</v>
      </c>
      <c r="AC447" s="5">
        <f>CHOOSE(MATCH(AB447,{"South";"SouthEast";"SouthWest";"North";"NorthEast";"East";"West";"NorthWest"},0),1,2,3,4,5,6,7,8)</f>
        <v>5</v>
      </c>
      <c r="AD447" s="2">
        <f t="shared" si="84"/>
        <v>1</v>
      </c>
      <c r="AE447">
        <v>1019.7</v>
      </c>
      <c r="AF447" s="4" t="s">
        <v>801</v>
      </c>
      <c r="AG447" s="2">
        <f t="shared" si="85"/>
        <v>0</v>
      </c>
      <c r="AH447" t="s">
        <v>802</v>
      </c>
      <c r="AI447" s="2">
        <f t="shared" si="86"/>
        <v>3</v>
      </c>
      <c r="AJ447" s="2">
        <f t="shared" si="87"/>
        <v>0</v>
      </c>
      <c r="AK447" s="3">
        <v>36.000000002095483</v>
      </c>
      <c r="AM447" s="2">
        <v>0</v>
      </c>
      <c r="AN447">
        <v>0</v>
      </c>
      <c r="AO447">
        <v>0.8</v>
      </c>
      <c r="AP447">
        <v>0</v>
      </c>
      <c r="AQ447" s="2">
        <f>IF((2*G447 + M447 -P447 + 3*W447 + 2*Z447+2*AD447 + AG447+2*AJ447 + 4*AM447) &gt;=8,1,0)</f>
        <v>0</v>
      </c>
    </row>
    <row r="448" spans="1:43" x14ac:dyDescent="0.25">
      <c r="A448" t="s">
        <v>27</v>
      </c>
      <c r="B448" s="1">
        <v>38437</v>
      </c>
      <c r="C448" s="7">
        <f t="shared" si="79"/>
        <v>2005</v>
      </c>
      <c r="D448">
        <v>67.400000000000006</v>
      </c>
      <c r="E448">
        <v>47.2</v>
      </c>
      <c r="F448">
        <v>58.4</v>
      </c>
      <c r="G448" s="2">
        <f t="shared" si="78"/>
        <v>0</v>
      </c>
      <c r="H448">
        <v>67.400000000000006</v>
      </c>
      <c r="I448">
        <v>47.2</v>
      </c>
      <c r="J448">
        <v>58.4</v>
      </c>
      <c r="K448">
        <v>50.6</v>
      </c>
      <c r="L448">
        <v>76.5</v>
      </c>
      <c r="M448" s="2">
        <f t="shared" si="80"/>
        <v>0</v>
      </c>
      <c r="N448">
        <v>0</v>
      </c>
      <c r="P448" s="2">
        <f t="shared" si="81"/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s="2">
        <f t="shared" si="82"/>
        <v>0</v>
      </c>
      <c r="X448">
        <v>11.5</v>
      </c>
      <c r="Z448" s="2">
        <f t="shared" si="83"/>
        <v>0</v>
      </c>
      <c r="AA448">
        <v>187.5</v>
      </c>
      <c r="AB448" s="2" t="str">
        <f>CHOOSE(MATCH(AA448,{0;11;80;111;161;191;241;281;341},1),"North","NorthEast","East","SouthEast","South","SouthWest","West","NorthWest","North")</f>
        <v>South</v>
      </c>
      <c r="AC448" s="5">
        <f>CHOOSE(MATCH(AB448,{"South";"SouthEast";"SouthWest";"North";"NorthEast";"East";"West";"NorthWest"},0),1,2,3,4,5,6,7,8)</f>
        <v>1</v>
      </c>
      <c r="AD448" s="2">
        <f t="shared" si="84"/>
        <v>0</v>
      </c>
      <c r="AE448">
        <v>1017.4</v>
      </c>
      <c r="AF448" s="4" t="s">
        <v>803</v>
      </c>
      <c r="AG448" s="2">
        <f t="shared" si="85"/>
        <v>0</v>
      </c>
      <c r="AH448" t="s">
        <v>804</v>
      </c>
      <c r="AI448" s="2">
        <f t="shared" si="86"/>
        <v>3</v>
      </c>
      <c r="AJ448" s="2">
        <f t="shared" si="87"/>
        <v>0</v>
      </c>
      <c r="AK448" s="3">
        <v>120.0000000034925</v>
      </c>
      <c r="AM448" s="2">
        <v>0</v>
      </c>
      <c r="AN448">
        <v>0</v>
      </c>
      <c r="AO448">
        <v>0.1</v>
      </c>
      <c r="AP448">
        <v>0</v>
      </c>
      <c r="AQ448" s="2">
        <f>IF((2*G448 + M448 -P448 + 3*W448 + 2*Z448+2*AD448 + AG448+2*AJ448 + 4*AM448) &gt;=8,1,0)</f>
        <v>0</v>
      </c>
    </row>
    <row r="449" spans="1:43" x14ac:dyDescent="0.25">
      <c r="A449" t="s">
        <v>27</v>
      </c>
      <c r="B449" s="1">
        <v>38438</v>
      </c>
      <c r="C449" s="7">
        <f t="shared" si="79"/>
        <v>2005</v>
      </c>
      <c r="D449">
        <v>73.7</v>
      </c>
      <c r="E449">
        <v>56.7</v>
      </c>
      <c r="F449">
        <v>63.8</v>
      </c>
      <c r="G449" s="2">
        <f t="shared" si="78"/>
        <v>0</v>
      </c>
      <c r="H449">
        <v>73.7</v>
      </c>
      <c r="I449">
        <v>56.7</v>
      </c>
      <c r="J449">
        <v>63.8</v>
      </c>
      <c r="K449">
        <v>47.1</v>
      </c>
      <c r="L449">
        <v>56</v>
      </c>
      <c r="M449" s="2">
        <f t="shared" si="80"/>
        <v>0</v>
      </c>
      <c r="N449">
        <v>0</v>
      </c>
      <c r="P449" s="2">
        <f t="shared" si="81"/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s="2">
        <f t="shared" si="82"/>
        <v>0</v>
      </c>
      <c r="X449">
        <v>11.3</v>
      </c>
      <c r="Z449" s="2">
        <f t="shared" si="83"/>
        <v>0</v>
      </c>
      <c r="AA449">
        <v>213</v>
      </c>
      <c r="AB449" s="2" t="str">
        <f>CHOOSE(MATCH(AA449,{0;11;80;111;161;191;241;281;341},1),"North","NorthEast","East","SouthEast","South","SouthWest","West","NorthWest","North")</f>
        <v>SouthWest</v>
      </c>
      <c r="AC449" s="5">
        <f>CHOOSE(MATCH(AB449,{"South";"SouthEast";"SouthWest";"North";"NorthEast";"East";"West";"NorthWest"},0),1,2,3,4,5,6,7,8)</f>
        <v>3</v>
      </c>
      <c r="AD449" s="2">
        <f t="shared" si="84"/>
        <v>1</v>
      </c>
      <c r="AE449">
        <v>1015</v>
      </c>
      <c r="AF449" s="4" t="s">
        <v>805</v>
      </c>
      <c r="AG449" s="2">
        <f t="shared" si="85"/>
        <v>1</v>
      </c>
      <c r="AH449" t="s">
        <v>806</v>
      </c>
      <c r="AI449" s="2">
        <f t="shared" si="86"/>
        <v>3</v>
      </c>
      <c r="AJ449" s="2">
        <f t="shared" si="87"/>
        <v>0</v>
      </c>
      <c r="AK449" s="3">
        <v>34.999999998835847</v>
      </c>
      <c r="AM449" s="2">
        <v>0</v>
      </c>
      <c r="AN449">
        <v>0</v>
      </c>
      <c r="AO449">
        <v>0.1</v>
      </c>
      <c r="AP449">
        <v>0</v>
      </c>
      <c r="AQ449" s="2">
        <f>IF((2*G449 + M449 -P449 + 3*W449 + 2*Z449+2*AD449 + AG449+2*AJ449 + 4*AM449) &gt;=8,1,0)</f>
        <v>0</v>
      </c>
    </row>
    <row r="450" spans="1:43" x14ac:dyDescent="0.25">
      <c r="A450" t="s">
        <v>27</v>
      </c>
      <c r="B450" s="1">
        <v>38441</v>
      </c>
      <c r="C450" s="7">
        <f t="shared" si="79"/>
        <v>2005</v>
      </c>
      <c r="D450">
        <v>65.2</v>
      </c>
      <c r="E450">
        <v>51</v>
      </c>
      <c r="F450">
        <v>57.1</v>
      </c>
      <c r="G450" s="2">
        <f t="shared" ref="G450:G513" si="88">IF(F450&lt;=73.6,0,1)</f>
        <v>0</v>
      </c>
      <c r="H450">
        <v>65.2</v>
      </c>
      <c r="I450">
        <v>51</v>
      </c>
      <c r="J450">
        <v>57.1</v>
      </c>
      <c r="K450">
        <v>48.5</v>
      </c>
      <c r="L450">
        <v>73.2</v>
      </c>
      <c r="M450" s="2">
        <f t="shared" si="80"/>
        <v>0</v>
      </c>
      <c r="N450">
        <v>0</v>
      </c>
      <c r="P450" s="2">
        <f t="shared" si="81"/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s="2">
        <f t="shared" si="82"/>
        <v>0</v>
      </c>
      <c r="X450">
        <v>17.600000000000001</v>
      </c>
      <c r="Z450" s="2">
        <f t="shared" si="83"/>
        <v>1</v>
      </c>
      <c r="AA450">
        <v>71.3</v>
      </c>
      <c r="AB450" s="2" t="str">
        <f>CHOOSE(MATCH(AA450,{0;11;80;111;161;191;241;281;341},1),"North","NorthEast","East","SouthEast","South","SouthWest","West","NorthWest","North")</f>
        <v>NorthEast</v>
      </c>
      <c r="AC450" s="5">
        <f>CHOOSE(MATCH(AB450,{"South";"SouthEast";"SouthWest";"North";"NorthEast";"East";"West";"NorthWest"},0),1,2,3,4,5,6,7,8)</f>
        <v>5</v>
      </c>
      <c r="AD450" s="2">
        <f t="shared" si="84"/>
        <v>1</v>
      </c>
      <c r="AE450">
        <v>1012.4</v>
      </c>
      <c r="AF450" s="4" t="s">
        <v>807</v>
      </c>
      <c r="AG450" s="2">
        <f t="shared" si="85"/>
        <v>0</v>
      </c>
      <c r="AH450" t="s">
        <v>808</v>
      </c>
      <c r="AI450" s="2">
        <f t="shared" si="86"/>
        <v>3</v>
      </c>
      <c r="AJ450" s="2">
        <f t="shared" si="87"/>
        <v>0</v>
      </c>
      <c r="AK450" s="3">
        <v>248.99999999441209</v>
      </c>
      <c r="AM450" s="2">
        <v>0</v>
      </c>
      <c r="AN450">
        <v>0</v>
      </c>
      <c r="AO450">
        <v>0.3</v>
      </c>
      <c r="AP450">
        <v>0</v>
      </c>
      <c r="AQ450" s="2">
        <f>IF((2*G450 + M450 -P450 + 3*W450 + 2*Z450+2*AD450 + AG450+2*AJ450 + 4*AM450) &gt;=8,1,0)</f>
        <v>0</v>
      </c>
    </row>
    <row r="451" spans="1:43" x14ac:dyDescent="0.25">
      <c r="A451" t="s">
        <v>27</v>
      </c>
      <c r="B451" s="1">
        <v>38442</v>
      </c>
      <c r="C451" s="7">
        <f t="shared" si="79"/>
        <v>2005</v>
      </c>
      <c r="D451">
        <v>58.5</v>
      </c>
      <c r="E451">
        <v>49</v>
      </c>
      <c r="F451">
        <v>53.7</v>
      </c>
      <c r="G451" s="2">
        <f t="shared" si="88"/>
        <v>0</v>
      </c>
      <c r="H451">
        <v>58.5</v>
      </c>
      <c r="I451">
        <v>42.6</v>
      </c>
      <c r="J451">
        <v>53.1</v>
      </c>
      <c r="K451">
        <v>43.3</v>
      </c>
      <c r="L451">
        <v>68</v>
      </c>
      <c r="M451" s="2">
        <f t="shared" si="80"/>
        <v>0</v>
      </c>
      <c r="N451">
        <v>0</v>
      </c>
      <c r="P451" s="2">
        <f t="shared" si="81"/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s="2">
        <f t="shared" si="82"/>
        <v>0</v>
      </c>
      <c r="X451">
        <v>23</v>
      </c>
      <c r="Z451" s="2">
        <f t="shared" si="83"/>
        <v>1</v>
      </c>
      <c r="AA451">
        <v>1.4</v>
      </c>
      <c r="AB451" s="2" t="str">
        <f>CHOOSE(MATCH(AA451,{0;11;80;111;161;191;241;281;341},1),"North","NorthEast","East","SouthEast","South","SouthWest","West","NorthWest","North")</f>
        <v>North</v>
      </c>
      <c r="AC451" s="5">
        <f>CHOOSE(MATCH(AB451,{"South";"SouthEast";"SouthWest";"North";"NorthEast";"East";"West";"NorthWest"},0),1,2,3,4,5,6,7,8)</f>
        <v>4</v>
      </c>
      <c r="AD451" s="2">
        <f t="shared" si="84"/>
        <v>1</v>
      </c>
      <c r="AE451">
        <v>1010.9</v>
      </c>
      <c r="AF451" s="4" t="s">
        <v>809</v>
      </c>
      <c r="AG451" s="2">
        <f t="shared" si="85"/>
        <v>1</v>
      </c>
      <c r="AH451" t="s">
        <v>810</v>
      </c>
      <c r="AI451" s="2">
        <f t="shared" si="86"/>
        <v>3</v>
      </c>
      <c r="AJ451" s="2">
        <f t="shared" si="87"/>
        <v>0</v>
      </c>
      <c r="AK451" s="3">
        <v>876.99999999837019</v>
      </c>
      <c r="AM451" s="2">
        <v>1</v>
      </c>
      <c r="AN451">
        <v>0</v>
      </c>
      <c r="AO451">
        <v>20</v>
      </c>
      <c r="AP451">
        <v>0</v>
      </c>
      <c r="AQ451" s="2">
        <f>IF((2*G451 + M451 -P451 + 3*W451 + 2*Z451+2*AD451 + AG451+2*AJ451 + 4*AM451) &gt;=8,1,0)</f>
        <v>1</v>
      </c>
    </row>
    <row r="452" spans="1:43" x14ac:dyDescent="0.25">
      <c r="A452" t="s">
        <v>27</v>
      </c>
      <c r="B452" s="1">
        <v>38443</v>
      </c>
      <c r="C452" s="7">
        <f t="shared" si="79"/>
        <v>2005</v>
      </c>
      <c r="D452">
        <v>51</v>
      </c>
      <c r="E452">
        <v>46.2</v>
      </c>
      <c r="F452">
        <v>48.4</v>
      </c>
      <c r="G452" s="2">
        <f t="shared" si="88"/>
        <v>0</v>
      </c>
      <c r="H452">
        <v>51</v>
      </c>
      <c r="I452">
        <v>38.700000000000003</v>
      </c>
      <c r="J452">
        <v>43</v>
      </c>
      <c r="K452">
        <v>33.799999999999997</v>
      </c>
      <c r="L452">
        <v>57</v>
      </c>
      <c r="M452" s="2">
        <f t="shared" si="80"/>
        <v>0</v>
      </c>
      <c r="N452">
        <v>0</v>
      </c>
      <c r="P452" s="2">
        <f t="shared" si="81"/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s="2">
        <f t="shared" si="82"/>
        <v>0</v>
      </c>
      <c r="X452">
        <v>24.1</v>
      </c>
      <c r="Z452" s="2">
        <f t="shared" si="83"/>
        <v>1</v>
      </c>
      <c r="AA452">
        <v>4.5</v>
      </c>
      <c r="AB452" s="2" t="str">
        <f>CHOOSE(MATCH(AA452,{0;11;80;111;161;191;241;281;341},1),"North","NorthEast","East","SouthEast","South","SouthWest","West","NorthWest","North")</f>
        <v>North</v>
      </c>
      <c r="AC452" s="5">
        <f>CHOOSE(MATCH(AB452,{"South";"SouthEast";"SouthWest";"North";"NorthEast";"East";"West";"NorthWest"},0),1,2,3,4,5,6,7,8)</f>
        <v>4</v>
      </c>
      <c r="AD452" s="2">
        <f t="shared" si="84"/>
        <v>1</v>
      </c>
      <c r="AE452">
        <v>1017.1</v>
      </c>
      <c r="AF452" s="4" t="s">
        <v>811</v>
      </c>
      <c r="AG452" s="2">
        <f t="shared" si="85"/>
        <v>1</v>
      </c>
      <c r="AH452" t="s">
        <v>812</v>
      </c>
      <c r="AI452" s="2">
        <f t="shared" si="86"/>
        <v>4</v>
      </c>
      <c r="AJ452" s="2">
        <f t="shared" si="87"/>
        <v>0</v>
      </c>
      <c r="AK452" s="3">
        <v>757.99999999813735</v>
      </c>
      <c r="AM452" s="2">
        <v>1</v>
      </c>
      <c r="AN452">
        <v>0</v>
      </c>
      <c r="AO452">
        <v>1</v>
      </c>
      <c r="AP452">
        <v>0</v>
      </c>
      <c r="AQ452" s="2">
        <f>IF((2*G452 + M452 -P452 + 3*W452 + 2*Z452+2*AD452 + AG452+2*AJ452 + 4*AM452) &gt;=8,1,0)</f>
        <v>1</v>
      </c>
    </row>
    <row r="453" spans="1:43" x14ac:dyDescent="0.25">
      <c r="A453" t="s">
        <v>27</v>
      </c>
      <c r="B453" s="1">
        <v>38449</v>
      </c>
      <c r="C453" s="7">
        <f t="shared" si="79"/>
        <v>2005</v>
      </c>
      <c r="D453">
        <v>62.8</v>
      </c>
      <c r="E453">
        <v>39.200000000000003</v>
      </c>
      <c r="F453">
        <v>52.6</v>
      </c>
      <c r="G453" s="2">
        <f t="shared" si="88"/>
        <v>0</v>
      </c>
      <c r="H453">
        <v>62.8</v>
      </c>
      <c r="I453">
        <v>38</v>
      </c>
      <c r="J453">
        <v>52.3</v>
      </c>
      <c r="K453">
        <v>39.799999999999997</v>
      </c>
      <c r="L453">
        <v>63.4</v>
      </c>
      <c r="M453" s="2">
        <f t="shared" si="80"/>
        <v>0</v>
      </c>
      <c r="N453">
        <v>0</v>
      </c>
      <c r="P453" s="2">
        <f t="shared" si="81"/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s="2">
        <f t="shared" si="82"/>
        <v>0</v>
      </c>
      <c r="X453">
        <v>12.7</v>
      </c>
      <c r="Z453" s="2">
        <f t="shared" si="83"/>
        <v>0</v>
      </c>
      <c r="AA453">
        <v>52.1</v>
      </c>
      <c r="AB453" s="2" t="str">
        <f>CHOOSE(MATCH(AA453,{0;11;80;111;161;191;241;281;341},1),"North","NorthEast","East","SouthEast","South","SouthWest","West","NorthWest","North")</f>
        <v>NorthEast</v>
      </c>
      <c r="AC453" s="5">
        <f>CHOOSE(MATCH(AB453,{"South";"SouthEast";"SouthWest";"North";"NorthEast";"East";"West";"NorthWest"},0),1,2,3,4,5,6,7,8)</f>
        <v>5</v>
      </c>
      <c r="AD453" s="2">
        <f t="shared" si="84"/>
        <v>1</v>
      </c>
      <c r="AE453">
        <v>1020.8</v>
      </c>
      <c r="AF453" s="4" t="s">
        <v>813</v>
      </c>
      <c r="AG453" s="2">
        <f t="shared" si="85"/>
        <v>1</v>
      </c>
      <c r="AH453" t="s">
        <v>814</v>
      </c>
      <c r="AI453" s="2">
        <f t="shared" si="86"/>
        <v>4</v>
      </c>
      <c r="AJ453" s="2">
        <f t="shared" si="87"/>
        <v>0</v>
      </c>
      <c r="AK453" s="3">
        <v>1069.9999999988361</v>
      </c>
      <c r="AM453" s="2">
        <v>1</v>
      </c>
      <c r="AN453">
        <v>0</v>
      </c>
      <c r="AO453">
        <v>10</v>
      </c>
      <c r="AP453">
        <v>0</v>
      </c>
      <c r="AQ453" s="2">
        <f>IF((2*G453 + M453 -P453 + 3*W453 + 2*Z453+2*AD453 + AG453+2*AJ453 + 4*AM453) &gt;=8,1,0)</f>
        <v>0</v>
      </c>
    </row>
    <row r="454" spans="1:43" x14ac:dyDescent="0.25">
      <c r="A454" t="s">
        <v>27</v>
      </c>
      <c r="B454" s="1">
        <v>38452</v>
      </c>
      <c r="C454" s="7">
        <f t="shared" si="79"/>
        <v>2005</v>
      </c>
      <c r="D454">
        <v>72.2</v>
      </c>
      <c r="E454">
        <v>48.2</v>
      </c>
      <c r="F454">
        <v>60.8</v>
      </c>
      <c r="G454" s="2">
        <f t="shared" si="88"/>
        <v>0</v>
      </c>
      <c r="H454">
        <v>72.2</v>
      </c>
      <c r="I454">
        <v>47.4</v>
      </c>
      <c r="J454">
        <v>60.8</v>
      </c>
      <c r="K454">
        <v>44.9</v>
      </c>
      <c r="L454">
        <v>59.7</v>
      </c>
      <c r="M454" s="2">
        <f t="shared" si="80"/>
        <v>0</v>
      </c>
      <c r="N454">
        <v>0</v>
      </c>
      <c r="P454" s="2">
        <f t="shared" si="81"/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2">
        <f t="shared" si="82"/>
        <v>0</v>
      </c>
      <c r="X454">
        <v>10.5</v>
      </c>
      <c r="Z454" s="2">
        <f t="shared" si="83"/>
        <v>0</v>
      </c>
      <c r="AA454">
        <v>165.7</v>
      </c>
      <c r="AB454" s="2" t="str">
        <f>CHOOSE(MATCH(AA454,{0;11;80;111;161;191;241;281;341},1),"North","NorthEast","East","SouthEast","South","SouthWest","West","NorthWest","North")</f>
        <v>South</v>
      </c>
      <c r="AC454" s="5">
        <f>CHOOSE(MATCH(AB454,{"South";"SouthEast";"SouthWest";"North";"NorthEast";"East";"West";"NorthWest"},0),1,2,3,4,5,6,7,8)</f>
        <v>1</v>
      </c>
      <c r="AD454" s="2">
        <f t="shared" si="84"/>
        <v>0</v>
      </c>
      <c r="AE454">
        <v>1015</v>
      </c>
      <c r="AF454" s="4" t="s">
        <v>702</v>
      </c>
      <c r="AG454" s="2">
        <f t="shared" si="85"/>
        <v>0</v>
      </c>
      <c r="AH454" t="s">
        <v>815</v>
      </c>
      <c r="AI454" s="2">
        <f t="shared" si="86"/>
        <v>4</v>
      </c>
      <c r="AJ454" s="2">
        <f t="shared" si="87"/>
        <v>0</v>
      </c>
      <c r="AK454" s="3">
        <v>1630.9999999939459</v>
      </c>
      <c r="AM454" s="2">
        <v>1</v>
      </c>
      <c r="AN454">
        <v>0</v>
      </c>
      <c r="AO454">
        <v>40</v>
      </c>
      <c r="AP454">
        <v>0</v>
      </c>
      <c r="AQ454" s="2">
        <f>IF((2*G454 + M454 -P454 + 3*W454 + 2*Z454+2*AD454 + AG454+2*AJ454 + 4*AM454) &gt;=8,1,0)</f>
        <v>0</v>
      </c>
    </row>
    <row r="455" spans="1:43" x14ac:dyDescent="0.25">
      <c r="A455" t="s">
        <v>27</v>
      </c>
      <c r="B455" s="1">
        <v>38452</v>
      </c>
      <c r="C455" s="7">
        <f t="shared" si="79"/>
        <v>2005</v>
      </c>
      <c r="D455">
        <v>72.2</v>
      </c>
      <c r="E455">
        <v>48.2</v>
      </c>
      <c r="F455">
        <v>60.8</v>
      </c>
      <c r="G455" s="2">
        <f t="shared" si="88"/>
        <v>0</v>
      </c>
      <c r="H455">
        <v>72.2</v>
      </c>
      <c r="I455">
        <v>47.4</v>
      </c>
      <c r="J455">
        <v>60.8</v>
      </c>
      <c r="K455">
        <v>44.9</v>
      </c>
      <c r="L455">
        <v>59.7</v>
      </c>
      <c r="M455" s="2">
        <f t="shared" si="80"/>
        <v>0</v>
      </c>
      <c r="N455">
        <v>0</v>
      </c>
      <c r="P455" s="2">
        <f t="shared" si="81"/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s="2">
        <f t="shared" si="82"/>
        <v>0</v>
      </c>
      <c r="X455">
        <v>10.5</v>
      </c>
      <c r="Z455" s="2">
        <f t="shared" si="83"/>
        <v>0</v>
      </c>
      <c r="AA455">
        <v>165.7</v>
      </c>
      <c r="AB455" s="2" t="str">
        <f>CHOOSE(MATCH(AA455,{0;11;80;111;161;191;241;281;341},1),"North","NorthEast","East","SouthEast","South","SouthWest","West","NorthWest","North")</f>
        <v>South</v>
      </c>
      <c r="AC455" s="5">
        <f>CHOOSE(MATCH(AB455,{"South";"SouthEast";"SouthWest";"North";"NorthEast";"East";"West";"NorthWest"},0),1,2,3,4,5,6,7,8)</f>
        <v>1</v>
      </c>
      <c r="AD455" s="2">
        <f t="shared" si="84"/>
        <v>0</v>
      </c>
      <c r="AE455">
        <v>1015</v>
      </c>
      <c r="AF455" s="4" t="s">
        <v>816</v>
      </c>
      <c r="AG455" s="2">
        <f t="shared" si="85"/>
        <v>0</v>
      </c>
      <c r="AH455" t="s">
        <v>817</v>
      </c>
      <c r="AI455" s="2">
        <f t="shared" si="86"/>
        <v>4</v>
      </c>
      <c r="AJ455" s="2">
        <f t="shared" si="87"/>
        <v>0</v>
      </c>
      <c r="AK455" s="3">
        <v>1955.0000000023281</v>
      </c>
      <c r="AM455" s="2">
        <v>1</v>
      </c>
      <c r="AN455">
        <v>0</v>
      </c>
      <c r="AO455">
        <v>40</v>
      </c>
      <c r="AP455">
        <v>0</v>
      </c>
      <c r="AQ455" s="2">
        <f>IF((2*G455 + M455 -P455 + 3*W455 + 2*Z455+2*AD455 + AG455+2*AJ455 + 4*AM455) &gt;=8,1,0)</f>
        <v>0</v>
      </c>
    </row>
    <row r="456" spans="1:43" x14ac:dyDescent="0.25">
      <c r="A456" t="s">
        <v>27</v>
      </c>
      <c r="B456" s="1">
        <v>38454</v>
      </c>
      <c r="C456" s="7">
        <f t="shared" si="79"/>
        <v>2005</v>
      </c>
      <c r="D456">
        <v>72.5</v>
      </c>
      <c r="E456">
        <v>50</v>
      </c>
      <c r="F456">
        <v>61</v>
      </c>
      <c r="G456" s="2">
        <f t="shared" si="88"/>
        <v>0</v>
      </c>
      <c r="H456">
        <v>72.5</v>
      </c>
      <c r="I456">
        <v>50</v>
      </c>
      <c r="J456">
        <v>61</v>
      </c>
      <c r="K456">
        <v>52.2</v>
      </c>
      <c r="L456">
        <v>74.3</v>
      </c>
      <c r="M456" s="2">
        <f t="shared" si="80"/>
        <v>0</v>
      </c>
      <c r="N456">
        <v>0</v>
      </c>
      <c r="P456" s="2">
        <f t="shared" si="81"/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s="2">
        <f t="shared" si="82"/>
        <v>0</v>
      </c>
      <c r="X456">
        <v>11.4</v>
      </c>
      <c r="Z456" s="2">
        <f t="shared" si="83"/>
        <v>0</v>
      </c>
      <c r="AA456">
        <v>196</v>
      </c>
      <c r="AB456" s="2" t="str">
        <f>CHOOSE(MATCH(AA456,{0;11;80;111;161;191;241;281;341},1),"North","NorthEast","East","SouthEast","South","SouthWest","West","NorthWest","North")</f>
        <v>SouthWest</v>
      </c>
      <c r="AC456" s="5">
        <f>CHOOSE(MATCH(AB456,{"South";"SouthEast";"SouthWest";"North";"NorthEast";"East";"West";"NorthWest"},0),1,2,3,4,5,6,7,8)</f>
        <v>3</v>
      </c>
      <c r="AD456" s="2">
        <f t="shared" si="84"/>
        <v>1</v>
      </c>
      <c r="AE456">
        <v>1011</v>
      </c>
      <c r="AF456" s="4" t="s">
        <v>526</v>
      </c>
      <c r="AG456" s="2">
        <f t="shared" si="85"/>
        <v>1</v>
      </c>
      <c r="AH456" t="s">
        <v>819</v>
      </c>
      <c r="AI456" s="2">
        <f t="shared" si="86"/>
        <v>4</v>
      </c>
      <c r="AJ456" s="2">
        <f t="shared" si="87"/>
        <v>0</v>
      </c>
      <c r="AK456" s="3">
        <v>75.99999999627471</v>
      </c>
      <c r="AM456" s="2">
        <v>0</v>
      </c>
      <c r="AN456">
        <v>0</v>
      </c>
      <c r="AO456">
        <v>1</v>
      </c>
      <c r="AP456">
        <v>0</v>
      </c>
      <c r="AQ456" s="2">
        <f>IF((2*G456 + M456 -P456 + 3*W456 + 2*Z456+2*AD456 + AG456+2*AJ456 + 4*AM456) &gt;=8,1,0)</f>
        <v>0</v>
      </c>
    </row>
    <row r="457" spans="1:43" x14ac:dyDescent="0.25">
      <c r="A457" t="s">
        <v>27</v>
      </c>
      <c r="B457" s="1">
        <v>38471</v>
      </c>
      <c r="C457" s="7">
        <f t="shared" si="79"/>
        <v>2005</v>
      </c>
      <c r="D457">
        <v>71</v>
      </c>
      <c r="E457">
        <v>55</v>
      </c>
      <c r="F457">
        <v>63.2</v>
      </c>
      <c r="G457" s="2">
        <f t="shared" si="88"/>
        <v>0</v>
      </c>
      <c r="H457">
        <v>71</v>
      </c>
      <c r="I457">
        <v>55</v>
      </c>
      <c r="J457">
        <v>63.2</v>
      </c>
      <c r="K457">
        <v>46.5</v>
      </c>
      <c r="L457">
        <v>55.1</v>
      </c>
      <c r="M457" s="2">
        <f t="shared" si="80"/>
        <v>0</v>
      </c>
      <c r="N457">
        <v>0</v>
      </c>
      <c r="P457" s="2">
        <f t="shared" si="81"/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s="2">
        <f t="shared" si="82"/>
        <v>0</v>
      </c>
      <c r="X457">
        <v>17</v>
      </c>
      <c r="Z457" s="2">
        <f t="shared" si="83"/>
        <v>1</v>
      </c>
      <c r="AA457">
        <v>13</v>
      </c>
      <c r="AB457" s="2" t="str">
        <f>CHOOSE(MATCH(AA457,{0;11;80;111;161;191;241;281;341},1),"North","NorthEast","East","SouthEast","South","SouthWest","West","NorthWest","North")</f>
        <v>NorthEast</v>
      </c>
      <c r="AC457" s="5">
        <f>CHOOSE(MATCH(AB457,{"South";"SouthEast";"SouthWest";"North";"NorthEast";"East";"West";"NorthWest"},0),1,2,3,4,5,6,7,8)</f>
        <v>5</v>
      </c>
      <c r="AD457" s="2">
        <f t="shared" si="84"/>
        <v>1</v>
      </c>
      <c r="AE457">
        <v>1012.5</v>
      </c>
      <c r="AF457" s="4" t="s">
        <v>718</v>
      </c>
      <c r="AG457" s="2">
        <f t="shared" si="85"/>
        <v>1</v>
      </c>
      <c r="AH457" t="s">
        <v>820</v>
      </c>
      <c r="AI457" s="2">
        <f t="shared" si="86"/>
        <v>4</v>
      </c>
      <c r="AJ457" s="2">
        <f t="shared" si="87"/>
        <v>0</v>
      </c>
      <c r="AK457" s="3">
        <v>46.000000003259629</v>
      </c>
      <c r="AM457" s="2">
        <v>0</v>
      </c>
      <c r="AN457">
        <v>0</v>
      </c>
      <c r="AO457">
        <v>0.1</v>
      </c>
      <c r="AP457">
        <v>0</v>
      </c>
      <c r="AQ457" s="2">
        <f>IF((2*G457 + M457 -P457 + 3*W457 + 2*Z457+2*AD457 + AG457+2*AJ457 + 4*AM457) &gt;=8,1,0)</f>
        <v>0</v>
      </c>
    </row>
    <row r="458" spans="1:43" x14ac:dyDescent="0.25">
      <c r="A458" t="s">
        <v>27</v>
      </c>
      <c r="B458" s="1">
        <v>38473</v>
      </c>
      <c r="C458" s="7">
        <f t="shared" si="79"/>
        <v>2005</v>
      </c>
      <c r="D458">
        <v>71.099999999999994</v>
      </c>
      <c r="E458">
        <v>52.1</v>
      </c>
      <c r="F458">
        <v>61.5</v>
      </c>
      <c r="G458" s="2">
        <f t="shared" si="88"/>
        <v>0</v>
      </c>
      <c r="H458">
        <v>71.099999999999994</v>
      </c>
      <c r="I458">
        <v>52.1</v>
      </c>
      <c r="J458">
        <v>61.5</v>
      </c>
      <c r="K458">
        <v>42.1</v>
      </c>
      <c r="L458">
        <v>49.9</v>
      </c>
      <c r="M458" s="2">
        <f t="shared" si="80"/>
        <v>0</v>
      </c>
      <c r="N458">
        <v>0</v>
      </c>
      <c r="P458" s="2">
        <f t="shared" si="81"/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s="2">
        <f t="shared" si="82"/>
        <v>0</v>
      </c>
      <c r="X458">
        <v>14.1</v>
      </c>
      <c r="Z458" s="2">
        <f t="shared" si="83"/>
        <v>0</v>
      </c>
      <c r="AA458">
        <v>32.200000000000003</v>
      </c>
      <c r="AB458" s="2" t="str">
        <f>CHOOSE(MATCH(AA458,{0;11;80;111;161;191;241;281;341},1),"North","NorthEast","East","SouthEast","South","SouthWest","West","NorthWest","North")</f>
        <v>NorthEast</v>
      </c>
      <c r="AC458" s="5">
        <f>CHOOSE(MATCH(AB458,{"South";"SouthEast";"SouthWest";"North";"NorthEast";"East";"West";"NorthWest"},0),1,2,3,4,5,6,7,8)</f>
        <v>5</v>
      </c>
      <c r="AD458" s="2">
        <f t="shared" si="84"/>
        <v>1</v>
      </c>
      <c r="AE458">
        <v>1016.8</v>
      </c>
      <c r="AF458" s="4" t="s">
        <v>821</v>
      </c>
      <c r="AG458" s="2">
        <f t="shared" si="85"/>
        <v>1</v>
      </c>
      <c r="AH458" t="s">
        <v>822</v>
      </c>
      <c r="AI458" s="2">
        <f t="shared" si="86"/>
        <v>5</v>
      </c>
      <c r="AJ458" s="2">
        <f t="shared" si="87"/>
        <v>0</v>
      </c>
      <c r="AK458" s="3">
        <v>416.99999999720598</v>
      </c>
      <c r="AM458" s="2">
        <v>1</v>
      </c>
      <c r="AN458">
        <v>0</v>
      </c>
      <c r="AO458">
        <v>2</v>
      </c>
      <c r="AP458">
        <v>0</v>
      </c>
      <c r="AQ458" s="2">
        <f>IF((2*G458 + M458 -P458 + 3*W458 + 2*Z458+2*AD458 + AG458+2*AJ458 + 4*AM458) &gt;=8,1,0)</f>
        <v>0</v>
      </c>
    </row>
    <row r="459" spans="1:43" x14ac:dyDescent="0.25">
      <c r="A459" t="s">
        <v>27</v>
      </c>
      <c r="B459" s="1">
        <v>38473</v>
      </c>
      <c r="C459" s="7">
        <f t="shared" si="79"/>
        <v>2005</v>
      </c>
      <c r="D459">
        <v>71.099999999999994</v>
      </c>
      <c r="E459">
        <v>52.1</v>
      </c>
      <c r="F459">
        <v>61.5</v>
      </c>
      <c r="G459" s="2">
        <f t="shared" si="88"/>
        <v>0</v>
      </c>
      <c r="H459">
        <v>71.099999999999994</v>
      </c>
      <c r="I459">
        <v>52.1</v>
      </c>
      <c r="J459">
        <v>61.5</v>
      </c>
      <c r="K459">
        <v>42.1</v>
      </c>
      <c r="L459">
        <v>49.9</v>
      </c>
      <c r="M459" s="2">
        <f t="shared" si="80"/>
        <v>0</v>
      </c>
      <c r="N459">
        <v>0</v>
      </c>
      <c r="P459" s="2">
        <f t="shared" si="81"/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2">
        <f t="shared" si="82"/>
        <v>0</v>
      </c>
      <c r="X459">
        <v>14.1</v>
      </c>
      <c r="Z459" s="2">
        <f t="shared" si="83"/>
        <v>0</v>
      </c>
      <c r="AA459">
        <v>32.200000000000003</v>
      </c>
      <c r="AB459" s="2" t="str">
        <f>CHOOSE(MATCH(AA459,{0;11;80;111;161;191;241;281;341},1),"North","NorthEast","East","SouthEast","South","SouthWest","West","NorthWest","North")</f>
        <v>NorthEast</v>
      </c>
      <c r="AC459" s="5">
        <f>CHOOSE(MATCH(AB459,{"South";"SouthEast";"SouthWest";"North";"NorthEast";"East";"West";"NorthWest"},0),1,2,3,4,5,6,7,8)</f>
        <v>5</v>
      </c>
      <c r="AD459" s="2">
        <f t="shared" si="84"/>
        <v>1</v>
      </c>
      <c r="AE459">
        <v>1016.8</v>
      </c>
      <c r="AF459" s="4" t="s">
        <v>823</v>
      </c>
      <c r="AG459" s="2">
        <f t="shared" si="85"/>
        <v>1</v>
      </c>
      <c r="AH459" t="s">
        <v>824</v>
      </c>
      <c r="AI459" s="2">
        <f t="shared" si="86"/>
        <v>5</v>
      </c>
      <c r="AJ459" s="2">
        <f t="shared" si="87"/>
        <v>0</v>
      </c>
      <c r="AK459" s="3">
        <v>144.9999999906868</v>
      </c>
      <c r="AM459" s="2">
        <v>0</v>
      </c>
      <c r="AN459">
        <v>0</v>
      </c>
      <c r="AO459">
        <v>6</v>
      </c>
      <c r="AP459">
        <v>0</v>
      </c>
      <c r="AQ459" s="2">
        <f>IF((2*G459 + M459 -P459 + 3*W459 + 2*Z459+2*AD459 + AG459+2*AJ459 + 4*AM459) &gt;=8,1,0)</f>
        <v>0</v>
      </c>
    </row>
    <row r="460" spans="1:43" x14ac:dyDescent="0.25">
      <c r="A460" t="s">
        <v>27</v>
      </c>
      <c r="B460" s="1">
        <v>38474</v>
      </c>
      <c r="C460" s="7">
        <f t="shared" si="79"/>
        <v>2005</v>
      </c>
      <c r="D460">
        <v>73.5</v>
      </c>
      <c r="E460">
        <v>48.3</v>
      </c>
      <c r="F460">
        <v>61.8</v>
      </c>
      <c r="G460" s="2">
        <f t="shared" si="88"/>
        <v>0</v>
      </c>
      <c r="H460">
        <v>73.5</v>
      </c>
      <c r="I460">
        <v>47.3</v>
      </c>
      <c r="J460">
        <v>61.7</v>
      </c>
      <c r="K460">
        <v>45.9</v>
      </c>
      <c r="L460">
        <v>57.8</v>
      </c>
      <c r="M460" s="2">
        <f t="shared" si="80"/>
        <v>0</v>
      </c>
      <c r="N460">
        <v>0</v>
      </c>
      <c r="P460" s="2">
        <f t="shared" si="81"/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2">
        <f t="shared" si="82"/>
        <v>0</v>
      </c>
      <c r="X460">
        <v>10.5</v>
      </c>
      <c r="Z460" s="2">
        <f t="shared" si="83"/>
        <v>0</v>
      </c>
      <c r="AA460">
        <v>146</v>
      </c>
      <c r="AB460" s="2" t="str">
        <f>CHOOSE(MATCH(AA460,{0;11;80;111;161;191;241;281;341},1),"North","NorthEast","East","SouthEast","South","SouthWest","West","NorthWest","North")</f>
        <v>SouthEast</v>
      </c>
      <c r="AC460" s="5">
        <f>CHOOSE(MATCH(AB460,{"South";"SouthEast";"SouthWest";"North";"NorthEast";"East";"West";"NorthWest"},0),1,2,3,4,5,6,7,8)</f>
        <v>2</v>
      </c>
      <c r="AD460" s="2">
        <f t="shared" si="84"/>
        <v>0</v>
      </c>
      <c r="AE460">
        <v>1017.6</v>
      </c>
      <c r="AF460" s="4" t="s">
        <v>825</v>
      </c>
      <c r="AG460" s="2">
        <f t="shared" si="85"/>
        <v>1</v>
      </c>
      <c r="AH460" t="s">
        <v>826</v>
      </c>
      <c r="AI460" s="2">
        <f t="shared" si="86"/>
        <v>5</v>
      </c>
      <c r="AJ460" s="2">
        <f t="shared" si="87"/>
        <v>0</v>
      </c>
      <c r="AK460" s="3">
        <v>122.9999999923166</v>
      </c>
      <c r="AM460" s="2">
        <v>0</v>
      </c>
      <c r="AN460">
        <v>2</v>
      </c>
      <c r="AO460">
        <v>0</v>
      </c>
      <c r="AP460">
        <v>0</v>
      </c>
      <c r="AQ460" s="2">
        <f>IF((2*G460 + M460 -P460 + 3*W460 + 2*Z460+2*AD460 + AG460+2*AJ460 + 4*AM460) &gt;=8,1,0)</f>
        <v>0</v>
      </c>
    </row>
    <row r="461" spans="1:43" x14ac:dyDescent="0.25">
      <c r="A461" t="s">
        <v>27</v>
      </c>
      <c r="B461" s="1">
        <v>38477</v>
      </c>
      <c r="C461" s="7">
        <f t="shared" si="79"/>
        <v>2005</v>
      </c>
      <c r="D461">
        <v>81.099999999999994</v>
      </c>
      <c r="E461">
        <v>57</v>
      </c>
      <c r="F461">
        <v>69.5</v>
      </c>
      <c r="G461" s="2">
        <f t="shared" si="88"/>
        <v>0</v>
      </c>
      <c r="H461">
        <v>80.099999999999994</v>
      </c>
      <c r="I461">
        <v>57</v>
      </c>
      <c r="J461">
        <v>69.5</v>
      </c>
      <c r="K461">
        <v>52.2</v>
      </c>
      <c r="L461">
        <v>56.4</v>
      </c>
      <c r="M461" s="2">
        <f t="shared" si="80"/>
        <v>0</v>
      </c>
      <c r="N461">
        <v>0</v>
      </c>
      <c r="P461" s="2">
        <f t="shared" si="81"/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s="2">
        <f t="shared" si="82"/>
        <v>0</v>
      </c>
      <c r="X461">
        <v>11.9</v>
      </c>
      <c r="Z461" s="2">
        <f t="shared" si="83"/>
        <v>0</v>
      </c>
      <c r="AA461">
        <v>190.3</v>
      </c>
      <c r="AB461" s="2" t="str">
        <f>CHOOSE(MATCH(AA461,{0;11;80;111;161;191;241;281;341},1),"North","NorthEast","East","SouthEast","South","SouthWest","West","NorthWest","North")</f>
        <v>South</v>
      </c>
      <c r="AC461" s="5">
        <f>CHOOSE(MATCH(AB461,{"South";"SouthEast";"SouthWest";"North";"NorthEast";"East";"West";"NorthWest"},0),1,2,3,4,5,6,7,8)</f>
        <v>1</v>
      </c>
      <c r="AD461" s="2">
        <f t="shared" si="84"/>
        <v>0</v>
      </c>
      <c r="AE461">
        <v>1008.4</v>
      </c>
      <c r="AF461" s="4" t="s">
        <v>827</v>
      </c>
      <c r="AG461" s="2">
        <f t="shared" si="85"/>
        <v>1</v>
      </c>
      <c r="AH461" t="s">
        <v>828</v>
      </c>
      <c r="AI461" s="2">
        <f t="shared" si="86"/>
        <v>5</v>
      </c>
      <c r="AJ461" s="2">
        <f t="shared" si="87"/>
        <v>0</v>
      </c>
      <c r="AK461" s="3">
        <v>239.99999999650751</v>
      </c>
      <c r="AM461" s="2">
        <v>0</v>
      </c>
      <c r="AN461">
        <v>0</v>
      </c>
      <c r="AO461">
        <v>1</v>
      </c>
      <c r="AP461">
        <v>0</v>
      </c>
      <c r="AQ461" s="2">
        <f>IF((2*G461 + M461 -P461 + 3*W461 + 2*Z461+2*AD461 + AG461+2*AJ461 + 4*AM461) &gt;=8,1,0)</f>
        <v>0</v>
      </c>
    </row>
    <row r="462" spans="1:43" x14ac:dyDescent="0.25">
      <c r="A462" t="s">
        <v>27</v>
      </c>
      <c r="B462" s="1">
        <v>38480</v>
      </c>
      <c r="C462" s="7">
        <f t="shared" si="79"/>
        <v>2005</v>
      </c>
      <c r="D462">
        <v>73.7</v>
      </c>
      <c r="E462">
        <v>54.5</v>
      </c>
      <c r="F462">
        <v>64.599999999999994</v>
      </c>
      <c r="G462" s="2">
        <f t="shared" si="88"/>
        <v>0</v>
      </c>
      <c r="H462">
        <v>73.7</v>
      </c>
      <c r="I462">
        <v>54.5</v>
      </c>
      <c r="J462">
        <v>64.599999999999994</v>
      </c>
      <c r="K462">
        <v>48.6</v>
      </c>
      <c r="L462">
        <v>57.9</v>
      </c>
      <c r="M462" s="2">
        <f t="shared" si="80"/>
        <v>0</v>
      </c>
      <c r="N462">
        <v>0</v>
      </c>
      <c r="P462" s="2">
        <f t="shared" si="81"/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2">
        <f t="shared" si="82"/>
        <v>0</v>
      </c>
      <c r="X462">
        <v>16.7</v>
      </c>
      <c r="Z462" s="2">
        <f t="shared" si="83"/>
        <v>1</v>
      </c>
      <c r="AA462">
        <v>230.9</v>
      </c>
      <c r="AB462" s="2" t="str">
        <f>CHOOSE(MATCH(AA462,{0;11;80;111;161;191;241;281;341},1),"North","NorthEast","East","SouthEast","South","SouthWest","West","NorthWest","North")</f>
        <v>SouthWest</v>
      </c>
      <c r="AC462" s="5">
        <f>CHOOSE(MATCH(AB462,{"South";"SouthEast";"SouthWest";"North";"NorthEast";"East";"West";"NorthWest"},0),1,2,3,4,5,6,7,8)</f>
        <v>3</v>
      </c>
      <c r="AD462" s="2">
        <f t="shared" si="84"/>
        <v>1</v>
      </c>
      <c r="AE462">
        <v>1009.4</v>
      </c>
      <c r="AF462" s="4" t="s">
        <v>564</v>
      </c>
      <c r="AG462" s="2">
        <f t="shared" si="85"/>
        <v>1</v>
      </c>
      <c r="AH462" t="s">
        <v>829</v>
      </c>
      <c r="AI462" s="2">
        <f t="shared" si="86"/>
        <v>5</v>
      </c>
      <c r="AJ462" s="2">
        <f t="shared" si="87"/>
        <v>0</v>
      </c>
      <c r="AK462" s="3">
        <v>66.999999998370185</v>
      </c>
      <c r="AM462" s="2">
        <v>0</v>
      </c>
      <c r="AN462">
        <v>0</v>
      </c>
      <c r="AO462">
        <v>1</v>
      </c>
      <c r="AP462">
        <v>0</v>
      </c>
      <c r="AQ462" s="2">
        <f>IF((2*G462 + M462 -P462 + 3*W462 + 2*Z462+2*AD462 + AG462+2*AJ462 + 4*AM462) &gt;=8,1,0)</f>
        <v>0</v>
      </c>
    </row>
    <row r="463" spans="1:43" x14ac:dyDescent="0.25">
      <c r="A463" t="s">
        <v>27</v>
      </c>
      <c r="B463" s="1">
        <v>38482</v>
      </c>
      <c r="C463" s="7">
        <f t="shared" si="79"/>
        <v>2005</v>
      </c>
      <c r="D463">
        <v>73.3</v>
      </c>
      <c r="E463">
        <v>52.7</v>
      </c>
      <c r="F463">
        <v>64</v>
      </c>
      <c r="G463" s="2">
        <f t="shared" si="88"/>
        <v>0</v>
      </c>
      <c r="H463">
        <v>73.3</v>
      </c>
      <c r="I463">
        <v>52.7</v>
      </c>
      <c r="J463">
        <v>64</v>
      </c>
      <c r="K463">
        <v>53.1</v>
      </c>
      <c r="L463">
        <v>69</v>
      </c>
      <c r="M463" s="2">
        <f t="shared" si="80"/>
        <v>0</v>
      </c>
      <c r="N463">
        <v>0</v>
      </c>
      <c r="P463" s="2">
        <f t="shared" si="81"/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2">
        <f t="shared" si="82"/>
        <v>0</v>
      </c>
      <c r="X463">
        <v>13.7</v>
      </c>
      <c r="Z463" s="2">
        <f t="shared" si="83"/>
        <v>0</v>
      </c>
      <c r="AA463">
        <v>146.30000000000001</v>
      </c>
      <c r="AB463" s="2" t="str">
        <f>CHOOSE(MATCH(AA463,{0;11;80;111;161;191;241;281;341},1),"North","NorthEast","East","SouthEast","South","SouthWest","West","NorthWest","North")</f>
        <v>SouthEast</v>
      </c>
      <c r="AC463" s="5">
        <f>CHOOSE(MATCH(AB463,{"South";"SouthEast";"SouthWest";"North";"NorthEast";"East";"West";"NorthWest"},0),1,2,3,4,5,6,7,8)</f>
        <v>2</v>
      </c>
      <c r="AD463" s="2">
        <f t="shared" si="84"/>
        <v>0</v>
      </c>
      <c r="AE463">
        <v>1015.1</v>
      </c>
      <c r="AF463" s="4" t="s">
        <v>334</v>
      </c>
      <c r="AG463" s="2">
        <f t="shared" si="85"/>
        <v>0</v>
      </c>
      <c r="AH463" t="s">
        <v>830</v>
      </c>
      <c r="AI463" s="2">
        <f t="shared" si="86"/>
        <v>5</v>
      </c>
      <c r="AJ463" s="2">
        <f t="shared" si="87"/>
        <v>0</v>
      </c>
      <c r="AK463" s="3">
        <v>56.000000004423782</v>
      </c>
      <c r="AM463" s="2">
        <v>0</v>
      </c>
      <c r="AN463">
        <v>0</v>
      </c>
      <c r="AO463">
        <v>0.01</v>
      </c>
      <c r="AP463">
        <v>0</v>
      </c>
      <c r="AQ463" s="2">
        <f>IF((2*G463 + M463 -P463 + 3*W463 + 2*Z463+2*AD463 + AG463+2*AJ463 + 4*AM463) &gt;=8,1,0)</f>
        <v>0</v>
      </c>
    </row>
    <row r="464" spans="1:43" x14ac:dyDescent="0.25">
      <c r="A464" t="s">
        <v>27</v>
      </c>
      <c r="B464" s="1">
        <v>38488</v>
      </c>
      <c r="C464" s="7">
        <f t="shared" si="79"/>
        <v>2005</v>
      </c>
      <c r="D464">
        <v>78.599999999999994</v>
      </c>
      <c r="E464">
        <v>56.3</v>
      </c>
      <c r="F464">
        <v>67.900000000000006</v>
      </c>
      <c r="G464" s="2">
        <f t="shared" si="88"/>
        <v>0</v>
      </c>
      <c r="H464">
        <v>78.599999999999994</v>
      </c>
      <c r="I464">
        <v>56.3</v>
      </c>
      <c r="J464">
        <v>67.900000000000006</v>
      </c>
      <c r="K464">
        <v>49.5</v>
      </c>
      <c r="L464">
        <v>53.6</v>
      </c>
      <c r="M464" s="2">
        <f t="shared" si="80"/>
        <v>0</v>
      </c>
      <c r="N464">
        <v>0</v>
      </c>
      <c r="P464" s="2">
        <f t="shared" si="81"/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s="2">
        <f t="shared" si="82"/>
        <v>0</v>
      </c>
      <c r="X464">
        <v>12.5</v>
      </c>
      <c r="Z464" s="2">
        <f t="shared" si="83"/>
        <v>0</v>
      </c>
      <c r="AA464">
        <v>126.3</v>
      </c>
      <c r="AB464" s="2" t="str">
        <f>CHOOSE(MATCH(AA464,{0;11;80;111;161;191;241;281;341},1),"North","NorthEast","East","SouthEast","South","SouthWest","West","NorthWest","North")</f>
        <v>SouthEast</v>
      </c>
      <c r="AC464" s="5">
        <f>CHOOSE(MATCH(AB464,{"South";"SouthEast";"SouthWest";"North";"NorthEast";"East";"West";"NorthWest"},0),1,2,3,4,5,6,7,8)</f>
        <v>2</v>
      </c>
      <c r="AD464" s="2">
        <f t="shared" si="84"/>
        <v>0</v>
      </c>
      <c r="AE464">
        <v>1014.9</v>
      </c>
      <c r="AF464" s="4" t="s">
        <v>831</v>
      </c>
      <c r="AG464" s="2">
        <f t="shared" si="85"/>
        <v>1</v>
      </c>
      <c r="AH464" t="s">
        <v>832</v>
      </c>
      <c r="AI464" s="2">
        <f t="shared" si="86"/>
        <v>5</v>
      </c>
      <c r="AJ464" s="2">
        <f t="shared" si="87"/>
        <v>0</v>
      </c>
      <c r="AK464" s="3">
        <v>351.99999999487773</v>
      </c>
      <c r="AM464" s="2">
        <v>0</v>
      </c>
      <c r="AN464">
        <v>0</v>
      </c>
      <c r="AO464">
        <v>2</v>
      </c>
      <c r="AP464">
        <v>0</v>
      </c>
      <c r="AQ464" s="2">
        <f>IF((2*G464 + M464 -P464 + 3*W464 + 2*Z464+2*AD464 + AG464+2*AJ464 + 4*AM464) &gt;=8,1,0)</f>
        <v>0</v>
      </c>
    </row>
    <row r="465" spans="1:43" x14ac:dyDescent="0.25">
      <c r="A465" t="s">
        <v>27</v>
      </c>
      <c r="B465" s="1">
        <v>38490</v>
      </c>
      <c r="C465" s="7">
        <f t="shared" ref="C465:C523" si="89">YEAR(B465)</f>
        <v>2005</v>
      </c>
      <c r="D465">
        <v>83.4</v>
      </c>
      <c r="E465">
        <v>58.2</v>
      </c>
      <c r="F465">
        <v>71.599999999999994</v>
      </c>
      <c r="G465" s="2">
        <f t="shared" si="88"/>
        <v>0</v>
      </c>
      <c r="H465">
        <v>82</v>
      </c>
      <c r="I465">
        <v>58.2</v>
      </c>
      <c r="J465">
        <v>71.3</v>
      </c>
      <c r="K465">
        <v>52.7</v>
      </c>
      <c r="L465">
        <v>54</v>
      </c>
      <c r="M465" s="2">
        <f t="shared" ref="M465:M523" si="90">IF(L465&lt;=49.3,1,0)</f>
        <v>0</v>
      </c>
      <c r="N465">
        <v>0</v>
      </c>
      <c r="P465" s="2">
        <f t="shared" ref="P465:P523" si="91">IF(N465&lt;=0.01,1,0)</f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2">
        <f t="shared" ref="W465:W523" si="92">IF(V465&lt;=10,0,1)</f>
        <v>0</v>
      </c>
      <c r="X465">
        <v>10.3</v>
      </c>
      <c r="Z465" s="2">
        <f t="shared" ref="Z465:Z523" si="93">IF(X465&gt;=16,1,0)</f>
        <v>0</v>
      </c>
      <c r="AA465">
        <v>174.3</v>
      </c>
      <c r="AB465" s="2" t="str">
        <f>CHOOSE(MATCH(AA465,{0;11;80;111;161;191;241;281;341},1),"North","NorthEast","East","SouthEast","South","SouthWest","West","NorthWest","North")</f>
        <v>South</v>
      </c>
      <c r="AC465" s="5">
        <f>CHOOSE(MATCH(AB465,{"South";"SouthEast";"SouthWest";"North";"NorthEast";"East";"West";"NorthWest"},0),1,2,3,4,5,6,7,8)</f>
        <v>1</v>
      </c>
      <c r="AD465" s="2">
        <f t="shared" ref="AD465:AD523" si="94">IF(OR(AC465=3,AC465=4,AC465=5,AC465=8),1,0)</f>
        <v>0</v>
      </c>
      <c r="AE465">
        <v>1014.7</v>
      </c>
      <c r="AF465" s="4" t="s">
        <v>833</v>
      </c>
      <c r="AG465" s="2">
        <f t="shared" ref="AG465:AG523" si="95">IF(TIMEVALUE(AF465)&lt;=TIME(12,30,0),0,1)</f>
        <v>0</v>
      </c>
      <c r="AH465" t="s">
        <v>834</v>
      </c>
      <c r="AI465" s="2">
        <f t="shared" ref="AI465:AI523" si="96">MONTH(AH465)</f>
        <v>5</v>
      </c>
      <c r="AJ465" s="2">
        <f t="shared" ref="AJ465:AJ523" si="97">IF(OR(AI465=6,AI465=7,AI465=8),1,0)</f>
        <v>0</v>
      </c>
      <c r="AK465" s="3">
        <v>78.000000002793968</v>
      </c>
      <c r="AM465" s="2">
        <v>0</v>
      </c>
      <c r="AN465">
        <v>0</v>
      </c>
      <c r="AO465">
        <v>0.1</v>
      </c>
      <c r="AP465">
        <v>0</v>
      </c>
      <c r="AQ465" s="2">
        <f>IF((2*G465 + M465 -P465 + 3*W465 + 2*Z465+2*AD465 + AG465+2*AJ465 + 4*AM465) &gt;=8,1,0)</f>
        <v>0</v>
      </c>
    </row>
    <row r="466" spans="1:43" x14ac:dyDescent="0.25">
      <c r="A466" t="s">
        <v>27</v>
      </c>
      <c r="B466" s="1">
        <v>38506</v>
      </c>
      <c r="C466" s="7">
        <f t="shared" si="89"/>
        <v>2005</v>
      </c>
      <c r="D466">
        <v>79.8</v>
      </c>
      <c r="E466">
        <v>64.5</v>
      </c>
      <c r="F466">
        <v>70.5</v>
      </c>
      <c r="G466" s="2">
        <f t="shared" si="88"/>
        <v>0</v>
      </c>
      <c r="H466">
        <v>79.8</v>
      </c>
      <c r="I466">
        <v>64.5</v>
      </c>
      <c r="J466">
        <v>70.5</v>
      </c>
      <c r="K466">
        <v>55.9</v>
      </c>
      <c r="L466">
        <v>62.4</v>
      </c>
      <c r="M466" s="2">
        <f t="shared" si="90"/>
        <v>0</v>
      </c>
      <c r="N466">
        <v>1.4999999999999999E-2</v>
      </c>
      <c r="P466" s="2">
        <f t="shared" si="91"/>
        <v>0</v>
      </c>
      <c r="Q466">
        <v>100</v>
      </c>
      <c r="R466">
        <v>4.17</v>
      </c>
      <c r="S466" t="s">
        <v>87</v>
      </c>
      <c r="T466">
        <v>0</v>
      </c>
      <c r="U466">
        <v>0</v>
      </c>
      <c r="V466">
        <v>0</v>
      </c>
      <c r="W466" s="2">
        <f t="shared" si="92"/>
        <v>0</v>
      </c>
      <c r="X466">
        <v>13.3</v>
      </c>
      <c r="Z466" s="2">
        <f t="shared" si="93"/>
        <v>0</v>
      </c>
      <c r="AA466">
        <v>1.9</v>
      </c>
      <c r="AB466" s="2" t="str">
        <f>CHOOSE(MATCH(AA466,{0;11;80;111;161;191;241;281;341},1),"North","NorthEast","East","SouthEast","South","SouthWest","West","NorthWest","North")</f>
        <v>North</v>
      </c>
      <c r="AC466" s="5">
        <f>CHOOSE(MATCH(AB466,{"South";"SouthEast";"SouthWest";"North";"NorthEast";"East";"West";"NorthWest"},0),1,2,3,4,5,6,7,8)</f>
        <v>4</v>
      </c>
      <c r="AD466" s="2">
        <f t="shared" si="94"/>
        <v>1</v>
      </c>
      <c r="AE466">
        <v>1016.7</v>
      </c>
      <c r="AF466" s="4" t="s">
        <v>125</v>
      </c>
      <c r="AG466" s="2">
        <f t="shared" si="95"/>
        <v>1</v>
      </c>
      <c r="AH466" t="s">
        <v>835</v>
      </c>
      <c r="AI466" s="2">
        <f t="shared" si="96"/>
        <v>6</v>
      </c>
      <c r="AJ466" s="2">
        <f t="shared" si="97"/>
        <v>1</v>
      </c>
      <c r="AK466" s="3">
        <v>35.000000009313233</v>
      </c>
      <c r="AM466" s="2">
        <v>0</v>
      </c>
      <c r="AN466">
        <v>1</v>
      </c>
      <c r="AO466">
        <v>0</v>
      </c>
      <c r="AP466">
        <v>0</v>
      </c>
      <c r="AQ466" s="2">
        <f>IF((2*G466 + M466 -P466 + 3*W466 + 2*Z466+2*AD466 + AG466+2*AJ466 + 4*AM466) &gt;=8,1,0)</f>
        <v>0</v>
      </c>
    </row>
    <row r="467" spans="1:43" x14ac:dyDescent="0.25">
      <c r="A467" t="s">
        <v>27</v>
      </c>
      <c r="B467" s="1">
        <v>38507</v>
      </c>
      <c r="C467" s="7">
        <f t="shared" si="89"/>
        <v>2005</v>
      </c>
      <c r="D467">
        <v>80.900000000000006</v>
      </c>
      <c r="E467">
        <v>62.4</v>
      </c>
      <c r="F467">
        <v>71.599999999999994</v>
      </c>
      <c r="G467" s="2">
        <f t="shared" si="88"/>
        <v>0</v>
      </c>
      <c r="H467">
        <v>79.7</v>
      </c>
      <c r="I467">
        <v>62.4</v>
      </c>
      <c r="J467">
        <v>71.599999999999994</v>
      </c>
      <c r="K467">
        <v>46</v>
      </c>
      <c r="L467">
        <v>41.8</v>
      </c>
      <c r="M467" s="2">
        <f t="shared" si="90"/>
        <v>1</v>
      </c>
      <c r="N467">
        <v>0</v>
      </c>
      <c r="P467" s="2">
        <f t="shared" si="91"/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2">
        <f t="shared" si="92"/>
        <v>0</v>
      </c>
      <c r="X467">
        <v>19</v>
      </c>
      <c r="Z467" s="2">
        <f t="shared" si="93"/>
        <v>1</v>
      </c>
      <c r="AA467">
        <v>3.2</v>
      </c>
      <c r="AB467" s="2" t="str">
        <f>CHOOSE(MATCH(AA467,{0;11;80;111;161;191;241;281;341},1),"North","NorthEast","East","SouthEast","South","SouthWest","West","NorthWest","North")</f>
        <v>North</v>
      </c>
      <c r="AC467" s="5">
        <f>CHOOSE(MATCH(AB467,{"South";"SouthEast";"SouthWest";"North";"NorthEast";"East";"West";"NorthWest"},0),1,2,3,4,5,6,7,8)</f>
        <v>4</v>
      </c>
      <c r="AD467" s="2">
        <f t="shared" si="94"/>
        <v>1</v>
      </c>
      <c r="AE467">
        <v>1016.7</v>
      </c>
      <c r="AF467" s="4" t="s">
        <v>836</v>
      </c>
      <c r="AG467" s="2">
        <f t="shared" si="95"/>
        <v>1</v>
      </c>
      <c r="AH467" t="s">
        <v>837</v>
      </c>
      <c r="AI467" s="2">
        <f t="shared" si="96"/>
        <v>6</v>
      </c>
      <c r="AJ467" s="2">
        <f t="shared" si="97"/>
        <v>1</v>
      </c>
      <c r="AK467" s="3">
        <v>365.99999999860302</v>
      </c>
      <c r="AM467" s="2">
        <v>1</v>
      </c>
      <c r="AN467">
        <v>0</v>
      </c>
      <c r="AO467">
        <v>2</v>
      </c>
      <c r="AP467">
        <v>0</v>
      </c>
      <c r="AQ467" s="2">
        <f>IF((2*G467 + M467 -P467 + 3*W467 + 2*Z467+2*AD467 + AG467+2*AJ467 + 4*AM467) &gt;=8,1,0)</f>
        <v>1</v>
      </c>
    </row>
    <row r="468" spans="1:43" x14ac:dyDescent="0.25">
      <c r="A468" t="s">
        <v>27</v>
      </c>
      <c r="B468" s="1">
        <v>38509</v>
      </c>
      <c r="C468" s="7">
        <f t="shared" si="89"/>
        <v>2005</v>
      </c>
      <c r="D468">
        <v>83.5</v>
      </c>
      <c r="E468">
        <v>59.9</v>
      </c>
      <c r="F468">
        <v>72.400000000000006</v>
      </c>
      <c r="G468" s="2">
        <f t="shared" si="88"/>
        <v>0</v>
      </c>
      <c r="H468">
        <v>81.8</v>
      </c>
      <c r="I468">
        <v>59.9</v>
      </c>
      <c r="J468">
        <v>72.099999999999994</v>
      </c>
      <c r="K468">
        <v>51.3</v>
      </c>
      <c r="L468">
        <v>49.1</v>
      </c>
      <c r="M468" s="2">
        <f t="shared" si="90"/>
        <v>1</v>
      </c>
      <c r="N468">
        <v>0</v>
      </c>
      <c r="P468" s="2">
        <f t="shared" si="91"/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2">
        <f t="shared" si="92"/>
        <v>0</v>
      </c>
      <c r="X468">
        <v>10.7</v>
      </c>
      <c r="Z468" s="2">
        <f t="shared" si="93"/>
        <v>0</v>
      </c>
      <c r="AA468">
        <v>155.5</v>
      </c>
      <c r="AB468" s="2" t="str">
        <f>CHOOSE(MATCH(AA468,{0;11;80;111;161;191;241;281;341},1),"North","NorthEast","East","SouthEast","South","SouthWest","West","NorthWest","North")</f>
        <v>SouthEast</v>
      </c>
      <c r="AC468" s="5">
        <f>CHOOSE(MATCH(AB468,{"South";"SouthEast";"SouthWest";"North";"NorthEast";"East";"West";"NorthWest"},0),1,2,3,4,5,6,7,8)</f>
        <v>2</v>
      </c>
      <c r="AD468" s="2">
        <f t="shared" si="94"/>
        <v>0</v>
      </c>
      <c r="AE468">
        <v>1013.3</v>
      </c>
      <c r="AF468" s="4" t="s">
        <v>838</v>
      </c>
      <c r="AG468" s="2">
        <f t="shared" si="95"/>
        <v>1</v>
      </c>
      <c r="AH468" t="s">
        <v>839</v>
      </c>
      <c r="AI468" s="2">
        <f t="shared" si="96"/>
        <v>6</v>
      </c>
      <c r="AJ468" s="2">
        <f t="shared" si="97"/>
        <v>1</v>
      </c>
      <c r="AK468" s="3">
        <v>348.00000000279402</v>
      </c>
      <c r="AM468" s="2">
        <v>0</v>
      </c>
      <c r="AN468">
        <v>1</v>
      </c>
      <c r="AO468">
        <v>0</v>
      </c>
      <c r="AP468">
        <v>0</v>
      </c>
      <c r="AQ468" s="2">
        <f>IF((2*G468 + M468 -P468 + 3*W468 + 2*Z468+2*AD468 + AG468+2*AJ468 + 4*AM468) &gt;=8,1,0)</f>
        <v>0</v>
      </c>
    </row>
    <row r="469" spans="1:43" x14ac:dyDescent="0.25">
      <c r="A469" t="s">
        <v>27</v>
      </c>
      <c r="B469" s="1">
        <v>38509</v>
      </c>
      <c r="C469" s="7">
        <f t="shared" si="89"/>
        <v>2005</v>
      </c>
      <c r="D469">
        <v>83.5</v>
      </c>
      <c r="E469">
        <v>59.9</v>
      </c>
      <c r="F469">
        <v>72.400000000000006</v>
      </c>
      <c r="G469" s="2">
        <f t="shared" si="88"/>
        <v>0</v>
      </c>
      <c r="H469">
        <v>81.8</v>
      </c>
      <c r="I469">
        <v>59.9</v>
      </c>
      <c r="J469">
        <v>72.099999999999994</v>
      </c>
      <c r="K469">
        <v>51.3</v>
      </c>
      <c r="L469">
        <v>49.1</v>
      </c>
      <c r="M469" s="2">
        <f t="shared" si="90"/>
        <v>1</v>
      </c>
      <c r="N469">
        <v>0</v>
      </c>
      <c r="P469" s="2">
        <f t="shared" si="91"/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2">
        <f t="shared" si="92"/>
        <v>0</v>
      </c>
      <c r="X469">
        <v>10.7</v>
      </c>
      <c r="Z469" s="2">
        <f t="shared" si="93"/>
        <v>0</v>
      </c>
      <c r="AA469">
        <v>155.5</v>
      </c>
      <c r="AB469" s="2" t="str">
        <f>CHOOSE(MATCH(AA469,{0;11;80;111;161;191;241;281;341},1),"North","NorthEast","East","SouthEast","South","SouthWest","West","NorthWest","North")</f>
        <v>SouthEast</v>
      </c>
      <c r="AC469" s="5">
        <f>CHOOSE(MATCH(AB469,{"South";"SouthEast";"SouthWest";"North";"NorthEast";"East";"West";"NorthWest"},0),1,2,3,4,5,6,7,8)</f>
        <v>2</v>
      </c>
      <c r="AD469" s="2">
        <f t="shared" si="94"/>
        <v>0</v>
      </c>
      <c r="AE469">
        <v>1013.3</v>
      </c>
      <c r="AF469" s="4" t="s">
        <v>840</v>
      </c>
      <c r="AG469" s="2">
        <f t="shared" si="95"/>
        <v>1</v>
      </c>
      <c r="AH469" t="s">
        <v>841</v>
      </c>
      <c r="AI469" s="2">
        <f t="shared" si="96"/>
        <v>6</v>
      </c>
      <c r="AJ469" s="2">
        <f t="shared" si="97"/>
        <v>1</v>
      </c>
      <c r="AK469" s="3">
        <v>148.00000000046569</v>
      </c>
      <c r="AM469" s="2">
        <v>0</v>
      </c>
      <c r="AN469">
        <v>2</v>
      </c>
      <c r="AO469">
        <v>0</v>
      </c>
      <c r="AP469">
        <v>0</v>
      </c>
      <c r="AQ469" s="2">
        <f>IF((2*G469 + M469 -P469 + 3*W469 + 2*Z469+2*AD469 + AG469+2*AJ469 + 4*AM469) &gt;=8,1,0)</f>
        <v>0</v>
      </c>
    </row>
    <row r="470" spans="1:43" x14ac:dyDescent="0.25">
      <c r="A470" t="s">
        <v>27</v>
      </c>
      <c r="B470" s="1">
        <v>38512</v>
      </c>
      <c r="C470" s="7">
        <f t="shared" si="89"/>
        <v>2005</v>
      </c>
      <c r="D470">
        <v>79.599999999999994</v>
      </c>
      <c r="E470">
        <v>66.7</v>
      </c>
      <c r="F470">
        <v>73.3</v>
      </c>
      <c r="G470" s="2">
        <f t="shared" si="88"/>
        <v>0</v>
      </c>
      <c r="H470">
        <v>79.599999999999994</v>
      </c>
      <c r="I470">
        <v>66.7</v>
      </c>
      <c r="J470">
        <v>73.3</v>
      </c>
      <c r="K470">
        <v>50.3</v>
      </c>
      <c r="L470">
        <v>45.8</v>
      </c>
      <c r="M470" s="2">
        <f t="shared" si="90"/>
        <v>1</v>
      </c>
      <c r="N470">
        <v>0</v>
      </c>
      <c r="P470" s="2">
        <f t="shared" si="91"/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2">
        <f t="shared" si="92"/>
        <v>0</v>
      </c>
      <c r="X470">
        <v>15.2</v>
      </c>
      <c r="Z470" s="2">
        <f t="shared" si="93"/>
        <v>0</v>
      </c>
      <c r="AA470">
        <v>323.2</v>
      </c>
      <c r="AB470" s="2" t="str">
        <f>CHOOSE(MATCH(AA470,{0;11;80;111;161;191;241;281;341},1),"North","NorthEast","East","SouthEast","South","SouthWest","West","NorthWest","North")</f>
        <v>NorthWest</v>
      </c>
      <c r="AC470" s="5">
        <f>CHOOSE(MATCH(AB470,{"South";"SouthEast";"SouthWest";"North";"NorthEast";"East";"West";"NorthWest"},0),1,2,3,4,5,6,7,8)</f>
        <v>8</v>
      </c>
      <c r="AD470" s="2">
        <f t="shared" si="94"/>
        <v>1</v>
      </c>
      <c r="AE470">
        <v>1012.1</v>
      </c>
      <c r="AF470" s="4" t="s">
        <v>489</v>
      </c>
      <c r="AG470" s="2">
        <f t="shared" si="95"/>
        <v>0</v>
      </c>
      <c r="AH470" t="s">
        <v>842</v>
      </c>
      <c r="AI470" s="2">
        <f t="shared" si="96"/>
        <v>6</v>
      </c>
      <c r="AJ470" s="2">
        <f t="shared" si="97"/>
        <v>1</v>
      </c>
      <c r="AK470" s="3">
        <v>141.99999999138529</v>
      </c>
      <c r="AM470" s="2">
        <v>0</v>
      </c>
      <c r="AN470">
        <v>3</v>
      </c>
      <c r="AO470">
        <v>0</v>
      </c>
      <c r="AP470">
        <v>0</v>
      </c>
      <c r="AQ470" s="2">
        <f>IF((2*G470 + M470 -P470 + 3*W470 + 2*Z470+2*AD470 + AG470+2*AJ470 + 4*AM470) &gt;=8,1,0)</f>
        <v>0</v>
      </c>
    </row>
    <row r="471" spans="1:43" x14ac:dyDescent="0.25">
      <c r="A471" t="s">
        <v>27</v>
      </c>
      <c r="B471" s="1">
        <v>38512</v>
      </c>
      <c r="C471" s="7">
        <f t="shared" si="89"/>
        <v>2005</v>
      </c>
      <c r="D471">
        <v>79.599999999999994</v>
      </c>
      <c r="E471">
        <v>66.7</v>
      </c>
      <c r="F471">
        <v>73.3</v>
      </c>
      <c r="G471" s="2">
        <f t="shared" si="88"/>
        <v>0</v>
      </c>
      <c r="H471">
        <v>79.599999999999994</v>
      </c>
      <c r="I471">
        <v>66.7</v>
      </c>
      <c r="J471">
        <v>73.3</v>
      </c>
      <c r="K471">
        <v>50.3</v>
      </c>
      <c r="L471">
        <v>45.8</v>
      </c>
      <c r="M471" s="2">
        <f t="shared" si="90"/>
        <v>1</v>
      </c>
      <c r="N471">
        <v>0</v>
      </c>
      <c r="P471" s="2">
        <f t="shared" si="91"/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2">
        <f t="shared" si="92"/>
        <v>0</v>
      </c>
      <c r="X471">
        <v>15.2</v>
      </c>
      <c r="Z471" s="2">
        <f t="shared" si="93"/>
        <v>0</v>
      </c>
      <c r="AA471">
        <v>323.2</v>
      </c>
      <c r="AB471" s="2" t="str">
        <f>CHOOSE(MATCH(AA471,{0;11;80;111;161;191;241;281;341},1),"North","NorthEast","East","SouthEast","South","SouthWest","West","NorthWest","North")</f>
        <v>NorthWest</v>
      </c>
      <c r="AC471" s="5">
        <f>CHOOSE(MATCH(AB471,{"South";"SouthEast";"SouthWest";"North";"NorthEast";"East";"West";"NorthWest"},0),1,2,3,4,5,6,7,8)</f>
        <v>8</v>
      </c>
      <c r="AD471" s="2">
        <f t="shared" si="94"/>
        <v>1</v>
      </c>
      <c r="AE471">
        <v>1012.1</v>
      </c>
      <c r="AF471" s="4" t="s">
        <v>721</v>
      </c>
      <c r="AG471" s="2">
        <f t="shared" si="95"/>
        <v>1</v>
      </c>
      <c r="AH471" t="s">
        <v>843</v>
      </c>
      <c r="AI471" s="2">
        <f t="shared" si="96"/>
        <v>6</v>
      </c>
      <c r="AJ471" s="2">
        <f t="shared" si="97"/>
        <v>1</v>
      </c>
      <c r="AK471" s="3">
        <v>2644.9999999988358</v>
      </c>
      <c r="AM471" s="2">
        <v>1</v>
      </c>
      <c r="AN471">
        <v>3</v>
      </c>
      <c r="AO471">
        <v>1</v>
      </c>
      <c r="AP471">
        <v>0</v>
      </c>
      <c r="AQ471" s="2">
        <f>IF((2*G471 + M471 -P471 + 3*W471 + 2*Z471+2*AD471 + AG471+2*AJ471 + 4*AM471) &gt;=8,1,0)</f>
        <v>1</v>
      </c>
    </row>
    <row r="472" spans="1:43" x14ac:dyDescent="0.25">
      <c r="A472" t="s">
        <v>27</v>
      </c>
      <c r="B472" s="1">
        <v>38513</v>
      </c>
      <c r="C472" s="7">
        <f t="shared" si="89"/>
        <v>2005</v>
      </c>
      <c r="D472">
        <v>78.900000000000006</v>
      </c>
      <c r="E472">
        <v>58.2</v>
      </c>
      <c r="F472">
        <v>68.2</v>
      </c>
      <c r="G472" s="2">
        <f t="shared" si="88"/>
        <v>0</v>
      </c>
      <c r="H472">
        <v>78.900000000000006</v>
      </c>
      <c r="I472">
        <v>58.2</v>
      </c>
      <c r="J472">
        <v>68.2</v>
      </c>
      <c r="K472">
        <v>50.5</v>
      </c>
      <c r="L472">
        <v>56</v>
      </c>
      <c r="M472" s="2">
        <f t="shared" si="90"/>
        <v>0</v>
      </c>
      <c r="N472">
        <v>0.03</v>
      </c>
      <c r="P472" s="2">
        <f t="shared" si="91"/>
        <v>0</v>
      </c>
      <c r="Q472">
        <v>100</v>
      </c>
      <c r="R472">
        <v>4.17</v>
      </c>
      <c r="S472" t="s">
        <v>87</v>
      </c>
      <c r="T472">
        <v>0</v>
      </c>
      <c r="U472">
        <v>0</v>
      </c>
      <c r="V472">
        <v>0</v>
      </c>
      <c r="W472" s="2">
        <f t="shared" si="92"/>
        <v>0</v>
      </c>
      <c r="X472">
        <v>19.5</v>
      </c>
      <c r="Z472" s="2">
        <f t="shared" si="93"/>
        <v>1</v>
      </c>
      <c r="AA472">
        <v>227.8</v>
      </c>
      <c r="AB472" s="2" t="str">
        <f>CHOOSE(MATCH(AA472,{0;11;80;111;161;191;241;281;341},1),"North","NorthEast","East","SouthEast","South","SouthWest","West","NorthWest","North")</f>
        <v>SouthWest</v>
      </c>
      <c r="AC472" s="5">
        <f>CHOOSE(MATCH(AB472,{"South";"SouthEast";"SouthWest";"North";"NorthEast";"East";"West";"NorthWest"},0),1,2,3,4,5,6,7,8)</f>
        <v>3</v>
      </c>
      <c r="AD472" s="2">
        <f t="shared" si="94"/>
        <v>1</v>
      </c>
      <c r="AE472">
        <v>1010.9</v>
      </c>
      <c r="AF472" s="4" t="s">
        <v>844</v>
      </c>
      <c r="AG472" s="2">
        <f t="shared" si="95"/>
        <v>1</v>
      </c>
      <c r="AH472" t="s">
        <v>845</v>
      </c>
      <c r="AI472" s="2">
        <f t="shared" si="96"/>
        <v>6</v>
      </c>
      <c r="AJ472" s="2">
        <f t="shared" si="97"/>
        <v>1</v>
      </c>
      <c r="AK472" s="3">
        <v>63.999999999068677</v>
      </c>
      <c r="AM472" s="2">
        <v>0</v>
      </c>
      <c r="AN472">
        <v>1</v>
      </c>
      <c r="AO472">
        <v>1</v>
      </c>
      <c r="AP472">
        <v>0</v>
      </c>
      <c r="AQ472" s="2">
        <f>IF((2*G472 + M472 -P472 + 3*W472 + 2*Z472+2*AD472 + AG472+2*AJ472 + 4*AM472) &gt;=8,1,0)</f>
        <v>0</v>
      </c>
    </row>
    <row r="473" spans="1:43" x14ac:dyDescent="0.25">
      <c r="A473" t="s">
        <v>27</v>
      </c>
      <c r="B473" s="1">
        <v>38513</v>
      </c>
      <c r="C473" s="7">
        <f t="shared" si="89"/>
        <v>2005</v>
      </c>
      <c r="D473">
        <v>78.900000000000006</v>
      </c>
      <c r="E473">
        <v>58.2</v>
      </c>
      <c r="F473">
        <v>68.2</v>
      </c>
      <c r="G473" s="2">
        <f t="shared" si="88"/>
        <v>0</v>
      </c>
      <c r="H473">
        <v>78.900000000000006</v>
      </c>
      <c r="I473">
        <v>58.2</v>
      </c>
      <c r="J473">
        <v>68.2</v>
      </c>
      <c r="K473">
        <v>50.5</v>
      </c>
      <c r="L473">
        <v>56</v>
      </c>
      <c r="M473" s="2">
        <f t="shared" si="90"/>
        <v>0</v>
      </c>
      <c r="N473">
        <v>0.03</v>
      </c>
      <c r="P473" s="2">
        <f t="shared" si="91"/>
        <v>0</v>
      </c>
      <c r="Q473">
        <v>100</v>
      </c>
      <c r="R473">
        <v>4.17</v>
      </c>
      <c r="S473" t="s">
        <v>87</v>
      </c>
      <c r="T473">
        <v>0</v>
      </c>
      <c r="U473">
        <v>0</v>
      </c>
      <c r="V473">
        <v>0</v>
      </c>
      <c r="W473" s="2">
        <f t="shared" si="92"/>
        <v>0</v>
      </c>
      <c r="X473">
        <v>19.5</v>
      </c>
      <c r="Z473" s="2">
        <f t="shared" si="93"/>
        <v>1</v>
      </c>
      <c r="AA473">
        <v>227.8</v>
      </c>
      <c r="AB473" s="2" t="str">
        <f>CHOOSE(MATCH(AA473,{0;11;80;111;161;191;241;281;341},1),"North","NorthEast","East","SouthEast","South","SouthWest","West","NorthWest","North")</f>
        <v>SouthWest</v>
      </c>
      <c r="AC473" s="5">
        <f>CHOOSE(MATCH(AB473,{"South";"SouthEast";"SouthWest";"North";"NorthEast";"East";"West";"NorthWest"},0),1,2,3,4,5,6,7,8)</f>
        <v>3</v>
      </c>
      <c r="AD473" s="2">
        <f t="shared" si="94"/>
        <v>1</v>
      </c>
      <c r="AE473">
        <v>1010.9</v>
      </c>
      <c r="AF473" s="4" t="s">
        <v>846</v>
      </c>
      <c r="AG473" s="2">
        <f t="shared" si="95"/>
        <v>1</v>
      </c>
      <c r="AH473" t="s">
        <v>847</v>
      </c>
      <c r="AI473" s="2">
        <f t="shared" si="96"/>
        <v>6</v>
      </c>
      <c r="AJ473" s="2">
        <f t="shared" si="97"/>
        <v>1</v>
      </c>
      <c r="AK473" s="3">
        <v>17.999999995809048</v>
      </c>
      <c r="AM473" s="2">
        <v>0</v>
      </c>
      <c r="AN473">
        <v>0</v>
      </c>
      <c r="AO473">
        <v>0.01</v>
      </c>
      <c r="AP473">
        <v>0</v>
      </c>
      <c r="AQ473" s="2">
        <f>IF((2*G473 + M473 -P473 + 3*W473 + 2*Z473+2*AD473 + AG473+2*AJ473 + 4*AM473) &gt;=8,1,0)</f>
        <v>0</v>
      </c>
    </row>
    <row r="474" spans="1:43" x14ac:dyDescent="0.25">
      <c r="A474" t="s">
        <v>27</v>
      </c>
      <c r="B474" s="1">
        <v>38515</v>
      </c>
      <c r="C474" s="7">
        <f t="shared" si="89"/>
        <v>2005</v>
      </c>
      <c r="D474">
        <v>78</v>
      </c>
      <c r="E474">
        <v>58.2</v>
      </c>
      <c r="F474">
        <v>69.099999999999994</v>
      </c>
      <c r="G474" s="2">
        <f t="shared" si="88"/>
        <v>0</v>
      </c>
      <c r="H474">
        <v>78</v>
      </c>
      <c r="I474">
        <v>58.2</v>
      </c>
      <c r="J474">
        <v>69.099999999999994</v>
      </c>
      <c r="K474">
        <v>50.9</v>
      </c>
      <c r="L474">
        <v>53.7</v>
      </c>
      <c r="M474" s="2">
        <f t="shared" si="90"/>
        <v>0</v>
      </c>
      <c r="N474">
        <v>0</v>
      </c>
      <c r="P474" s="2">
        <f t="shared" si="91"/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2">
        <f t="shared" si="92"/>
        <v>0</v>
      </c>
      <c r="X474">
        <v>12.8</v>
      </c>
      <c r="Z474" s="2">
        <f t="shared" si="93"/>
        <v>0</v>
      </c>
      <c r="AA474">
        <v>175.3</v>
      </c>
      <c r="AB474" s="2" t="str">
        <f>CHOOSE(MATCH(AA474,{0;11;80;111;161;191;241;281;341},1),"North","NorthEast","East","SouthEast","South","SouthWest","West","NorthWest","North")</f>
        <v>South</v>
      </c>
      <c r="AC474" s="5">
        <f>CHOOSE(MATCH(AB474,{"South";"SouthEast";"SouthWest";"North";"NorthEast";"East";"West";"NorthWest"},0),1,2,3,4,5,6,7,8)</f>
        <v>1</v>
      </c>
      <c r="AD474" s="2">
        <f t="shared" si="94"/>
        <v>0</v>
      </c>
      <c r="AE474">
        <v>1014.3</v>
      </c>
      <c r="AF474" s="4" t="s">
        <v>138</v>
      </c>
      <c r="AG474" s="2">
        <f t="shared" si="95"/>
        <v>1</v>
      </c>
      <c r="AH474" t="s">
        <v>848</v>
      </c>
      <c r="AI474" s="2">
        <f t="shared" si="96"/>
        <v>6</v>
      </c>
      <c r="AJ474" s="2">
        <f t="shared" si="97"/>
        <v>1</v>
      </c>
      <c r="AK474" s="3">
        <v>135</v>
      </c>
      <c r="AM474" s="2">
        <v>0</v>
      </c>
      <c r="AN474">
        <v>3</v>
      </c>
      <c r="AO474">
        <v>0</v>
      </c>
      <c r="AP474">
        <v>0</v>
      </c>
      <c r="AQ474" s="2">
        <f>IF((2*G474 + M474 -P474 + 3*W474 + 2*Z474+2*AD474 + AG474+2*AJ474 + 4*AM474) &gt;=8,1,0)</f>
        <v>0</v>
      </c>
    </row>
    <row r="475" spans="1:43" x14ac:dyDescent="0.25">
      <c r="A475" t="s">
        <v>27</v>
      </c>
      <c r="B475" s="1">
        <v>38517</v>
      </c>
      <c r="C475" s="7">
        <f t="shared" si="89"/>
        <v>2005</v>
      </c>
      <c r="D475">
        <v>81.5</v>
      </c>
      <c r="E475">
        <v>59</v>
      </c>
      <c r="F475">
        <v>71.8</v>
      </c>
      <c r="G475" s="2">
        <f t="shared" si="88"/>
        <v>0</v>
      </c>
      <c r="H475">
        <v>81.3</v>
      </c>
      <c r="I475">
        <v>59</v>
      </c>
      <c r="J475">
        <v>71.8</v>
      </c>
      <c r="K475">
        <v>53.1</v>
      </c>
      <c r="L475">
        <v>53.3</v>
      </c>
      <c r="M475" s="2">
        <f t="shared" si="90"/>
        <v>0</v>
      </c>
      <c r="N475">
        <v>0</v>
      </c>
      <c r="P475" s="2">
        <f t="shared" si="91"/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2">
        <f t="shared" si="92"/>
        <v>0</v>
      </c>
      <c r="X475">
        <v>14.8</v>
      </c>
      <c r="Z475" s="2">
        <f t="shared" si="93"/>
        <v>0</v>
      </c>
      <c r="AA475">
        <v>57.9</v>
      </c>
      <c r="AB475" s="2" t="str">
        <f>CHOOSE(MATCH(AA475,{0;11;80;111;161;191;241;281;341},1),"North","NorthEast","East","SouthEast","South","SouthWest","West","NorthWest","North")</f>
        <v>NorthEast</v>
      </c>
      <c r="AC475" s="5">
        <f>CHOOSE(MATCH(AB475,{"South";"SouthEast";"SouthWest";"North";"NorthEast";"East";"West";"NorthWest"},0),1,2,3,4,5,6,7,8)</f>
        <v>5</v>
      </c>
      <c r="AD475" s="2">
        <f t="shared" si="94"/>
        <v>1</v>
      </c>
      <c r="AE475">
        <v>1014.8</v>
      </c>
      <c r="AF475" s="4" t="s">
        <v>74</v>
      </c>
      <c r="AG475" s="2">
        <f t="shared" si="95"/>
        <v>1</v>
      </c>
      <c r="AH475" t="s">
        <v>849</v>
      </c>
      <c r="AI475" s="2">
        <f t="shared" si="96"/>
        <v>6</v>
      </c>
      <c r="AJ475" s="2">
        <f t="shared" si="97"/>
        <v>1</v>
      </c>
      <c r="AK475" s="3">
        <v>278.00000000512227</v>
      </c>
      <c r="AM475" s="2">
        <v>0</v>
      </c>
      <c r="AN475">
        <v>20</v>
      </c>
      <c r="AO475">
        <v>20</v>
      </c>
      <c r="AP475">
        <v>0</v>
      </c>
      <c r="AQ475" s="2">
        <f>IF((2*G475 + M475 -P475 + 3*W475 + 2*Z475+2*AD475 + AG475+2*AJ475 + 4*AM475) &gt;=8,1,0)</f>
        <v>0</v>
      </c>
    </row>
    <row r="476" spans="1:43" x14ac:dyDescent="0.25">
      <c r="A476" t="s">
        <v>27</v>
      </c>
      <c r="B476" s="1">
        <v>38519</v>
      </c>
      <c r="C476" s="7">
        <f t="shared" si="89"/>
        <v>2005</v>
      </c>
      <c r="D476">
        <v>86.4</v>
      </c>
      <c r="E476">
        <v>68.3</v>
      </c>
      <c r="F476">
        <v>77.3</v>
      </c>
      <c r="G476" s="2">
        <f t="shared" si="88"/>
        <v>1</v>
      </c>
      <c r="H476">
        <v>83.6</v>
      </c>
      <c r="I476">
        <v>68.3</v>
      </c>
      <c r="J476">
        <v>76.599999999999994</v>
      </c>
      <c r="K476">
        <v>48.2</v>
      </c>
      <c r="L476">
        <v>36.5</v>
      </c>
      <c r="M476" s="2">
        <f t="shared" si="90"/>
        <v>1</v>
      </c>
      <c r="N476">
        <v>0</v>
      </c>
      <c r="P476" s="2">
        <f t="shared" si="91"/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s="2">
        <f t="shared" si="92"/>
        <v>0</v>
      </c>
      <c r="X476">
        <v>16.7</v>
      </c>
      <c r="Z476" s="2">
        <f t="shared" si="93"/>
        <v>1</v>
      </c>
      <c r="AA476">
        <v>4.5</v>
      </c>
      <c r="AB476" s="2" t="str">
        <f>CHOOSE(MATCH(AA476,{0;11;80;111;161;191;241;281;341},1),"North","NorthEast","East","SouthEast","South","SouthWest","West","NorthWest","North")</f>
        <v>North</v>
      </c>
      <c r="AC476" s="5">
        <f>CHOOSE(MATCH(AB476,{"South";"SouthEast";"SouthWest";"North";"NorthEast";"East";"West";"NorthWest"},0),1,2,3,4,5,6,7,8)</f>
        <v>4</v>
      </c>
      <c r="AD476" s="2">
        <f t="shared" si="94"/>
        <v>1</v>
      </c>
      <c r="AE476">
        <v>1014.9</v>
      </c>
      <c r="AF476" s="4" t="s">
        <v>117</v>
      </c>
      <c r="AG476" s="2">
        <f t="shared" si="95"/>
        <v>1</v>
      </c>
      <c r="AH476" t="s">
        <v>850</v>
      </c>
      <c r="AI476" s="2">
        <f t="shared" si="96"/>
        <v>6</v>
      </c>
      <c r="AJ476" s="2">
        <f t="shared" si="97"/>
        <v>1</v>
      </c>
      <c r="AK476" s="3">
        <v>1830.9999999962749</v>
      </c>
      <c r="AM476" s="2">
        <v>1</v>
      </c>
      <c r="AN476">
        <v>5</v>
      </c>
      <c r="AO476">
        <v>0</v>
      </c>
      <c r="AP476">
        <v>0</v>
      </c>
      <c r="AQ476" s="2">
        <f>IF((2*G476 + M476 -P476 + 3*W476 + 2*Z476+2*AD476 + AG476+2*AJ476 + 4*AM476) &gt;=8,1,0)</f>
        <v>1</v>
      </c>
    </row>
    <row r="477" spans="1:43" x14ac:dyDescent="0.25">
      <c r="A477" t="s">
        <v>27</v>
      </c>
      <c r="B477" s="1">
        <v>38520</v>
      </c>
      <c r="C477" s="7">
        <f t="shared" si="89"/>
        <v>2005</v>
      </c>
      <c r="D477">
        <v>87.9</v>
      </c>
      <c r="E477">
        <v>69.900000000000006</v>
      </c>
      <c r="F477">
        <v>78.7</v>
      </c>
      <c r="G477" s="2">
        <f t="shared" si="88"/>
        <v>1</v>
      </c>
      <c r="H477">
        <v>86.8</v>
      </c>
      <c r="I477">
        <v>69.900000000000006</v>
      </c>
      <c r="J477">
        <v>78.2</v>
      </c>
      <c r="K477">
        <v>52.7</v>
      </c>
      <c r="L477">
        <v>40.9</v>
      </c>
      <c r="M477" s="2">
        <f t="shared" si="90"/>
        <v>1</v>
      </c>
      <c r="N477">
        <v>0</v>
      </c>
      <c r="P477" s="2">
        <f t="shared" si="91"/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2">
        <f t="shared" si="92"/>
        <v>0</v>
      </c>
      <c r="X477">
        <v>16.3</v>
      </c>
      <c r="Z477" s="2">
        <f t="shared" si="93"/>
        <v>1</v>
      </c>
      <c r="AA477">
        <v>357.4</v>
      </c>
      <c r="AB477" s="2" t="str">
        <f>CHOOSE(MATCH(AA477,{0;11;80;111;161;191;241;281;341},1),"North","NorthEast","East","SouthEast","South","SouthWest","West","NorthWest","North")</f>
        <v>North</v>
      </c>
      <c r="AC477" s="5">
        <f>CHOOSE(MATCH(AB477,{"South";"SouthEast";"SouthWest";"North";"NorthEast";"East";"West";"NorthWest"},0),1,2,3,4,5,6,7,8)</f>
        <v>4</v>
      </c>
      <c r="AD477" s="2">
        <f t="shared" si="94"/>
        <v>1</v>
      </c>
      <c r="AE477">
        <v>1015.8</v>
      </c>
      <c r="AF477" s="4" t="s">
        <v>121</v>
      </c>
      <c r="AG477" s="2">
        <f t="shared" si="95"/>
        <v>1</v>
      </c>
      <c r="AH477" t="s">
        <v>851</v>
      </c>
      <c r="AI477" s="2">
        <f t="shared" si="96"/>
        <v>6</v>
      </c>
      <c r="AJ477" s="2">
        <f t="shared" si="97"/>
        <v>1</v>
      </c>
      <c r="AK477" s="3">
        <v>61.999999992549419</v>
      </c>
      <c r="AM477" s="2">
        <v>0</v>
      </c>
      <c r="AN477">
        <v>3</v>
      </c>
      <c r="AO477">
        <v>0</v>
      </c>
      <c r="AP477">
        <v>0</v>
      </c>
      <c r="AQ477" s="2">
        <f>IF((2*G477 + M477 -P477 + 3*W477 + 2*Z477+2*AD477 + AG477+2*AJ477 + 4*AM477) &gt;=8,1,0)</f>
        <v>1</v>
      </c>
    </row>
    <row r="478" spans="1:43" x14ac:dyDescent="0.25">
      <c r="A478" t="s">
        <v>27</v>
      </c>
      <c r="B478" s="1">
        <v>38524</v>
      </c>
      <c r="C478" s="7">
        <f t="shared" si="89"/>
        <v>2005</v>
      </c>
      <c r="D478">
        <v>81.400000000000006</v>
      </c>
      <c r="E478">
        <v>69.400000000000006</v>
      </c>
      <c r="F478">
        <v>75.2</v>
      </c>
      <c r="G478" s="2">
        <f t="shared" si="88"/>
        <v>1</v>
      </c>
      <c r="H478">
        <v>82.3</v>
      </c>
      <c r="I478">
        <v>69.400000000000006</v>
      </c>
      <c r="J478">
        <v>75.3</v>
      </c>
      <c r="K478">
        <v>57.7</v>
      </c>
      <c r="L478">
        <v>55.3</v>
      </c>
      <c r="M478" s="2">
        <f t="shared" si="90"/>
        <v>0</v>
      </c>
      <c r="N478">
        <v>0</v>
      </c>
      <c r="P478" s="2">
        <f t="shared" si="91"/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2">
        <f t="shared" si="92"/>
        <v>0</v>
      </c>
      <c r="X478">
        <v>14.2</v>
      </c>
      <c r="Z478" s="2">
        <f t="shared" si="93"/>
        <v>0</v>
      </c>
      <c r="AA478">
        <v>5.0999999999999996</v>
      </c>
      <c r="AB478" s="2" t="str">
        <f>CHOOSE(MATCH(AA478,{0;11;80;111;161;191;241;281;341},1),"North","NorthEast","East","SouthEast","South","SouthWest","West","NorthWest","North")</f>
        <v>North</v>
      </c>
      <c r="AC478" s="5">
        <f>CHOOSE(MATCH(AB478,{"South";"SouthEast";"SouthWest";"North";"NorthEast";"East";"West";"NorthWest"},0),1,2,3,4,5,6,7,8)</f>
        <v>4</v>
      </c>
      <c r="AD478" s="2">
        <f t="shared" si="94"/>
        <v>1</v>
      </c>
      <c r="AE478">
        <v>1012.1</v>
      </c>
      <c r="AF478" s="4" t="s">
        <v>852</v>
      </c>
      <c r="AG478" s="2">
        <f t="shared" si="95"/>
        <v>1</v>
      </c>
      <c r="AH478" t="s">
        <v>853</v>
      </c>
      <c r="AI478" s="2">
        <f t="shared" si="96"/>
        <v>6</v>
      </c>
      <c r="AJ478" s="2">
        <f t="shared" si="97"/>
        <v>1</v>
      </c>
      <c r="AK478" s="3">
        <v>74.999999993015081</v>
      </c>
      <c r="AM478" s="2">
        <v>0</v>
      </c>
      <c r="AN478">
        <v>0</v>
      </c>
      <c r="AO478">
        <v>0.1</v>
      </c>
      <c r="AP478">
        <v>0</v>
      </c>
      <c r="AQ478" s="2">
        <f>IF((2*G478 + M478 -P478 + 3*W478 + 2*Z478+2*AD478 + AG478+2*AJ478 + 4*AM478) &gt;=8,1,0)</f>
        <v>0</v>
      </c>
    </row>
    <row r="479" spans="1:43" x14ac:dyDescent="0.25">
      <c r="A479" t="s">
        <v>27</v>
      </c>
      <c r="B479" s="1">
        <v>38525</v>
      </c>
      <c r="C479" s="7">
        <f t="shared" si="89"/>
        <v>2005</v>
      </c>
      <c r="D479">
        <v>85</v>
      </c>
      <c r="E479">
        <v>60.9</v>
      </c>
      <c r="F479">
        <v>74.8</v>
      </c>
      <c r="G479" s="2">
        <f t="shared" si="88"/>
        <v>1</v>
      </c>
      <c r="H479">
        <v>84</v>
      </c>
      <c r="I479">
        <v>60.9</v>
      </c>
      <c r="J479">
        <v>74.599999999999994</v>
      </c>
      <c r="K479">
        <v>56.2</v>
      </c>
      <c r="L479">
        <v>54.4</v>
      </c>
      <c r="M479" s="2">
        <f t="shared" si="90"/>
        <v>0</v>
      </c>
      <c r="N479">
        <v>0</v>
      </c>
      <c r="P479" s="2">
        <f t="shared" si="91"/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s="2">
        <f t="shared" si="92"/>
        <v>0</v>
      </c>
      <c r="X479">
        <v>15</v>
      </c>
      <c r="Z479" s="2">
        <f t="shared" si="93"/>
        <v>0</v>
      </c>
      <c r="AA479">
        <v>53.6</v>
      </c>
      <c r="AB479" s="2" t="str">
        <f>CHOOSE(MATCH(AA479,{0;11;80;111;161;191;241;281;341},1),"North","NorthEast","East","SouthEast","South","SouthWest","West","NorthWest","North")</f>
        <v>NorthEast</v>
      </c>
      <c r="AC479" s="5">
        <f>CHOOSE(MATCH(AB479,{"South";"SouthEast";"SouthWest";"North";"NorthEast";"East";"West";"NorthWest"},0),1,2,3,4,5,6,7,8)</f>
        <v>5</v>
      </c>
      <c r="AD479" s="2">
        <f t="shared" si="94"/>
        <v>1</v>
      </c>
      <c r="AE479">
        <v>1015.6</v>
      </c>
      <c r="AF479" s="4" t="s">
        <v>40</v>
      </c>
      <c r="AG479" s="2">
        <f t="shared" si="95"/>
        <v>1</v>
      </c>
      <c r="AH479" t="s">
        <v>854</v>
      </c>
      <c r="AI479" s="2">
        <f t="shared" si="96"/>
        <v>6</v>
      </c>
      <c r="AJ479" s="2">
        <f t="shared" si="97"/>
        <v>1</v>
      </c>
      <c r="AK479" s="3">
        <v>1300.0000000046571</v>
      </c>
      <c r="AM479" s="2">
        <v>1</v>
      </c>
      <c r="AN479">
        <v>25</v>
      </c>
      <c r="AO479">
        <v>0</v>
      </c>
      <c r="AP479">
        <v>0</v>
      </c>
      <c r="AQ479" s="2">
        <f>IF((2*G479 + M479 -P479 + 3*W479 + 2*Z479+2*AD479 + AG479+2*AJ479 + 4*AM479) &gt;=8,1,0)</f>
        <v>1</v>
      </c>
    </row>
    <row r="480" spans="1:43" x14ac:dyDescent="0.25">
      <c r="A480" t="s">
        <v>27</v>
      </c>
      <c r="B480" s="1">
        <v>38527</v>
      </c>
      <c r="C480" s="7">
        <f t="shared" si="89"/>
        <v>2005</v>
      </c>
      <c r="D480">
        <v>88.1</v>
      </c>
      <c r="E480">
        <v>64.5</v>
      </c>
      <c r="F480">
        <v>76.599999999999994</v>
      </c>
      <c r="G480" s="2">
        <f t="shared" si="88"/>
        <v>1</v>
      </c>
      <c r="H480">
        <v>86.9</v>
      </c>
      <c r="I480">
        <v>64.5</v>
      </c>
      <c r="J480">
        <v>76.5</v>
      </c>
      <c r="K480">
        <v>57.4</v>
      </c>
      <c r="L480">
        <v>53</v>
      </c>
      <c r="M480" s="2">
        <f t="shared" si="90"/>
        <v>0</v>
      </c>
      <c r="N480">
        <v>0</v>
      </c>
      <c r="P480" s="2">
        <f t="shared" si="91"/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s="2">
        <f t="shared" si="92"/>
        <v>0</v>
      </c>
      <c r="X480">
        <v>18.399999999999999</v>
      </c>
      <c r="Z480" s="2">
        <f t="shared" si="93"/>
        <v>1</v>
      </c>
      <c r="AA480">
        <v>53.7</v>
      </c>
      <c r="AB480" s="2" t="str">
        <f>CHOOSE(MATCH(AA480,{0;11;80;111;161;191;241;281;341},1),"North","NorthEast","East","SouthEast","South","SouthWest","West","NorthWest","North")</f>
        <v>NorthEast</v>
      </c>
      <c r="AC480" s="5">
        <f>CHOOSE(MATCH(AB480,{"South";"SouthEast";"SouthWest";"North";"NorthEast";"East";"West";"NorthWest"},0),1,2,3,4,5,6,7,8)</f>
        <v>5</v>
      </c>
      <c r="AD480" s="2">
        <f t="shared" si="94"/>
        <v>1</v>
      </c>
      <c r="AE480">
        <v>1014.3</v>
      </c>
      <c r="AF480" s="4" t="s">
        <v>624</v>
      </c>
      <c r="AG480" s="2">
        <f t="shared" si="95"/>
        <v>1</v>
      </c>
      <c r="AH480" t="s">
        <v>855</v>
      </c>
      <c r="AI480" s="2">
        <f t="shared" si="96"/>
        <v>6</v>
      </c>
      <c r="AJ480" s="2">
        <f t="shared" si="97"/>
        <v>1</v>
      </c>
      <c r="AK480" s="3">
        <v>1156.0000000067521</v>
      </c>
      <c r="AM480" s="2">
        <v>1</v>
      </c>
      <c r="AN480">
        <v>2.5</v>
      </c>
      <c r="AO480">
        <v>0</v>
      </c>
      <c r="AP480">
        <v>0</v>
      </c>
      <c r="AQ480" s="2">
        <f>IF((2*G480 + M480 -P480 + 3*W480 + 2*Z480+2*AD480 + AG480+2*AJ480 + 4*AM480) &gt;=8,1,0)</f>
        <v>1</v>
      </c>
    </row>
    <row r="481" spans="1:43" x14ac:dyDescent="0.25">
      <c r="A481" t="s">
        <v>27</v>
      </c>
      <c r="B481" s="1">
        <v>38529</v>
      </c>
      <c r="C481" s="7">
        <f t="shared" si="89"/>
        <v>2005</v>
      </c>
      <c r="D481">
        <v>88</v>
      </c>
      <c r="E481">
        <v>67.5</v>
      </c>
      <c r="F481">
        <v>77.900000000000006</v>
      </c>
      <c r="G481" s="2">
        <f t="shared" si="88"/>
        <v>1</v>
      </c>
      <c r="H481">
        <v>86</v>
      </c>
      <c r="I481">
        <v>67.5</v>
      </c>
      <c r="J481">
        <v>77.400000000000006</v>
      </c>
      <c r="K481">
        <v>54</v>
      </c>
      <c r="L481">
        <v>44.4</v>
      </c>
      <c r="M481" s="2">
        <f t="shared" si="90"/>
        <v>1</v>
      </c>
      <c r="N481">
        <v>0</v>
      </c>
      <c r="P481" s="2">
        <f t="shared" si="91"/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2">
        <f t="shared" si="92"/>
        <v>0</v>
      </c>
      <c r="X481">
        <v>18</v>
      </c>
      <c r="Z481" s="2">
        <f t="shared" si="93"/>
        <v>1</v>
      </c>
      <c r="AA481">
        <v>5.8</v>
      </c>
      <c r="AB481" s="2" t="str">
        <f>CHOOSE(MATCH(AA481,{0;11;80;111;161;191;241;281;341},1),"North","NorthEast","East","SouthEast","South","SouthWest","West","NorthWest","North")</f>
        <v>North</v>
      </c>
      <c r="AC481" s="5">
        <f>CHOOSE(MATCH(AB481,{"South";"SouthEast";"SouthWest";"North";"NorthEast";"East";"West";"NorthWest"},0),1,2,3,4,5,6,7,8)</f>
        <v>4</v>
      </c>
      <c r="AD481" s="2">
        <f t="shared" si="94"/>
        <v>1</v>
      </c>
      <c r="AE481">
        <v>1015.8</v>
      </c>
      <c r="AF481" s="4" t="s">
        <v>856</v>
      </c>
      <c r="AG481" s="2">
        <f t="shared" si="95"/>
        <v>1</v>
      </c>
      <c r="AH481" t="s">
        <v>857</v>
      </c>
      <c r="AI481" s="2">
        <f t="shared" si="96"/>
        <v>6</v>
      </c>
      <c r="AJ481" s="2">
        <f t="shared" si="97"/>
        <v>1</v>
      </c>
      <c r="AK481" s="3">
        <v>45</v>
      </c>
      <c r="AM481" s="2">
        <v>0</v>
      </c>
      <c r="AN481">
        <v>1</v>
      </c>
      <c r="AO481">
        <v>0</v>
      </c>
      <c r="AP481">
        <v>0</v>
      </c>
      <c r="AQ481" s="2">
        <f>IF((2*G481 + M481 -P481 + 3*W481 + 2*Z481+2*AD481 + AG481+2*AJ481 + 4*AM481) &gt;=8,1,0)</f>
        <v>1</v>
      </c>
    </row>
    <row r="482" spans="1:43" x14ac:dyDescent="0.25">
      <c r="A482" t="s">
        <v>27</v>
      </c>
      <c r="B482" s="1">
        <v>38529</v>
      </c>
      <c r="C482" s="7">
        <f t="shared" si="89"/>
        <v>2005</v>
      </c>
      <c r="D482">
        <v>88</v>
      </c>
      <c r="E482">
        <v>67.5</v>
      </c>
      <c r="F482">
        <v>77.900000000000006</v>
      </c>
      <c r="G482" s="2">
        <f t="shared" si="88"/>
        <v>1</v>
      </c>
      <c r="H482">
        <v>86</v>
      </c>
      <c r="I482">
        <v>67.5</v>
      </c>
      <c r="J482">
        <v>77.400000000000006</v>
      </c>
      <c r="K482">
        <v>54</v>
      </c>
      <c r="L482">
        <v>44.4</v>
      </c>
      <c r="M482" s="2">
        <f t="shared" si="90"/>
        <v>1</v>
      </c>
      <c r="N482">
        <v>0</v>
      </c>
      <c r="P482" s="2">
        <f t="shared" si="91"/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s="2">
        <f t="shared" si="92"/>
        <v>0</v>
      </c>
      <c r="X482">
        <v>18</v>
      </c>
      <c r="Z482" s="2">
        <f t="shared" si="93"/>
        <v>1</v>
      </c>
      <c r="AA482">
        <v>5.8</v>
      </c>
      <c r="AB482" s="2" t="str">
        <f>CHOOSE(MATCH(AA482,{0;11;80;111;161;191;241;281;341},1),"North","NorthEast","East","SouthEast","South","SouthWest","West","NorthWest","North")</f>
        <v>North</v>
      </c>
      <c r="AC482" s="5">
        <f>CHOOSE(MATCH(AB482,{"South";"SouthEast";"SouthWest";"North";"NorthEast";"East";"West";"NorthWest"},0),1,2,3,4,5,6,7,8)</f>
        <v>4</v>
      </c>
      <c r="AD482" s="2">
        <f t="shared" si="94"/>
        <v>1</v>
      </c>
      <c r="AE482">
        <v>1015.8</v>
      </c>
      <c r="AF482" s="4" t="s">
        <v>261</v>
      </c>
      <c r="AG482" s="2">
        <f t="shared" si="95"/>
        <v>1</v>
      </c>
      <c r="AH482" t="s">
        <v>858</v>
      </c>
      <c r="AI482" s="2">
        <f t="shared" si="96"/>
        <v>6</v>
      </c>
      <c r="AJ482" s="2">
        <f t="shared" si="97"/>
        <v>1</v>
      </c>
      <c r="AK482" s="3">
        <v>270</v>
      </c>
      <c r="AM482" s="2">
        <v>0</v>
      </c>
      <c r="AN482">
        <v>7</v>
      </c>
      <c r="AO482">
        <v>0</v>
      </c>
      <c r="AP482">
        <v>0</v>
      </c>
      <c r="AQ482" s="2">
        <f>IF((2*G482 + M482 -P482 + 3*W482 + 2*Z482+2*AD482 + AG482+2*AJ482 + 4*AM482) &gt;=8,1,0)</f>
        <v>1</v>
      </c>
    </row>
    <row r="483" spans="1:43" x14ac:dyDescent="0.25">
      <c r="A483" t="s">
        <v>27</v>
      </c>
      <c r="B483" s="1">
        <v>38529</v>
      </c>
      <c r="C483" s="7">
        <f t="shared" si="89"/>
        <v>2005</v>
      </c>
      <c r="D483">
        <v>88</v>
      </c>
      <c r="E483">
        <v>67.5</v>
      </c>
      <c r="F483">
        <v>77.900000000000006</v>
      </c>
      <c r="G483" s="2">
        <f t="shared" si="88"/>
        <v>1</v>
      </c>
      <c r="H483">
        <v>86</v>
      </c>
      <c r="I483">
        <v>67.5</v>
      </c>
      <c r="J483">
        <v>77.400000000000006</v>
      </c>
      <c r="K483">
        <v>54</v>
      </c>
      <c r="L483">
        <v>44.4</v>
      </c>
      <c r="M483" s="2">
        <f t="shared" si="90"/>
        <v>1</v>
      </c>
      <c r="N483">
        <v>0</v>
      </c>
      <c r="P483" s="2">
        <f t="shared" si="91"/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s="2">
        <f t="shared" si="92"/>
        <v>0</v>
      </c>
      <c r="X483">
        <v>18</v>
      </c>
      <c r="Z483" s="2">
        <f t="shared" si="93"/>
        <v>1</v>
      </c>
      <c r="AA483">
        <v>5.8</v>
      </c>
      <c r="AB483" s="2" t="str">
        <f>CHOOSE(MATCH(AA483,{0;11;80;111;161;191;241;281;341},1),"North","NorthEast","East","SouthEast","South","SouthWest","West","NorthWest","North")</f>
        <v>North</v>
      </c>
      <c r="AC483" s="5">
        <f>CHOOSE(MATCH(AB483,{"South";"SouthEast";"SouthWest";"North";"NorthEast";"East";"West";"NorthWest"},0),1,2,3,4,5,6,7,8)</f>
        <v>4</v>
      </c>
      <c r="AD483" s="2">
        <f t="shared" si="94"/>
        <v>1</v>
      </c>
      <c r="AE483">
        <v>1015.8</v>
      </c>
      <c r="AF483" s="4" t="s">
        <v>859</v>
      </c>
      <c r="AG483" s="2">
        <f t="shared" si="95"/>
        <v>1</v>
      </c>
      <c r="AH483" t="s">
        <v>860</v>
      </c>
      <c r="AI483" s="2">
        <f t="shared" si="96"/>
        <v>6</v>
      </c>
      <c r="AJ483" s="2">
        <f t="shared" si="97"/>
        <v>1</v>
      </c>
      <c r="AK483" s="3">
        <v>4742.999999995809</v>
      </c>
      <c r="AM483" s="2">
        <v>1</v>
      </c>
      <c r="AN483">
        <v>60</v>
      </c>
      <c r="AO483">
        <v>0</v>
      </c>
      <c r="AP483">
        <v>0</v>
      </c>
      <c r="AQ483" s="2">
        <f>IF((2*G483 + M483 -P483 + 3*W483 + 2*Z483+2*AD483 + AG483+2*AJ483 + 4*AM483) &gt;=8,1,0)</f>
        <v>1</v>
      </c>
    </row>
    <row r="484" spans="1:43" x14ac:dyDescent="0.25">
      <c r="A484" t="s">
        <v>27</v>
      </c>
      <c r="B484" s="1">
        <v>38532</v>
      </c>
      <c r="C484" s="7">
        <f t="shared" si="89"/>
        <v>2005</v>
      </c>
      <c r="D484">
        <v>88.2</v>
      </c>
      <c r="E484">
        <v>73.900000000000006</v>
      </c>
      <c r="F484">
        <v>80.099999999999994</v>
      </c>
      <c r="G484" s="2">
        <f t="shared" si="88"/>
        <v>1</v>
      </c>
      <c r="H484">
        <v>86.4</v>
      </c>
      <c r="I484">
        <v>73.900000000000006</v>
      </c>
      <c r="J484">
        <v>79.7</v>
      </c>
      <c r="K484">
        <v>57.9</v>
      </c>
      <c r="L484">
        <v>47.9</v>
      </c>
      <c r="M484" s="2">
        <f t="shared" si="90"/>
        <v>1</v>
      </c>
      <c r="N484">
        <v>0</v>
      </c>
      <c r="P484" s="2">
        <f t="shared" si="91"/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s="2">
        <f t="shared" si="92"/>
        <v>0</v>
      </c>
      <c r="X484">
        <v>18</v>
      </c>
      <c r="Z484" s="2">
        <f t="shared" si="93"/>
        <v>1</v>
      </c>
      <c r="AA484">
        <v>8.3000000000000007</v>
      </c>
      <c r="AB484" s="2" t="str">
        <f>CHOOSE(MATCH(AA484,{0;11;80;111;161;191;241;281;341},1),"North","NorthEast","East","SouthEast","South","SouthWest","West","NorthWest","North")</f>
        <v>North</v>
      </c>
      <c r="AC484" s="5">
        <f>CHOOSE(MATCH(AB484,{"South";"SouthEast";"SouthWest";"North";"NorthEast";"East";"West";"NorthWest"},0),1,2,3,4,5,6,7,8)</f>
        <v>4</v>
      </c>
      <c r="AD484" s="2">
        <f t="shared" si="94"/>
        <v>1</v>
      </c>
      <c r="AE484">
        <v>1009.6</v>
      </c>
      <c r="AF484" s="4" t="s">
        <v>541</v>
      </c>
      <c r="AG484" s="2">
        <f t="shared" si="95"/>
        <v>1</v>
      </c>
      <c r="AH484" t="s">
        <v>861</v>
      </c>
      <c r="AI484" s="2">
        <f t="shared" si="96"/>
        <v>6</v>
      </c>
      <c r="AJ484" s="2">
        <f t="shared" si="97"/>
        <v>1</v>
      </c>
      <c r="AK484" s="3">
        <v>79.999999998835847</v>
      </c>
      <c r="AM484" s="2">
        <v>0</v>
      </c>
      <c r="AN484">
        <v>3</v>
      </c>
      <c r="AO484">
        <v>0</v>
      </c>
      <c r="AP484">
        <v>0</v>
      </c>
      <c r="AQ484" s="2">
        <f>IF((2*G484 + M484 -P484 + 3*W484 + 2*Z484+2*AD484 + AG484+2*AJ484 + 4*AM484) &gt;=8,1,0)</f>
        <v>1</v>
      </c>
    </row>
    <row r="485" spans="1:43" x14ac:dyDescent="0.25">
      <c r="A485" t="s">
        <v>27</v>
      </c>
      <c r="B485" s="1">
        <v>38536</v>
      </c>
      <c r="C485" s="7">
        <f t="shared" si="89"/>
        <v>2005</v>
      </c>
      <c r="D485">
        <v>83.3</v>
      </c>
      <c r="E485">
        <v>67.900000000000006</v>
      </c>
      <c r="F485">
        <v>75.3</v>
      </c>
      <c r="G485" s="2">
        <f t="shared" si="88"/>
        <v>1</v>
      </c>
      <c r="H485">
        <v>84.6</v>
      </c>
      <c r="I485">
        <v>67.900000000000006</v>
      </c>
      <c r="J485">
        <v>75.400000000000006</v>
      </c>
      <c r="K485">
        <v>61.1</v>
      </c>
      <c r="L485">
        <v>62.5</v>
      </c>
      <c r="M485" s="2">
        <f t="shared" si="90"/>
        <v>0</v>
      </c>
      <c r="N485">
        <v>1.05</v>
      </c>
      <c r="P485" s="2">
        <f t="shared" si="91"/>
        <v>0</v>
      </c>
      <c r="Q485">
        <v>100</v>
      </c>
      <c r="R485">
        <v>4.17</v>
      </c>
      <c r="S485" t="s">
        <v>87</v>
      </c>
      <c r="T485">
        <v>0</v>
      </c>
      <c r="U485">
        <v>0</v>
      </c>
      <c r="V485">
        <v>0</v>
      </c>
      <c r="W485" s="2">
        <f t="shared" si="92"/>
        <v>0</v>
      </c>
      <c r="X485">
        <v>14.7</v>
      </c>
      <c r="Z485" s="2">
        <f t="shared" si="93"/>
        <v>0</v>
      </c>
      <c r="AA485">
        <v>340.1</v>
      </c>
      <c r="AB485" s="2" t="str">
        <f>CHOOSE(MATCH(AA485,{0;11;80;111;161;191;241;281;341},1),"North","NorthEast","East","SouthEast","South","SouthWest","West","NorthWest","North")</f>
        <v>NorthWest</v>
      </c>
      <c r="AC485" s="5">
        <f>CHOOSE(MATCH(AB485,{"South";"SouthEast";"SouthWest";"North";"NorthEast";"East";"West";"NorthWest"},0),1,2,3,4,5,6,7,8)</f>
        <v>8</v>
      </c>
      <c r="AD485" s="2">
        <f t="shared" si="94"/>
        <v>1</v>
      </c>
      <c r="AE485">
        <v>1003.8</v>
      </c>
      <c r="AF485" s="4" t="s">
        <v>862</v>
      </c>
      <c r="AG485" s="2">
        <f t="shared" si="95"/>
        <v>1</v>
      </c>
      <c r="AH485" t="s">
        <v>863</v>
      </c>
      <c r="AI485" s="2">
        <f t="shared" si="96"/>
        <v>7</v>
      </c>
      <c r="AJ485" s="2">
        <f t="shared" si="97"/>
        <v>1</v>
      </c>
      <c r="AK485" s="3">
        <v>45</v>
      </c>
      <c r="AM485" s="2">
        <v>0</v>
      </c>
      <c r="AN485">
        <v>0</v>
      </c>
      <c r="AO485">
        <v>2</v>
      </c>
      <c r="AP485">
        <v>0</v>
      </c>
      <c r="AQ485" s="2">
        <f>IF((2*G485 + M485 -P485 + 3*W485 + 2*Z485+2*AD485 + AG485+2*AJ485 + 4*AM485) &gt;=8,1,0)</f>
        <v>0</v>
      </c>
    </row>
    <row r="486" spans="1:43" x14ac:dyDescent="0.25">
      <c r="A486" t="s">
        <v>27</v>
      </c>
      <c r="B486" s="1">
        <v>38539</v>
      </c>
      <c r="C486" s="7">
        <f t="shared" si="89"/>
        <v>2005</v>
      </c>
      <c r="D486">
        <v>86.1</v>
      </c>
      <c r="E486">
        <v>68.099999999999994</v>
      </c>
      <c r="F486">
        <v>77.5</v>
      </c>
      <c r="G486" s="2">
        <f t="shared" si="88"/>
        <v>1</v>
      </c>
      <c r="H486">
        <v>87.9</v>
      </c>
      <c r="I486">
        <v>68.099999999999994</v>
      </c>
      <c r="J486">
        <v>78</v>
      </c>
      <c r="K486">
        <v>62.8</v>
      </c>
      <c r="L486">
        <v>61.9</v>
      </c>
      <c r="M486" s="2">
        <f t="shared" si="90"/>
        <v>0</v>
      </c>
      <c r="N486">
        <v>0</v>
      </c>
      <c r="P486" s="2">
        <f t="shared" si="91"/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2">
        <f t="shared" si="92"/>
        <v>0</v>
      </c>
      <c r="X486">
        <v>10.199999999999999</v>
      </c>
      <c r="Z486" s="2">
        <f t="shared" si="93"/>
        <v>0</v>
      </c>
      <c r="AA486">
        <v>183.6</v>
      </c>
      <c r="AB486" s="2" t="str">
        <f>CHOOSE(MATCH(AA486,{0;11;80;111;161;191;241;281;341},1),"North","NorthEast","East","SouthEast","South","SouthWest","West","NorthWest","North")</f>
        <v>South</v>
      </c>
      <c r="AC486" s="5">
        <f>CHOOSE(MATCH(AB486,{"South";"SouthEast";"SouthWest";"North";"NorthEast";"East";"West";"NorthWest"},0),1,2,3,4,5,6,7,8)</f>
        <v>1</v>
      </c>
      <c r="AD486" s="2">
        <f t="shared" si="94"/>
        <v>0</v>
      </c>
      <c r="AE486">
        <v>1009.7</v>
      </c>
      <c r="AF486" s="4" t="s">
        <v>864</v>
      </c>
      <c r="AG486" s="2">
        <f t="shared" si="95"/>
        <v>0</v>
      </c>
      <c r="AH486" t="s">
        <v>865</v>
      </c>
      <c r="AI486" s="2">
        <f t="shared" si="96"/>
        <v>7</v>
      </c>
      <c r="AJ486" s="2">
        <f t="shared" si="97"/>
        <v>1</v>
      </c>
      <c r="AK486" s="3">
        <v>83.000000008614734</v>
      </c>
      <c r="AM486" s="2">
        <v>0</v>
      </c>
      <c r="AN486">
        <v>0.02</v>
      </c>
      <c r="AO486">
        <v>0.02</v>
      </c>
      <c r="AP486">
        <v>0</v>
      </c>
      <c r="AQ486" s="2">
        <f>IF((2*G486 + M486 -P486 + 3*W486 + 2*Z486+2*AD486 + AG486+2*AJ486 + 4*AM486) &gt;=8,1,0)</f>
        <v>0</v>
      </c>
    </row>
    <row r="487" spans="1:43" x14ac:dyDescent="0.25">
      <c r="A487" t="s">
        <v>27</v>
      </c>
      <c r="B487" s="1">
        <v>38542</v>
      </c>
      <c r="C487" s="7">
        <f t="shared" si="89"/>
        <v>2005</v>
      </c>
      <c r="D487">
        <v>89.7</v>
      </c>
      <c r="E487">
        <v>70.8</v>
      </c>
      <c r="F487">
        <v>80.3</v>
      </c>
      <c r="G487" s="2">
        <f t="shared" si="88"/>
        <v>1</v>
      </c>
      <c r="H487">
        <v>94.5</v>
      </c>
      <c r="I487">
        <v>70.8</v>
      </c>
      <c r="J487">
        <v>81.8</v>
      </c>
      <c r="K487">
        <v>66.599999999999994</v>
      </c>
      <c r="L487">
        <v>64.599999999999994</v>
      </c>
      <c r="M487" s="2">
        <f t="shared" si="90"/>
        <v>0</v>
      </c>
      <c r="N487">
        <v>0</v>
      </c>
      <c r="P487" s="2">
        <f t="shared" si="91"/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2">
        <f t="shared" si="92"/>
        <v>0</v>
      </c>
      <c r="X487">
        <v>10.3</v>
      </c>
      <c r="Z487" s="2">
        <f t="shared" si="93"/>
        <v>0</v>
      </c>
      <c r="AA487">
        <v>133.19999999999999</v>
      </c>
      <c r="AB487" s="2" t="str">
        <f>CHOOSE(MATCH(AA487,{0;11;80;111;161;191;241;281;341},1),"North","NorthEast","East","SouthEast","South","SouthWest","West","NorthWest","North")</f>
        <v>SouthEast</v>
      </c>
      <c r="AC487" s="5">
        <f>CHOOSE(MATCH(AB487,{"South";"SouthEast";"SouthWest";"North";"NorthEast";"East";"West";"NorthWest"},0),1,2,3,4,5,6,7,8)</f>
        <v>2</v>
      </c>
      <c r="AD487" s="2">
        <f t="shared" si="94"/>
        <v>0</v>
      </c>
      <c r="AE487">
        <v>1011.8</v>
      </c>
      <c r="AF487" s="4" t="s">
        <v>866</v>
      </c>
      <c r="AG487" s="2">
        <f t="shared" si="95"/>
        <v>1</v>
      </c>
      <c r="AH487" t="s">
        <v>867</v>
      </c>
      <c r="AI487" s="2">
        <f t="shared" si="96"/>
        <v>7</v>
      </c>
      <c r="AJ487" s="2">
        <f t="shared" si="97"/>
        <v>1</v>
      </c>
      <c r="AK487" s="3">
        <v>2498.0000000016298</v>
      </c>
      <c r="AM487" s="2">
        <v>1</v>
      </c>
      <c r="AN487">
        <v>0</v>
      </c>
      <c r="AO487">
        <v>80</v>
      </c>
      <c r="AP487">
        <v>0</v>
      </c>
      <c r="AQ487" s="2">
        <f>IF((2*G487 + M487 -P487 + 3*W487 + 2*Z487+2*AD487 + AG487+2*AJ487 + 4*AM487) &gt;=8,1,0)</f>
        <v>1</v>
      </c>
    </row>
    <row r="488" spans="1:43" x14ac:dyDescent="0.25">
      <c r="A488" t="s">
        <v>27</v>
      </c>
      <c r="B488" s="1">
        <v>38548</v>
      </c>
      <c r="C488" s="7">
        <f t="shared" si="89"/>
        <v>2005</v>
      </c>
      <c r="D488">
        <v>83.5</v>
      </c>
      <c r="E488">
        <v>69.400000000000006</v>
      </c>
      <c r="F488">
        <v>76.3</v>
      </c>
      <c r="G488" s="2">
        <f t="shared" si="88"/>
        <v>1</v>
      </c>
      <c r="H488">
        <v>82.5</v>
      </c>
      <c r="I488">
        <v>69.400000000000006</v>
      </c>
      <c r="J488">
        <v>76.3</v>
      </c>
      <c r="K488">
        <v>58.8</v>
      </c>
      <c r="L488">
        <v>56.2</v>
      </c>
      <c r="M488" s="2">
        <f t="shared" si="90"/>
        <v>0</v>
      </c>
      <c r="N488">
        <v>0</v>
      </c>
      <c r="P488" s="2">
        <f t="shared" si="91"/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2">
        <f t="shared" si="92"/>
        <v>0</v>
      </c>
      <c r="X488">
        <v>18.600000000000001</v>
      </c>
      <c r="Z488" s="2">
        <f t="shared" si="93"/>
        <v>1</v>
      </c>
      <c r="AA488">
        <v>358</v>
      </c>
      <c r="AB488" s="2" t="str">
        <f>CHOOSE(MATCH(AA488,{0;11;80;111;161;191;241;281;341},1),"North","NorthEast","East","SouthEast","South","SouthWest","West","NorthWest","North")</f>
        <v>North</v>
      </c>
      <c r="AC488" s="5">
        <f>CHOOSE(MATCH(AB488,{"South";"SouthEast";"SouthWest";"North";"NorthEast";"East";"West";"NorthWest"},0),1,2,3,4,5,6,7,8)</f>
        <v>4</v>
      </c>
      <c r="AD488" s="2">
        <f t="shared" si="94"/>
        <v>1</v>
      </c>
      <c r="AE488">
        <v>1012.6</v>
      </c>
      <c r="AF488" s="4" t="s">
        <v>868</v>
      </c>
      <c r="AG488" s="2">
        <f t="shared" si="95"/>
        <v>0</v>
      </c>
      <c r="AH488" t="s">
        <v>869</v>
      </c>
      <c r="AI488" s="2">
        <f t="shared" si="96"/>
        <v>7</v>
      </c>
      <c r="AJ488" s="2">
        <f t="shared" si="97"/>
        <v>1</v>
      </c>
      <c r="AK488" s="3">
        <v>460.00000000116421</v>
      </c>
      <c r="AM488" s="2">
        <v>1</v>
      </c>
      <c r="AN488">
        <v>0</v>
      </c>
      <c r="AO488">
        <v>4</v>
      </c>
      <c r="AP488">
        <v>0</v>
      </c>
      <c r="AQ488" s="2">
        <f>IF((2*G488 + M488 -P488 + 3*W488 + 2*Z488+2*AD488 + AG488+2*AJ488 + 4*AM488) &gt;=8,1,0)</f>
        <v>1</v>
      </c>
    </row>
    <row r="489" spans="1:43" x14ac:dyDescent="0.25">
      <c r="A489" t="s">
        <v>27</v>
      </c>
      <c r="B489" s="1">
        <v>38550</v>
      </c>
      <c r="C489" s="7">
        <f t="shared" si="89"/>
        <v>2005</v>
      </c>
      <c r="D489">
        <v>90.7</v>
      </c>
      <c r="E489">
        <v>67.599999999999994</v>
      </c>
      <c r="F489">
        <v>79.7</v>
      </c>
      <c r="G489" s="2">
        <f t="shared" si="88"/>
        <v>1</v>
      </c>
      <c r="H489">
        <v>88.6</v>
      </c>
      <c r="I489">
        <v>67.599999999999994</v>
      </c>
      <c r="J489">
        <v>79.3</v>
      </c>
      <c r="K489">
        <v>57.2</v>
      </c>
      <c r="L489">
        <v>47.8</v>
      </c>
      <c r="M489" s="2">
        <f t="shared" si="90"/>
        <v>1</v>
      </c>
      <c r="N489">
        <v>0</v>
      </c>
      <c r="P489" s="2">
        <f t="shared" si="91"/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s="2">
        <f t="shared" si="92"/>
        <v>0</v>
      </c>
      <c r="X489">
        <v>14.3</v>
      </c>
      <c r="Z489" s="2">
        <f t="shared" si="93"/>
        <v>0</v>
      </c>
      <c r="AA489">
        <v>181.1</v>
      </c>
      <c r="AB489" s="2" t="str">
        <f>CHOOSE(MATCH(AA489,{0;11;80;111;161;191;241;281;341},1),"North","NorthEast","East","SouthEast","South","SouthWest","West","NorthWest","North")</f>
        <v>South</v>
      </c>
      <c r="AC489" s="5">
        <f>CHOOSE(MATCH(AB489,{"South";"SouthEast";"SouthWest";"North";"NorthEast";"East";"West";"NorthWest"},0),1,2,3,4,5,6,7,8)</f>
        <v>1</v>
      </c>
      <c r="AD489" s="2">
        <f t="shared" si="94"/>
        <v>0</v>
      </c>
      <c r="AE489">
        <v>1013.2</v>
      </c>
      <c r="AF489" s="4" t="s">
        <v>201</v>
      </c>
      <c r="AG489" s="2">
        <f t="shared" si="95"/>
        <v>1</v>
      </c>
      <c r="AH489" t="s">
        <v>870</v>
      </c>
      <c r="AI489" s="2">
        <f t="shared" si="96"/>
        <v>7</v>
      </c>
      <c r="AJ489" s="2">
        <f t="shared" si="97"/>
        <v>1</v>
      </c>
      <c r="AK489" s="3">
        <v>50.000000005820773</v>
      </c>
      <c r="AM489" s="2">
        <v>0</v>
      </c>
      <c r="AN489">
        <v>0.3</v>
      </c>
      <c r="AO489">
        <v>0.3</v>
      </c>
      <c r="AP489">
        <v>0</v>
      </c>
      <c r="AQ489" s="2">
        <f>IF((2*G489 + M489 -P489 + 3*W489 + 2*Z489+2*AD489 + AG489+2*AJ489 + 4*AM489) &gt;=8,1,0)</f>
        <v>0</v>
      </c>
    </row>
    <row r="490" spans="1:43" x14ac:dyDescent="0.25">
      <c r="A490" t="s">
        <v>27</v>
      </c>
      <c r="B490" s="1">
        <v>38551</v>
      </c>
      <c r="C490" s="7">
        <f t="shared" si="89"/>
        <v>2005</v>
      </c>
      <c r="D490">
        <v>92.4</v>
      </c>
      <c r="E490">
        <v>69.599999999999994</v>
      </c>
      <c r="F490">
        <v>81.3</v>
      </c>
      <c r="G490" s="2">
        <f t="shared" si="88"/>
        <v>1</v>
      </c>
      <c r="H490">
        <v>92.2</v>
      </c>
      <c r="I490">
        <v>69.599999999999994</v>
      </c>
      <c r="J490">
        <v>81.3</v>
      </c>
      <c r="K490">
        <v>59</v>
      </c>
      <c r="L490">
        <v>48.6</v>
      </c>
      <c r="M490" s="2">
        <f t="shared" si="90"/>
        <v>1</v>
      </c>
      <c r="N490">
        <v>0</v>
      </c>
      <c r="P490" s="2">
        <f t="shared" si="91"/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2">
        <f t="shared" si="92"/>
        <v>0</v>
      </c>
      <c r="X490">
        <v>11.6</v>
      </c>
      <c r="Z490" s="2">
        <f t="shared" si="93"/>
        <v>0</v>
      </c>
      <c r="AA490">
        <v>40</v>
      </c>
      <c r="AB490" s="2" t="str">
        <f>CHOOSE(MATCH(AA490,{0;11;80;111;161;191;241;281;341},1),"North","NorthEast","East","SouthEast","South","SouthWest","West","NorthWest","North")</f>
        <v>NorthEast</v>
      </c>
      <c r="AC490" s="5">
        <f>CHOOSE(MATCH(AB490,{"South";"SouthEast";"SouthWest";"North";"NorthEast";"East";"West";"NorthWest"},0),1,2,3,4,5,6,7,8)</f>
        <v>5</v>
      </c>
      <c r="AD490" s="2">
        <f t="shared" si="94"/>
        <v>1</v>
      </c>
      <c r="AE490">
        <v>1013.2</v>
      </c>
      <c r="AF490" s="4" t="s">
        <v>868</v>
      </c>
      <c r="AG490" s="2">
        <f t="shared" si="95"/>
        <v>0</v>
      </c>
      <c r="AH490" t="s">
        <v>871</v>
      </c>
      <c r="AI490" s="2">
        <f t="shared" si="96"/>
        <v>7</v>
      </c>
      <c r="AJ490" s="2">
        <f t="shared" si="97"/>
        <v>1</v>
      </c>
      <c r="AK490" s="3">
        <v>4060.0000000011642</v>
      </c>
      <c r="AM490" s="2">
        <v>1</v>
      </c>
      <c r="AN490">
        <v>23</v>
      </c>
      <c r="AO490">
        <v>0</v>
      </c>
      <c r="AP490">
        <v>0</v>
      </c>
      <c r="AQ490" s="2">
        <f>IF((2*G490 + M490 -P490 + 3*W490 + 2*Z490+2*AD490 + AG490+2*AJ490 + 4*AM490) &gt;=8,1,0)</f>
        <v>1</v>
      </c>
    </row>
    <row r="491" spans="1:43" x14ac:dyDescent="0.25">
      <c r="A491" t="s">
        <v>27</v>
      </c>
      <c r="B491" s="1">
        <v>38551</v>
      </c>
      <c r="C491" s="7">
        <f t="shared" si="89"/>
        <v>2005</v>
      </c>
      <c r="D491">
        <v>92.4</v>
      </c>
      <c r="E491">
        <v>69.599999999999994</v>
      </c>
      <c r="F491">
        <v>81.3</v>
      </c>
      <c r="G491" s="2">
        <f t="shared" si="88"/>
        <v>1</v>
      </c>
      <c r="H491">
        <v>92.2</v>
      </c>
      <c r="I491">
        <v>69.599999999999994</v>
      </c>
      <c r="J491">
        <v>81.3</v>
      </c>
      <c r="K491">
        <v>59</v>
      </c>
      <c r="L491">
        <v>48.6</v>
      </c>
      <c r="M491" s="2">
        <f t="shared" si="90"/>
        <v>1</v>
      </c>
      <c r="N491">
        <v>0</v>
      </c>
      <c r="P491" s="2">
        <f t="shared" si="91"/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s="2">
        <f t="shared" si="92"/>
        <v>0</v>
      </c>
      <c r="X491">
        <v>11.6</v>
      </c>
      <c r="Z491" s="2">
        <f t="shared" si="93"/>
        <v>0</v>
      </c>
      <c r="AA491">
        <v>40</v>
      </c>
      <c r="AB491" s="2" t="str">
        <f>CHOOSE(MATCH(AA491,{0;11;80;111;161;191;241;281;341},1),"North","NorthEast","East","SouthEast","South","SouthWest","West","NorthWest","North")</f>
        <v>NorthEast</v>
      </c>
      <c r="AC491" s="5">
        <f>CHOOSE(MATCH(AB491,{"South";"SouthEast";"SouthWest";"North";"NorthEast";"East";"West";"NorthWest"},0),1,2,3,4,5,6,7,8)</f>
        <v>5</v>
      </c>
      <c r="AD491" s="2">
        <f t="shared" si="94"/>
        <v>1</v>
      </c>
      <c r="AE491">
        <v>1013.2</v>
      </c>
      <c r="AF491" s="4" t="s">
        <v>605</v>
      </c>
      <c r="AG491" s="2">
        <f t="shared" si="95"/>
        <v>0</v>
      </c>
      <c r="AH491" t="s">
        <v>872</v>
      </c>
      <c r="AI491" s="2">
        <f t="shared" si="96"/>
        <v>7</v>
      </c>
      <c r="AJ491" s="2">
        <f t="shared" si="97"/>
        <v>1</v>
      </c>
      <c r="AK491" s="3">
        <v>50.000000005820773</v>
      </c>
      <c r="AM491" s="2">
        <v>0</v>
      </c>
      <c r="AN491">
        <v>0</v>
      </c>
      <c r="AO491">
        <v>0.06</v>
      </c>
      <c r="AP491">
        <v>0</v>
      </c>
      <c r="AQ491" s="2">
        <f>IF((2*G491 + M491 -P491 + 3*W491 + 2*Z491+2*AD491 + AG491+2*AJ491 + 4*AM491) &gt;=8,1,0)</f>
        <v>0</v>
      </c>
    </row>
    <row r="492" spans="1:43" x14ac:dyDescent="0.25">
      <c r="A492" t="s">
        <v>27</v>
      </c>
      <c r="B492" s="1">
        <v>38555</v>
      </c>
      <c r="C492" s="7">
        <f t="shared" si="89"/>
        <v>2005</v>
      </c>
      <c r="D492">
        <v>89.6</v>
      </c>
      <c r="E492">
        <v>75.7</v>
      </c>
      <c r="F492">
        <v>82.8</v>
      </c>
      <c r="G492" s="2">
        <f t="shared" si="88"/>
        <v>1</v>
      </c>
      <c r="H492">
        <v>93.4</v>
      </c>
      <c r="I492">
        <v>75.7</v>
      </c>
      <c r="J492">
        <v>83.5</v>
      </c>
      <c r="K492">
        <v>62.5</v>
      </c>
      <c r="L492">
        <v>50.8</v>
      </c>
      <c r="M492" s="2">
        <f t="shared" si="90"/>
        <v>0</v>
      </c>
      <c r="N492">
        <v>0</v>
      </c>
      <c r="P492" s="2">
        <f t="shared" si="91"/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2">
        <f t="shared" si="92"/>
        <v>0</v>
      </c>
      <c r="X492">
        <v>15.4</v>
      </c>
      <c r="Z492" s="2">
        <f t="shared" si="93"/>
        <v>0</v>
      </c>
      <c r="AA492">
        <v>29.9</v>
      </c>
      <c r="AB492" s="2" t="str">
        <f>CHOOSE(MATCH(AA492,{0;11;80;111;161;191;241;281;341},1),"North","NorthEast","East","SouthEast","South","SouthWest","West","NorthWest","North")</f>
        <v>NorthEast</v>
      </c>
      <c r="AC492" s="5">
        <f>CHOOSE(MATCH(AB492,{"South";"SouthEast";"SouthWest";"North";"NorthEast";"East";"West";"NorthWest"},0),1,2,3,4,5,6,7,8)</f>
        <v>5</v>
      </c>
      <c r="AD492" s="2">
        <f t="shared" si="94"/>
        <v>1</v>
      </c>
      <c r="AE492">
        <v>1007.5</v>
      </c>
      <c r="AF492" s="4" t="s">
        <v>548</v>
      </c>
      <c r="AG492" s="2">
        <f t="shared" si="95"/>
        <v>1</v>
      </c>
      <c r="AH492" t="s">
        <v>873</v>
      </c>
      <c r="AI492" s="2">
        <f t="shared" si="96"/>
        <v>7</v>
      </c>
      <c r="AJ492" s="2">
        <f t="shared" si="97"/>
        <v>1</v>
      </c>
      <c r="AK492" s="3">
        <v>180</v>
      </c>
      <c r="AM492" s="2">
        <v>0</v>
      </c>
      <c r="AN492">
        <v>0</v>
      </c>
      <c r="AO492">
        <v>0.5</v>
      </c>
      <c r="AP492">
        <v>0</v>
      </c>
      <c r="AQ492" s="2">
        <f>IF((2*G492 + M492 -P492 + 3*W492 + 2*Z492+2*AD492 + AG492+2*AJ492 + 4*AM492) &gt;=8,1,0)</f>
        <v>0</v>
      </c>
    </row>
    <row r="493" spans="1:43" x14ac:dyDescent="0.25">
      <c r="A493" t="s">
        <v>27</v>
      </c>
      <c r="B493" s="1">
        <v>38560</v>
      </c>
      <c r="C493" s="7">
        <f t="shared" si="89"/>
        <v>2005</v>
      </c>
      <c r="D493">
        <v>93.7</v>
      </c>
      <c r="E493">
        <v>75.7</v>
      </c>
      <c r="F493">
        <v>84.6</v>
      </c>
      <c r="G493" s="2">
        <f t="shared" si="88"/>
        <v>1</v>
      </c>
      <c r="H493">
        <v>91.6</v>
      </c>
      <c r="I493">
        <v>75.7</v>
      </c>
      <c r="J493">
        <v>83.4</v>
      </c>
      <c r="K493">
        <v>53.6</v>
      </c>
      <c r="L493">
        <v>35.5</v>
      </c>
      <c r="M493" s="2">
        <f t="shared" si="90"/>
        <v>1</v>
      </c>
      <c r="N493">
        <v>0</v>
      </c>
      <c r="P493" s="2">
        <f t="shared" si="91"/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2">
        <f t="shared" si="92"/>
        <v>0</v>
      </c>
      <c r="X493">
        <v>22.5</v>
      </c>
      <c r="Z493" s="2">
        <f t="shared" si="93"/>
        <v>1</v>
      </c>
      <c r="AA493">
        <v>1.9</v>
      </c>
      <c r="AB493" s="2" t="str">
        <f>CHOOSE(MATCH(AA493,{0;11;80;111;161;191;241;281;341},1),"North","NorthEast","East","SouthEast","South","SouthWest","West","NorthWest","North")</f>
        <v>North</v>
      </c>
      <c r="AC493" s="5">
        <f>CHOOSE(MATCH(AB493,{"South";"SouthEast";"SouthWest";"North";"NorthEast";"East";"West";"NorthWest"},0),1,2,3,4,5,6,7,8)</f>
        <v>4</v>
      </c>
      <c r="AD493" s="2">
        <f t="shared" si="94"/>
        <v>1</v>
      </c>
      <c r="AE493">
        <v>1012.2</v>
      </c>
      <c r="AF493" s="4" t="s">
        <v>195</v>
      </c>
      <c r="AG493" s="2">
        <f t="shared" si="95"/>
        <v>1</v>
      </c>
      <c r="AH493" t="s">
        <v>874</v>
      </c>
      <c r="AI493" s="2">
        <f t="shared" si="96"/>
        <v>7</v>
      </c>
      <c r="AJ493" s="2">
        <f t="shared" si="97"/>
        <v>1</v>
      </c>
      <c r="AK493" s="3">
        <v>1535.999999998603</v>
      </c>
      <c r="AM493" s="2">
        <v>1</v>
      </c>
      <c r="AN493">
        <v>0</v>
      </c>
      <c r="AO493">
        <v>0.5</v>
      </c>
      <c r="AP493">
        <v>0</v>
      </c>
      <c r="AQ493" s="2">
        <f>IF((2*G493 + M493 -P493 + 3*W493 + 2*Z493+2*AD493 + AG493+2*AJ493 + 4*AM493) &gt;=8,1,0)</f>
        <v>1</v>
      </c>
    </row>
    <row r="494" spans="1:43" x14ac:dyDescent="0.25">
      <c r="A494" t="s">
        <v>27</v>
      </c>
      <c r="B494" s="1">
        <v>38561</v>
      </c>
      <c r="C494" s="7">
        <f t="shared" si="89"/>
        <v>2005</v>
      </c>
      <c r="D494">
        <v>92.3</v>
      </c>
      <c r="E494">
        <v>76.8</v>
      </c>
      <c r="F494">
        <v>84.4</v>
      </c>
      <c r="G494" s="2">
        <f t="shared" si="88"/>
        <v>1</v>
      </c>
      <c r="H494">
        <v>89.1</v>
      </c>
      <c r="I494">
        <v>76.8</v>
      </c>
      <c r="J494">
        <v>83.1</v>
      </c>
      <c r="K494">
        <v>53.3</v>
      </c>
      <c r="L494">
        <v>35.5</v>
      </c>
      <c r="M494" s="2">
        <f t="shared" si="90"/>
        <v>1</v>
      </c>
      <c r="N494">
        <v>0</v>
      </c>
      <c r="P494" s="2">
        <f t="shared" si="91"/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2">
        <f t="shared" si="92"/>
        <v>0</v>
      </c>
      <c r="X494">
        <v>23</v>
      </c>
      <c r="Z494" s="2">
        <f t="shared" si="93"/>
        <v>1</v>
      </c>
      <c r="AA494">
        <v>3.3</v>
      </c>
      <c r="AB494" s="2" t="str">
        <f>CHOOSE(MATCH(AA494,{0;11;80;111;161;191;241;281;341},1),"North","NorthEast","East","SouthEast","South","SouthWest","West","NorthWest","North")</f>
        <v>North</v>
      </c>
      <c r="AC494" s="5">
        <f>CHOOSE(MATCH(AB494,{"South";"SouthEast";"SouthWest";"North";"NorthEast";"East";"West";"NorthWest"},0),1,2,3,4,5,6,7,8)</f>
        <v>4</v>
      </c>
      <c r="AD494" s="2">
        <f t="shared" si="94"/>
        <v>1</v>
      </c>
      <c r="AE494">
        <v>1011.7</v>
      </c>
      <c r="AF494" s="4" t="s">
        <v>875</v>
      </c>
      <c r="AG494" s="2">
        <f t="shared" si="95"/>
        <v>0</v>
      </c>
      <c r="AH494" t="s">
        <v>876</v>
      </c>
      <c r="AI494" s="2">
        <f t="shared" si="96"/>
        <v>7</v>
      </c>
      <c r="AJ494" s="2">
        <f t="shared" si="97"/>
        <v>1</v>
      </c>
      <c r="AK494" s="3">
        <v>9129.9999999941792</v>
      </c>
      <c r="AM494" s="2">
        <v>1</v>
      </c>
      <c r="AN494">
        <v>2000</v>
      </c>
      <c r="AO494">
        <v>800</v>
      </c>
      <c r="AP494">
        <v>0</v>
      </c>
      <c r="AQ494" s="2">
        <f>IF((2*G494 + M494 -P494 + 3*W494 + 2*Z494+2*AD494 + AG494+2*AJ494 + 4*AM494) &gt;=8,1,0)</f>
        <v>1</v>
      </c>
    </row>
    <row r="495" spans="1:43" x14ac:dyDescent="0.25">
      <c r="A495" t="s">
        <v>27</v>
      </c>
      <c r="B495" s="1">
        <v>38561</v>
      </c>
      <c r="C495" s="7">
        <f t="shared" si="89"/>
        <v>2005</v>
      </c>
      <c r="D495">
        <v>92.3</v>
      </c>
      <c r="E495">
        <v>76.8</v>
      </c>
      <c r="F495">
        <v>84.4</v>
      </c>
      <c r="G495" s="2">
        <f t="shared" si="88"/>
        <v>1</v>
      </c>
      <c r="H495">
        <v>89.1</v>
      </c>
      <c r="I495">
        <v>76.8</v>
      </c>
      <c r="J495">
        <v>83.1</v>
      </c>
      <c r="K495">
        <v>53.3</v>
      </c>
      <c r="L495">
        <v>35.5</v>
      </c>
      <c r="M495" s="2">
        <f t="shared" si="90"/>
        <v>1</v>
      </c>
      <c r="N495">
        <v>0</v>
      </c>
      <c r="P495" s="2">
        <f t="shared" si="91"/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s="2">
        <f t="shared" si="92"/>
        <v>0</v>
      </c>
      <c r="X495">
        <v>23</v>
      </c>
      <c r="Z495" s="2">
        <f t="shared" si="93"/>
        <v>1</v>
      </c>
      <c r="AA495">
        <v>3.3</v>
      </c>
      <c r="AB495" s="2" t="str">
        <f>CHOOSE(MATCH(AA495,{0;11;80;111;161;191;241;281;341},1),"North","NorthEast","East","SouthEast","South","SouthWest","West","NorthWest","North")</f>
        <v>North</v>
      </c>
      <c r="AC495" s="5">
        <f>CHOOSE(MATCH(AB495,{"South";"SouthEast";"SouthWest";"North";"NorthEast";"East";"West";"NorthWest"},0),1,2,3,4,5,6,7,8)</f>
        <v>4</v>
      </c>
      <c r="AD495" s="2">
        <f t="shared" si="94"/>
        <v>1</v>
      </c>
      <c r="AE495">
        <v>1011.7</v>
      </c>
      <c r="AF495" s="4" t="s">
        <v>877</v>
      </c>
      <c r="AG495" s="2">
        <f t="shared" si="95"/>
        <v>1</v>
      </c>
      <c r="AH495" t="s">
        <v>878</v>
      </c>
      <c r="AI495" s="2">
        <f t="shared" si="96"/>
        <v>7</v>
      </c>
      <c r="AJ495" s="2">
        <f t="shared" si="97"/>
        <v>1</v>
      </c>
      <c r="AK495" s="3">
        <v>8994.000000001397</v>
      </c>
      <c r="AM495" s="2">
        <v>1</v>
      </c>
      <c r="AN495">
        <v>2000</v>
      </c>
      <c r="AO495">
        <v>1400</v>
      </c>
      <c r="AP495">
        <v>0</v>
      </c>
      <c r="AQ495" s="2">
        <f>IF((2*G495 + M495 -P495 + 3*W495 + 2*Z495+2*AD495 + AG495+2*AJ495 + 4*AM495) &gt;=8,1,0)</f>
        <v>1</v>
      </c>
    </row>
    <row r="496" spans="1:43" x14ac:dyDescent="0.25">
      <c r="A496" t="s">
        <v>27</v>
      </c>
      <c r="B496" s="1">
        <v>38562</v>
      </c>
      <c r="C496" s="7">
        <f t="shared" si="89"/>
        <v>2005</v>
      </c>
      <c r="D496">
        <v>92.6</v>
      </c>
      <c r="E496">
        <v>77.5</v>
      </c>
      <c r="F496">
        <v>84.7</v>
      </c>
      <c r="G496" s="2">
        <f t="shared" si="88"/>
        <v>1</v>
      </c>
      <c r="H496">
        <v>91.4</v>
      </c>
      <c r="I496">
        <v>77.5</v>
      </c>
      <c r="J496">
        <v>84.6</v>
      </c>
      <c r="K496">
        <v>59.5</v>
      </c>
      <c r="L496">
        <v>43.2</v>
      </c>
      <c r="M496" s="2">
        <f t="shared" si="90"/>
        <v>1</v>
      </c>
      <c r="N496">
        <v>0</v>
      </c>
      <c r="P496" s="2">
        <f t="shared" si="91"/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2">
        <f t="shared" si="92"/>
        <v>0</v>
      </c>
      <c r="X496">
        <v>25.3</v>
      </c>
      <c r="Z496" s="2">
        <f t="shared" si="93"/>
        <v>1</v>
      </c>
      <c r="AA496">
        <v>356.8</v>
      </c>
      <c r="AB496" s="2" t="str">
        <f>CHOOSE(MATCH(AA496,{0;11;80;111;161;191;241;281;341},1),"North","NorthEast","East","SouthEast","South","SouthWest","West","NorthWest","North")</f>
        <v>North</v>
      </c>
      <c r="AC496" s="5">
        <f>CHOOSE(MATCH(AB496,{"South";"SouthEast";"SouthWest";"North";"NorthEast";"East";"West";"NorthWest"},0),1,2,3,4,5,6,7,8)</f>
        <v>4</v>
      </c>
      <c r="AD496" s="2">
        <f t="shared" si="94"/>
        <v>1</v>
      </c>
      <c r="AE496">
        <v>1010.5</v>
      </c>
      <c r="AF496" s="4" t="s">
        <v>345</v>
      </c>
      <c r="AG496" s="2">
        <f t="shared" si="95"/>
        <v>1</v>
      </c>
      <c r="AH496" t="s">
        <v>879</v>
      </c>
      <c r="AI496" s="2">
        <f t="shared" si="96"/>
        <v>7</v>
      </c>
      <c r="AJ496" s="2">
        <f t="shared" si="97"/>
        <v>1</v>
      </c>
      <c r="AK496" s="3">
        <v>29.999999993015081</v>
      </c>
      <c r="AM496" s="2">
        <v>0</v>
      </c>
      <c r="AN496">
        <v>0.3</v>
      </c>
      <c r="AO496">
        <v>0</v>
      </c>
      <c r="AP496">
        <v>0</v>
      </c>
      <c r="AQ496" s="2">
        <f>IF((2*G496 + M496 -P496 + 3*W496 + 2*Z496+2*AD496 + AG496+2*AJ496 + 4*AM496) &gt;=8,1,0)</f>
        <v>1</v>
      </c>
    </row>
    <row r="497" spans="1:43" x14ac:dyDescent="0.25">
      <c r="A497" t="s">
        <v>27</v>
      </c>
      <c r="B497" s="1">
        <v>38562</v>
      </c>
      <c r="C497" s="7">
        <f t="shared" si="89"/>
        <v>2005</v>
      </c>
      <c r="D497">
        <v>92.6</v>
      </c>
      <c r="E497">
        <v>77.5</v>
      </c>
      <c r="F497">
        <v>84.7</v>
      </c>
      <c r="G497" s="2">
        <f t="shared" si="88"/>
        <v>1</v>
      </c>
      <c r="H497">
        <v>91.4</v>
      </c>
      <c r="I497">
        <v>77.5</v>
      </c>
      <c r="J497">
        <v>84.6</v>
      </c>
      <c r="K497">
        <v>59.5</v>
      </c>
      <c r="L497">
        <v>43.2</v>
      </c>
      <c r="M497" s="2">
        <f t="shared" si="90"/>
        <v>1</v>
      </c>
      <c r="N497">
        <v>0</v>
      </c>
      <c r="P497" s="2">
        <f t="shared" si="91"/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s="2">
        <f t="shared" si="92"/>
        <v>0</v>
      </c>
      <c r="X497">
        <v>25.3</v>
      </c>
      <c r="Z497" s="2">
        <f t="shared" si="93"/>
        <v>1</v>
      </c>
      <c r="AA497">
        <v>356.8</v>
      </c>
      <c r="AB497" s="2" t="str">
        <f>CHOOSE(MATCH(AA497,{0;11;80;111;161;191;241;281;341},1),"North","NorthEast","East","SouthEast","South","SouthWest","West","NorthWest","North")</f>
        <v>North</v>
      </c>
      <c r="AC497" s="5">
        <f>CHOOSE(MATCH(AB497,{"South";"SouthEast";"SouthWest";"North";"NorthEast";"East";"West";"NorthWest"},0),1,2,3,4,5,6,7,8)</f>
        <v>4</v>
      </c>
      <c r="AD497" s="2">
        <f t="shared" si="94"/>
        <v>1</v>
      </c>
      <c r="AE497">
        <v>1010.5</v>
      </c>
      <c r="AF497" s="4" t="s">
        <v>880</v>
      </c>
      <c r="AG497" s="2">
        <f t="shared" si="95"/>
        <v>0</v>
      </c>
      <c r="AH497" t="s">
        <v>881</v>
      </c>
      <c r="AI497" s="2">
        <f t="shared" si="96"/>
        <v>7</v>
      </c>
      <c r="AJ497" s="2">
        <f t="shared" si="97"/>
        <v>1</v>
      </c>
      <c r="AK497" s="3">
        <v>25.000000008149069</v>
      </c>
      <c r="AM497" s="2">
        <v>0</v>
      </c>
      <c r="AN497">
        <v>0.02</v>
      </c>
      <c r="AO497">
        <v>0</v>
      </c>
      <c r="AP497">
        <v>0</v>
      </c>
      <c r="AQ497" s="2">
        <f>IF((2*G497 + M497 -P497 + 3*W497 + 2*Z497+2*AD497 + AG497+2*AJ497 + 4*AM497) &gt;=8,1,0)</f>
        <v>1</v>
      </c>
    </row>
    <row r="498" spans="1:43" x14ac:dyDescent="0.25">
      <c r="A498" t="s">
        <v>27</v>
      </c>
      <c r="B498" s="1">
        <v>38563</v>
      </c>
      <c r="C498" s="7">
        <f t="shared" si="89"/>
        <v>2005</v>
      </c>
      <c r="D498">
        <v>94.6</v>
      </c>
      <c r="E498">
        <v>81.400000000000006</v>
      </c>
      <c r="F498">
        <v>87.2</v>
      </c>
      <c r="G498" s="2">
        <f t="shared" si="88"/>
        <v>1</v>
      </c>
      <c r="H498">
        <v>92</v>
      </c>
      <c r="I498">
        <v>81.400000000000006</v>
      </c>
      <c r="J498">
        <v>86.1</v>
      </c>
      <c r="K498">
        <v>56.6</v>
      </c>
      <c r="L498">
        <v>36.299999999999997</v>
      </c>
      <c r="M498" s="2">
        <f t="shared" si="90"/>
        <v>1</v>
      </c>
      <c r="N498">
        <v>0</v>
      </c>
      <c r="P498" s="2">
        <f t="shared" si="91"/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2">
        <f t="shared" si="92"/>
        <v>0</v>
      </c>
      <c r="X498">
        <v>25.7</v>
      </c>
      <c r="Z498" s="2">
        <f t="shared" si="93"/>
        <v>1</v>
      </c>
      <c r="AA498">
        <v>355.8</v>
      </c>
      <c r="AB498" s="2" t="str">
        <f>CHOOSE(MATCH(AA498,{0;11;80;111;161;191;241;281;341},1),"North","NorthEast","East","SouthEast","South","SouthWest","West","NorthWest","North")</f>
        <v>North</v>
      </c>
      <c r="AC498" s="5">
        <f>CHOOSE(MATCH(AB498,{"South";"SouthEast";"SouthWest";"North";"NorthEast";"East";"West";"NorthWest"},0),1,2,3,4,5,6,7,8)</f>
        <v>4</v>
      </c>
      <c r="AD498" s="2">
        <f t="shared" si="94"/>
        <v>1</v>
      </c>
      <c r="AE498">
        <v>1008.5</v>
      </c>
      <c r="AF498" s="4" t="s">
        <v>882</v>
      </c>
      <c r="AG498" s="2">
        <f t="shared" si="95"/>
        <v>1</v>
      </c>
      <c r="AH498" t="s">
        <v>883</v>
      </c>
      <c r="AI498" s="2">
        <f t="shared" si="96"/>
        <v>7</v>
      </c>
      <c r="AJ498" s="2">
        <f t="shared" si="97"/>
        <v>1</v>
      </c>
      <c r="AK498" s="3">
        <v>451.99999999604188</v>
      </c>
      <c r="AM498" s="2">
        <v>1</v>
      </c>
      <c r="AN498">
        <v>10</v>
      </c>
      <c r="AO498">
        <v>0</v>
      </c>
      <c r="AP498">
        <v>0</v>
      </c>
      <c r="AQ498" s="2">
        <f>IF((2*G498 + M498 -P498 + 3*W498 + 2*Z498+2*AD498 + AG498+2*AJ498 + 4*AM498) &gt;=8,1,0)</f>
        <v>1</v>
      </c>
    </row>
    <row r="499" spans="1:43" x14ac:dyDescent="0.25">
      <c r="A499" t="s">
        <v>27</v>
      </c>
      <c r="B499" s="1">
        <v>38566</v>
      </c>
      <c r="C499" s="7">
        <f t="shared" si="89"/>
        <v>2005</v>
      </c>
      <c r="D499">
        <v>100.5</v>
      </c>
      <c r="E499">
        <v>75.8</v>
      </c>
      <c r="F499">
        <v>88.2</v>
      </c>
      <c r="G499" s="2">
        <f t="shared" si="88"/>
        <v>1</v>
      </c>
      <c r="H499">
        <v>99.9</v>
      </c>
      <c r="I499">
        <v>75.8</v>
      </c>
      <c r="J499">
        <v>88</v>
      </c>
      <c r="K499">
        <v>58.1</v>
      </c>
      <c r="L499">
        <v>37.4</v>
      </c>
      <c r="M499" s="2">
        <f t="shared" si="90"/>
        <v>1</v>
      </c>
      <c r="N499">
        <v>0</v>
      </c>
      <c r="P499" s="2">
        <f t="shared" si="91"/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s="2">
        <f t="shared" si="92"/>
        <v>0</v>
      </c>
      <c r="X499">
        <v>17.399999999999999</v>
      </c>
      <c r="Z499" s="2">
        <f t="shared" si="93"/>
        <v>1</v>
      </c>
      <c r="AA499">
        <v>358.8</v>
      </c>
      <c r="AB499" s="2" t="str">
        <f>CHOOSE(MATCH(AA499,{0;11;80;111;161;191;241;281;341},1),"North","NorthEast","East","SouthEast","South","SouthWest","West","NorthWest","North")</f>
        <v>North</v>
      </c>
      <c r="AC499" s="5">
        <f>CHOOSE(MATCH(AB499,{"South";"SouthEast";"SouthWest";"North";"NorthEast";"East";"West";"NorthWest"},0),1,2,3,4,5,6,7,8)</f>
        <v>4</v>
      </c>
      <c r="AD499" s="2">
        <f t="shared" si="94"/>
        <v>1</v>
      </c>
      <c r="AE499">
        <v>1010.6</v>
      </c>
      <c r="AF499" s="4" t="s">
        <v>884</v>
      </c>
      <c r="AG499" s="2">
        <f t="shared" si="95"/>
        <v>1</v>
      </c>
      <c r="AH499" t="s">
        <v>885</v>
      </c>
      <c r="AI499" s="2">
        <f t="shared" si="96"/>
        <v>8</v>
      </c>
      <c r="AJ499" s="2">
        <f t="shared" si="97"/>
        <v>1</v>
      </c>
      <c r="AK499" s="3">
        <v>1312.0000000018631</v>
      </c>
      <c r="AM499" s="2">
        <v>1</v>
      </c>
      <c r="AN499">
        <v>4</v>
      </c>
      <c r="AO499">
        <v>0</v>
      </c>
      <c r="AP499">
        <v>0</v>
      </c>
      <c r="AQ499" s="2">
        <f>IF((2*G499 + M499 -P499 + 3*W499 + 2*Z499+2*AD499 + AG499+2*AJ499 + 4*AM499) &gt;=8,1,0)</f>
        <v>1</v>
      </c>
    </row>
    <row r="500" spans="1:43" x14ac:dyDescent="0.25">
      <c r="A500" t="s">
        <v>27</v>
      </c>
      <c r="B500" s="1">
        <v>38568</v>
      </c>
      <c r="C500" s="7">
        <f t="shared" si="89"/>
        <v>2005</v>
      </c>
      <c r="D500">
        <v>95.8</v>
      </c>
      <c r="E500">
        <v>73.900000000000006</v>
      </c>
      <c r="F500">
        <v>85.4</v>
      </c>
      <c r="G500" s="2">
        <f t="shared" si="88"/>
        <v>1</v>
      </c>
      <c r="H500">
        <v>95.6</v>
      </c>
      <c r="I500">
        <v>73.900000000000006</v>
      </c>
      <c r="J500">
        <v>85.3</v>
      </c>
      <c r="K500">
        <v>58.1</v>
      </c>
      <c r="L500">
        <v>40.6</v>
      </c>
      <c r="M500" s="2">
        <f t="shared" si="90"/>
        <v>1</v>
      </c>
      <c r="N500">
        <v>0</v>
      </c>
      <c r="P500" s="2">
        <f t="shared" si="91"/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s="2">
        <f t="shared" si="92"/>
        <v>0</v>
      </c>
      <c r="X500">
        <v>12.8</v>
      </c>
      <c r="Z500" s="2">
        <f t="shared" si="93"/>
        <v>0</v>
      </c>
      <c r="AA500">
        <v>156.19999999999999</v>
      </c>
      <c r="AB500" s="2" t="str">
        <f>CHOOSE(MATCH(AA500,{0;11;80;111;161;191;241;281;341},1),"North","NorthEast","East","SouthEast","South","SouthWest","West","NorthWest","North")</f>
        <v>SouthEast</v>
      </c>
      <c r="AC500" s="5">
        <f>CHOOSE(MATCH(AB500,{"South";"SouthEast";"SouthWest";"North";"NorthEast";"East";"West";"NorthWest"},0),1,2,3,4,5,6,7,8)</f>
        <v>2</v>
      </c>
      <c r="AD500" s="2">
        <f t="shared" si="94"/>
        <v>0</v>
      </c>
      <c r="AE500">
        <v>1006</v>
      </c>
      <c r="AF500" s="4" t="s">
        <v>886</v>
      </c>
      <c r="AG500" s="2">
        <f t="shared" si="95"/>
        <v>0</v>
      </c>
      <c r="AH500" t="s">
        <v>887</v>
      </c>
      <c r="AI500" s="2">
        <f t="shared" si="96"/>
        <v>8</v>
      </c>
      <c r="AJ500" s="2">
        <f t="shared" si="97"/>
        <v>1</v>
      </c>
      <c r="AK500" s="3">
        <v>405</v>
      </c>
      <c r="AM500" s="2">
        <v>1</v>
      </c>
      <c r="AN500">
        <v>6</v>
      </c>
      <c r="AO500">
        <v>0</v>
      </c>
      <c r="AP500">
        <v>0</v>
      </c>
      <c r="AQ500" s="2">
        <f>IF((2*G500 + M500 -P500 + 3*W500 + 2*Z500+2*AD500 + AG500+2*AJ500 + 4*AM500) &gt;=8,1,0)</f>
        <v>1</v>
      </c>
    </row>
    <row r="501" spans="1:43" x14ac:dyDescent="0.25">
      <c r="A501" t="s">
        <v>27</v>
      </c>
      <c r="B501" s="1">
        <v>38568</v>
      </c>
      <c r="C501" s="7">
        <f t="shared" si="89"/>
        <v>2005</v>
      </c>
      <c r="D501">
        <v>95.8</v>
      </c>
      <c r="E501">
        <v>73.900000000000006</v>
      </c>
      <c r="F501">
        <v>85.4</v>
      </c>
      <c r="G501" s="2">
        <f t="shared" si="88"/>
        <v>1</v>
      </c>
      <c r="H501">
        <v>95.6</v>
      </c>
      <c r="I501">
        <v>73.900000000000006</v>
      </c>
      <c r="J501">
        <v>85.3</v>
      </c>
      <c r="K501">
        <v>58.1</v>
      </c>
      <c r="L501">
        <v>40.6</v>
      </c>
      <c r="M501" s="2">
        <f t="shared" si="90"/>
        <v>1</v>
      </c>
      <c r="N501">
        <v>0</v>
      </c>
      <c r="P501" s="2">
        <f t="shared" si="91"/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2">
        <f t="shared" si="92"/>
        <v>0</v>
      </c>
      <c r="X501">
        <v>12.8</v>
      </c>
      <c r="Z501" s="2">
        <f t="shared" si="93"/>
        <v>0</v>
      </c>
      <c r="AA501">
        <v>156.19999999999999</v>
      </c>
      <c r="AB501" s="2" t="str">
        <f>CHOOSE(MATCH(AA501,{0;11;80;111;161;191;241;281;341},1),"North","NorthEast","East","SouthEast","South","SouthWest","West","NorthWest","North")</f>
        <v>SouthEast</v>
      </c>
      <c r="AC501" s="5">
        <f>CHOOSE(MATCH(AB501,{"South";"SouthEast";"SouthWest";"North";"NorthEast";"East";"West";"NorthWest"},0),1,2,3,4,5,6,7,8)</f>
        <v>2</v>
      </c>
      <c r="AD501" s="2">
        <f t="shared" si="94"/>
        <v>0</v>
      </c>
      <c r="AE501">
        <v>1006</v>
      </c>
      <c r="AF501" s="4" t="s">
        <v>595</v>
      </c>
      <c r="AG501" s="2">
        <f t="shared" si="95"/>
        <v>1</v>
      </c>
      <c r="AH501" t="s">
        <v>888</v>
      </c>
      <c r="AI501" s="2">
        <f t="shared" si="96"/>
        <v>8</v>
      </c>
      <c r="AJ501" s="2">
        <f t="shared" si="97"/>
        <v>1</v>
      </c>
      <c r="AK501" s="3">
        <v>327.00000000768341</v>
      </c>
      <c r="AM501" s="2">
        <v>0</v>
      </c>
      <c r="AN501">
        <v>0.3</v>
      </c>
      <c r="AO501">
        <v>0</v>
      </c>
      <c r="AP501">
        <v>0</v>
      </c>
      <c r="AQ501" s="2">
        <f>IF((2*G501 + M501 -P501 + 3*W501 + 2*Z501+2*AD501 + AG501+2*AJ501 + 4*AM501) &gt;=8,1,0)</f>
        <v>0</v>
      </c>
    </row>
    <row r="502" spans="1:43" x14ac:dyDescent="0.25">
      <c r="A502" t="s">
        <v>27</v>
      </c>
      <c r="B502" s="1">
        <v>38570</v>
      </c>
      <c r="C502" s="7">
        <f t="shared" si="89"/>
        <v>2005</v>
      </c>
      <c r="D502">
        <v>85.2</v>
      </c>
      <c r="E502">
        <v>71.7</v>
      </c>
      <c r="F502">
        <v>77</v>
      </c>
      <c r="G502" s="2">
        <f t="shared" si="88"/>
        <v>1</v>
      </c>
      <c r="H502">
        <v>85.7</v>
      </c>
      <c r="I502">
        <v>71.7</v>
      </c>
      <c r="J502">
        <v>77</v>
      </c>
      <c r="K502">
        <v>60.1</v>
      </c>
      <c r="L502">
        <v>57.3</v>
      </c>
      <c r="M502" s="2">
        <f t="shared" si="90"/>
        <v>0</v>
      </c>
      <c r="N502">
        <v>0</v>
      </c>
      <c r="P502" s="2">
        <f t="shared" si="91"/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s="2">
        <f t="shared" si="92"/>
        <v>0</v>
      </c>
      <c r="X502">
        <v>13.2</v>
      </c>
      <c r="Z502" s="2">
        <f t="shared" si="93"/>
        <v>0</v>
      </c>
      <c r="AA502">
        <v>343.6</v>
      </c>
      <c r="AB502" s="2" t="str">
        <f>CHOOSE(MATCH(AA502,{0;11;80;111;161;191;241;281;341},1),"North","NorthEast","East","SouthEast","South","SouthWest","West","NorthWest","North")</f>
        <v>North</v>
      </c>
      <c r="AC502" s="5">
        <f>CHOOSE(MATCH(AB502,{"South";"SouthEast";"SouthWest";"North";"NorthEast";"East";"West";"NorthWest"},0),1,2,3,4,5,6,7,8)</f>
        <v>4</v>
      </c>
      <c r="AD502" s="2">
        <f t="shared" si="94"/>
        <v>1</v>
      </c>
      <c r="AE502">
        <v>1004.6</v>
      </c>
      <c r="AF502" s="4" t="s">
        <v>889</v>
      </c>
      <c r="AG502" s="2">
        <f t="shared" si="95"/>
        <v>1</v>
      </c>
      <c r="AH502" t="s">
        <v>890</v>
      </c>
      <c r="AI502" s="2">
        <f t="shared" si="96"/>
        <v>8</v>
      </c>
      <c r="AJ502" s="2">
        <f t="shared" si="97"/>
        <v>1</v>
      </c>
      <c r="AK502" s="3">
        <v>198.99999999906871</v>
      </c>
      <c r="AM502" s="2">
        <v>0</v>
      </c>
      <c r="AN502">
        <v>0.5</v>
      </c>
      <c r="AO502">
        <v>0</v>
      </c>
      <c r="AP502">
        <v>0</v>
      </c>
      <c r="AQ502" s="2">
        <f>IF((2*G502 + M502 -P502 + 3*W502 + 2*Z502+2*AD502 + AG502+2*AJ502 + 4*AM502) &gt;=8,1,0)</f>
        <v>0</v>
      </c>
    </row>
    <row r="503" spans="1:43" x14ac:dyDescent="0.25">
      <c r="A503" t="s">
        <v>27</v>
      </c>
      <c r="B503" s="1">
        <v>38572</v>
      </c>
      <c r="C503" s="7">
        <f t="shared" si="89"/>
        <v>2005</v>
      </c>
      <c r="D503">
        <v>89</v>
      </c>
      <c r="E503">
        <v>67.2</v>
      </c>
      <c r="F503">
        <v>79.7</v>
      </c>
      <c r="G503" s="2">
        <f t="shared" si="88"/>
        <v>1</v>
      </c>
      <c r="H503">
        <v>88.3</v>
      </c>
      <c r="I503">
        <v>67.2</v>
      </c>
      <c r="J503">
        <v>79.599999999999994</v>
      </c>
      <c r="K503">
        <v>62.2</v>
      </c>
      <c r="L503">
        <v>58</v>
      </c>
      <c r="M503" s="2">
        <f t="shared" si="90"/>
        <v>0</v>
      </c>
      <c r="N503">
        <v>0</v>
      </c>
      <c r="P503" s="2">
        <f t="shared" si="91"/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2">
        <f t="shared" si="92"/>
        <v>0</v>
      </c>
      <c r="X503">
        <v>16.2</v>
      </c>
      <c r="Z503" s="2">
        <f t="shared" si="93"/>
        <v>1</v>
      </c>
      <c r="AA503">
        <v>217.5</v>
      </c>
      <c r="AB503" s="2" t="str">
        <f>CHOOSE(MATCH(AA503,{0;11;80;111;161;191;241;281;341},1),"North","NorthEast","East","SouthEast","South","SouthWest","West","NorthWest","North")</f>
        <v>SouthWest</v>
      </c>
      <c r="AC503" s="5">
        <f>CHOOSE(MATCH(AB503,{"South";"SouthEast";"SouthWest";"North";"NorthEast";"East";"West";"NorthWest"},0),1,2,3,4,5,6,7,8)</f>
        <v>3</v>
      </c>
      <c r="AD503" s="2">
        <f t="shared" si="94"/>
        <v>1</v>
      </c>
      <c r="AE503">
        <v>1007.3</v>
      </c>
      <c r="AF503" s="4" t="s">
        <v>892</v>
      </c>
      <c r="AG503" s="2">
        <f t="shared" si="95"/>
        <v>1</v>
      </c>
      <c r="AH503" t="s">
        <v>893</v>
      </c>
      <c r="AI503" s="2">
        <f t="shared" si="96"/>
        <v>8</v>
      </c>
      <c r="AJ503" s="2">
        <f t="shared" si="97"/>
        <v>1</v>
      </c>
      <c r="AK503" s="3">
        <v>2869.9999999988358</v>
      </c>
      <c r="AM503" s="2">
        <v>1</v>
      </c>
      <c r="AN503">
        <v>0</v>
      </c>
      <c r="AO503">
        <v>150</v>
      </c>
      <c r="AP503">
        <v>0</v>
      </c>
      <c r="AQ503" s="2">
        <f>IF((2*G503 + M503 -P503 + 3*W503 + 2*Z503+2*AD503 + AG503+2*AJ503 + 4*AM503) &gt;=8,1,0)</f>
        <v>1</v>
      </c>
    </row>
    <row r="504" spans="1:43" x14ac:dyDescent="0.25">
      <c r="A504" t="s">
        <v>27</v>
      </c>
      <c r="B504" s="1">
        <v>38574</v>
      </c>
      <c r="C504" s="7">
        <f t="shared" si="89"/>
        <v>2005</v>
      </c>
      <c r="D504">
        <v>87.2</v>
      </c>
      <c r="E504">
        <v>72.099999999999994</v>
      </c>
      <c r="F504">
        <v>79</v>
      </c>
      <c r="G504" s="2">
        <f t="shared" si="88"/>
        <v>1</v>
      </c>
      <c r="H504">
        <v>86.2</v>
      </c>
      <c r="I504">
        <v>72.099999999999994</v>
      </c>
      <c r="J504">
        <v>78.7</v>
      </c>
      <c r="K504">
        <v>58.4</v>
      </c>
      <c r="L504">
        <v>50.9</v>
      </c>
      <c r="M504" s="2">
        <f t="shared" si="90"/>
        <v>0</v>
      </c>
      <c r="N504">
        <v>0</v>
      </c>
      <c r="P504" s="2">
        <f t="shared" si="91"/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s="2">
        <f t="shared" si="92"/>
        <v>0</v>
      </c>
      <c r="X504">
        <v>16.5</v>
      </c>
      <c r="Z504" s="2">
        <f t="shared" si="93"/>
        <v>1</v>
      </c>
      <c r="AA504">
        <v>6.8</v>
      </c>
      <c r="AB504" s="2" t="str">
        <f>CHOOSE(MATCH(AA504,{0;11;80;111;161;191;241;281;341},1),"North","NorthEast","East","SouthEast","South","SouthWest","West","NorthWest","North")</f>
        <v>North</v>
      </c>
      <c r="AC504" s="5">
        <f>CHOOSE(MATCH(AB504,{"South";"SouthEast";"SouthWest";"North";"NorthEast";"East";"West";"NorthWest"},0),1,2,3,4,5,6,7,8)</f>
        <v>4</v>
      </c>
      <c r="AD504" s="2">
        <f t="shared" si="94"/>
        <v>1</v>
      </c>
      <c r="AE504">
        <v>1013.6</v>
      </c>
      <c r="AF504" s="4" t="s">
        <v>894</v>
      </c>
      <c r="AG504" s="2">
        <f t="shared" si="95"/>
        <v>1</v>
      </c>
      <c r="AH504" t="s">
        <v>895</v>
      </c>
      <c r="AI504" s="2">
        <f t="shared" si="96"/>
        <v>8</v>
      </c>
      <c r="AJ504" s="2">
        <f t="shared" si="97"/>
        <v>1</v>
      </c>
      <c r="AK504" s="3">
        <v>508.00000000046572</v>
      </c>
      <c r="AM504" s="2">
        <v>1</v>
      </c>
      <c r="AN504">
        <v>0.2</v>
      </c>
      <c r="AO504">
        <v>0</v>
      </c>
      <c r="AP504">
        <v>0</v>
      </c>
      <c r="AQ504" s="2">
        <f>IF((2*G504 + M504 -P504 + 3*W504 + 2*Z504+2*AD504 + AG504+2*AJ504 + 4*AM504) &gt;=8,1,0)</f>
        <v>1</v>
      </c>
    </row>
    <row r="505" spans="1:43" x14ac:dyDescent="0.25">
      <c r="A505" t="s">
        <v>27</v>
      </c>
      <c r="B505" s="1">
        <v>38578</v>
      </c>
      <c r="C505" s="7">
        <f t="shared" si="89"/>
        <v>2005</v>
      </c>
      <c r="D505">
        <v>94</v>
      </c>
      <c r="E505">
        <v>75.7</v>
      </c>
      <c r="F505">
        <v>85.4</v>
      </c>
      <c r="G505" s="2">
        <f t="shared" si="88"/>
        <v>1</v>
      </c>
      <c r="H505">
        <v>95.8</v>
      </c>
      <c r="I505">
        <v>75.7</v>
      </c>
      <c r="J505">
        <v>86.1</v>
      </c>
      <c r="K505">
        <v>62</v>
      </c>
      <c r="L505">
        <v>46.7</v>
      </c>
      <c r="M505" s="2">
        <f t="shared" si="90"/>
        <v>1</v>
      </c>
      <c r="N505">
        <v>0</v>
      </c>
      <c r="P505" s="2">
        <f t="shared" si="91"/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s="2">
        <f t="shared" si="92"/>
        <v>0</v>
      </c>
      <c r="X505">
        <v>11.3</v>
      </c>
      <c r="Z505" s="2">
        <f t="shared" si="93"/>
        <v>0</v>
      </c>
      <c r="AA505">
        <v>342.2</v>
      </c>
      <c r="AB505" s="2" t="str">
        <f>CHOOSE(MATCH(AA505,{0;11;80;111;161;191;241;281;341},1),"North","NorthEast","East","SouthEast","South","SouthWest","West","NorthWest","North")</f>
        <v>North</v>
      </c>
      <c r="AC505" s="5">
        <f>CHOOSE(MATCH(AB505,{"South";"SouthEast";"SouthWest";"North";"NorthEast";"East";"West";"NorthWest"},0),1,2,3,4,5,6,7,8)</f>
        <v>4</v>
      </c>
      <c r="AD505" s="2">
        <f t="shared" si="94"/>
        <v>1</v>
      </c>
      <c r="AE505">
        <v>1008.4</v>
      </c>
      <c r="AF505" s="4" t="s">
        <v>702</v>
      </c>
      <c r="AG505" s="2">
        <f t="shared" si="95"/>
        <v>0</v>
      </c>
      <c r="AH505" t="s">
        <v>896</v>
      </c>
      <c r="AI505" s="2">
        <f t="shared" si="96"/>
        <v>8</v>
      </c>
      <c r="AJ505" s="2">
        <f t="shared" si="97"/>
        <v>1</v>
      </c>
      <c r="AK505" s="3">
        <v>4195.9999999939464</v>
      </c>
      <c r="AM505" s="2">
        <v>1</v>
      </c>
      <c r="AN505">
        <v>0</v>
      </c>
      <c r="AO505">
        <v>250</v>
      </c>
      <c r="AP505">
        <v>0</v>
      </c>
      <c r="AQ505" s="2">
        <f>IF((2*G505 + M505 -P505 + 3*W505 + 2*Z505+2*AD505 + AG505+2*AJ505 + 4*AM505) &gt;=8,1,0)</f>
        <v>1</v>
      </c>
    </row>
    <row r="506" spans="1:43" x14ac:dyDescent="0.25">
      <c r="A506" t="s">
        <v>27</v>
      </c>
      <c r="B506" s="1">
        <v>38590</v>
      </c>
      <c r="C506" s="7">
        <f t="shared" si="89"/>
        <v>2005</v>
      </c>
      <c r="D506">
        <v>87.1</v>
      </c>
      <c r="E506">
        <v>69.8</v>
      </c>
      <c r="F506">
        <v>79</v>
      </c>
      <c r="G506" s="2">
        <f t="shared" si="88"/>
        <v>1</v>
      </c>
      <c r="H506">
        <v>88.2</v>
      </c>
      <c r="I506">
        <v>69.8</v>
      </c>
      <c r="J506">
        <v>79.3</v>
      </c>
      <c r="K506">
        <v>62.2</v>
      </c>
      <c r="L506">
        <v>58</v>
      </c>
      <c r="M506" s="2">
        <f t="shared" si="90"/>
        <v>0</v>
      </c>
      <c r="N506">
        <v>0</v>
      </c>
      <c r="P506" s="2">
        <f t="shared" si="91"/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s="2">
        <f t="shared" si="92"/>
        <v>0</v>
      </c>
      <c r="X506">
        <v>13.1</v>
      </c>
      <c r="Z506" s="2">
        <f t="shared" si="93"/>
        <v>0</v>
      </c>
      <c r="AA506">
        <v>326.39999999999998</v>
      </c>
      <c r="AB506" s="2" t="str">
        <f>CHOOSE(MATCH(AA506,{0;11;80;111;161;191;241;281;341},1),"North","NorthEast","East","SouthEast","South","SouthWest","West","NorthWest","North")</f>
        <v>NorthWest</v>
      </c>
      <c r="AC506" s="5">
        <f>CHOOSE(MATCH(AB506,{"South";"SouthEast";"SouthWest";"North";"NorthEast";"East";"West";"NorthWest"},0),1,2,3,4,5,6,7,8)</f>
        <v>8</v>
      </c>
      <c r="AD506" s="2">
        <f t="shared" si="94"/>
        <v>1</v>
      </c>
      <c r="AE506">
        <v>1012.6</v>
      </c>
      <c r="AF506" s="4" t="s">
        <v>897</v>
      </c>
      <c r="AG506" s="2">
        <f t="shared" si="95"/>
        <v>1</v>
      </c>
      <c r="AH506" t="s">
        <v>898</v>
      </c>
      <c r="AI506" s="2">
        <f t="shared" si="96"/>
        <v>8</v>
      </c>
      <c r="AJ506" s="2">
        <f t="shared" si="97"/>
        <v>1</v>
      </c>
      <c r="AK506" s="3">
        <v>98.000000005122274</v>
      </c>
      <c r="AM506" s="2">
        <v>0</v>
      </c>
      <c r="AN506">
        <v>1</v>
      </c>
      <c r="AO506">
        <v>0</v>
      </c>
      <c r="AP506">
        <v>0</v>
      </c>
      <c r="AQ506" s="2">
        <f>IF((2*G506 + M506 -P506 + 3*W506 + 2*Z506+2*AD506 + AG506+2*AJ506 + 4*AM506) &gt;=8,1,0)</f>
        <v>0</v>
      </c>
    </row>
    <row r="507" spans="1:43" x14ac:dyDescent="0.25">
      <c r="A507" t="s">
        <v>27</v>
      </c>
      <c r="B507" s="1">
        <v>38590</v>
      </c>
      <c r="C507" s="7">
        <f t="shared" si="89"/>
        <v>2005</v>
      </c>
      <c r="D507">
        <v>87.1</v>
      </c>
      <c r="E507">
        <v>69.8</v>
      </c>
      <c r="F507">
        <v>79</v>
      </c>
      <c r="G507" s="2">
        <f t="shared" si="88"/>
        <v>1</v>
      </c>
      <c r="H507">
        <v>88.2</v>
      </c>
      <c r="I507">
        <v>69.8</v>
      </c>
      <c r="J507">
        <v>79.3</v>
      </c>
      <c r="K507">
        <v>62.2</v>
      </c>
      <c r="L507">
        <v>58</v>
      </c>
      <c r="M507" s="2">
        <f t="shared" si="90"/>
        <v>0</v>
      </c>
      <c r="N507">
        <v>0</v>
      </c>
      <c r="P507" s="2">
        <f t="shared" si="91"/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s="2">
        <f t="shared" si="92"/>
        <v>0</v>
      </c>
      <c r="X507">
        <v>13.1</v>
      </c>
      <c r="Z507" s="2">
        <f t="shared" si="93"/>
        <v>0</v>
      </c>
      <c r="AA507">
        <v>326.39999999999998</v>
      </c>
      <c r="AB507" s="2" t="str">
        <f>CHOOSE(MATCH(AA507,{0;11;80;111;161;191;241;281;341},1),"North","NorthEast","East","SouthEast","South","SouthWest","West","NorthWest","North")</f>
        <v>NorthWest</v>
      </c>
      <c r="AC507" s="5">
        <f>CHOOSE(MATCH(AB507,{"South";"SouthEast";"SouthWest";"North";"NorthEast";"East";"West";"NorthWest"},0),1,2,3,4,5,6,7,8)</f>
        <v>8</v>
      </c>
      <c r="AD507" s="2">
        <f t="shared" si="94"/>
        <v>1</v>
      </c>
      <c r="AE507">
        <v>1012.6</v>
      </c>
      <c r="AF507" s="4" t="s">
        <v>209</v>
      </c>
      <c r="AG507" s="2">
        <f t="shared" si="95"/>
        <v>0</v>
      </c>
      <c r="AH507" t="s">
        <v>899</v>
      </c>
      <c r="AI507" s="2">
        <f t="shared" si="96"/>
        <v>8</v>
      </c>
      <c r="AJ507" s="2">
        <f t="shared" si="97"/>
        <v>1</v>
      </c>
      <c r="AK507" s="3">
        <v>216.0000000020955</v>
      </c>
      <c r="AM507" s="2">
        <v>0</v>
      </c>
      <c r="AN507">
        <v>0.8</v>
      </c>
      <c r="AO507">
        <v>0</v>
      </c>
      <c r="AP507">
        <v>0</v>
      </c>
      <c r="AQ507" s="2">
        <f>IF((2*G507 + M507 -P507 + 3*W507 + 2*Z507+2*AD507 + AG507+2*AJ507 + 4*AM507) &gt;=8,1,0)</f>
        <v>0</v>
      </c>
    </row>
    <row r="508" spans="1:43" x14ac:dyDescent="0.25">
      <c r="A508" t="s">
        <v>27</v>
      </c>
      <c r="B508" s="1">
        <v>38594</v>
      </c>
      <c r="C508" s="7">
        <f t="shared" si="89"/>
        <v>2005</v>
      </c>
      <c r="D508">
        <v>89.5</v>
      </c>
      <c r="E508">
        <v>76.8</v>
      </c>
      <c r="F508">
        <v>81.900000000000006</v>
      </c>
      <c r="G508" s="2">
        <f t="shared" si="88"/>
        <v>1</v>
      </c>
      <c r="H508">
        <v>86.9</v>
      </c>
      <c r="I508">
        <v>76.8</v>
      </c>
      <c r="J508">
        <v>81.400000000000006</v>
      </c>
      <c r="K508">
        <v>57.2</v>
      </c>
      <c r="L508">
        <v>43.7</v>
      </c>
      <c r="M508" s="2">
        <f t="shared" si="90"/>
        <v>1</v>
      </c>
      <c r="N508">
        <v>0</v>
      </c>
      <c r="P508" s="2">
        <f t="shared" si="91"/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s="2">
        <f t="shared" si="92"/>
        <v>0</v>
      </c>
      <c r="X508">
        <v>21.8</v>
      </c>
      <c r="Z508" s="2">
        <f t="shared" si="93"/>
        <v>1</v>
      </c>
      <c r="AA508">
        <v>358.6</v>
      </c>
      <c r="AB508" s="2" t="str">
        <f>CHOOSE(MATCH(AA508,{0;11;80;111;161;191;241;281;341},1),"North","NorthEast","East","SouthEast","South","SouthWest","West","NorthWest","North")</f>
        <v>North</v>
      </c>
      <c r="AC508" s="5">
        <f>CHOOSE(MATCH(AB508,{"South";"SouthEast";"SouthWest";"North";"NorthEast";"East";"West";"NorthWest"},0),1,2,3,4,5,6,7,8)</f>
        <v>4</v>
      </c>
      <c r="AD508" s="2">
        <f t="shared" si="94"/>
        <v>1</v>
      </c>
      <c r="AE508">
        <v>1017.1</v>
      </c>
      <c r="AF508" s="4" t="s">
        <v>900</v>
      </c>
      <c r="AG508" s="2">
        <f t="shared" si="95"/>
        <v>1</v>
      </c>
      <c r="AH508" t="s">
        <v>901</v>
      </c>
      <c r="AI508" s="2">
        <f t="shared" si="96"/>
        <v>8</v>
      </c>
      <c r="AJ508" s="2">
        <f t="shared" si="97"/>
        <v>1</v>
      </c>
      <c r="AK508" s="3">
        <v>1384.9999999988361</v>
      </c>
      <c r="AM508" s="2">
        <v>1</v>
      </c>
      <c r="AN508">
        <v>140</v>
      </c>
      <c r="AO508">
        <v>0</v>
      </c>
      <c r="AP508">
        <v>0</v>
      </c>
      <c r="AQ508" s="2">
        <f>IF((2*G508 + M508 -P508 + 3*W508 + 2*Z508+2*AD508 + AG508+2*AJ508 + 4*AM508) &gt;=8,1,0)</f>
        <v>1</v>
      </c>
    </row>
    <row r="509" spans="1:43" x14ac:dyDescent="0.25">
      <c r="A509" t="s">
        <v>27</v>
      </c>
      <c r="B509" s="1">
        <v>38595</v>
      </c>
      <c r="C509" s="7">
        <f t="shared" si="89"/>
        <v>2005</v>
      </c>
      <c r="D509">
        <v>87.9</v>
      </c>
      <c r="E509">
        <v>75.3</v>
      </c>
      <c r="F509">
        <v>80.599999999999994</v>
      </c>
      <c r="G509" s="2">
        <f t="shared" si="88"/>
        <v>1</v>
      </c>
      <c r="H509">
        <v>87</v>
      </c>
      <c r="I509">
        <v>75.3</v>
      </c>
      <c r="J509">
        <v>80.599999999999994</v>
      </c>
      <c r="K509">
        <v>59.1</v>
      </c>
      <c r="L509">
        <v>48.4</v>
      </c>
      <c r="M509" s="2">
        <f t="shared" si="90"/>
        <v>1</v>
      </c>
      <c r="N509">
        <v>0</v>
      </c>
      <c r="P509" s="2">
        <f t="shared" si="91"/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s="2">
        <f t="shared" si="92"/>
        <v>0</v>
      </c>
      <c r="X509">
        <v>23</v>
      </c>
      <c r="Z509" s="2">
        <f t="shared" si="93"/>
        <v>1</v>
      </c>
      <c r="AA509">
        <v>1.9</v>
      </c>
      <c r="AB509" s="2" t="str">
        <f>CHOOSE(MATCH(AA509,{0;11;80;111;161;191;241;281;341},1),"North","NorthEast","East","SouthEast","South","SouthWest","West","NorthWest","North")</f>
        <v>North</v>
      </c>
      <c r="AC509" s="5">
        <f>CHOOSE(MATCH(AB509,{"South";"SouthEast";"SouthWest";"North";"NorthEast";"East";"West";"NorthWest"},0),1,2,3,4,5,6,7,8)</f>
        <v>4</v>
      </c>
      <c r="AD509" s="2">
        <f t="shared" si="94"/>
        <v>1</v>
      </c>
      <c r="AE509">
        <v>1013.5</v>
      </c>
      <c r="AF509" s="4" t="s">
        <v>548</v>
      </c>
      <c r="AG509" s="2">
        <f t="shared" si="95"/>
        <v>1</v>
      </c>
      <c r="AH509" t="s">
        <v>902</v>
      </c>
      <c r="AI509" s="2">
        <f t="shared" si="96"/>
        <v>8</v>
      </c>
      <c r="AJ509" s="2">
        <f t="shared" si="97"/>
        <v>1</v>
      </c>
      <c r="AK509" s="3">
        <v>120.0000000034925</v>
      </c>
      <c r="AM509" s="2">
        <v>0</v>
      </c>
      <c r="AN509">
        <v>0.25</v>
      </c>
      <c r="AO509">
        <v>0</v>
      </c>
      <c r="AP509">
        <v>0</v>
      </c>
      <c r="AQ509" s="2">
        <f>IF((2*G509 + M509 -P509 + 3*W509 + 2*Z509+2*AD509 + AG509+2*AJ509 + 4*AM509) &gt;=8,1,0)</f>
        <v>1</v>
      </c>
    </row>
    <row r="510" spans="1:43" x14ac:dyDescent="0.25">
      <c r="A510" t="s">
        <v>27</v>
      </c>
      <c r="B510" s="1">
        <v>38595</v>
      </c>
      <c r="C510" s="7">
        <f t="shared" si="89"/>
        <v>2005</v>
      </c>
      <c r="D510">
        <v>87.9</v>
      </c>
      <c r="E510">
        <v>75.3</v>
      </c>
      <c r="F510">
        <v>80.599999999999994</v>
      </c>
      <c r="G510" s="2">
        <f t="shared" si="88"/>
        <v>1</v>
      </c>
      <c r="H510">
        <v>87</v>
      </c>
      <c r="I510">
        <v>75.3</v>
      </c>
      <c r="J510">
        <v>80.599999999999994</v>
      </c>
      <c r="K510">
        <v>59.1</v>
      </c>
      <c r="L510">
        <v>48.4</v>
      </c>
      <c r="M510" s="2">
        <f t="shared" si="90"/>
        <v>1</v>
      </c>
      <c r="N510">
        <v>0</v>
      </c>
      <c r="P510" s="2">
        <f t="shared" si="91"/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2">
        <f t="shared" si="92"/>
        <v>0</v>
      </c>
      <c r="X510">
        <v>23</v>
      </c>
      <c r="Z510" s="2">
        <f t="shared" si="93"/>
        <v>1</v>
      </c>
      <c r="AA510">
        <v>1.9</v>
      </c>
      <c r="AB510" s="2" t="str">
        <f>CHOOSE(MATCH(AA510,{0;11;80;111;161;191;241;281;341},1),"North","NorthEast","East","SouthEast","South","SouthWest","West","NorthWest","North")</f>
        <v>North</v>
      </c>
      <c r="AC510" s="5">
        <f>CHOOSE(MATCH(AB510,{"South";"SouthEast";"SouthWest";"North";"NorthEast";"East";"West";"NorthWest"},0),1,2,3,4,5,6,7,8)</f>
        <v>4</v>
      </c>
      <c r="AD510" s="2">
        <f t="shared" si="94"/>
        <v>1</v>
      </c>
      <c r="AE510">
        <v>1013.5</v>
      </c>
      <c r="AF510" s="4" t="s">
        <v>903</v>
      </c>
      <c r="AG510" s="2">
        <f t="shared" si="95"/>
        <v>0</v>
      </c>
      <c r="AH510" t="s">
        <v>904</v>
      </c>
      <c r="AI510" s="2">
        <f t="shared" si="96"/>
        <v>8</v>
      </c>
      <c r="AJ510" s="2">
        <f t="shared" si="97"/>
        <v>1</v>
      </c>
      <c r="AK510" s="3">
        <v>165.00000000349249</v>
      </c>
      <c r="AM510" s="2">
        <v>0</v>
      </c>
      <c r="AN510">
        <v>0</v>
      </c>
      <c r="AO510">
        <v>2</v>
      </c>
      <c r="AP510">
        <v>0</v>
      </c>
      <c r="AQ510" s="2">
        <f>IF((2*G510 + M510 -P510 + 3*W510 + 2*Z510+2*AD510 + AG510+2*AJ510 + 4*AM510) &gt;=8,1,0)</f>
        <v>1</v>
      </c>
    </row>
    <row r="511" spans="1:43" x14ac:dyDescent="0.25">
      <c r="A511" t="s">
        <v>27</v>
      </c>
      <c r="B511" s="1">
        <v>38597</v>
      </c>
      <c r="C511" s="7">
        <f t="shared" si="89"/>
        <v>2005</v>
      </c>
      <c r="D511">
        <v>88</v>
      </c>
      <c r="E511">
        <v>72.900000000000006</v>
      </c>
      <c r="F511">
        <v>79.400000000000006</v>
      </c>
      <c r="G511" s="2">
        <f t="shared" si="88"/>
        <v>1</v>
      </c>
      <c r="H511">
        <v>85.4</v>
      </c>
      <c r="I511">
        <v>72.900000000000006</v>
      </c>
      <c r="J511">
        <v>78.8</v>
      </c>
      <c r="K511">
        <v>54.5</v>
      </c>
      <c r="L511">
        <v>43.2</v>
      </c>
      <c r="M511" s="2">
        <f t="shared" si="90"/>
        <v>1</v>
      </c>
      <c r="N511">
        <v>0</v>
      </c>
      <c r="P511" s="2">
        <f t="shared" si="91"/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s="2">
        <f t="shared" si="92"/>
        <v>0</v>
      </c>
      <c r="X511">
        <v>15.8</v>
      </c>
      <c r="Z511" s="2">
        <f t="shared" si="93"/>
        <v>0</v>
      </c>
      <c r="AA511">
        <v>9.5</v>
      </c>
      <c r="AB511" s="2" t="str">
        <f>CHOOSE(MATCH(AA511,{0;11;80;111;161;191;241;281;341},1),"North","NorthEast","East","SouthEast","South","SouthWest","West","NorthWest","North")</f>
        <v>North</v>
      </c>
      <c r="AC511" s="5">
        <f>CHOOSE(MATCH(AB511,{"South";"SouthEast";"SouthWest";"North";"NorthEast";"East";"West";"NorthWest"},0),1,2,3,4,5,6,7,8)</f>
        <v>4</v>
      </c>
      <c r="AD511" s="2">
        <f t="shared" si="94"/>
        <v>1</v>
      </c>
      <c r="AE511">
        <v>1015.4</v>
      </c>
      <c r="AF511" s="4" t="s">
        <v>113</v>
      </c>
      <c r="AG511" s="2">
        <f t="shared" si="95"/>
        <v>1</v>
      </c>
      <c r="AH511" t="s">
        <v>905</v>
      </c>
      <c r="AI511" s="2">
        <f t="shared" si="96"/>
        <v>9</v>
      </c>
      <c r="AJ511" s="2">
        <f t="shared" si="97"/>
        <v>0</v>
      </c>
      <c r="AK511" s="3">
        <v>39.999999994179227</v>
      </c>
      <c r="AM511" s="2">
        <v>0</v>
      </c>
      <c r="AN511">
        <v>0</v>
      </c>
      <c r="AO511">
        <v>0</v>
      </c>
      <c r="AP511">
        <v>0.2</v>
      </c>
      <c r="AQ511" s="2">
        <f>IF((2*G511 + M511 -P511 + 3*W511 + 2*Z511+2*AD511 + AG511+2*AJ511 + 4*AM511) &gt;=8,1,0)</f>
        <v>0</v>
      </c>
    </row>
    <row r="512" spans="1:43" x14ac:dyDescent="0.25">
      <c r="A512" t="s">
        <v>27</v>
      </c>
      <c r="B512" s="1">
        <v>38603</v>
      </c>
      <c r="C512" s="7">
        <f t="shared" si="89"/>
        <v>2005</v>
      </c>
      <c r="D512">
        <v>85</v>
      </c>
      <c r="E512">
        <v>65.2</v>
      </c>
      <c r="F512">
        <v>76.2</v>
      </c>
      <c r="G512" s="2">
        <f t="shared" si="88"/>
        <v>1</v>
      </c>
      <c r="H512">
        <v>84.7</v>
      </c>
      <c r="I512">
        <v>65.2</v>
      </c>
      <c r="J512">
        <v>75.900000000000006</v>
      </c>
      <c r="K512">
        <v>56.2</v>
      </c>
      <c r="L512">
        <v>52.1</v>
      </c>
      <c r="M512" s="2">
        <f t="shared" si="90"/>
        <v>0</v>
      </c>
      <c r="N512">
        <v>0</v>
      </c>
      <c r="P512" s="2">
        <f t="shared" si="91"/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2">
        <f t="shared" si="92"/>
        <v>0</v>
      </c>
      <c r="X512">
        <v>16.5</v>
      </c>
      <c r="Z512" s="2">
        <f t="shared" si="93"/>
        <v>1</v>
      </c>
      <c r="AA512">
        <v>11.7</v>
      </c>
      <c r="AB512" s="2" t="str">
        <f>CHOOSE(MATCH(AA512,{0;11;80;111;161;191;241;281;341},1),"North","NorthEast","East","SouthEast","South","SouthWest","West","NorthWest","North")</f>
        <v>NorthEast</v>
      </c>
      <c r="AC512" s="5">
        <f>CHOOSE(MATCH(AB512,{"South";"SouthEast";"SouthWest";"North";"NorthEast";"East";"West";"NorthWest"},0),1,2,3,4,5,6,7,8)</f>
        <v>5</v>
      </c>
      <c r="AD512" s="2">
        <f t="shared" si="94"/>
        <v>1</v>
      </c>
      <c r="AE512">
        <v>1019.6</v>
      </c>
      <c r="AF512" s="4" t="s">
        <v>906</v>
      </c>
      <c r="AG512" s="2">
        <f t="shared" si="95"/>
        <v>1</v>
      </c>
      <c r="AH512" t="s">
        <v>907</v>
      </c>
      <c r="AI512" s="2">
        <f t="shared" si="96"/>
        <v>9</v>
      </c>
      <c r="AJ512" s="2">
        <f t="shared" si="97"/>
        <v>0</v>
      </c>
      <c r="AK512" s="3">
        <v>166.99999999953431</v>
      </c>
      <c r="AM512" s="2">
        <v>0</v>
      </c>
      <c r="AN512">
        <v>0</v>
      </c>
      <c r="AO512">
        <v>1.5</v>
      </c>
      <c r="AP512">
        <v>0</v>
      </c>
      <c r="AQ512" s="2">
        <f>IF((2*G512 + M512 -P512 + 3*W512 + 2*Z512+2*AD512 + AG512+2*AJ512 + 4*AM512) &gt;=8,1,0)</f>
        <v>0</v>
      </c>
    </row>
    <row r="513" spans="1:43" x14ac:dyDescent="0.25">
      <c r="A513" t="s">
        <v>27</v>
      </c>
      <c r="B513" s="1">
        <v>38609</v>
      </c>
      <c r="C513" s="7">
        <f t="shared" si="89"/>
        <v>2005</v>
      </c>
      <c r="D513">
        <v>89.7</v>
      </c>
      <c r="E513">
        <v>68.099999999999994</v>
      </c>
      <c r="F513">
        <v>78.7</v>
      </c>
      <c r="G513" s="2">
        <f t="shared" si="88"/>
        <v>1</v>
      </c>
      <c r="H513">
        <v>89.1</v>
      </c>
      <c r="I513">
        <v>68.099999999999994</v>
      </c>
      <c r="J513">
        <v>78.7</v>
      </c>
      <c r="K513">
        <v>59.3</v>
      </c>
      <c r="L513">
        <v>52.9</v>
      </c>
      <c r="M513" s="2">
        <f t="shared" si="90"/>
        <v>0</v>
      </c>
      <c r="N513">
        <v>0</v>
      </c>
      <c r="P513" s="2">
        <f t="shared" si="91"/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s="2">
        <f t="shared" si="92"/>
        <v>0</v>
      </c>
      <c r="X513">
        <v>13.3</v>
      </c>
      <c r="Z513" s="2">
        <f t="shared" si="93"/>
        <v>0</v>
      </c>
      <c r="AA513">
        <v>153.19999999999999</v>
      </c>
      <c r="AB513" s="2" t="str">
        <f>CHOOSE(MATCH(AA513,{0;11;80;111;161;191;241;281;341},1),"North","NorthEast","East","SouthEast","South","SouthWest","West","NorthWest","North")</f>
        <v>SouthEast</v>
      </c>
      <c r="AC513" s="5">
        <f>CHOOSE(MATCH(AB513,{"South";"SouthEast";"SouthWest";"North";"NorthEast";"East";"West";"NorthWest"},0),1,2,3,4,5,6,7,8)</f>
        <v>2</v>
      </c>
      <c r="AD513" s="2">
        <f t="shared" si="94"/>
        <v>0</v>
      </c>
      <c r="AE513">
        <v>1014.3</v>
      </c>
      <c r="AF513" s="4" t="s">
        <v>182</v>
      </c>
      <c r="AG513" s="2">
        <f t="shared" si="95"/>
        <v>0</v>
      </c>
      <c r="AH513" t="s">
        <v>908</v>
      </c>
      <c r="AI513" s="2">
        <f t="shared" si="96"/>
        <v>9</v>
      </c>
      <c r="AJ513" s="2">
        <f t="shared" si="97"/>
        <v>0</v>
      </c>
      <c r="AK513" s="3">
        <v>144.9999999906868</v>
      </c>
      <c r="AM513" s="2">
        <v>0</v>
      </c>
      <c r="AN513">
        <v>0</v>
      </c>
      <c r="AO513">
        <v>1</v>
      </c>
      <c r="AP513">
        <v>0</v>
      </c>
      <c r="AQ513" s="2">
        <f>IF((2*G513 + M513 -P513 + 3*W513 + 2*Z513+2*AD513 + AG513+2*AJ513 + 4*AM513) &gt;=8,1,0)</f>
        <v>0</v>
      </c>
    </row>
    <row r="514" spans="1:43" x14ac:dyDescent="0.25">
      <c r="A514" t="s">
        <v>27</v>
      </c>
      <c r="B514" s="1">
        <v>38612</v>
      </c>
      <c r="C514" s="7">
        <f t="shared" si="89"/>
        <v>2005</v>
      </c>
      <c r="D514">
        <v>82.3</v>
      </c>
      <c r="E514">
        <v>64</v>
      </c>
      <c r="F514">
        <v>73.7</v>
      </c>
      <c r="G514" s="2">
        <f t="shared" ref="G514:G577" si="98">IF(F514&lt;=73.6,0,1)</f>
        <v>1</v>
      </c>
      <c r="H514">
        <v>83.1</v>
      </c>
      <c r="I514">
        <v>64</v>
      </c>
      <c r="J514">
        <v>73.900000000000006</v>
      </c>
      <c r="K514">
        <v>61.1</v>
      </c>
      <c r="L514">
        <v>66.099999999999994</v>
      </c>
      <c r="M514" s="2">
        <f t="shared" si="90"/>
        <v>0</v>
      </c>
      <c r="N514">
        <v>0</v>
      </c>
      <c r="P514" s="2">
        <f t="shared" si="91"/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s="2">
        <f t="shared" si="92"/>
        <v>0</v>
      </c>
      <c r="X514">
        <v>10.8</v>
      </c>
      <c r="Z514" s="2">
        <f t="shared" si="93"/>
        <v>0</v>
      </c>
      <c r="AA514">
        <v>193.7</v>
      </c>
      <c r="AB514" s="2" t="str">
        <f>CHOOSE(MATCH(AA514,{0;11;80;111;161;191;241;281;341},1),"North","NorthEast","East","SouthEast","South","SouthWest","West","NorthWest","North")</f>
        <v>SouthWest</v>
      </c>
      <c r="AC514" s="5">
        <f>CHOOSE(MATCH(AB514,{"South";"SouthEast";"SouthWest";"North";"NorthEast";"East";"West";"NorthWest"},0),1,2,3,4,5,6,7,8)</f>
        <v>3</v>
      </c>
      <c r="AD514" s="2">
        <f t="shared" si="94"/>
        <v>1</v>
      </c>
      <c r="AE514">
        <v>1010.1</v>
      </c>
      <c r="AF514" s="4" t="s">
        <v>438</v>
      </c>
      <c r="AG514" s="2">
        <f t="shared" si="95"/>
        <v>1</v>
      </c>
      <c r="AH514" t="s">
        <v>909</v>
      </c>
      <c r="AI514" s="2">
        <f t="shared" si="96"/>
        <v>9</v>
      </c>
      <c r="AJ514" s="2">
        <f t="shared" si="97"/>
        <v>0</v>
      </c>
      <c r="AK514" s="3">
        <v>117.9999999969732</v>
      </c>
      <c r="AM514" s="2">
        <v>0</v>
      </c>
      <c r="AN514">
        <v>0</v>
      </c>
      <c r="AO514">
        <v>0.02</v>
      </c>
      <c r="AP514">
        <v>0</v>
      </c>
      <c r="AQ514" s="2">
        <f>IF((2*G514 + M514 -P514 + 3*W514 + 2*Z514+2*AD514 + AG514+2*AJ514 + 4*AM514) &gt;=8,1,0)</f>
        <v>0</v>
      </c>
    </row>
    <row r="515" spans="1:43" x14ac:dyDescent="0.25">
      <c r="A515" t="s">
        <v>27</v>
      </c>
      <c r="B515" s="1">
        <v>38618</v>
      </c>
      <c r="C515" s="7">
        <f t="shared" si="89"/>
        <v>2005</v>
      </c>
      <c r="D515">
        <v>76.2</v>
      </c>
      <c r="E515">
        <v>64.5</v>
      </c>
      <c r="F515">
        <v>68.7</v>
      </c>
      <c r="G515" s="2">
        <f t="shared" si="98"/>
        <v>0</v>
      </c>
      <c r="H515">
        <v>76.2</v>
      </c>
      <c r="I515">
        <v>64.5</v>
      </c>
      <c r="J515">
        <v>68.7</v>
      </c>
      <c r="K515">
        <v>62.5</v>
      </c>
      <c r="L515">
        <v>81.5</v>
      </c>
      <c r="M515" s="2">
        <f t="shared" si="90"/>
        <v>0</v>
      </c>
      <c r="N515">
        <v>0.86499999999999999</v>
      </c>
      <c r="P515" s="2">
        <f t="shared" si="91"/>
        <v>0</v>
      </c>
      <c r="Q515">
        <v>100</v>
      </c>
      <c r="R515">
        <v>8.33</v>
      </c>
      <c r="S515" t="s">
        <v>87</v>
      </c>
      <c r="T515">
        <v>0</v>
      </c>
      <c r="U515">
        <v>0</v>
      </c>
      <c r="V515">
        <v>0</v>
      </c>
      <c r="W515" s="2">
        <f t="shared" si="92"/>
        <v>0</v>
      </c>
      <c r="X515">
        <v>10.4</v>
      </c>
      <c r="Z515" s="2">
        <f t="shared" si="93"/>
        <v>0</v>
      </c>
      <c r="AA515">
        <v>69.2</v>
      </c>
      <c r="AB515" s="2" t="str">
        <f>CHOOSE(MATCH(AA515,{0;11;80;111;161;191;241;281;341},1),"North","NorthEast","East","SouthEast","South","SouthWest","West","NorthWest","North")</f>
        <v>NorthEast</v>
      </c>
      <c r="AC515" s="5">
        <f>CHOOSE(MATCH(AB515,{"South";"SouthEast";"SouthWest";"North";"NorthEast";"East";"West";"NorthWest"},0),1,2,3,4,5,6,7,8)</f>
        <v>5</v>
      </c>
      <c r="AD515" s="2">
        <f t="shared" si="94"/>
        <v>1</v>
      </c>
      <c r="AE515">
        <v>1014.6</v>
      </c>
      <c r="AF515" s="4" t="s">
        <v>280</v>
      </c>
      <c r="AG515" s="2">
        <f t="shared" si="95"/>
        <v>1</v>
      </c>
      <c r="AH515" t="s">
        <v>910</v>
      </c>
      <c r="AI515" s="2">
        <f t="shared" si="96"/>
        <v>9</v>
      </c>
      <c r="AJ515" s="2">
        <f t="shared" si="97"/>
        <v>0</v>
      </c>
      <c r="AK515" s="3">
        <v>45</v>
      </c>
      <c r="AM515" s="2">
        <v>0</v>
      </c>
      <c r="AN515">
        <v>0</v>
      </c>
      <c r="AO515">
        <v>0.01</v>
      </c>
      <c r="AP515">
        <v>0</v>
      </c>
      <c r="AQ515" s="2">
        <f>IF((2*G515 + M515 -P515 + 3*W515 + 2*Z515+2*AD515 + AG515+2*AJ515 + 4*AM515) &gt;=8,1,0)</f>
        <v>0</v>
      </c>
    </row>
    <row r="516" spans="1:43" x14ac:dyDescent="0.25">
      <c r="A516" t="s">
        <v>27</v>
      </c>
      <c r="B516" s="1">
        <v>38625</v>
      </c>
      <c r="C516" s="7">
        <f t="shared" si="89"/>
        <v>2005</v>
      </c>
      <c r="D516">
        <v>76.5</v>
      </c>
      <c r="E516">
        <v>62.4</v>
      </c>
      <c r="F516">
        <v>69.3</v>
      </c>
      <c r="G516" s="2">
        <f t="shared" si="98"/>
        <v>0</v>
      </c>
      <c r="H516">
        <v>76.5</v>
      </c>
      <c r="I516">
        <v>62.4</v>
      </c>
      <c r="J516">
        <v>69.3</v>
      </c>
      <c r="K516">
        <v>61.2</v>
      </c>
      <c r="L516">
        <v>76</v>
      </c>
      <c r="M516" s="2">
        <f t="shared" si="90"/>
        <v>0</v>
      </c>
      <c r="N516">
        <v>0</v>
      </c>
      <c r="P516" s="2">
        <f t="shared" si="91"/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s="2">
        <f t="shared" si="92"/>
        <v>0</v>
      </c>
      <c r="X516">
        <v>10.6</v>
      </c>
      <c r="Z516" s="2">
        <f t="shared" si="93"/>
        <v>0</v>
      </c>
      <c r="AA516">
        <v>173</v>
      </c>
      <c r="AB516" s="2" t="str">
        <f>CHOOSE(MATCH(AA516,{0;11;80;111;161;191;241;281;341},1),"North","NorthEast","East","SouthEast","South","SouthWest","West","NorthWest","North")</f>
        <v>South</v>
      </c>
      <c r="AC516" s="5">
        <f>CHOOSE(MATCH(AB516,{"South";"SouthEast";"SouthWest";"North";"NorthEast";"East";"West";"NorthWest"},0),1,2,3,4,5,6,7,8)</f>
        <v>1</v>
      </c>
      <c r="AD516" s="2">
        <f t="shared" si="94"/>
        <v>0</v>
      </c>
      <c r="AE516">
        <v>1014.4</v>
      </c>
      <c r="AF516" s="4" t="s">
        <v>328</v>
      </c>
      <c r="AG516" s="2">
        <f t="shared" si="95"/>
        <v>0</v>
      </c>
      <c r="AH516" t="s">
        <v>911</v>
      </c>
      <c r="AI516" s="2">
        <f t="shared" si="96"/>
        <v>9</v>
      </c>
      <c r="AJ516" s="2">
        <f t="shared" si="97"/>
        <v>0</v>
      </c>
      <c r="AK516" s="3">
        <v>101.0000000044238</v>
      </c>
      <c r="AM516" s="2">
        <v>0</v>
      </c>
      <c r="AN516">
        <v>0.06</v>
      </c>
      <c r="AO516">
        <v>0</v>
      </c>
      <c r="AP516">
        <v>0</v>
      </c>
      <c r="AQ516" s="2">
        <f>IF((2*G516 + M516 -P516 + 3*W516 + 2*Z516+2*AD516 + AG516+2*AJ516 + 4*AM516) &gt;=8,1,0)</f>
        <v>0</v>
      </c>
    </row>
    <row r="517" spans="1:43" x14ac:dyDescent="0.25">
      <c r="A517" t="s">
        <v>27</v>
      </c>
      <c r="B517" s="1">
        <v>38640</v>
      </c>
      <c r="C517" s="7">
        <f t="shared" si="89"/>
        <v>2005</v>
      </c>
      <c r="D517">
        <v>70.7</v>
      </c>
      <c r="E517">
        <v>56.4</v>
      </c>
      <c r="F517">
        <v>62.9</v>
      </c>
      <c r="G517" s="2">
        <f t="shared" si="98"/>
        <v>0</v>
      </c>
      <c r="H517">
        <v>70.7</v>
      </c>
      <c r="I517">
        <v>56.4</v>
      </c>
      <c r="J517">
        <v>62.9</v>
      </c>
      <c r="K517">
        <v>48.5</v>
      </c>
      <c r="L517">
        <v>61.1</v>
      </c>
      <c r="M517" s="2">
        <f t="shared" si="90"/>
        <v>0</v>
      </c>
      <c r="N517">
        <v>0</v>
      </c>
      <c r="P517" s="2">
        <f t="shared" si="91"/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2">
        <f t="shared" si="92"/>
        <v>0</v>
      </c>
      <c r="X517">
        <v>17.100000000000001</v>
      </c>
      <c r="Z517" s="2">
        <f t="shared" si="93"/>
        <v>1</v>
      </c>
      <c r="AA517">
        <v>2.2000000000000002</v>
      </c>
      <c r="AB517" s="2" t="str">
        <f>CHOOSE(MATCH(AA517,{0;11;80;111;161;191;241;281;341},1),"North","NorthEast","East","SouthEast","South","SouthWest","West","NorthWest","North")</f>
        <v>North</v>
      </c>
      <c r="AC517" s="5">
        <f>CHOOSE(MATCH(AB517,{"South";"SouthEast";"SouthWest";"North";"NorthEast";"East";"West";"NorthWest"},0),1,2,3,4,5,6,7,8)</f>
        <v>4</v>
      </c>
      <c r="AD517" s="2">
        <f t="shared" si="94"/>
        <v>1</v>
      </c>
      <c r="AE517">
        <v>1020.6</v>
      </c>
      <c r="AF517" s="4" t="s">
        <v>485</v>
      </c>
      <c r="AG517" s="2">
        <f t="shared" si="95"/>
        <v>1</v>
      </c>
      <c r="AH517" t="s">
        <v>912</v>
      </c>
      <c r="AI517" s="2">
        <f t="shared" si="96"/>
        <v>10</v>
      </c>
      <c r="AJ517" s="2">
        <f t="shared" si="97"/>
        <v>0</v>
      </c>
      <c r="AK517" s="3">
        <v>730.00000000116415</v>
      </c>
      <c r="AM517" s="2">
        <v>1</v>
      </c>
      <c r="AN517">
        <v>0</v>
      </c>
      <c r="AO517">
        <v>8</v>
      </c>
      <c r="AP517">
        <v>0</v>
      </c>
      <c r="AQ517" s="2">
        <f>IF((2*G517 + M517 -P517 + 3*W517 + 2*Z517+2*AD517 + AG517+2*AJ517 + 4*AM517) &gt;=8,1,0)</f>
        <v>1</v>
      </c>
    </row>
    <row r="518" spans="1:43" x14ac:dyDescent="0.25">
      <c r="A518" t="s">
        <v>27</v>
      </c>
      <c r="B518" s="1">
        <v>38647</v>
      </c>
      <c r="C518" s="7">
        <f t="shared" si="89"/>
        <v>2005</v>
      </c>
      <c r="D518">
        <v>70</v>
      </c>
      <c r="E518">
        <v>49.8</v>
      </c>
      <c r="F518">
        <v>60.4</v>
      </c>
      <c r="G518" s="2">
        <f t="shared" si="98"/>
        <v>0</v>
      </c>
      <c r="H518">
        <v>70</v>
      </c>
      <c r="I518">
        <v>48.5</v>
      </c>
      <c r="J518">
        <v>60.3</v>
      </c>
      <c r="K518">
        <v>51</v>
      </c>
      <c r="L518">
        <v>72</v>
      </c>
      <c r="M518" s="2">
        <f t="shared" si="90"/>
        <v>0</v>
      </c>
      <c r="N518">
        <v>0</v>
      </c>
      <c r="P518" s="2">
        <f t="shared" si="91"/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2">
        <f t="shared" si="92"/>
        <v>0</v>
      </c>
      <c r="X518">
        <v>11.1</v>
      </c>
      <c r="Z518" s="2">
        <f t="shared" si="93"/>
        <v>0</v>
      </c>
      <c r="AA518">
        <v>208.9</v>
      </c>
      <c r="AB518" s="2" t="str">
        <f>CHOOSE(MATCH(AA518,{0;11;80;111;161;191;241;281;341},1),"North","NorthEast","East","SouthEast","South","SouthWest","West","NorthWest","North")</f>
        <v>SouthWest</v>
      </c>
      <c r="AC518" s="5">
        <f>CHOOSE(MATCH(AB518,{"South";"SouthEast";"SouthWest";"North";"NorthEast";"East";"West";"NorthWest"},0),1,2,3,4,5,6,7,8)</f>
        <v>3</v>
      </c>
      <c r="AD518" s="2">
        <f t="shared" si="94"/>
        <v>1</v>
      </c>
      <c r="AE518">
        <v>1022.8</v>
      </c>
      <c r="AF518" s="4" t="s">
        <v>868</v>
      </c>
      <c r="AG518" s="2">
        <f t="shared" si="95"/>
        <v>0</v>
      </c>
      <c r="AH518" t="s">
        <v>913</v>
      </c>
      <c r="AI518" s="2">
        <f t="shared" si="96"/>
        <v>10</v>
      </c>
      <c r="AJ518" s="2">
        <f t="shared" si="97"/>
        <v>0</v>
      </c>
      <c r="AK518" s="3">
        <v>211.99999999953431</v>
      </c>
      <c r="AM518" s="2">
        <v>0</v>
      </c>
      <c r="AN518">
        <v>0</v>
      </c>
      <c r="AO518">
        <v>1</v>
      </c>
      <c r="AP518">
        <v>0</v>
      </c>
      <c r="AQ518" s="2">
        <f>IF((2*G518 + M518 -P518 + 3*W518 + 2*Z518+2*AD518 + AG518+2*AJ518 + 4*AM518) &gt;=8,1,0)</f>
        <v>0</v>
      </c>
    </row>
    <row r="519" spans="1:43" x14ac:dyDescent="0.25">
      <c r="A519" t="s">
        <v>27</v>
      </c>
      <c r="B519" s="1">
        <v>38647</v>
      </c>
      <c r="C519" s="7">
        <f t="shared" si="89"/>
        <v>2005</v>
      </c>
      <c r="D519">
        <v>70</v>
      </c>
      <c r="E519">
        <v>49.8</v>
      </c>
      <c r="F519">
        <v>60.4</v>
      </c>
      <c r="G519" s="2">
        <f t="shared" si="98"/>
        <v>0</v>
      </c>
      <c r="H519">
        <v>70</v>
      </c>
      <c r="I519">
        <v>48.5</v>
      </c>
      <c r="J519">
        <v>60.3</v>
      </c>
      <c r="K519">
        <v>51</v>
      </c>
      <c r="L519">
        <v>72</v>
      </c>
      <c r="M519" s="2">
        <f t="shared" si="90"/>
        <v>0</v>
      </c>
      <c r="N519">
        <v>0</v>
      </c>
      <c r="P519" s="2">
        <f t="shared" si="91"/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2">
        <f t="shared" si="92"/>
        <v>0</v>
      </c>
      <c r="X519">
        <v>11.1</v>
      </c>
      <c r="Z519" s="2">
        <f t="shared" si="93"/>
        <v>0</v>
      </c>
      <c r="AA519">
        <v>208.9</v>
      </c>
      <c r="AB519" s="2" t="str">
        <f>CHOOSE(MATCH(AA519,{0;11;80;111;161;191;241;281;341},1),"North","NorthEast","East","SouthEast","South","SouthWest","West","NorthWest","North")</f>
        <v>SouthWest</v>
      </c>
      <c r="AC519" s="5">
        <f>CHOOSE(MATCH(AB519,{"South";"SouthEast";"SouthWest";"North";"NorthEast";"East";"West";"NorthWest"},0),1,2,3,4,5,6,7,8)</f>
        <v>3</v>
      </c>
      <c r="AD519" s="2">
        <f t="shared" si="94"/>
        <v>1</v>
      </c>
      <c r="AE519">
        <v>1022.8</v>
      </c>
      <c r="AF519" s="4" t="s">
        <v>868</v>
      </c>
      <c r="AG519" s="2">
        <f t="shared" si="95"/>
        <v>0</v>
      </c>
      <c r="AH519" t="s">
        <v>913</v>
      </c>
      <c r="AI519" s="2">
        <f t="shared" si="96"/>
        <v>10</v>
      </c>
      <c r="AJ519" s="2">
        <f t="shared" si="97"/>
        <v>0</v>
      </c>
      <c r="AK519" s="3">
        <v>204.99999999767169</v>
      </c>
      <c r="AM519" s="2">
        <v>0</v>
      </c>
      <c r="AN519">
        <v>0</v>
      </c>
      <c r="AO519">
        <v>1</v>
      </c>
      <c r="AP519">
        <v>0</v>
      </c>
      <c r="AQ519" s="2">
        <f>IF((2*G519 + M519 -P519 + 3*W519 + 2*Z519+2*AD519 + AG519+2*AJ519 + 4*AM519) &gt;=8,1,0)</f>
        <v>0</v>
      </c>
    </row>
    <row r="520" spans="1:43" x14ac:dyDescent="0.25">
      <c r="A520" t="s">
        <v>27</v>
      </c>
      <c r="B520" s="1">
        <v>38654</v>
      </c>
      <c r="C520" s="7">
        <f t="shared" si="89"/>
        <v>2005</v>
      </c>
      <c r="D520">
        <v>64.099999999999994</v>
      </c>
      <c r="E520">
        <v>55.5</v>
      </c>
      <c r="F520">
        <v>59.6</v>
      </c>
      <c r="G520" s="2">
        <f t="shared" si="98"/>
        <v>0</v>
      </c>
      <c r="H520">
        <v>64.099999999999994</v>
      </c>
      <c r="I520">
        <v>55.5</v>
      </c>
      <c r="J520">
        <v>59.6</v>
      </c>
      <c r="K520">
        <v>43.3</v>
      </c>
      <c r="L520">
        <v>55.2</v>
      </c>
      <c r="M520" s="2">
        <f t="shared" si="90"/>
        <v>0</v>
      </c>
      <c r="N520">
        <v>0</v>
      </c>
      <c r="P520" s="2">
        <f t="shared" si="91"/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s="2">
        <f t="shared" si="92"/>
        <v>0</v>
      </c>
      <c r="X520">
        <v>21.2</v>
      </c>
      <c r="Z520" s="2">
        <f t="shared" si="93"/>
        <v>1</v>
      </c>
      <c r="AA520">
        <v>16.100000000000001</v>
      </c>
      <c r="AB520" s="2" t="str">
        <f>CHOOSE(MATCH(AA520,{0;11;80;111;161;191;241;281;341},1),"North","NorthEast","East","SouthEast","South","SouthWest","West","NorthWest","North")</f>
        <v>NorthEast</v>
      </c>
      <c r="AC520" s="5">
        <f>CHOOSE(MATCH(AB520,{"South";"SouthEast";"SouthWest";"North";"NorthEast";"East";"West";"NorthWest"},0),1,2,3,4,5,6,7,8)</f>
        <v>5</v>
      </c>
      <c r="AD520" s="2">
        <f t="shared" si="94"/>
        <v>1</v>
      </c>
      <c r="AE520">
        <v>1024.5</v>
      </c>
      <c r="AF520" s="4" t="s">
        <v>914</v>
      </c>
      <c r="AG520" s="2">
        <f t="shared" si="95"/>
        <v>0</v>
      </c>
      <c r="AH520" t="s">
        <v>915</v>
      </c>
      <c r="AI520" s="2">
        <f t="shared" si="96"/>
        <v>10</v>
      </c>
      <c r="AJ520" s="2">
        <f t="shared" si="97"/>
        <v>0</v>
      </c>
      <c r="AK520" s="3">
        <v>120.0000000034925</v>
      </c>
      <c r="AM520" s="2">
        <v>0</v>
      </c>
      <c r="AN520">
        <v>0.15</v>
      </c>
      <c r="AO520">
        <v>0</v>
      </c>
      <c r="AP520">
        <v>0</v>
      </c>
      <c r="AQ520" s="2">
        <f>IF((2*G520 + M520 -P520 + 3*W520 + 2*Z520+2*AD520 + AG520+2*AJ520 + 4*AM520) &gt;=8,1,0)</f>
        <v>0</v>
      </c>
    </row>
    <row r="521" spans="1:43" x14ac:dyDescent="0.25">
      <c r="A521" t="s">
        <v>27</v>
      </c>
      <c r="B521" s="1">
        <v>38668</v>
      </c>
      <c r="C521" s="7">
        <f t="shared" si="89"/>
        <v>2005</v>
      </c>
      <c r="D521">
        <v>63.6</v>
      </c>
      <c r="E521">
        <v>51.5</v>
      </c>
      <c r="F521">
        <v>56.5</v>
      </c>
      <c r="G521" s="2">
        <f t="shared" si="98"/>
        <v>0</v>
      </c>
      <c r="H521">
        <v>63.6</v>
      </c>
      <c r="I521">
        <v>51.5</v>
      </c>
      <c r="J521">
        <v>56.5</v>
      </c>
      <c r="K521">
        <v>44.2</v>
      </c>
      <c r="L521">
        <v>63.9</v>
      </c>
      <c r="M521" s="2">
        <f t="shared" si="90"/>
        <v>0</v>
      </c>
      <c r="N521">
        <v>0</v>
      </c>
      <c r="P521" s="2">
        <f t="shared" si="91"/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s="2">
        <f t="shared" si="92"/>
        <v>0</v>
      </c>
      <c r="X521">
        <v>15.5</v>
      </c>
      <c r="Z521" s="2">
        <f t="shared" si="93"/>
        <v>0</v>
      </c>
      <c r="AA521">
        <v>358.2</v>
      </c>
      <c r="AB521" s="2" t="str">
        <f>CHOOSE(MATCH(AA521,{0;11;80;111;161;191;241;281;341},1),"North","NorthEast","East","SouthEast","South","SouthWest","West","NorthWest","North")</f>
        <v>North</v>
      </c>
      <c r="AC521" s="5">
        <f>CHOOSE(MATCH(AB521,{"South";"SouthEast";"SouthWest";"North";"NorthEast";"East";"West";"NorthWest"},0),1,2,3,4,5,6,7,8)</f>
        <v>4</v>
      </c>
      <c r="AD521" s="2">
        <f t="shared" si="94"/>
        <v>1</v>
      </c>
      <c r="AE521">
        <v>1022.9</v>
      </c>
      <c r="AF521" s="4" t="s">
        <v>823</v>
      </c>
      <c r="AG521" s="2">
        <f t="shared" si="95"/>
        <v>1</v>
      </c>
      <c r="AH521" t="s">
        <v>916</v>
      </c>
      <c r="AI521" s="2">
        <f t="shared" si="96"/>
        <v>11</v>
      </c>
      <c r="AJ521" s="2">
        <f t="shared" si="97"/>
        <v>0</v>
      </c>
      <c r="AK521" s="3">
        <v>2880</v>
      </c>
      <c r="AM521" s="2">
        <v>1</v>
      </c>
      <c r="AN521">
        <v>0</v>
      </c>
      <c r="AO521">
        <v>128</v>
      </c>
      <c r="AP521">
        <v>0</v>
      </c>
      <c r="AQ521" s="2">
        <f>IF((2*G521 + M521 -P521 + 3*W521 + 2*Z521+2*AD521 + AG521+2*AJ521 + 4*AM521) &gt;=8,1,0)</f>
        <v>0</v>
      </c>
    </row>
    <row r="522" spans="1:43" x14ac:dyDescent="0.25">
      <c r="A522" t="s">
        <v>27</v>
      </c>
      <c r="B522" s="1">
        <v>38670</v>
      </c>
      <c r="C522" s="7">
        <f t="shared" si="89"/>
        <v>2005</v>
      </c>
      <c r="D522">
        <v>60</v>
      </c>
      <c r="E522">
        <v>49.3</v>
      </c>
      <c r="F522">
        <v>55</v>
      </c>
      <c r="G522" s="2">
        <f t="shared" si="98"/>
        <v>0</v>
      </c>
      <c r="H522">
        <v>60</v>
      </c>
      <c r="I522">
        <v>49.3</v>
      </c>
      <c r="J522">
        <v>55</v>
      </c>
      <c r="K522">
        <v>42</v>
      </c>
      <c r="L522">
        <v>62</v>
      </c>
      <c r="M522" s="2">
        <f t="shared" si="90"/>
        <v>0</v>
      </c>
      <c r="N522">
        <v>0</v>
      </c>
      <c r="P522" s="2">
        <f t="shared" si="91"/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2">
        <f t="shared" si="92"/>
        <v>0</v>
      </c>
      <c r="X522">
        <v>13.2</v>
      </c>
      <c r="Z522" s="2">
        <f t="shared" si="93"/>
        <v>0</v>
      </c>
      <c r="AA522">
        <v>6</v>
      </c>
      <c r="AB522" s="2" t="str">
        <f>CHOOSE(MATCH(AA522,{0;11;80;111;161;191;241;281;341},1),"North","NorthEast","East","SouthEast","South","SouthWest","West","NorthWest","North")</f>
        <v>North</v>
      </c>
      <c r="AC522" s="5">
        <f>CHOOSE(MATCH(AB522,{"South";"SouthEast";"SouthWest";"North";"NorthEast";"East";"West";"NorthWest"},0),1,2,3,4,5,6,7,8)</f>
        <v>4</v>
      </c>
      <c r="AD522" s="2">
        <f t="shared" si="94"/>
        <v>1</v>
      </c>
      <c r="AE522">
        <v>1025.0999999999999</v>
      </c>
      <c r="AF522" s="4" t="s">
        <v>917</v>
      </c>
      <c r="AG522" s="2">
        <f t="shared" si="95"/>
        <v>1</v>
      </c>
      <c r="AH522" t="s">
        <v>918</v>
      </c>
      <c r="AI522" s="2">
        <f t="shared" si="96"/>
        <v>11</v>
      </c>
      <c r="AJ522" s="2">
        <f t="shared" si="97"/>
        <v>0</v>
      </c>
      <c r="AK522" s="3">
        <v>2322.9999999969732</v>
      </c>
      <c r="AM522" s="2">
        <v>1</v>
      </c>
      <c r="AN522">
        <v>0</v>
      </c>
      <c r="AO522">
        <v>90</v>
      </c>
      <c r="AP522">
        <v>0</v>
      </c>
      <c r="AQ522" s="2">
        <f>IF((2*G522 + M522 -P522 + 3*W522 + 2*Z522+2*AD522 + AG522+2*AJ522 + 4*AM522) &gt;=8,1,0)</f>
        <v>0</v>
      </c>
    </row>
    <row r="523" spans="1:43" x14ac:dyDescent="0.25">
      <c r="A523" t="s">
        <v>27</v>
      </c>
      <c r="B523" s="1">
        <v>38672</v>
      </c>
      <c r="C523" s="7">
        <f t="shared" si="89"/>
        <v>2005</v>
      </c>
      <c r="D523">
        <v>66.099999999999994</v>
      </c>
      <c r="E523">
        <v>45.1</v>
      </c>
      <c r="F523">
        <v>55.7</v>
      </c>
      <c r="G523" s="2">
        <f t="shared" si="98"/>
        <v>0</v>
      </c>
      <c r="H523">
        <v>66.099999999999994</v>
      </c>
      <c r="I523">
        <v>42.5</v>
      </c>
      <c r="J523">
        <v>55.3</v>
      </c>
      <c r="K523">
        <v>48.7</v>
      </c>
      <c r="L523">
        <v>78</v>
      </c>
      <c r="M523" s="2">
        <f t="shared" si="90"/>
        <v>0</v>
      </c>
      <c r="N523">
        <v>0</v>
      </c>
      <c r="P523" s="2">
        <f t="shared" si="91"/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2">
        <f t="shared" si="92"/>
        <v>0</v>
      </c>
      <c r="X523">
        <v>6.8</v>
      </c>
      <c r="Z523" s="2">
        <f t="shared" si="93"/>
        <v>0</v>
      </c>
      <c r="AA523">
        <v>263.60000000000002</v>
      </c>
      <c r="AB523" s="2" t="str">
        <f>CHOOSE(MATCH(AA523,{0;11;80;111;161;191;241;281;341},1),"North","NorthEast","East","SouthEast","South","SouthWest","West","NorthWest","North")</f>
        <v>West</v>
      </c>
      <c r="AC523" s="5">
        <f>CHOOSE(MATCH(AB523,{"South";"SouthEast";"SouthWest";"North";"NorthEast";"East";"West";"NorthWest"},0),1,2,3,4,5,6,7,8)</f>
        <v>7</v>
      </c>
      <c r="AD523" s="2">
        <f t="shared" si="94"/>
        <v>0</v>
      </c>
      <c r="AE523">
        <v>1014.2</v>
      </c>
      <c r="AF523" s="4" t="s">
        <v>919</v>
      </c>
      <c r="AG523" s="2">
        <f t="shared" si="95"/>
        <v>1</v>
      </c>
      <c r="AH523" t="s">
        <v>920</v>
      </c>
      <c r="AI523" s="2">
        <f t="shared" si="96"/>
        <v>11</v>
      </c>
      <c r="AJ523" s="2">
        <f t="shared" si="97"/>
        <v>0</v>
      </c>
      <c r="AK523" s="3">
        <v>1564.9999999988361</v>
      </c>
      <c r="AM523" s="2">
        <v>1</v>
      </c>
      <c r="AN523">
        <v>0</v>
      </c>
      <c r="AO523">
        <v>350</v>
      </c>
      <c r="AP523">
        <v>0</v>
      </c>
      <c r="AQ523" s="2">
        <f>IF((2*G523 + M523 -P523 + 3*W523 + 2*Z523+2*AD523 + AG523+2*AJ523 + 4*AM523) &gt;=8,1,0)</f>
        <v>0</v>
      </c>
    </row>
    <row r="524" spans="1:43" x14ac:dyDescent="0.25">
      <c r="A524" t="s">
        <v>27</v>
      </c>
      <c r="B524" s="1">
        <v>38689</v>
      </c>
      <c r="C524" s="7">
        <f t="shared" ref="C524:C578" si="99">YEAR(B524)</f>
        <v>2005</v>
      </c>
      <c r="D524">
        <v>67.900000000000006</v>
      </c>
      <c r="E524">
        <v>53.5</v>
      </c>
      <c r="F524">
        <v>60.8</v>
      </c>
      <c r="G524" s="2">
        <f t="shared" si="98"/>
        <v>0</v>
      </c>
      <c r="H524">
        <v>67.900000000000006</v>
      </c>
      <c r="I524">
        <v>53.5</v>
      </c>
      <c r="J524">
        <v>60.8</v>
      </c>
      <c r="K524">
        <v>45.9</v>
      </c>
      <c r="L524">
        <v>58.5</v>
      </c>
      <c r="M524" s="2">
        <f t="shared" ref="M524:M578" si="100">IF(L524&lt;=49.3,1,0)</f>
        <v>0</v>
      </c>
      <c r="N524">
        <v>0</v>
      </c>
      <c r="P524" s="2">
        <f t="shared" ref="P524:P578" si="101">IF(N524&lt;=0.01,1,0)</f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s="2">
        <f t="shared" ref="W524:W578" si="102">IF(V524&lt;=10,0,1)</f>
        <v>0</v>
      </c>
      <c r="X524">
        <v>10.1</v>
      </c>
      <c r="Z524" s="2">
        <f t="shared" ref="Z524:Z578" si="103">IF(X524&gt;=16,1,0)</f>
        <v>0</v>
      </c>
      <c r="AA524">
        <v>312.2</v>
      </c>
      <c r="AB524" s="2" t="str">
        <f>CHOOSE(MATCH(AA524,{0;11;80;111;161;191;241;281;341},1),"North","NorthEast","East","SouthEast","South","SouthWest","West","NorthWest","North")</f>
        <v>NorthWest</v>
      </c>
      <c r="AC524" s="5">
        <f>CHOOSE(MATCH(AB524,{"South";"SouthEast";"SouthWest";"North";"NorthEast";"East";"West";"NorthWest"},0),1,2,3,4,5,6,7,8)</f>
        <v>8</v>
      </c>
      <c r="AD524" s="2">
        <f t="shared" ref="AD524:AD578" si="104">IF(OR(AC524=3,AC524=4,AC524=5,AC524=8),1,0)</f>
        <v>1</v>
      </c>
      <c r="AE524">
        <v>1016.4</v>
      </c>
      <c r="AF524" s="4" t="s">
        <v>891</v>
      </c>
      <c r="AG524" s="2">
        <f t="shared" ref="AG524:AG578" si="105">IF(TIMEVALUE(AF524)&lt;=TIME(12,30,0),0,1)</f>
        <v>1</v>
      </c>
      <c r="AH524" t="s">
        <v>921</v>
      </c>
      <c r="AI524" s="2">
        <f t="shared" ref="AI524:AI578" si="106">MONTH(AH524)</f>
        <v>12</v>
      </c>
      <c r="AJ524" s="2">
        <f t="shared" ref="AJ524:AJ578" si="107">IF(OR(AI524=6,AI524=7,AI524=8),1,0)</f>
        <v>0</v>
      </c>
      <c r="AK524" s="3">
        <v>164.99999999301511</v>
      </c>
      <c r="AM524" s="2">
        <v>0</v>
      </c>
      <c r="AN524">
        <v>0</v>
      </c>
      <c r="AO524">
        <v>1.5</v>
      </c>
      <c r="AP524">
        <v>0</v>
      </c>
      <c r="AQ524" s="2">
        <f>IF((2*G524 + M524 -P524 + 3*W524 + 2*Z524+2*AD524 + AG524+2*AJ524 + 4*AM524) &gt;=8,1,0)</f>
        <v>0</v>
      </c>
    </row>
    <row r="525" spans="1:43" x14ac:dyDescent="0.25">
      <c r="A525" t="s">
        <v>27</v>
      </c>
      <c r="B525" s="1">
        <v>38737</v>
      </c>
      <c r="C525" s="7">
        <f t="shared" si="99"/>
        <v>2006</v>
      </c>
      <c r="D525">
        <v>51.7</v>
      </c>
      <c r="E525">
        <v>37.200000000000003</v>
      </c>
      <c r="F525">
        <v>45</v>
      </c>
      <c r="G525" s="2">
        <f t="shared" si="98"/>
        <v>0</v>
      </c>
      <c r="H525">
        <v>51.7</v>
      </c>
      <c r="I525">
        <v>33</v>
      </c>
      <c r="J525">
        <v>42.1</v>
      </c>
      <c r="K525">
        <v>29.3</v>
      </c>
      <c r="L525">
        <v>54.9</v>
      </c>
      <c r="M525" s="2">
        <f t="shared" si="100"/>
        <v>0</v>
      </c>
      <c r="N525">
        <v>0</v>
      </c>
      <c r="O525">
        <f>AVERAGE(N525:N596)</f>
        <v>5.9583333333333328E-3</v>
      </c>
      <c r="P525" s="2">
        <f t="shared" si="101"/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s="2">
        <f t="shared" si="102"/>
        <v>0</v>
      </c>
      <c r="X525">
        <v>13</v>
      </c>
      <c r="Y525">
        <f>AVERAGE(X525:X596)</f>
        <v>17.345833333333321</v>
      </c>
      <c r="Z525" s="2">
        <f t="shared" si="103"/>
        <v>0</v>
      </c>
      <c r="AA525">
        <v>343</v>
      </c>
      <c r="AB525" s="2" t="str">
        <f>CHOOSE(MATCH(AA525,{0;11;80;111;161;191;241;281;341},1),"North","NorthEast","East","SouthEast","South","SouthWest","West","NorthWest","North")</f>
        <v>North</v>
      </c>
      <c r="AC525" s="5">
        <f>CHOOSE(MATCH(AB525,{"South";"SouthEast";"SouthWest";"North";"NorthEast";"East";"West";"NorthWest"},0),1,2,3,4,5,6,7,8)</f>
        <v>4</v>
      </c>
      <c r="AD525" s="2">
        <f t="shared" si="104"/>
        <v>1</v>
      </c>
      <c r="AE525">
        <v>1023.5</v>
      </c>
      <c r="AF525" s="4" t="s">
        <v>42</v>
      </c>
      <c r="AG525" s="2">
        <f t="shared" si="105"/>
        <v>1</v>
      </c>
      <c r="AH525" t="s">
        <v>922</v>
      </c>
      <c r="AI525" s="2">
        <f t="shared" si="106"/>
        <v>1</v>
      </c>
      <c r="AJ525" s="2">
        <f t="shared" si="107"/>
        <v>0</v>
      </c>
      <c r="AK525" s="3">
        <v>8.0000000051222742</v>
      </c>
      <c r="AL525" s="3">
        <f>AVERAGE(AK525:AK596)</f>
        <v>2054.1805555555038</v>
      </c>
      <c r="AM525" s="2">
        <v>0</v>
      </c>
      <c r="AN525">
        <v>0</v>
      </c>
      <c r="AO525">
        <v>1</v>
      </c>
      <c r="AP525">
        <v>0</v>
      </c>
      <c r="AQ525" s="2">
        <f>IF((2*G525 + M525 -P525 + 3*W525 + 2*Z525+2*AD525 + AG525+2*AJ525 + 4*AM525) &gt;=8,1,0)</f>
        <v>0</v>
      </c>
    </row>
    <row r="526" spans="1:43" x14ac:dyDescent="0.25">
      <c r="A526" t="s">
        <v>27</v>
      </c>
      <c r="B526" s="1">
        <v>38742</v>
      </c>
      <c r="C526" s="7">
        <f t="shared" si="99"/>
        <v>2006</v>
      </c>
      <c r="D526">
        <v>33.9</v>
      </c>
      <c r="E526">
        <v>29.4</v>
      </c>
      <c r="F526">
        <v>32.200000000000003</v>
      </c>
      <c r="G526" s="2">
        <f t="shared" si="98"/>
        <v>0</v>
      </c>
      <c r="H526">
        <v>25.2</v>
      </c>
      <c r="I526">
        <v>17.600000000000001</v>
      </c>
      <c r="J526">
        <v>21.3</v>
      </c>
      <c r="K526">
        <v>27.5</v>
      </c>
      <c r="L526">
        <v>82.7</v>
      </c>
      <c r="M526" s="2">
        <f t="shared" si="100"/>
        <v>0</v>
      </c>
      <c r="N526">
        <v>6.9000000000000006E-2</v>
      </c>
      <c r="P526" s="2">
        <f t="shared" si="101"/>
        <v>0</v>
      </c>
      <c r="Q526">
        <v>100</v>
      </c>
      <c r="R526">
        <v>8.33</v>
      </c>
      <c r="S526" t="s">
        <v>923</v>
      </c>
      <c r="T526">
        <v>0</v>
      </c>
      <c r="U526">
        <v>0</v>
      </c>
      <c r="V526">
        <v>0</v>
      </c>
      <c r="W526" s="2">
        <f t="shared" si="102"/>
        <v>0</v>
      </c>
      <c r="X526">
        <v>24.3</v>
      </c>
      <c r="Z526" s="2">
        <f t="shared" si="103"/>
        <v>1</v>
      </c>
      <c r="AA526">
        <v>343.4</v>
      </c>
      <c r="AB526" s="2" t="str">
        <f>CHOOSE(MATCH(AA526,{0;11;80;111;161;191;241;281;341},1),"North","NorthEast","East","SouthEast","South","SouthWest","West","NorthWest","North")</f>
        <v>North</v>
      </c>
      <c r="AC526" s="5">
        <f>CHOOSE(MATCH(AB526,{"South";"SouthEast";"SouthWest";"North";"NorthEast";"East";"West";"NorthWest"},0),1,2,3,4,5,6,7,8)</f>
        <v>4</v>
      </c>
      <c r="AD526" s="2">
        <f t="shared" si="104"/>
        <v>1</v>
      </c>
      <c r="AE526">
        <v>1017.2</v>
      </c>
      <c r="AF526" s="4" t="s">
        <v>566</v>
      </c>
      <c r="AG526" s="2">
        <f t="shared" si="105"/>
        <v>1</v>
      </c>
      <c r="AH526" t="s">
        <v>924</v>
      </c>
      <c r="AI526" s="2">
        <f t="shared" si="106"/>
        <v>1</v>
      </c>
      <c r="AJ526" s="2">
        <f t="shared" si="107"/>
        <v>0</v>
      </c>
      <c r="AK526" s="3">
        <v>195.00000000698489</v>
      </c>
      <c r="AM526" s="2">
        <v>0</v>
      </c>
      <c r="AN526">
        <v>0</v>
      </c>
      <c r="AO526">
        <v>3</v>
      </c>
      <c r="AP526">
        <v>0</v>
      </c>
      <c r="AQ526" s="2">
        <f>IF((2*G526 + M526 -P526 + 3*W526 + 2*Z526+2*AD526 + AG526+2*AJ526 + 4*AM526) &gt;=8,1,0)</f>
        <v>0</v>
      </c>
    </row>
    <row r="527" spans="1:43" x14ac:dyDescent="0.25">
      <c r="A527" t="s">
        <v>27</v>
      </c>
      <c r="B527" s="1">
        <v>38761</v>
      </c>
      <c r="C527" s="7">
        <f t="shared" si="99"/>
        <v>2006</v>
      </c>
      <c r="D527">
        <v>48.4</v>
      </c>
      <c r="E527">
        <v>35.9</v>
      </c>
      <c r="F527">
        <v>41</v>
      </c>
      <c r="G527" s="2">
        <f t="shared" si="98"/>
        <v>0</v>
      </c>
      <c r="H527">
        <v>46.1</v>
      </c>
      <c r="I527">
        <v>28.7</v>
      </c>
      <c r="J527">
        <v>36.1</v>
      </c>
      <c r="K527">
        <v>23.5</v>
      </c>
      <c r="L527">
        <v>50.2</v>
      </c>
      <c r="M527" s="2">
        <f t="shared" si="100"/>
        <v>0</v>
      </c>
      <c r="N527">
        <v>0</v>
      </c>
      <c r="P527" s="2">
        <f t="shared" si="101"/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s="2">
        <f t="shared" si="102"/>
        <v>0</v>
      </c>
      <c r="X527">
        <v>12.2</v>
      </c>
      <c r="Z527" s="2">
        <f t="shared" si="103"/>
        <v>0</v>
      </c>
      <c r="AA527">
        <v>346.7</v>
      </c>
      <c r="AB527" s="2" t="str">
        <f>CHOOSE(MATCH(AA527,{0;11;80;111;161;191;241;281;341},1),"North","NorthEast","East","SouthEast","South","SouthWest","West","NorthWest","North")</f>
        <v>North</v>
      </c>
      <c r="AC527" s="5">
        <f>CHOOSE(MATCH(AB527,{"South";"SouthEast";"SouthWest";"North";"NorthEast";"East";"West";"NorthWest"},0),1,2,3,4,5,6,7,8)</f>
        <v>4</v>
      </c>
      <c r="AD527" s="2">
        <f t="shared" si="104"/>
        <v>1</v>
      </c>
      <c r="AE527">
        <v>1017.2</v>
      </c>
      <c r="AF527" s="4" t="s">
        <v>868</v>
      </c>
      <c r="AG527" s="2">
        <f t="shared" si="105"/>
        <v>0</v>
      </c>
      <c r="AH527" t="s">
        <v>925</v>
      </c>
      <c r="AI527" s="2">
        <f t="shared" si="106"/>
        <v>2</v>
      </c>
      <c r="AJ527" s="2">
        <f t="shared" si="107"/>
        <v>0</v>
      </c>
      <c r="AK527" s="3">
        <v>220.00000000465661</v>
      </c>
      <c r="AM527" s="2">
        <v>0</v>
      </c>
      <c r="AN527">
        <v>0</v>
      </c>
      <c r="AO527">
        <v>3</v>
      </c>
      <c r="AP527">
        <v>0</v>
      </c>
      <c r="AQ527" s="2">
        <f>IF((2*G527 + M527 -P527 + 3*W527 + 2*Z527+2*AD527 + AG527+2*AJ527 + 4*AM527) &gt;=8,1,0)</f>
        <v>0</v>
      </c>
    </row>
    <row r="528" spans="1:43" x14ac:dyDescent="0.25">
      <c r="A528" t="s">
        <v>27</v>
      </c>
      <c r="B528" s="1">
        <v>38781</v>
      </c>
      <c r="C528" s="7">
        <f t="shared" si="99"/>
        <v>2006</v>
      </c>
      <c r="D528">
        <v>62.7</v>
      </c>
      <c r="E528">
        <v>46.5</v>
      </c>
      <c r="F528">
        <v>55.4</v>
      </c>
      <c r="G528" s="2">
        <f t="shared" si="98"/>
        <v>0</v>
      </c>
      <c r="H528">
        <v>62.7</v>
      </c>
      <c r="I528">
        <v>46.5</v>
      </c>
      <c r="J528">
        <v>55.4</v>
      </c>
      <c r="K528">
        <v>42.3</v>
      </c>
      <c r="L528">
        <v>62.3</v>
      </c>
      <c r="M528" s="2">
        <f t="shared" si="100"/>
        <v>0</v>
      </c>
      <c r="N528">
        <v>0</v>
      </c>
      <c r="P528" s="2">
        <f t="shared" si="101"/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2">
        <f t="shared" si="102"/>
        <v>0</v>
      </c>
      <c r="X528">
        <v>14.4</v>
      </c>
      <c r="Z528" s="2">
        <f t="shared" si="103"/>
        <v>0</v>
      </c>
      <c r="AA528">
        <v>236.9</v>
      </c>
      <c r="AB528" s="2" t="str">
        <f>CHOOSE(MATCH(AA528,{0;11;80;111;161;191;241;281;341},1),"North","NorthEast","East","SouthEast","South","SouthWest","West","NorthWest","North")</f>
        <v>SouthWest</v>
      </c>
      <c r="AC528" s="5">
        <f>CHOOSE(MATCH(AB528,{"South";"SouthEast";"SouthWest";"North";"NorthEast";"East";"West";"NorthWest"},0),1,2,3,4,5,6,7,8)</f>
        <v>3</v>
      </c>
      <c r="AD528" s="2">
        <f t="shared" si="104"/>
        <v>1</v>
      </c>
      <c r="AE528">
        <v>1011.9</v>
      </c>
      <c r="AF528" s="4" t="s">
        <v>886</v>
      </c>
      <c r="AG528" s="2">
        <f t="shared" si="105"/>
        <v>0</v>
      </c>
      <c r="AH528" t="s">
        <v>926</v>
      </c>
      <c r="AI528" s="2">
        <f t="shared" si="106"/>
        <v>3</v>
      </c>
      <c r="AJ528" s="2">
        <f t="shared" si="107"/>
        <v>0</v>
      </c>
      <c r="AK528" s="3">
        <v>104.9999999965075</v>
      </c>
      <c r="AM528" s="2">
        <v>0</v>
      </c>
      <c r="AN528">
        <v>0</v>
      </c>
      <c r="AO528">
        <v>1.5</v>
      </c>
      <c r="AP528">
        <v>0</v>
      </c>
      <c r="AQ528" s="2">
        <f>IF((2*G528 + M528 -P528 + 3*W528 + 2*Z528+2*AD528 + AG528+2*AJ528 + 4*AM528) &gt;=8,1,0)</f>
        <v>0</v>
      </c>
    </row>
    <row r="529" spans="1:43" x14ac:dyDescent="0.25">
      <c r="A529" t="s">
        <v>27</v>
      </c>
      <c r="B529" s="1">
        <v>38832</v>
      </c>
      <c r="C529" s="7">
        <f t="shared" si="99"/>
        <v>2006</v>
      </c>
      <c r="D529">
        <v>70.599999999999994</v>
      </c>
      <c r="E529">
        <v>58.3</v>
      </c>
      <c r="F529">
        <v>64.099999999999994</v>
      </c>
      <c r="G529" s="2">
        <f t="shared" si="98"/>
        <v>0</v>
      </c>
      <c r="H529">
        <v>70.599999999999994</v>
      </c>
      <c r="I529">
        <v>58.3</v>
      </c>
      <c r="J529">
        <v>64.099999999999994</v>
      </c>
      <c r="K529">
        <v>44.2</v>
      </c>
      <c r="L529">
        <v>49.2</v>
      </c>
      <c r="M529" s="2">
        <f t="shared" si="100"/>
        <v>1</v>
      </c>
      <c r="N529">
        <v>0</v>
      </c>
      <c r="P529" s="2">
        <f t="shared" si="101"/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2">
        <f t="shared" si="102"/>
        <v>0</v>
      </c>
      <c r="X529">
        <v>18.2</v>
      </c>
      <c r="Z529" s="2">
        <f t="shared" si="103"/>
        <v>1</v>
      </c>
      <c r="AA529">
        <v>7.5</v>
      </c>
      <c r="AB529" s="2" t="str">
        <f>CHOOSE(MATCH(AA529,{0;11;80;111;161;191;241;281;341},1),"North","NorthEast","East","SouthEast","South","SouthWest","West","NorthWest","North")</f>
        <v>North</v>
      </c>
      <c r="AC529" s="5">
        <f>CHOOSE(MATCH(AB529,{"South";"SouthEast";"SouthWest";"North";"NorthEast";"East";"West";"NorthWest"},0),1,2,3,4,5,6,7,8)</f>
        <v>4</v>
      </c>
      <c r="AD529" s="2">
        <f t="shared" si="104"/>
        <v>1</v>
      </c>
      <c r="AE529">
        <v>1019.2</v>
      </c>
      <c r="AF529" s="4" t="s">
        <v>526</v>
      </c>
      <c r="AG529" s="2">
        <f t="shared" si="105"/>
        <v>1</v>
      </c>
      <c r="AH529" t="s">
        <v>928</v>
      </c>
      <c r="AI529" s="2">
        <f t="shared" si="106"/>
        <v>4</v>
      </c>
      <c r="AJ529" s="2">
        <f t="shared" si="107"/>
        <v>0</v>
      </c>
      <c r="AK529" s="3">
        <v>1075.9999999974391</v>
      </c>
      <c r="AM529" s="2">
        <v>1</v>
      </c>
      <c r="AN529">
        <v>1</v>
      </c>
      <c r="AO529">
        <v>0</v>
      </c>
      <c r="AP529">
        <v>0</v>
      </c>
      <c r="AQ529" s="2">
        <f>IF((2*G529 + M529 -P529 + 3*W529 + 2*Z529+2*AD529 + AG529+2*AJ529 + 4*AM529) &gt;=8,1,0)</f>
        <v>1</v>
      </c>
    </row>
    <row r="530" spans="1:43" x14ac:dyDescent="0.25">
      <c r="A530" t="s">
        <v>27</v>
      </c>
      <c r="B530" s="1">
        <v>38833</v>
      </c>
      <c r="C530" s="7">
        <f t="shared" si="99"/>
        <v>2006</v>
      </c>
      <c r="D530">
        <v>70</v>
      </c>
      <c r="E530">
        <v>56</v>
      </c>
      <c r="F530">
        <v>62.5</v>
      </c>
      <c r="G530" s="2">
        <f t="shared" si="98"/>
        <v>0</v>
      </c>
      <c r="H530">
        <v>70</v>
      </c>
      <c r="I530">
        <v>56</v>
      </c>
      <c r="J530">
        <v>62.5</v>
      </c>
      <c r="K530">
        <v>35.299999999999997</v>
      </c>
      <c r="L530">
        <v>36.700000000000003</v>
      </c>
      <c r="M530" s="2">
        <f t="shared" si="100"/>
        <v>1</v>
      </c>
      <c r="N530">
        <v>0</v>
      </c>
      <c r="P530" s="2">
        <f t="shared" si="101"/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2">
        <f t="shared" si="102"/>
        <v>0</v>
      </c>
      <c r="X530">
        <v>15.9</v>
      </c>
      <c r="Z530" s="2">
        <f t="shared" si="103"/>
        <v>0</v>
      </c>
      <c r="AA530">
        <v>1.1000000000000001</v>
      </c>
      <c r="AB530" s="2" t="str">
        <f>CHOOSE(MATCH(AA530,{0;11;80;111;161;191;241;281;341},1),"North","NorthEast","East","SouthEast","South","SouthWest","West","NorthWest","North")</f>
        <v>North</v>
      </c>
      <c r="AC530" s="5">
        <f>CHOOSE(MATCH(AB530,{"South";"SouthEast";"SouthWest";"North";"NorthEast";"East";"West";"NorthWest"},0),1,2,3,4,5,6,7,8)</f>
        <v>4</v>
      </c>
      <c r="AD530" s="2">
        <f t="shared" si="104"/>
        <v>1</v>
      </c>
      <c r="AE530">
        <v>1017.3</v>
      </c>
      <c r="AF530" s="4" t="s">
        <v>886</v>
      </c>
      <c r="AG530" s="2">
        <f t="shared" si="105"/>
        <v>0</v>
      </c>
      <c r="AH530" t="s">
        <v>929</v>
      </c>
      <c r="AI530" s="2">
        <f t="shared" si="106"/>
        <v>4</v>
      </c>
      <c r="AJ530" s="2">
        <f t="shared" si="107"/>
        <v>0</v>
      </c>
      <c r="AK530" s="3">
        <v>64.999999991850927</v>
      </c>
      <c r="AM530" s="2">
        <v>0</v>
      </c>
      <c r="AN530">
        <v>0</v>
      </c>
      <c r="AO530">
        <v>0.3</v>
      </c>
      <c r="AP530">
        <v>0</v>
      </c>
      <c r="AQ530" s="2">
        <f>IF((2*G530 + M530 -P530 + 3*W530 + 2*Z530+2*AD530 + AG530+2*AJ530 + 4*AM530) &gt;=8,1,0)</f>
        <v>0</v>
      </c>
    </row>
    <row r="531" spans="1:43" x14ac:dyDescent="0.25">
      <c r="A531" t="s">
        <v>27</v>
      </c>
      <c r="B531" s="1">
        <v>38845</v>
      </c>
      <c r="C531" s="7">
        <f t="shared" si="99"/>
        <v>2006</v>
      </c>
      <c r="D531">
        <v>69.900000000000006</v>
      </c>
      <c r="E531">
        <v>48</v>
      </c>
      <c r="F531">
        <v>59.9</v>
      </c>
      <c r="G531" s="2">
        <f t="shared" si="98"/>
        <v>0</v>
      </c>
      <c r="H531">
        <v>69.900000000000006</v>
      </c>
      <c r="I531">
        <v>46.6</v>
      </c>
      <c r="J531">
        <v>59.7</v>
      </c>
      <c r="K531">
        <v>46.1</v>
      </c>
      <c r="L531">
        <v>62.1</v>
      </c>
      <c r="M531" s="2">
        <f t="shared" si="100"/>
        <v>0</v>
      </c>
      <c r="N531">
        <v>0</v>
      </c>
      <c r="P531" s="2">
        <f t="shared" si="101"/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2">
        <f t="shared" si="102"/>
        <v>0</v>
      </c>
      <c r="X531">
        <v>10.3</v>
      </c>
      <c r="Z531" s="2">
        <f t="shared" si="103"/>
        <v>0</v>
      </c>
      <c r="AA531">
        <v>351.2</v>
      </c>
      <c r="AB531" s="2" t="str">
        <f>CHOOSE(MATCH(AA531,{0;11;80;111;161;191;241;281;341},1),"North","NorthEast","East","SouthEast","South","SouthWest","West","NorthWest","North")</f>
        <v>North</v>
      </c>
      <c r="AC531" s="5">
        <f>CHOOSE(MATCH(AB531,{"South";"SouthEast";"SouthWest";"North";"NorthEast";"East";"West";"NorthWest"},0),1,2,3,4,5,6,7,8)</f>
        <v>4</v>
      </c>
      <c r="AD531" s="2">
        <f t="shared" si="104"/>
        <v>1</v>
      </c>
      <c r="AE531">
        <v>1014.9</v>
      </c>
      <c r="AF531" s="4" t="s">
        <v>930</v>
      </c>
      <c r="AG531" s="2">
        <f t="shared" si="105"/>
        <v>0</v>
      </c>
      <c r="AH531" t="s">
        <v>931</v>
      </c>
      <c r="AI531" s="2">
        <f t="shared" si="106"/>
        <v>5</v>
      </c>
      <c r="AJ531" s="2">
        <f t="shared" si="107"/>
        <v>0</v>
      </c>
      <c r="AK531" s="3">
        <v>2036.000000004424</v>
      </c>
      <c r="AM531" s="2">
        <v>1</v>
      </c>
      <c r="AN531">
        <v>0</v>
      </c>
      <c r="AO531">
        <v>2</v>
      </c>
      <c r="AP531">
        <v>0</v>
      </c>
      <c r="AQ531" s="2">
        <f>IF((2*G531 + M531 -P531 + 3*W531 + 2*Z531+2*AD531 + AG531+2*AJ531 + 4*AM531) &gt;=8,1,0)</f>
        <v>0</v>
      </c>
    </row>
    <row r="532" spans="1:43" x14ac:dyDescent="0.25">
      <c r="A532" t="s">
        <v>27</v>
      </c>
      <c r="B532" s="1">
        <v>38861</v>
      </c>
      <c r="C532" s="7">
        <f t="shared" si="99"/>
        <v>2006</v>
      </c>
      <c r="D532">
        <v>91.9</v>
      </c>
      <c r="E532">
        <v>72.8</v>
      </c>
      <c r="F532">
        <v>81.8</v>
      </c>
      <c r="G532" s="2">
        <f t="shared" si="98"/>
        <v>1</v>
      </c>
      <c r="H532">
        <v>89</v>
      </c>
      <c r="I532">
        <v>72.8</v>
      </c>
      <c r="J532">
        <v>80.8</v>
      </c>
      <c r="K532">
        <v>54.3</v>
      </c>
      <c r="L532">
        <v>40.200000000000003</v>
      </c>
      <c r="M532" s="2">
        <f t="shared" si="100"/>
        <v>1</v>
      </c>
      <c r="N532">
        <v>0</v>
      </c>
      <c r="P532" s="2">
        <f t="shared" si="101"/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2">
        <f t="shared" si="102"/>
        <v>0</v>
      </c>
      <c r="X532">
        <v>20.7</v>
      </c>
      <c r="Z532" s="2">
        <f t="shared" si="103"/>
        <v>1</v>
      </c>
      <c r="AA532">
        <v>7.5</v>
      </c>
      <c r="AB532" s="2" t="str">
        <f>CHOOSE(MATCH(AA532,{0;11;80;111;161;191;241;281;341},1),"North","NorthEast","East","SouthEast","South","SouthWest","West","NorthWest","North")</f>
        <v>North</v>
      </c>
      <c r="AC532" s="5">
        <f>CHOOSE(MATCH(AB532,{"South";"SouthEast";"SouthWest";"North";"NorthEast";"East";"West";"NorthWest"},0),1,2,3,4,5,6,7,8)</f>
        <v>4</v>
      </c>
      <c r="AD532" s="2">
        <f t="shared" si="104"/>
        <v>1</v>
      </c>
      <c r="AE532">
        <v>1014.3</v>
      </c>
      <c r="AF532" s="4" t="s">
        <v>541</v>
      </c>
      <c r="AG532" s="2">
        <f t="shared" si="105"/>
        <v>1</v>
      </c>
      <c r="AH532" t="s">
        <v>932</v>
      </c>
      <c r="AI532" s="2">
        <f t="shared" si="106"/>
        <v>5</v>
      </c>
      <c r="AJ532" s="2">
        <f t="shared" si="107"/>
        <v>0</v>
      </c>
      <c r="AK532" s="3">
        <v>294.99999999767169</v>
      </c>
      <c r="AM532" s="2">
        <v>0</v>
      </c>
      <c r="AN532">
        <v>2</v>
      </c>
      <c r="AO532">
        <v>0</v>
      </c>
      <c r="AP532">
        <v>0</v>
      </c>
      <c r="AQ532" s="2">
        <f>IF((2*G532 + M532 -P532 + 3*W532 + 2*Z532+2*AD532 + AG532+2*AJ532 + 4*AM532) &gt;=8,1,0)</f>
        <v>0</v>
      </c>
    </row>
    <row r="533" spans="1:43" x14ac:dyDescent="0.25">
      <c r="A533" t="s">
        <v>27</v>
      </c>
      <c r="B533" s="1">
        <v>38865</v>
      </c>
      <c r="C533" s="7">
        <f t="shared" si="99"/>
        <v>2006</v>
      </c>
      <c r="D533">
        <v>86</v>
      </c>
      <c r="E533">
        <v>64</v>
      </c>
      <c r="F533">
        <v>74.8</v>
      </c>
      <c r="G533" s="2">
        <f t="shared" si="98"/>
        <v>1</v>
      </c>
      <c r="H533">
        <v>83.9</v>
      </c>
      <c r="I533">
        <v>64</v>
      </c>
      <c r="J533">
        <v>74.599999999999994</v>
      </c>
      <c r="K533">
        <v>55</v>
      </c>
      <c r="L533">
        <v>51.6</v>
      </c>
      <c r="M533" s="2">
        <f t="shared" si="100"/>
        <v>0</v>
      </c>
      <c r="N533">
        <v>0</v>
      </c>
      <c r="P533" s="2">
        <f t="shared" si="101"/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2">
        <f t="shared" si="102"/>
        <v>0</v>
      </c>
      <c r="X533">
        <v>11.6</v>
      </c>
      <c r="Z533" s="2">
        <f t="shared" si="103"/>
        <v>0</v>
      </c>
      <c r="AA533">
        <v>154.5</v>
      </c>
      <c r="AB533" s="2" t="str">
        <f>CHOOSE(MATCH(AA533,{0;11;80;111;161;191;241;281;341},1),"North","NorthEast","East","SouthEast","South","SouthWest","West","NorthWest","North")</f>
        <v>SouthEast</v>
      </c>
      <c r="AC533" s="5">
        <f>CHOOSE(MATCH(AB533,{"South";"SouthEast";"SouthWest";"North";"NorthEast";"East";"West";"NorthWest"},0),1,2,3,4,5,6,7,8)</f>
        <v>2</v>
      </c>
      <c r="AD533" s="2">
        <f t="shared" si="104"/>
        <v>0</v>
      </c>
      <c r="AE533">
        <v>1017.2</v>
      </c>
      <c r="AF533" s="4" t="s">
        <v>282</v>
      </c>
      <c r="AG533" s="2">
        <f t="shared" si="105"/>
        <v>1</v>
      </c>
      <c r="AH533" t="s">
        <v>933</v>
      </c>
      <c r="AI533" s="2">
        <f t="shared" si="106"/>
        <v>5</v>
      </c>
      <c r="AJ533" s="2">
        <f t="shared" si="107"/>
        <v>0</v>
      </c>
      <c r="AK533" s="3">
        <v>104.9999999965075</v>
      </c>
      <c r="AM533" s="2">
        <v>0</v>
      </c>
      <c r="AN533">
        <v>2</v>
      </c>
      <c r="AO533">
        <v>0</v>
      </c>
      <c r="AP533">
        <v>0</v>
      </c>
      <c r="AQ533" s="2">
        <f>IF((2*G533 + M533 -P533 + 3*W533 + 2*Z533+2*AD533 + AG533+2*AJ533 + 4*AM533) &gt;=8,1,0)</f>
        <v>0</v>
      </c>
    </row>
    <row r="534" spans="1:43" x14ac:dyDescent="0.25">
      <c r="A534" t="s">
        <v>27</v>
      </c>
      <c r="B534" s="1">
        <v>38876</v>
      </c>
      <c r="C534" s="7">
        <f t="shared" si="99"/>
        <v>2006</v>
      </c>
      <c r="D534">
        <v>79.8</v>
      </c>
      <c r="E534">
        <v>63.7</v>
      </c>
      <c r="F534">
        <v>71.7</v>
      </c>
      <c r="G534" s="2">
        <f t="shared" si="98"/>
        <v>0</v>
      </c>
      <c r="H534">
        <v>79.8</v>
      </c>
      <c r="I534">
        <v>63.7</v>
      </c>
      <c r="J534">
        <v>71.7</v>
      </c>
      <c r="K534">
        <v>47.5</v>
      </c>
      <c r="L534">
        <v>44.5</v>
      </c>
      <c r="M534" s="2">
        <f t="shared" si="100"/>
        <v>1</v>
      </c>
      <c r="N534">
        <v>0</v>
      </c>
      <c r="P534" s="2">
        <f t="shared" si="101"/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2">
        <f t="shared" si="102"/>
        <v>0</v>
      </c>
      <c r="X534">
        <v>16.899999999999999</v>
      </c>
      <c r="Z534" s="2">
        <f t="shared" si="103"/>
        <v>1</v>
      </c>
      <c r="AA534">
        <v>313.8</v>
      </c>
      <c r="AB534" s="2" t="str">
        <f>CHOOSE(MATCH(AA534,{0;11;80;111;161;191;241;281;341},1),"North","NorthEast","East","SouthEast","South","SouthWest","West","NorthWest","North")</f>
        <v>NorthWest</v>
      </c>
      <c r="AC534" s="5">
        <f>CHOOSE(MATCH(AB534,{"South";"SouthEast";"SouthWest";"North";"NorthEast";"East";"West";"NorthWest"},0),1,2,3,4,5,6,7,8)</f>
        <v>8</v>
      </c>
      <c r="AD534" s="2">
        <f t="shared" si="104"/>
        <v>1</v>
      </c>
      <c r="AE534">
        <v>1014.2</v>
      </c>
      <c r="AF534" s="4" t="s">
        <v>170</v>
      </c>
      <c r="AG534" s="2">
        <f t="shared" si="105"/>
        <v>1</v>
      </c>
      <c r="AH534" t="s">
        <v>934</v>
      </c>
      <c r="AI534" s="2">
        <f t="shared" si="106"/>
        <v>6</v>
      </c>
      <c r="AJ534" s="2">
        <f t="shared" si="107"/>
        <v>1</v>
      </c>
      <c r="AK534" s="3">
        <v>13.99999999324791</v>
      </c>
      <c r="AM534" s="2">
        <v>0</v>
      </c>
      <c r="AN534">
        <v>5</v>
      </c>
      <c r="AO534">
        <v>0</v>
      </c>
      <c r="AP534">
        <v>0</v>
      </c>
      <c r="AQ534" s="2">
        <f>IF((2*G534 + M534 -P534 + 3*W534 + 2*Z534+2*AD534 + AG534+2*AJ534 + 4*AM534) &gt;=8,1,0)</f>
        <v>0</v>
      </c>
    </row>
    <row r="535" spans="1:43" x14ac:dyDescent="0.25">
      <c r="A535" t="s">
        <v>27</v>
      </c>
      <c r="B535" s="1">
        <v>38877</v>
      </c>
      <c r="C535" s="7">
        <f t="shared" si="99"/>
        <v>2006</v>
      </c>
      <c r="D535">
        <v>73.8</v>
      </c>
      <c r="E535">
        <v>61.6</v>
      </c>
      <c r="F535">
        <v>66.3</v>
      </c>
      <c r="G535" s="2">
        <f t="shared" si="98"/>
        <v>0</v>
      </c>
      <c r="H535">
        <v>73.8</v>
      </c>
      <c r="I535">
        <v>61.6</v>
      </c>
      <c r="J535">
        <v>66.3</v>
      </c>
      <c r="K535">
        <v>48.9</v>
      </c>
      <c r="L535">
        <v>54.3</v>
      </c>
      <c r="M535" s="2">
        <f t="shared" si="100"/>
        <v>0</v>
      </c>
      <c r="N535">
        <v>0</v>
      </c>
      <c r="P535" s="2">
        <f t="shared" si="101"/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2">
        <f t="shared" si="102"/>
        <v>0</v>
      </c>
      <c r="X535">
        <v>14.8</v>
      </c>
      <c r="Z535" s="2">
        <f t="shared" si="103"/>
        <v>0</v>
      </c>
      <c r="AA535">
        <v>348.1</v>
      </c>
      <c r="AB535" s="2" t="str">
        <f>CHOOSE(MATCH(AA535,{0;11;80;111;161;191;241;281;341},1),"North","NorthEast","East","SouthEast","South","SouthWest","West","NorthWest","North")</f>
        <v>North</v>
      </c>
      <c r="AC535" s="5">
        <f>CHOOSE(MATCH(AB535,{"South";"SouthEast";"SouthWest";"North";"NorthEast";"East";"West";"NorthWest"},0),1,2,3,4,5,6,7,8)</f>
        <v>4</v>
      </c>
      <c r="AD535" s="2">
        <f t="shared" si="104"/>
        <v>1</v>
      </c>
      <c r="AE535">
        <v>1016.1</v>
      </c>
      <c r="AF535" s="4" t="s">
        <v>607</v>
      </c>
      <c r="AG535" s="2">
        <f t="shared" si="105"/>
        <v>1</v>
      </c>
      <c r="AH535" t="s">
        <v>935</v>
      </c>
      <c r="AI535" s="2">
        <f t="shared" si="106"/>
        <v>6</v>
      </c>
      <c r="AJ535" s="2">
        <f t="shared" si="107"/>
        <v>1</v>
      </c>
      <c r="AK535" s="3">
        <v>30.00000000349246</v>
      </c>
      <c r="AM535" s="2">
        <v>0</v>
      </c>
      <c r="AN535">
        <v>3</v>
      </c>
      <c r="AO535">
        <v>0</v>
      </c>
      <c r="AP535">
        <v>0</v>
      </c>
      <c r="AQ535" s="2">
        <f>IF((2*G535 + M535 -P535 + 3*W535 + 2*Z535+2*AD535 + AG535+2*AJ535 + 4*AM535) &gt;=8,1,0)</f>
        <v>0</v>
      </c>
    </row>
    <row r="536" spans="1:43" x14ac:dyDescent="0.25">
      <c r="A536" t="s">
        <v>27</v>
      </c>
      <c r="B536" s="1">
        <v>38879</v>
      </c>
      <c r="C536" s="7">
        <f t="shared" si="99"/>
        <v>2006</v>
      </c>
      <c r="D536">
        <v>76.5</v>
      </c>
      <c r="E536">
        <v>55.2</v>
      </c>
      <c r="F536">
        <v>66.400000000000006</v>
      </c>
      <c r="G536" s="2">
        <f t="shared" si="98"/>
        <v>0</v>
      </c>
      <c r="H536">
        <v>76.5</v>
      </c>
      <c r="I536">
        <v>55.2</v>
      </c>
      <c r="J536">
        <v>66.400000000000006</v>
      </c>
      <c r="K536">
        <v>51.6</v>
      </c>
      <c r="L536">
        <v>61.5</v>
      </c>
      <c r="M536" s="2">
        <f t="shared" si="100"/>
        <v>0</v>
      </c>
      <c r="N536">
        <v>0</v>
      </c>
      <c r="P536" s="2">
        <f t="shared" si="101"/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s="2">
        <f t="shared" si="102"/>
        <v>0</v>
      </c>
      <c r="X536">
        <v>10.1</v>
      </c>
      <c r="Z536" s="2">
        <f t="shared" si="103"/>
        <v>0</v>
      </c>
      <c r="AA536">
        <v>133.19999999999999</v>
      </c>
      <c r="AB536" s="2" t="str">
        <f>CHOOSE(MATCH(AA536,{0;11;80;111;161;191;241;281;341},1),"North","NorthEast","East","SouthEast","South","SouthWest","West","NorthWest","North")</f>
        <v>SouthEast</v>
      </c>
      <c r="AC536" s="5">
        <f>CHOOSE(MATCH(AB536,{"South";"SouthEast";"SouthWest";"North";"NorthEast";"East";"West";"NorthWest"},0),1,2,3,4,5,6,7,8)</f>
        <v>2</v>
      </c>
      <c r="AD536" s="2">
        <f t="shared" si="104"/>
        <v>0</v>
      </c>
      <c r="AE536">
        <v>1019.9</v>
      </c>
      <c r="AF536" s="4" t="s">
        <v>818</v>
      </c>
      <c r="AG536" s="2">
        <f t="shared" si="105"/>
        <v>1</v>
      </c>
      <c r="AH536" t="s">
        <v>936</v>
      </c>
      <c r="AI536" s="2">
        <f t="shared" si="106"/>
        <v>6</v>
      </c>
      <c r="AJ536" s="2">
        <f t="shared" si="107"/>
        <v>1</v>
      </c>
      <c r="AK536" s="3">
        <v>5.9999999986030161</v>
      </c>
      <c r="AM536" s="2">
        <v>0</v>
      </c>
      <c r="AN536">
        <v>3</v>
      </c>
      <c r="AO536">
        <v>0</v>
      </c>
      <c r="AP536">
        <v>0</v>
      </c>
      <c r="AQ536" s="2">
        <f>IF((2*G536 + M536 -P536 + 3*W536 + 2*Z536+2*AD536 + AG536+2*AJ536 + 4*AM536) &gt;=8,1,0)</f>
        <v>0</v>
      </c>
    </row>
    <row r="537" spans="1:43" x14ac:dyDescent="0.25">
      <c r="A537" t="s">
        <v>27</v>
      </c>
      <c r="B537" s="1">
        <v>38885</v>
      </c>
      <c r="C537" s="7">
        <f t="shared" si="99"/>
        <v>2006</v>
      </c>
      <c r="D537">
        <v>86.4</v>
      </c>
      <c r="E537">
        <v>61.1</v>
      </c>
      <c r="F537">
        <v>75</v>
      </c>
      <c r="G537" s="2">
        <f t="shared" si="98"/>
        <v>1</v>
      </c>
      <c r="H537">
        <v>85.6</v>
      </c>
      <c r="I537">
        <v>61.1</v>
      </c>
      <c r="J537">
        <v>74.599999999999994</v>
      </c>
      <c r="K537">
        <v>55.9</v>
      </c>
      <c r="L537">
        <v>54.1</v>
      </c>
      <c r="M537" s="2">
        <f t="shared" si="100"/>
        <v>0</v>
      </c>
      <c r="N537">
        <v>0</v>
      </c>
      <c r="P537" s="2">
        <f t="shared" si="101"/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2">
        <f t="shared" si="102"/>
        <v>0</v>
      </c>
      <c r="X537">
        <v>10.9</v>
      </c>
      <c r="Z537" s="2">
        <f t="shared" si="103"/>
        <v>0</v>
      </c>
      <c r="AA537">
        <v>129.1</v>
      </c>
      <c r="AB537" s="2" t="str">
        <f>CHOOSE(MATCH(AA537,{0;11;80;111;161;191;241;281;341},1),"North","NorthEast","East","SouthEast","South","SouthWest","West","NorthWest","North")</f>
        <v>SouthEast</v>
      </c>
      <c r="AC537" s="5">
        <f>CHOOSE(MATCH(AB537,{"South";"SouthEast";"SouthWest";"North";"NorthEast";"East";"West";"NorthWest"},0),1,2,3,4,5,6,7,8)</f>
        <v>2</v>
      </c>
      <c r="AD537" s="2">
        <f t="shared" si="104"/>
        <v>0</v>
      </c>
      <c r="AE537">
        <v>1017.7</v>
      </c>
      <c r="AF537" s="4" t="s">
        <v>592</v>
      </c>
      <c r="AG537" s="2">
        <f t="shared" si="105"/>
        <v>1</v>
      </c>
      <c r="AH537" t="s">
        <v>938</v>
      </c>
      <c r="AI537" s="2">
        <f t="shared" si="106"/>
        <v>6</v>
      </c>
      <c r="AJ537" s="2">
        <f t="shared" si="107"/>
        <v>1</v>
      </c>
      <c r="AK537" s="3">
        <v>130.00000000465661</v>
      </c>
      <c r="AM537" s="2">
        <v>0</v>
      </c>
      <c r="AN537">
        <v>1</v>
      </c>
      <c r="AO537">
        <v>0</v>
      </c>
      <c r="AP537">
        <v>0</v>
      </c>
      <c r="AQ537" s="2">
        <f>IF((2*G537 + M537 -P537 + 3*W537 + 2*Z537+2*AD537 + AG537+2*AJ537 + 4*AM537) &gt;=8,1,0)</f>
        <v>0</v>
      </c>
    </row>
    <row r="538" spans="1:43" x14ac:dyDescent="0.25">
      <c r="A538" t="s">
        <v>27</v>
      </c>
      <c r="B538" s="1">
        <v>38888</v>
      </c>
      <c r="C538" s="7">
        <f t="shared" si="99"/>
        <v>2006</v>
      </c>
      <c r="D538">
        <v>96.9</v>
      </c>
      <c r="E538">
        <v>72.599999999999994</v>
      </c>
      <c r="F538">
        <v>83.8</v>
      </c>
      <c r="G538" s="2">
        <f t="shared" si="98"/>
        <v>1</v>
      </c>
      <c r="H538">
        <v>94.7</v>
      </c>
      <c r="I538">
        <v>72.599999999999994</v>
      </c>
      <c r="J538">
        <v>83.4</v>
      </c>
      <c r="K538">
        <v>58.8</v>
      </c>
      <c r="L538">
        <v>45</v>
      </c>
      <c r="M538" s="2">
        <f t="shared" si="100"/>
        <v>1</v>
      </c>
      <c r="N538">
        <v>0</v>
      </c>
      <c r="P538" s="2">
        <f t="shared" si="101"/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2">
        <f t="shared" si="102"/>
        <v>0</v>
      </c>
      <c r="X538">
        <v>5.3</v>
      </c>
      <c r="Z538" s="2">
        <f t="shared" si="103"/>
        <v>0</v>
      </c>
      <c r="AA538">
        <v>43.3</v>
      </c>
      <c r="AB538" s="2" t="str">
        <f>CHOOSE(MATCH(AA538,{0;11;80;111;161;191;241;281;341},1),"North","NorthEast","East","SouthEast","South","SouthWest","West","NorthWest","North")</f>
        <v>NorthEast</v>
      </c>
      <c r="AC538" s="5">
        <f>CHOOSE(MATCH(AB538,{"South";"SouthEast";"SouthWest";"North";"NorthEast";"East";"West";"NorthWest"},0),1,2,3,4,5,6,7,8)</f>
        <v>5</v>
      </c>
      <c r="AD538" s="2">
        <f t="shared" si="104"/>
        <v>1</v>
      </c>
      <c r="AE538">
        <v>1013.5</v>
      </c>
      <c r="AF538" s="4" t="s">
        <v>939</v>
      </c>
      <c r="AG538" s="2">
        <f t="shared" si="105"/>
        <v>0</v>
      </c>
      <c r="AH538" t="s">
        <v>940</v>
      </c>
      <c r="AI538" s="2">
        <f t="shared" si="106"/>
        <v>6</v>
      </c>
      <c r="AJ538" s="2">
        <f t="shared" si="107"/>
        <v>1</v>
      </c>
      <c r="AK538" s="3">
        <v>75.00000000349246</v>
      </c>
      <c r="AM538" s="2">
        <v>0</v>
      </c>
      <c r="AN538">
        <v>1</v>
      </c>
      <c r="AO538">
        <v>0</v>
      </c>
      <c r="AP538">
        <v>0</v>
      </c>
      <c r="AQ538" s="2">
        <f>IF((2*G538 + M538 -P538 + 3*W538 + 2*Z538+2*AD538 + AG538+2*AJ538 + 4*AM538) &gt;=8,1,0)</f>
        <v>0</v>
      </c>
    </row>
    <row r="539" spans="1:43" x14ac:dyDescent="0.25">
      <c r="A539" t="s">
        <v>27</v>
      </c>
      <c r="B539" s="1">
        <v>38895</v>
      </c>
      <c r="C539" s="7">
        <f t="shared" si="99"/>
        <v>2006</v>
      </c>
      <c r="D539">
        <v>91.9</v>
      </c>
      <c r="E539">
        <v>78.8</v>
      </c>
      <c r="F539">
        <v>85.5</v>
      </c>
      <c r="G539" s="2">
        <f t="shared" si="98"/>
        <v>1</v>
      </c>
      <c r="H539">
        <v>89.2</v>
      </c>
      <c r="I539">
        <v>78.8</v>
      </c>
      <c r="J539">
        <v>84.5</v>
      </c>
      <c r="K539">
        <v>56.2</v>
      </c>
      <c r="L539">
        <v>37.799999999999997</v>
      </c>
      <c r="M539" s="2">
        <f t="shared" si="100"/>
        <v>1</v>
      </c>
      <c r="N539">
        <v>0</v>
      </c>
      <c r="P539" s="2">
        <f t="shared" si="101"/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s="2">
        <f t="shared" si="102"/>
        <v>0</v>
      </c>
      <c r="X539">
        <v>27</v>
      </c>
      <c r="Z539" s="2">
        <f t="shared" si="103"/>
        <v>1</v>
      </c>
      <c r="AA539">
        <v>2.6</v>
      </c>
      <c r="AB539" s="2" t="str">
        <f>CHOOSE(MATCH(AA539,{0;11;80;111;161;191;241;281;341},1),"North","NorthEast","East","SouthEast","South","SouthWest","West","NorthWest","North")</f>
        <v>North</v>
      </c>
      <c r="AC539" s="5">
        <f>CHOOSE(MATCH(AB539,{"South";"SouthEast";"SouthWest";"North";"NorthEast";"East";"West";"NorthWest"},0),1,2,3,4,5,6,7,8)</f>
        <v>4</v>
      </c>
      <c r="AD539" s="2">
        <f t="shared" si="104"/>
        <v>1</v>
      </c>
      <c r="AE539">
        <v>1012.9</v>
      </c>
      <c r="AF539" s="4" t="s">
        <v>941</v>
      </c>
      <c r="AG539" s="2">
        <f t="shared" si="105"/>
        <v>1</v>
      </c>
      <c r="AH539" t="s">
        <v>942</v>
      </c>
      <c r="AI539" s="2">
        <f t="shared" si="106"/>
        <v>6</v>
      </c>
      <c r="AJ539" s="2">
        <f t="shared" si="107"/>
        <v>1</v>
      </c>
      <c r="AK539" s="3">
        <v>130.00000000465661</v>
      </c>
      <c r="AM539" s="2">
        <v>0</v>
      </c>
      <c r="AN539">
        <v>0</v>
      </c>
      <c r="AO539">
        <v>0.05</v>
      </c>
      <c r="AP539">
        <v>0</v>
      </c>
      <c r="AQ539" s="2">
        <f>IF((2*G539 + M539 -P539 + 3*W539 + 2*Z539+2*AD539 + AG539+2*AJ539 + 4*AM539) &gt;=8,1,0)</f>
        <v>1</v>
      </c>
    </row>
    <row r="540" spans="1:43" x14ac:dyDescent="0.25">
      <c r="A540" t="s">
        <v>27</v>
      </c>
      <c r="B540" s="1">
        <v>38898</v>
      </c>
      <c r="C540" s="7">
        <f t="shared" si="99"/>
        <v>2006</v>
      </c>
      <c r="D540">
        <v>98.2</v>
      </c>
      <c r="E540">
        <v>76.5</v>
      </c>
      <c r="F540">
        <v>88.2</v>
      </c>
      <c r="G540" s="2">
        <f t="shared" si="98"/>
        <v>1</v>
      </c>
      <c r="H540">
        <v>97.7</v>
      </c>
      <c r="I540">
        <v>76.5</v>
      </c>
      <c r="J540">
        <v>87.7</v>
      </c>
      <c r="K540">
        <v>58.2</v>
      </c>
      <c r="L540">
        <v>37.299999999999997</v>
      </c>
      <c r="M540" s="2">
        <f t="shared" si="100"/>
        <v>1</v>
      </c>
      <c r="N540">
        <v>0</v>
      </c>
      <c r="P540" s="2">
        <f t="shared" si="101"/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s="2">
        <f t="shared" si="102"/>
        <v>0</v>
      </c>
      <c r="X540">
        <v>16.100000000000001</v>
      </c>
      <c r="Z540" s="2">
        <f t="shared" si="103"/>
        <v>1</v>
      </c>
      <c r="AA540">
        <v>12.4</v>
      </c>
      <c r="AB540" s="2" t="str">
        <f>CHOOSE(MATCH(AA540,{0;11;80;111;161;191;241;281;341},1),"North","NorthEast","East","SouthEast","South","SouthWest","West","NorthWest","North")</f>
        <v>NorthEast</v>
      </c>
      <c r="AC540" s="5">
        <f>CHOOSE(MATCH(AB540,{"South";"SouthEast";"SouthWest";"North";"NorthEast";"East";"West";"NorthWest"},0),1,2,3,4,5,6,7,8)</f>
        <v>5</v>
      </c>
      <c r="AD540" s="2">
        <f t="shared" si="104"/>
        <v>1</v>
      </c>
      <c r="AE540">
        <v>1013.4</v>
      </c>
      <c r="AF540" s="4" t="s">
        <v>943</v>
      </c>
      <c r="AG540" s="2">
        <f t="shared" si="105"/>
        <v>0</v>
      </c>
      <c r="AH540" t="s">
        <v>944</v>
      </c>
      <c r="AI540" s="2">
        <f t="shared" si="106"/>
        <v>6</v>
      </c>
      <c r="AJ540" s="2">
        <f t="shared" si="107"/>
        <v>1</v>
      </c>
      <c r="AK540" s="3">
        <v>632.99999999930151</v>
      </c>
      <c r="AM540" s="2">
        <v>1</v>
      </c>
      <c r="AN540">
        <v>2</v>
      </c>
      <c r="AO540">
        <v>0</v>
      </c>
      <c r="AP540">
        <v>0</v>
      </c>
      <c r="AQ540" s="2">
        <f>IF((2*G540 + M540 -P540 + 3*W540 + 2*Z540+2*AD540 + AG540+2*AJ540 + 4*AM540) &gt;=8,1,0)</f>
        <v>1</v>
      </c>
    </row>
    <row r="541" spans="1:43" x14ac:dyDescent="0.25">
      <c r="A541" t="s">
        <v>27</v>
      </c>
      <c r="B541" s="1">
        <v>38898</v>
      </c>
      <c r="C541" s="7">
        <f t="shared" si="99"/>
        <v>2006</v>
      </c>
      <c r="D541">
        <v>98.2</v>
      </c>
      <c r="E541">
        <v>76.5</v>
      </c>
      <c r="F541">
        <v>88.2</v>
      </c>
      <c r="G541" s="2">
        <f t="shared" si="98"/>
        <v>1</v>
      </c>
      <c r="H541">
        <v>97.7</v>
      </c>
      <c r="I541">
        <v>76.5</v>
      </c>
      <c r="J541">
        <v>87.7</v>
      </c>
      <c r="K541">
        <v>58.2</v>
      </c>
      <c r="L541">
        <v>37.299999999999997</v>
      </c>
      <c r="M541" s="2">
        <f t="shared" si="100"/>
        <v>1</v>
      </c>
      <c r="N541">
        <v>0</v>
      </c>
      <c r="P541" s="2">
        <f t="shared" si="101"/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s="2">
        <f t="shared" si="102"/>
        <v>0</v>
      </c>
      <c r="X541">
        <v>16.100000000000001</v>
      </c>
      <c r="Z541" s="2">
        <f t="shared" si="103"/>
        <v>1</v>
      </c>
      <c r="AA541">
        <v>12.4</v>
      </c>
      <c r="AB541" s="2" t="str">
        <f>CHOOSE(MATCH(AA541,{0;11;80;111;161;191;241;281;341},1),"North","NorthEast","East","SouthEast","South","SouthWest","West","NorthWest","North")</f>
        <v>NorthEast</v>
      </c>
      <c r="AC541" s="5">
        <f>CHOOSE(MATCH(AB541,{"South";"SouthEast";"SouthWest";"North";"NorthEast";"East";"West";"NorthWest"},0),1,2,3,4,5,6,7,8)</f>
        <v>5</v>
      </c>
      <c r="AD541" s="2">
        <f t="shared" si="104"/>
        <v>1</v>
      </c>
      <c r="AE541">
        <v>1013.4</v>
      </c>
      <c r="AF541" s="4" t="s">
        <v>945</v>
      </c>
      <c r="AG541" s="2">
        <f t="shared" si="105"/>
        <v>1</v>
      </c>
      <c r="AH541" t="s">
        <v>946</v>
      </c>
      <c r="AI541" s="2">
        <f t="shared" si="106"/>
        <v>6</v>
      </c>
      <c r="AJ541" s="2">
        <f t="shared" si="107"/>
        <v>1</v>
      </c>
      <c r="AK541" s="3">
        <v>92.999999999301508</v>
      </c>
      <c r="AM541" s="2">
        <v>0</v>
      </c>
      <c r="AN541">
        <v>0</v>
      </c>
      <c r="AO541">
        <v>1</v>
      </c>
      <c r="AP541">
        <v>0</v>
      </c>
      <c r="AQ541" s="2">
        <f>IF((2*G541 + M541 -P541 + 3*W541 + 2*Z541+2*AD541 + AG541+2*AJ541 + 4*AM541) &gt;=8,1,0)</f>
        <v>1</v>
      </c>
    </row>
    <row r="542" spans="1:43" x14ac:dyDescent="0.25">
      <c r="A542" t="s">
        <v>27</v>
      </c>
      <c r="B542" s="1">
        <v>38900</v>
      </c>
      <c r="C542" s="7">
        <f t="shared" si="99"/>
        <v>2006</v>
      </c>
      <c r="D542">
        <v>89.6</v>
      </c>
      <c r="E542">
        <v>69.7</v>
      </c>
      <c r="F542">
        <v>80.099999999999994</v>
      </c>
      <c r="G542" s="2">
        <f t="shared" si="98"/>
        <v>1</v>
      </c>
      <c r="H542">
        <v>90.6</v>
      </c>
      <c r="I542">
        <v>69.7</v>
      </c>
      <c r="J542">
        <v>80.7</v>
      </c>
      <c r="K542">
        <v>63.1</v>
      </c>
      <c r="L542">
        <v>57.4</v>
      </c>
      <c r="M542" s="2">
        <f t="shared" si="100"/>
        <v>0</v>
      </c>
      <c r="N542">
        <v>0.06</v>
      </c>
      <c r="P542" s="2">
        <f t="shared" si="101"/>
        <v>0</v>
      </c>
      <c r="Q542">
        <v>100</v>
      </c>
      <c r="R542">
        <v>4.17</v>
      </c>
      <c r="S542" t="s">
        <v>87</v>
      </c>
      <c r="T542">
        <v>0</v>
      </c>
      <c r="U542">
        <v>0</v>
      </c>
      <c r="V542">
        <v>0</v>
      </c>
      <c r="W542" s="2">
        <f t="shared" si="102"/>
        <v>0</v>
      </c>
      <c r="X542">
        <v>18.2</v>
      </c>
      <c r="Z542" s="2">
        <f t="shared" si="103"/>
        <v>1</v>
      </c>
      <c r="AA542">
        <v>21.9</v>
      </c>
      <c r="AB542" s="2" t="str">
        <f>CHOOSE(MATCH(AA542,{0;11;80;111;161;191;241;281;341},1),"North","NorthEast","East","SouthEast","South","SouthWest","West","NorthWest","North")</f>
        <v>NorthEast</v>
      </c>
      <c r="AC542" s="5">
        <f>CHOOSE(MATCH(AB542,{"South";"SouthEast";"SouthWest";"North";"NorthEast";"East";"West";"NorthWest"},0),1,2,3,4,5,6,7,8)</f>
        <v>5</v>
      </c>
      <c r="AD542" s="2">
        <f t="shared" si="104"/>
        <v>1</v>
      </c>
      <c r="AE542">
        <v>1010.4</v>
      </c>
      <c r="AF542" s="4" t="s">
        <v>402</v>
      </c>
      <c r="AG542" s="2">
        <f t="shared" si="105"/>
        <v>1</v>
      </c>
      <c r="AH542" t="s">
        <v>947</v>
      </c>
      <c r="AI542" s="2">
        <f t="shared" si="106"/>
        <v>7</v>
      </c>
      <c r="AJ542" s="2">
        <f t="shared" si="107"/>
        <v>1</v>
      </c>
      <c r="AK542" s="3">
        <v>164.99999999301511</v>
      </c>
      <c r="AM542" s="2">
        <v>0</v>
      </c>
      <c r="AN542">
        <v>0</v>
      </c>
      <c r="AO542">
        <v>1</v>
      </c>
      <c r="AP542">
        <v>0</v>
      </c>
      <c r="AQ542" s="2">
        <f>IF((2*G542 + M542 -P542 + 3*W542 + 2*Z542+2*AD542 + AG542+2*AJ542 + 4*AM542) &gt;=8,1,0)</f>
        <v>1</v>
      </c>
    </row>
    <row r="543" spans="1:43" x14ac:dyDescent="0.25">
      <c r="A543" t="s">
        <v>27</v>
      </c>
      <c r="B543" s="1">
        <v>38900</v>
      </c>
      <c r="C543" s="7">
        <f t="shared" si="99"/>
        <v>2006</v>
      </c>
      <c r="D543">
        <v>89.6</v>
      </c>
      <c r="E543">
        <v>69.7</v>
      </c>
      <c r="F543">
        <v>80.099999999999994</v>
      </c>
      <c r="G543" s="2">
        <f t="shared" si="98"/>
        <v>1</v>
      </c>
      <c r="H543">
        <v>90.6</v>
      </c>
      <c r="I543">
        <v>69.7</v>
      </c>
      <c r="J543">
        <v>80.7</v>
      </c>
      <c r="K543">
        <v>63.1</v>
      </c>
      <c r="L543">
        <v>57.4</v>
      </c>
      <c r="M543" s="2">
        <f t="shared" si="100"/>
        <v>0</v>
      </c>
      <c r="N543">
        <v>0.06</v>
      </c>
      <c r="P543" s="2">
        <f t="shared" si="101"/>
        <v>0</v>
      </c>
      <c r="Q543">
        <v>100</v>
      </c>
      <c r="R543">
        <v>4.17</v>
      </c>
      <c r="S543" t="s">
        <v>87</v>
      </c>
      <c r="T543">
        <v>0</v>
      </c>
      <c r="U543">
        <v>0</v>
      </c>
      <c r="V543">
        <v>0</v>
      </c>
      <c r="W543" s="2">
        <f t="shared" si="102"/>
        <v>0</v>
      </c>
      <c r="X543">
        <v>18.2</v>
      </c>
      <c r="Z543" s="2">
        <f t="shared" si="103"/>
        <v>1</v>
      </c>
      <c r="AA543">
        <v>21.9</v>
      </c>
      <c r="AB543" s="2" t="str">
        <f>CHOOSE(MATCH(AA543,{0;11;80;111;161;191;241;281;341},1),"North","NorthEast","East","SouthEast","South","SouthWest","West","NorthWest","North")</f>
        <v>NorthEast</v>
      </c>
      <c r="AC543" s="5">
        <f>CHOOSE(MATCH(AB543,{"South";"SouthEast";"SouthWest";"North";"NorthEast";"East";"West";"NorthWest"},0),1,2,3,4,5,6,7,8)</f>
        <v>5</v>
      </c>
      <c r="AD543" s="2">
        <f t="shared" si="104"/>
        <v>1</v>
      </c>
      <c r="AE543">
        <v>1010.4</v>
      </c>
      <c r="AF543" s="4" t="s">
        <v>550</v>
      </c>
      <c r="AG543" s="2">
        <f t="shared" si="105"/>
        <v>1</v>
      </c>
      <c r="AH543" t="s">
        <v>948</v>
      </c>
      <c r="AI543" s="2">
        <f t="shared" si="106"/>
        <v>7</v>
      </c>
      <c r="AJ543" s="2">
        <f t="shared" si="107"/>
        <v>1</v>
      </c>
      <c r="AK543" s="3">
        <v>2335.0000000046571</v>
      </c>
      <c r="AM543" s="2">
        <v>1</v>
      </c>
      <c r="AN543">
        <v>0</v>
      </c>
      <c r="AO543">
        <v>50</v>
      </c>
      <c r="AP543">
        <v>0</v>
      </c>
      <c r="AQ543" s="2">
        <f>IF((2*G543 + M543 -P543 + 3*W543 + 2*Z543+2*AD543 + AG543+2*AJ543 + 4*AM543) &gt;=8,1,0)</f>
        <v>1</v>
      </c>
    </row>
    <row r="544" spans="1:43" x14ac:dyDescent="0.25">
      <c r="A544" t="s">
        <v>27</v>
      </c>
      <c r="B544" s="1">
        <v>38901</v>
      </c>
      <c r="C544" s="7">
        <f t="shared" si="99"/>
        <v>2006</v>
      </c>
      <c r="D544">
        <v>82.2</v>
      </c>
      <c r="E544">
        <v>71.400000000000006</v>
      </c>
      <c r="F544">
        <v>75</v>
      </c>
      <c r="G544" s="2">
        <f t="shared" si="98"/>
        <v>1</v>
      </c>
      <c r="H544">
        <v>83.4</v>
      </c>
      <c r="I544">
        <v>71.400000000000006</v>
      </c>
      <c r="J544">
        <v>75.099999999999994</v>
      </c>
      <c r="K544">
        <v>61.7</v>
      </c>
      <c r="L544">
        <v>63.6</v>
      </c>
      <c r="M544" s="2">
        <f t="shared" si="100"/>
        <v>0</v>
      </c>
      <c r="N544">
        <v>0</v>
      </c>
      <c r="P544" s="2">
        <f t="shared" si="101"/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s="2">
        <f t="shared" si="102"/>
        <v>0</v>
      </c>
      <c r="X544">
        <v>20.8</v>
      </c>
      <c r="Z544" s="2">
        <f t="shared" si="103"/>
        <v>1</v>
      </c>
      <c r="AA544">
        <v>347.6</v>
      </c>
      <c r="AB544" s="2" t="str">
        <f>CHOOSE(MATCH(AA544,{0;11;80;111;161;191;241;281;341},1),"North","NorthEast","East","SouthEast","South","SouthWest","West","NorthWest","North")</f>
        <v>North</v>
      </c>
      <c r="AC544" s="5">
        <f>CHOOSE(MATCH(AB544,{"South";"SouthEast";"SouthWest";"North";"NorthEast";"East";"West";"NorthWest"},0),1,2,3,4,5,6,7,8)</f>
        <v>4</v>
      </c>
      <c r="AD544" s="2">
        <f t="shared" si="104"/>
        <v>1</v>
      </c>
      <c r="AE544">
        <v>1009.9</v>
      </c>
      <c r="AF544" s="4" t="s">
        <v>90</v>
      </c>
      <c r="AG544" s="2">
        <f t="shared" si="105"/>
        <v>1</v>
      </c>
      <c r="AH544" t="s">
        <v>949</v>
      </c>
      <c r="AI544" s="2">
        <f t="shared" si="106"/>
        <v>7</v>
      </c>
      <c r="AJ544" s="2">
        <f t="shared" si="107"/>
        <v>1</v>
      </c>
      <c r="AK544" s="3">
        <v>20.00000000232831</v>
      </c>
      <c r="AM544" s="2">
        <v>0</v>
      </c>
      <c r="AN544">
        <v>1</v>
      </c>
      <c r="AO544">
        <v>0</v>
      </c>
      <c r="AP544">
        <v>0</v>
      </c>
      <c r="AQ544" s="2">
        <f>IF((2*G544 + M544 -P544 + 3*W544 + 2*Z544+2*AD544 + AG544+2*AJ544 + 4*AM544) &gt;=8,1,0)</f>
        <v>1</v>
      </c>
    </row>
    <row r="545" spans="1:43" x14ac:dyDescent="0.25">
      <c r="A545" t="s">
        <v>27</v>
      </c>
      <c r="B545" s="1">
        <v>38904</v>
      </c>
      <c r="C545" s="7">
        <f t="shared" si="99"/>
        <v>2006</v>
      </c>
      <c r="D545">
        <v>82.8</v>
      </c>
      <c r="E545">
        <v>71.900000000000006</v>
      </c>
      <c r="F545">
        <v>76.900000000000006</v>
      </c>
      <c r="G545" s="2">
        <f t="shared" si="98"/>
        <v>1</v>
      </c>
      <c r="H545">
        <v>80.5</v>
      </c>
      <c r="I545">
        <v>71.900000000000006</v>
      </c>
      <c r="J545">
        <v>76.5</v>
      </c>
      <c r="K545">
        <v>47.9</v>
      </c>
      <c r="L545">
        <v>37.4</v>
      </c>
      <c r="M545" s="2">
        <f t="shared" si="100"/>
        <v>1</v>
      </c>
      <c r="N545">
        <v>0</v>
      </c>
      <c r="P545" s="2">
        <f t="shared" si="101"/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s="2">
        <f t="shared" si="102"/>
        <v>0</v>
      </c>
      <c r="X545">
        <v>25.8</v>
      </c>
      <c r="Z545" s="2">
        <f t="shared" si="103"/>
        <v>1</v>
      </c>
      <c r="AA545">
        <v>358.6</v>
      </c>
      <c r="AB545" s="2" t="str">
        <f>CHOOSE(MATCH(AA545,{0;11;80;111;161;191;241;281;341},1),"North","NorthEast","East","SouthEast","South","SouthWest","West","NorthWest","North")</f>
        <v>North</v>
      </c>
      <c r="AC545" s="5">
        <f>CHOOSE(MATCH(AB545,{"South";"SouthEast";"SouthWest";"North";"NorthEast";"East";"West";"NorthWest"},0),1,2,3,4,5,6,7,8)</f>
        <v>4</v>
      </c>
      <c r="AD545" s="2">
        <f t="shared" si="104"/>
        <v>1</v>
      </c>
      <c r="AE545">
        <v>1016.9</v>
      </c>
      <c r="AF545" s="4" t="s">
        <v>950</v>
      </c>
      <c r="AG545" s="2">
        <f t="shared" si="105"/>
        <v>0</v>
      </c>
      <c r="AH545" t="s">
        <v>951</v>
      </c>
      <c r="AI545" s="2">
        <f t="shared" si="106"/>
        <v>7</v>
      </c>
      <c r="AJ545" s="2">
        <f t="shared" si="107"/>
        <v>1</v>
      </c>
      <c r="AK545" s="3">
        <v>201.99999999837021</v>
      </c>
      <c r="AM545" s="2">
        <v>0</v>
      </c>
      <c r="AN545">
        <v>1</v>
      </c>
      <c r="AO545">
        <v>0</v>
      </c>
      <c r="AP545">
        <v>0</v>
      </c>
      <c r="AQ545" s="2">
        <f>IF((2*G545 + M545 -P545 + 3*W545 + 2*Z545+2*AD545 + AG545+2*AJ545 + 4*AM545) &gt;=8,1,0)</f>
        <v>1</v>
      </c>
    </row>
    <row r="546" spans="1:43" x14ac:dyDescent="0.25">
      <c r="A546" t="s">
        <v>27</v>
      </c>
      <c r="B546" s="1">
        <v>38904</v>
      </c>
      <c r="C546" s="7">
        <f t="shared" si="99"/>
        <v>2006</v>
      </c>
      <c r="D546">
        <v>82.8</v>
      </c>
      <c r="E546">
        <v>71.900000000000006</v>
      </c>
      <c r="F546">
        <v>76.900000000000006</v>
      </c>
      <c r="G546" s="2">
        <f t="shared" si="98"/>
        <v>1</v>
      </c>
      <c r="H546">
        <v>80.5</v>
      </c>
      <c r="I546">
        <v>71.900000000000006</v>
      </c>
      <c r="J546">
        <v>76.5</v>
      </c>
      <c r="K546">
        <v>47.9</v>
      </c>
      <c r="L546">
        <v>37.4</v>
      </c>
      <c r="M546" s="2">
        <f t="shared" si="100"/>
        <v>1</v>
      </c>
      <c r="N546">
        <v>0</v>
      </c>
      <c r="P546" s="2">
        <f t="shared" si="101"/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s="2">
        <f t="shared" si="102"/>
        <v>0</v>
      </c>
      <c r="X546">
        <v>25.8</v>
      </c>
      <c r="Z546" s="2">
        <f t="shared" si="103"/>
        <v>1</v>
      </c>
      <c r="AA546">
        <v>358.6</v>
      </c>
      <c r="AB546" s="2" t="str">
        <f>CHOOSE(MATCH(AA546,{0;11;80;111;161;191;241;281;341},1),"North","NorthEast","East","SouthEast","South","SouthWest","West","NorthWest","North")</f>
        <v>North</v>
      </c>
      <c r="AC546" s="5">
        <f>CHOOSE(MATCH(AB546,{"South";"SouthEast";"SouthWest";"North";"NorthEast";"East";"West";"NorthWest"},0),1,2,3,4,5,6,7,8)</f>
        <v>4</v>
      </c>
      <c r="AD546" s="2">
        <f t="shared" si="104"/>
        <v>1</v>
      </c>
      <c r="AE546">
        <v>1016.9</v>
      </c>
      <c r="AF546" s="4" t="s">
        <v>866</v>
      </c>
      <c r="AG546" s="2">
        <f t="shared" si="105"/>
        <v>1</v>
      </c>
      <c r="AH546" t="s">
        <v>952</v>
      </c>
      <c r="AI546" s="2">
        <f t="shared" si="106"/>
        <v>7</v>
      </c>
      <c r="AJ546" s="2">
        <f t="shared" si="107"/>
        <v>1</v>
      </c>
      <c r="AK546" s="3">
        <v>4777.9999999946449</v>
      </c>
      <c r="AM546" s="2">
        <v>1</v>
      </c>
      <c r="AN546">
        <v>0</v>
      </c>
      <c r="AO546">
        <v>150</v>
      </c>
      <c r="AP546">
        <v>0</v>
      </c>
      <c r="AQ546" s="2">
        <f>IF((2*G546 + M546 -P546 + 3*W546 + 2*Z546+2*AD546 + AG546+2*AJ546 + 4*AM546) &gt;=8,1,0)</f>
        <v>1</v>
      </c>
    </row>
    <row r="547" spans="1:43" x14ac:dyDescent="0.25">
      <c r="A547" t="s">
        <v>27</v>
      </c>
      <c r="B547" s="1">
        <v>38908</v>
      </c>
      <c r="C547" s="7">
        <f t="shared" si="99"/>
        <v>2006</v>
      </c>
      <c r="D547">
        <v>85.7</v>
      </c>
      <c r="E547">
        <v>72.7</v>
      </c>
      <c r="F547">
        <v>78.7</v>
      </c>
      <c r="G547" s="2">
        <f t="shared" si="98"/>
        <v>1</v>
      </c>
      <c r="H547">
        <v>83.3</v>
      </c>
      <c r="I547">
        <v>72.7</v>
      </c>
      <c r="J547">
        <v>78.099999999999994</v>
      </c>
      <c r="K547">
        <v>52.9</v>
      </c>
      <c r="L547">
        <v>41.8</v>
      </c>
      <c r="M547" s="2">
        <f t="shared" si="100"/>
        <v>1</v>
      </c>
      <c r="N547">
        <v>0</v>
      </c>
      <c r="P547" s="2">
        <f t="shared" si="101"/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s="2">
        <f t="shared" si="102"/>
        <v>0</v>
      </c>
      <c r="X547">
        <v>20.399999999999999</v>
      </c>
      <c r="Z547" s="2">
        <f t="shared" si="103"/>
        <v>1</v>
      </c>
      <c r="AA547">
        <v>1.5</v>
      </c>
      <c r="AB547" s="2" t="str">
        <f>CHOOSE(MATCH(AA547,{0;11;80;111;161;191;241;281;341},1),"North","NorthEast","East","SouthEast","South","SouthWest","West","NorthWest","North")</f>
        <v>North</v>
      </c>
      <c r="AC547" s="5">
        <f>CHOOSE(MATCH(AB547,{"South";"SouthEast";"SouthWest";"North";"NorthEast";"East";"West";"NorthWest"},0),1,2,3,4,5,6,7,8)</f>
        <v>4</v>
      </c>
      <c r="AD547" s="2">
        <f t="shared" si="104"/>
        <v>1</v>
      </c>
      <c r="AE547">
        <v>1015</v>
      </c>
      <c r="AF547" s="4" t="s">
        <v>582</v>
      </c>
      <c r="AG547" s="2">
        <f t="shared" si="105"/>
        <v>0</v>
      </c>
      <c r="AH547" t="s">
        <v>953</v>
      </c>
      <c r="AI547" s="2">
        <f t="shared" si="106"/>
        <v>7</v>
      </c>
      <c r="AJ547" s="2">
        <f t="shared" si="107"/>
        <v>1</v>
      </c>
      <c r="AK547" s="3">
        <v>600.00000000698492</v>
      </c>
      <c r="AM547" s="2">
        <v>1</v>
      </c>
      <c r="AN547">
        <v>2</v>
      </c>
      <c r="AO547">
        <v>0</v>
      </c>
      <c r="AP547">
        <v>0</v>
      </c>
      <c r="AQ547" s="2">
        <f>IF((2*G547 + M547 -P547 + 3*W547 + 2*Z547+2*AD547 + AG547+2*AJ547 + 4*AM547) &gt;=8,1,0)</f>
        <v>1</v>
      </c>
    </row>
    <row r="548" spans="1:43" x14ac:dyDescent="0.25">
      <c r="A548" t="s">
        <v>27</v>
      </c>
      <c r="B548" s="1">
        <v>38908</v>
      </c>
      <c r="C548" s="7">
        <f t="shared" si="99"/>
        <v>2006</v>
      </c>
      <c r="D548">
        <v>85.7</v>
      </c>
      <c r="E548">
        <v>72.7</v>
      </c>
      <c r="F548">
        <v>78.7</v>
      </c>
      <c r="G548" s="2">
        <f t="shared" si="98"/>
        <v>1</v>
      </c>
      <c r="H548">
        <v>83.3</v>
      </c>
      <c r="I548">
        <v>72.7</v>
      </c>
      <c r="J548">
        <v>78.099999999999994</v>
      </c>
      <c r="K548">
        <v>52.9</v>
      </c>
      <c r="L548">
        <v>41.8</v>
      </c>
      <c r="M548" s="2">
        <f t="shared" si="100"/>
        <v>1</v>
      </c>
      <c r="N548">
        <v>0</v>
      </c>
      <c r="P548" s="2">
        <f t="shared" si="101"/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s="2">
        <f t="shared" si="102"/>
        <v>0</v>
      </c>
      <c r="X548">
        <v>20.399999999999999</v>
      </c>
      <c r="Z548" s="2">
        <f t="shared" si="103"/>
        <v>1</v>
      </c>
      <c r="AA548">
        <v>1.5</v>
      </c>
      <c r="AB548" s="2" t="str">
        <f>CHOOSE(MATCH(AA548,{0;11;80;111;161;191;241;281;341},1),"North","NorthEast","East","SouthEast","South","SouthWest","West","NorthWest","North")</f>
        <v>North</v>
      </c>
      <c r="AC548" s="5">
        <f>CHOOSE(MATCH(AB548,{"South";"SouthEast";"SouthWest";"North";"NorthEast";"East";"West";"NorthWest"},0),1,2,3,4,5,6,7,8)</f>
        <v>4</v>
      </c>
      <c r="AD548" s="2">
        <f t="shared" si="104"/>
        <v>1</v>
      </c>
      <c r="AE548">
        <v>1015</v>
      </c>
      <c r="AF548" s="4" t="s">
        <v>221</v>
      </c>
      <c r="AG548" s="2">
        <f t="shared" si="105"/>
        <v>1</v>
      </c>
      <c r="AH548" t="s">
        <v>954</v>
      </c>
      <c r="AI548" s="2">
        <f t="shared" si="106"/>
        <v>7</v>
      </c>
      <c r="AJ548" s="2">
        <f t="shared" si="107"/>
        <v>1</v>
      </c>
      <c r="AK548" s="3">
        <v>348.00000000279402</v>
      </c>
      <c r="AM548" s="2">
        <v>0</v>
      </c>
      <c r="AN548">
        <v>0.3</v>
      </c>
      <c r="AO548">
        <v>0</v>
      </c>
      <c r="AP548">
        <v>0</v>
      </c>
      <c r="AQ548" s="2">
        <f>IF((2*G548 + M548 -P548 + 3*W548 + 2*Z548+2*AD548 + AG548+2*AJ548 + 4*AM548) &gt;=8,1,0)</f>
        <v>1</v>
      </c>
    </row>
    <row r="549" spans="1:43" x14ac:dyDescent="0.25">
      <c r="A549" t="s">
        <v>27</v>
      </c>
      <c r="B549" s="1">
        <v>38909</v>
      </c>
      <c r="C549" s="7">
        <f t="shared" si="99"/>
        <v>2006</v>
      </c>
      <c r="D549">
        <v>84.1</v>
      </c>
      <c r="E549">
        <v>71.599999999999994</v>
      </c>
      <c r="F549">
        <v>77.900000000000006</v>
      </c>
      <c r="G549" s="2">
        <f t="shared" si="98"/>
        <v>1</v>
      </c>
      <c r="H549">
        <v>82.8</v>
      </c>
      <c r="I549">
        <v>71.599999999999994</v>
      </c>
      <c r="J549">
        <v>77.7</v>
      </c>
      <c r="K549">
        <v>56.4</v>
      </c>
      <c r="L549">
        <v>48.3</v>
      </c>
      <c r="M549" s="2">
        <f t="shared" si="100"/>
        <v>1</v>
      </c>
      <c r="N549">
        <v>0</v>
      </c>
      <c r="P549" s="2">
        <f t="shared" si="101"/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s="2">
        <f t="shared" si="102"/>
        <v>0</v>
      </c>
      <c r="X549">
        <v>22.3</v>
      </c>
      <c r="Z549" s="2">
        <f t="shared" si="103"/>
        <v>1</v>
      </c>
      <c r="AA549">
        <v>2.9</v>
      </c>
      <c r="AB549" s="2" t="str">
        <f>CHOOSE(MATCH(AA549,{0;11;80;111;161;191;241;281;341},1),"North","NorthEast","East","SouthEast","South","SouthWest","West","NorthWest","North")</f>
        <v>North</v>
      </c>
      <c r="AC549" s="5">
        <f>CHOOSE(MATCH(AB549,{"South";"SouthEast";"SouthWest";"North";"NorthEast";"East";"West";"NorthWest"},0),1,2,3,4,5,6,7,8)</f>
        <v>4</v>
      </c>
      <c r="AD549" s="2">
        <f t="shared" si="104"/>
        <v>1</v>
      </c>
      <c r="AE549">
        <v>1015</v>
      </c>
      <c r="AF549" s="4" t="s">
        <v>423</v>
      </c>
      <c r="AG549" s="2">
        <f t="shared" si="105"/>
        <v>0</v>
      </c>
      <c r="AH549" t="s">
        <v>955</v>
      </c>
      <c r="AI549" s="2">
        <f t="shared" si="106"/>
        <v>7</v>
      </c>
      <c r="AJ549" s="2">
        <f t="shared" si="107"/>
        <v>1</v>
      </c>
      <c r="AK549" s="3">
        <v>220.00000000465661</v>
      </c>
      <c r="AM549" s="2">
        <v>0</v>
      </c>
      <c r="AN549">
        <v>7</v>
      </c>
      <c r="AO549">
        <v>0</v>
      </c>
      <c r="AP549">
        <v>0</v>
      </c>
      <c r="AQ549" s="2">
        <f>IF((2*G549 + M549 -P549 + 3*W549 + 2*Z549+2*AD549 + AG549+2*AJ549 + 4*AM549) &gt;=8,1,0)</f>
        <v>1</v>
      </c>
    </row>
    <row r="550" spans="1:43" x14ac:dyDescent="0.25">
      <c r="A550" t="s">
        <v>27</v>
      </c>
      <c r="B550" s="1">
        <v>38912</v>
      </c>
      <c r="C550" s="7">
        <f t="shared" si="99"/>
        <v>2006</v>
      </c>
      <c r="D550">
        <v>90.4</v>
      </c>
      <c r="E550">
        <v>73</v>
      </c>
      <c r="F550">
        <v>81.8</v>
      </c>
      <c r="G550" s="2">
        <f t="shared" si="98"/>
        <v>1</v>
      </c>
      <c r="H550">
        <v>89.1</v>
      </c>
      <c r="I550">
        <v>73</v>
      </c>
      <c r="J550">
        <v>81.3</v>
      </c>
      <c r="K550">
        <v>58</v>
      </c>
      <c r="L550">
        <v>45.5</v>
      </c>
      <c r="M550" s="2">
        <f t="shared" si="100"/>
        <v>1</v>
      </c>
      <c r="N550">
        <v>0</v>
      </c>
      <c r="P550" s="2">
        <f t="shared" si="101"/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s="2">
        <f t="shared" si="102"/>
        <v>0</v>
      </c>
      <c r="X550">
        <v>17.7</v>
      </c>
      <c r="Z550" s="2">
        <f t="shared" si="103"/>
        <v>1</v>
      </c>
      <c r="AA550">
        <v>5.4</v>
      </c>
      <c r="AB550" s="2" t="str">
        <f>CHOOSE(MATCH(AA550,{0;11;80;111;161;191;241;281;341},1),"North","NorthEast","East","SouthEast","South","SouthWest","West","NorthWest","North")</f>
        <v>North</v>
      </c>
      <c r="AC550" s="5">
        <f>CHOOSE(MATCH(AB550,{"South";"SouthEast";"SouthWest";"North";"NorthEast";"East";"West";"NorthWest"},0),1,2,3,4,5,6,7,8)</f>
        <v>4</v>
      </c>
      <c r="AD550" s="2">
        <f t="shared" si="104"/>
        <v>1</v>
      </c>
      <c r="AE550">
        <v>1011.8</v>
      </c>
      <c r="AF550" s="4" t="s">
        <v>193</v>
      </c>
      <c r="AG550" s="2">
        <f t="shared" si="105"/>
        <v>1</v>
      </c>
      <c r="AH550" t="s">
        <v>956</v>
      </c>
      <c r="AI550" s="2">
        <f t="shared" si="106"/>
        <v>7</v>
      </c>
      <c r="AJ550" s="2">
        <f t="shared" si="107"/>
        <v>1</v>
      </c>
      <c r="AK550" s="3">
        <v>90</v>
      </c>
      <c r="AM550" s="2">
        <v>0</v>
      </c>
      <c r="AN550">
        <v>1</v>
      </c>
      <c r="AO550">
        <v>0</v>
      </c>
      <c r="AP550">
        <v>0</v>
      </c>
      <c r="AQ550" s="2">
        <f>IF((2*G550 + M550 -P550 + 3*W550 + 2*Z550+2*AD550 + AG550+2*AJ550 + 4*AM550) &gt;=8,1,0)</f>
        <v>1</v>
      </c>
    </row>
    <row r="551" spans="1:43" x14ac:dyDescent="0.25">
      <c r="A551" t="s">
        <v>27</v>
      </c>
      <c r="B551" s="1">
        <v>38913</v>
      </c>
      <c r="C551" s="7">
        <f t="shared" si="99"/>
        <v>2006</v>
      </c>
      <c r="D551">
        <v>90.6</v>
      </c>
      <c r="E551">
        <v>74.7</v>
      </c>
      <c r="F551">
        <v>83</v>
      </c>
      <c r="G551" s="2">
        <f t="shared" si="98"/>
        <v>1</v>
      </c>
      <c r="H551">
        <v>89.9</v>
      </c>
      <c r="I551">
        <v>74.7</v>
      </c>
      <c r="J551">
        <v>82.5</v>
      </c>
      <c r="K551">
        <v>56.4</v>
      </c>
      <c r="L551">
        <v>40.799999999999997</v>
      </c>
      <c r="M551" s="2">
        <f t="shared" si="100"/>
        <v>1</v>
      </c>
      <c r="N551">
        <v>0</v>
      </c>
      <c r="P551" s="2">
        <f t="shared" si="101"/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s="2">
        <f t="shared" si="102"/>
        <v>0</v>
      </c>
      <c r="X551">
        <v>15</v>
      </c>
      <c r="Z551" s="2">
        <f t="shared" si="103"/>
        <v>0</v>
      </c>
      <c r="AA551">
        <v>10.3</v>
      </c>
      <c r="AB551" s="2" t="str">
        <f>CHOOSE(MATCH(AA551,{0;11;80;111;161;191;241;281;341},1),"North","NorthEast","East","SouthEast","South","SouthWest","West","NorthWest","North")</f>
        <v>North</v>
      </c>
      <c r="AC551" s="5">
        <f>CHOOSE(MATCH(AB551,{"South";"SouthEast";"SouthWest";"North";"NorthEast";"East";"West";"NorthWest"},0),1,2,3,4,5,6,7,8)</f>
        <v>4</v>
      </c>
      <c r="AD551" s="2">
        <f t="shared" si="104"/>
        <v>1</v>
      </c>
      <c r="AE551">
        <v>1012.4</v>
      </c>
      <c r="AF551" s="4" t="s">
        <v>338</v>
      </c>
      <c r="AG551" s="2">
        <f t="shared" si="105"/>
        <v>1</v>
      </c>
      <c r="AH551" t="s">
        <v>957</v>
      </c>
      <c r="AI551" s="2">
        <f t="shared" si="106"/>
        <v>7</v>
      </c>
      <c r="AJ551" s="2">
        <f t="shared" si="107"/>
        <v>1</v>
      </c>
      <c r="AK551" s="3">
        <v>1360.0000000011639</v>
      </c>
      <c r="AM551" s="2">
        <v>1</v>
      </c>
      <c r="AN551">
        <v>5</v>
      </c>
      <c r="AO551">
        <v>0</v>
      </c>
      <c r="AP551">
        <v>0</v>
      </c>
      <c r="AQ551" s="2">
        <f>IF((2*G551 + M551 -P551 + 3*W551 + 2*Z551+2*AD551 + AG551+2*AJ551 + 4*AM551) &gt;=8,1,0)</f>
        <v>1</v>
      </c>
    </row>
    <row r="552" spans="1:43" x14ac:dyDescent="0.25">
      <c r="A552" t="s">
        <v>27</v>
      </c>
      <c r="B552" s="1">
        <v>38917</v>
      </c>
      <c r="C552" s="7">
        <f t="shared" si="99"/>
        <v>2006</v>
      </c>
      <c r="D552">
        <v>84.3</v>
      </c>
      <c r="E552">
        <v>72.400000000000006</v>
      </c>
      <c r="F552">
        <v>77.599999999999994</v>
      </c>
      <c r="G552" s="2">
        <f t="shared" si="98"/>
        <v>1</v>
      </c>
      <c r="H552">
        <v>82.3</v>
      </c>
      <c r="I552">
        <v>72.400000000000006</v>
      </c>
      <c r="J552">
        <v>77.2</v>
      </c>
      <c r="K552">
        <v>51.3</v>
      </c>
      <c r="L552">
        <v>40.6</v>
      </c>
      <c r="M552" s="2">
        <f t="shared" si="100"/>
        <v>1</v>
      </c>
      <c r="N552">
        <v>0</v>
      </c>
      <c r="P552" s="2">
        <f t="shared" si="101"/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s="2">
        <f t="shared" si="102"/>
        <v>0</v>
      </c>
      <c r="X552">
        <v>24.1</v>
      </c>
      <c r="Z552" s="2">
        <f t="shared" si="103"/>
        <v>1</v>
      </c>
      <c r="AA552">
        <v>1</v>
      </c>
      <c r="AB552" s="2" t="str">
        <f>CHOOSE(MATCH(AA552,{0;11;80;111;161;191;241;281;341},1),"North","NorthEast","East","SouthEast","South","SouthWest","West","NorthWest","North")</f>
        <v>North</v>
      </c>
      <c r="AC552" s="5">
        <f>CHOOSE(MATCH(AB552,{"South";"SouthEast";"SouthWest";"North";"NorthEast";"East";"West";"NorthWest"},0),1,2,3,4,5,6,7,8)</f>
        <v>4</v>
      </c>
      <c r="AD552" s="2">
        <f t="shared" si="104"/>
        <v>1</v>
      </c>
      <c r="AE552">
        <v>1015.3</v>
      </c>
      <c r="AF552" s="4" t="s">
        <v>136</v>
      </c>
      <c r="AG552" s="2">
        <f t="shared" si="105"/>
        <v>1</v>
      </c>
      <c r="AH552" t="s">
        <v>958</v>
      </c>
      <c r="AI552" s="2">
        <f t="shared" si="106"/>
        <v>7</v>
      </c>
      <c r="AJ552" s="2">
        <f t="shared" si="107"/>
        <v>1</v>
      </c>
      <c r="AK552" s="3">
        <v>420.00000000698492</v>
      </c>
      <c r="AM552" s="2">
        <v>1</v>
      </c>
      <c r="AN552">
        <v>0</v>
      </c>
      <c r="AO552">
        <v>100</v>
      </c>
      <c r="AP552">
        <v>0</v>
      </c>
      <c r="AQ552" s="2">
        <f>IF((2*G552 + M552 -P552 + 3*W552 + 2*Z552+2*AD552 + AG552+2*AJ552 + 4*AM552) &gt;=8,1,0)</f>
        <v>1</v>
      </c>
    </row>
    <row r="553" spans="1:43" x14ac:dyDescent="0.25">
      <c r="A553" t="s">
        <v>27</v>
      </c>
      <c r="B553" s="1">
        <v>38918</v>
      </c>
      <c r="C553" s="7">
        <f t="shared" si="99"/>
        <v>2006</v>
      </c>
      <c r="D553">
        <v>87.5</v>
      </c>
      <c r="E553">
        <v>76.2</v>
      </c>
      <c r="F553">
        <v>81.2</v>
      </c>
      <c r="G553" s="2">
        <f t="shared" si="98"/>
        <v>1</v>
      </c>
      <c r="H553">
        <v>85.1</v>
      </c>
      <c r="I553">
        <v>76.2</v>
      </c>
      <c r="J553">
        <v>80.2</v>
      </c>
      <c r="K553">
        <v>50.2</v>
      </c>
      <c r="L553">
        <v>34.4</v>
      </c>
      <c r="M553" s="2">
        <f t="shared" si="100"/>
        <v>1</v>
      </c>
      <c r="N553">
        <v>0</v>
      </c>
      <c r="P553" s="2">
        <f t="shared" si="101"/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s="2">
        <f t="shared" si="102"/>
        <v>0</v>
      </c>
      <c r="X553">
        <v>25.3</v>
      </c>
      <c r="Z553" s="2">
        <f t="shared" si="103"/>
        <v>1</v>
      </c>
      <c r="AA553">
        <v>2.9</v>
      </c>
      <c r="AB553" s="2" t="str">
        <f>CHOOSE(MATCH(AA553,{0;11;80;111;161;191;241;281;341},1),"North","NorthEast","East","SouthEast","South","SouthWest","West","NorthWest","North")</f>
        <v>North</v>
      </c>
      <c r="AC553" s="5">
        <f>CHOOSE(MATCH(AB553,{"South";"SouthEast";"SouthWest";"North";"NorthEast";"East";"West";"NorthWest"},0),1,2,3,4,5,6,7,8)</f>
        <v>4</v>
      </c>
      <c r="AD553" s="2">
        <f t="shared" si="104"/>
        <v>1</v>
      </c>
      <c r="AE553">
        <v>1013.2</v>
      </c>
      <c r="AF553" s="4" t="s">
        <v>959</v>
      </c>
      <c r="AG553" s="2">
        <f t="shared" si="105"/>
        <v>1</v>
      </c>
      <c r="AH553" t="s">
        <v>960</v>
      </c>
      <c r="AI553" s="2">
        <f t="shared" si="106"/>
        <v>7</v>
      </c>
      <c r="AJ553" s="2">
        <f t="shared" si="107"/>
        <v>1</v>
      </c>
      <c r="AK553" s="3">
        <v>3662.0000000030268</v>
      </c>
      <c r="AM553" s="2">
        <v>1</v>
      </c>
      <c r="AN553">
        <v>5</v>
      </c>
      <c r="AO553">
        <v>0</v>
      </c>
      <c r="AP553">
        <v>0</v>
      </c>
      <c r="AQ553" s="2">
        <f>IF((2*G553 + M553 -P553 + 3*W553 + 2*Z553+2*AD553 + AG553+2*AJ553 + 4*AM553) &gt;=8,1,0)</f>
        <v>1</v>
      </c>
    </row>
    <row r="554" spans="1:43" x14ac:dyDescent="0.25">
      <c r="A554" t="s">
        <v>27</v>
      </c>
      <c r="B554" s="1">
        <v>38918</v>
      </c>
      <c r="C554" s="7">
        <f t="shared" si="99"/>
        <v>2006</v>
      </c>
      <c r="D554">
        <v>87.5</v>
      </c>
      <c r="E554">
        <v>76.2</v>
      </c>
      <c r="F554">
        <v>81.2</v>
      </c>
      <c r="G554" s="2">
        <f t="shared" si="98"/>
        <v>1</v>
      </c>
      <c r="H554">
        <v>85.1</v>
      </c>
      <c r="I554">
        <v>76.2</v>
      </c>
      <c r="J554">
        <v>80.2</v>
      </c>
      <c r="K554">
        <v>50.2</v>
      </c>
      <c r="L554">
        <v>34.4</v>
      </c>
      <c r="M554" s="2">
        <f t="shared" si="100"/>
        <v>1</v>
      </c>
      <c r="N554">
        <v>0</v>
      </c>
      <c r="P554" s="2">
        <f t="shared" si="101"/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s="2">
        <f t="shared" si="102"/>
        <v>0</v>
      </c>
      <c r="X554">
        <v>25.3</v>
      </c>
      <c r="Z554" s="2">
        <f t="shared" si="103"/>
        <v>1</v>
      </c>
      <c r="AA554">
        <v>2.9</v>
      </c>
      <c r="AB554" s="2" t="str">
        <f>CHOOSE(MATCH(AA554,{0;11;80;111;161;191;241;281;341},1),"North","NorthEast","East","SouthEast","South","SouthWest","West","NorthWest","North")</f>
        <v>North</v>
      </c>
      <c r="AC554" s="5">
        <f>CHOOSE(MATCH(AB554,{"South";"SouthEast";"SouthWest";"North";"NorthEast";"East";"West";"NorthWest"},0),1,2,3,4,5,6,7,8)</f>
        <v>4</v>
      </c>
      <c r="AD554" s="2">
        <f t="shared" si="104"/>
        <v>1</v>
      </c>
      <c r="AE554">
        <v>1013.2</v>
      </c>
      <c r="AF554" s="4" t="s">
        <v>136</v>
      </c>
      <c r="AG554" s="2">
        <f t="shared" si="105"/>
        <v>1</v>
      </c>
      <c r="AH554" t="s">
        <v>961</v>
      </c>
      <c r="AI554" s="2">
        <f t="shared" si="106"/>
        <v>7</v>
      </c>
      <c r="AJ554" s="2">
        <f t="shared" si="107"/>
        <v>1</v>
      </c>
      <c r="AK554" s="3">
        <v>124.9999999988358</v>
      </c>
      <c r="AM554" s="2">
        <v>0</v>
      </c>
      <c r="AN554">
        <v>2</v>
      </c>
      <c r="AO554">
        <v>0</v>
      </c>
      <c r="AP554">
        <v>0</v>
      </c>
      <c r="AQ554" s="2">
        <f>IF((2*G554 + M554 -P554 + 3*W554 + 2*Z554+2*AD554 + AG554+2*AJ554 + 4*AM554) &gt;=8,1,0)</f>
        <v>1</v>
      </c>
    </row>
    <row r="555" spans="1:43" x14ac:dyDescent="0.25">
      <c r="A555" t="s">
        <v>27</v>
      </c>
      <c r="B555" s="1">
        <v>38918</v>
      </c>
      <c r="C555" s="7">
        <f t="shared" si="99"/>
        <v>2006</v>
      </c>
      <c r="D555">
        <v>87.5</v>
      </c>
      <c r="E555">
        <v>76.2</v>
      </c>
      <c r="F555">
        <v>81.2</v>
      </c>
      <c r="G555" s="2">
        <f t="shared" si="98"/>
        <v>1</v>
      </c>
      <c r="H555">
        <v>85.1</v>
      </c>
      <c r="I555">
        <v>76.2</v>
      </c>
      <c r="J555">
        <v>80.2</v>
      </c>
      <c r="K555">
        <v>50.2</v>
      </c>
      <c r="L555">
        <v>34.4</v>
      </c>
      <c r="M555" s="2">
        <f t="shared" si="100"/>
        <v>1</v>
      </c>
      <c r="N555">
        <v>0</v>
      </c>
      <c r="P555" s="2">
        <f t="shared" si="101"/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2">
        <f t="shared" si="102"/>
        <v>0</v>
      </c>
      <c r="X555">
        <v>25.3</v>
      </c>
      <c r="Z555" s="2">
        <f t="shared" si="103"/>
        <v>1</v>
      </c>
      <c r="AA555">
        <v>2.9</v>
      </c>
      <c r="AB555" s="2" t="str">
        <f>CHOOSE(MATCH(AA555,{0;11;80;111;161;191;241;281;341},1),"North","NorthEast","East","SouthEast","South","SouthWest","West","NorthWest","North")</f>
        <v>North</v>
      </c>
      <c r="AC555" s="5">
        <f>CHOOSE(MATCH(AB555,{"South";"SouthEast";"SouthWest";"North";"NorthEast";"East";"West";"NorthWest"},0),1,2,3,4,5,6,7,8)</f>
        <v>4</v>
      </c>
      <c r="AD555" s="2">
        <f t="shared" si="104"/>
        <v>1</v>
      </c>
      <c r="AE555">
        <v>1013.2</v>
      </c>
      <c r="AF555" s="4" t="s">
        <v>937</v>
      </c>
      <c r="AG555" s="2">
        <f t="shared" si="105"/>
        <v>1</v>
      </c>
      <c r="AH555" t="s">
        <v>962</v>
      </c>
      <c r="AI555" s="2">
        <f t="shared" si="106"/>
        <v>7</v>
      </c>
      <c r="AJ555" s="2">
        <f t="shared" si="107"/>
        <v>1</v>
      </c>
      <c r="AK555" s="3">
        <v>180</v>
      </c>
      <c r="AM555" s="2">
        <v>0</v>
      </c>
      <c r="AN555">
        <v>0</v>
      </c>
      <c r="AO555">
        <v>100</v>
      </c>
      <c r="AP555">
        <v>0</v>
      </c>
      <c r="AQ555" s="2">
        <f>IF((2*G555 + M555 -P555 + 3*W555 + 2*Z555+2*AD555 + AG555+2*AJ555 + 4*AM555) &gt;=8,1,0)</f>
        <v>1</v>
      </c>
    </row>
    <row r="556" spans="1:43" x14ac:dyDescent="0.25">
      <c r="A556" t="s">
        <v>27</v>
      </c>
      <c r="B556" s="1">
        <v>38919</v>
      </c>
      <c r="C556" s="7">
        <f t="shared" si="99"/>
        <v>2006</v>
      </c>
      <c r="D556">
        <v>86.7</v>
      </c>
      <c r="E556">
        <v>76.099999999999994</v>
      </c>
      <c r="F556">
        <v>81.5</v>
      </c>
      <c r="G556" s="2">
        <f t="shared" si="98"/>
        <v>1</v>
      </c>
      <c r="H556">
        <v>84.3</v>
      </c>
      <c r="I556">
        <v>76.099999999999994</v>
      </c>
      <c r="J556">
        <v>80.8</v>
      </c>
      <c r="K556">
        <v>54.3</v>
      </c>
      <c r="L556">
        <v>39.6</v>
      </c>
      <c r="M556" s="2">
        <f t="shared" si="100"/>
        <v>1</v>
      </c>
      <c r="N556">
        <v>0</v>
      </c>
      <c r="P556" s="2">
        <f t="shared" si="101"/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s="2">
        <f t="shared" si="102"/>
        <v>0</v>
      </c>
      <c r="X556">
        <v>24.8</v>
      </c>
      <c r="Z556" s="2">
        <f t="shared" si="103"/>
        <v>1</v>
      </c>
      <c r="AA556">
        <v>4.5</v>
      </c>
      <c r="AB556" s="2" t="str">
        <f>CHOOSE(MATCH(AA556,{0;11;80;111;161;191;241;281;341},1),"North","NorthEast","East","SouthEast","South","SouthWest","West","NorthWest","North")</f>
        <v>North</v>
      </c>
      <c r="AC556" s="5">
        <f>CHOOSE(MATCH(AB556,{"South";"SouthEast";"SouthWest";"North";"NorthEast";"East";"West";"NorthWest"},0),1,2,3,4,5,6,7,8)</f>
        <v>4</v>
      </c>
      <c r="AD556" s="2">
        <f t="shared" si="104"/>
        <v>1</v>
      </c>
      <c r="AE556">
        <v>1013.9</v>
      </c>
      <c r="AF556" s="4" t="s">
        <v>963</v>
      </c>
      <c r="AG556" s="2">
        <f t="shared" si="105"/>
        <v>0</v>
      </c>
      <c r="AH556" t="s">
        <v>964</v>
      </c>
      <c r="AI556" s="2">
        <f t="shared" si="106"/>
        <v>7</v>
      </c>
      <c r="AJ556" s="2">
        <f t="shared" si="107"/>
        <v>1</v>
      </c>
      <c r="AK556" s="3">
        <v>5941.9999999960419</v>
      </c>
      <c r="AM556" s="2">
        <v>1</v>
      </c>
      <c r="AN556">
        <v>0</v>
      </c>
      <c r="AO556">
        <v>5</v>
      </c>
      <c r="AP556">
        <v>0</v>
      </c>
      <c r="AQ556" s="2">
        <f>IF((2*G556 + M556 -P556 + 3*W556 + 2*Z556+2*AD556 + AG556+2*AJ556 + 4*AM556) &gt;=8,1,0)</f>
        <v>1</v>
      </c>
    </row>
    <row r="557" spans="1:43" x14ac:dyDescent="0.25">
      <c r="A557" t="s">
        <v>27</v>
      </c>
      <c r="B557" s="1">
        <v>38919</v>
      </c>
      <c r="C557" s="7">
        <f t="shared" si="99"/>
        <v>2006</v>
      </c>
      <c r="D557">
        <v>86.7</v>
      </c>
      <c r="E557">
        <v>76.099999999999994</v>
      </c>
      <c r="F557">
        <v>81.5</v>
      </c>
      <c r="G557" s="2">
        <f t="shared" si="98"/>
        <v>1</v>
      </c>
      <c r="H557">
        <v>84.3</v>
      </c>
      <c r="I557">
        <v>76.099999999999994</v>
      </c>
      <c r="J557">
        <v>80.8</v>
      </c>
      <c r="K557">
        <v>54.3</v>
      </c>
      <c r="L557">
        <v>39.6</v>
      </c>
      <c r="M557" s="2">
        <f t="shared" si="100"/>
        <v>1</v>
      </c>
      <c r="N557">
        <v>0</v>
      </c>
      <c r="P557" s="2">
        <f t="shared" si="101"/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s="2">
        <f t="shared" si="102"/>
        <v>0</v>
      </c>
      <c r="X557">
        <v>24.8</v>
      </c>
      <c r="Z557" s="2">
        <f t="shared" si="103"/>
        <v>1</v>
      </c>
      <c r="AA557">
        <v>4.5</v>
      </c>
      <c r="AB557" s="2" t="str">
        <f>CHOOSE(MATCH(AA557,{0;11;80;111;161;191;241;281;341},1),"North","NorthEast","East","SouthEast","South","SouthWest","West","NorthWest","North")</f>
        <v>North</v>
      </c>
      <c r="AC557" s="5">
        <f>CHOOSE(MATCH(AB557,{"South";"SouthEast";"SouthWest";"North";"NorthEast";"East";"West";"NorthWest"},0),1,2,3,4,5,6,7,8)</f>
        <v>4</v>
      </c>
      <c r="AD557" s="2">
        <f t="shared" si="104"/>
        <v>1</v>
      </c>
      <c r="AE557">
        <v>1013.9</v>
      </c>
      <c r="AF557" s="4" t="s">
        <v>965</v>
      </c>
      <c r="AG557" s="2">
        <f t="shared" si="105"/>
        <v>1</v>
      </c>
      <c r="AH557" t="s">
        <v>966</v>
      </c>
      <c r="AI557" s="2">
        <f t="shared" si="106"/>
        <v>7</v>
      </c>
      <c r="AJ557" s="2">
        <f t="shared" si="107"/>
        <v>1</v>
      </c>
      <c r="AK557" s="3">
        <v>50.999999998603023</v>
      </c>
      <c r="AM557" s="2">
        <v>0</v>
      </c>
      <c r="AN557">
        <v>0.2</v>
      </c>
      <c r="AO557">
        <v>0</v>
      </c>
      <c r="AP557">
        <v>0</v>
      </c>
      <c r="AQ557" s="2">
        <f>IF((2*G557 + M557 -P557 + 3*W557 + 2*Z557+2*AD557 + AG557+2*AJ557 + 4*AM557) &gt;=8,1,0)</f>
        <v>1</v>
      </c>
    </row>
    <row r="558" spans="1:43" x14ac:dyDescent="0.25">
      <c r="A558" t="s">
        <v>27</v>
      </c>
      <c r="B558" s="1">
        <v>38920</v>
      </c>
      <c r="C558" s="7">
        <f t="shared" si="99"/>
        <v>2006</v>
      </c>
      <c r="D558">
        <v>84.6</v>
      </c>
      <c r="E558">
        <v>71.2</v>
      </c>
      <c r="F558">
        <v>78.2</v>
      </c>
      <c r="G558" s="2">
        <f t="shared" si="98"/>
        <v>1</v>
      </c>
      <c r="H558">
        <v>82.5</v>
      </c>
      <c r="I558">
        <v>71.2</v>
      </c>
      <c r="J558">
        <v>77.900000000000006</v>
      </c>
      <c r="K558">
        <v>53.4</v>
      </c>
      <c r="L558">
        <v>43</v>
      </c>
      <c r="M558" s="2">
        <f t="shared" si="100"/>
        <v>1</v>
      </c>
      <c r="N558">
        <v>0</v>
      </c>
      <c r="P558" s="2">
        <f t="shared" si="101"/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2">
        <f t="shared" si="102"/>
        <v>0</v>
      </c>
      <c r="X558">
        <v>25.5</v>
      </c>
      <c r="Z558" s="2">
        <f t="shared" si="103"/>
        <v>1</v>
      </c>
      <c r="AA558">
        <v>2.9</v>
      </c>
      <c r="AB558" s="2" t="str">
        <f>CHOOSE(MATCH(AA558,{0;11;80;111;161;191;241;281;341},1),"North","NorthEast","East","SouthEast","South","SouthWest","West","NorthWest","North")</f>
        <v>North</v>
      </c>
      <c r="AC558" s="5">
        <f>CHOOSE(MATCH(AB558,{"South";"SouthEast";"SouthWest";"North";"NorthEast";"East";"West";"NorthWest"},0),1,2,3,4,5,6,7,8)</f>
        <v>4</v>
      </c>
      <c r="AD558" s="2">
        <f t="shared" si="104"/>
        <v>1</v>
      </c>
      <c r="AE558">
        <v>1013.1</v>
      </c>
      <c r="AF558" s="4" t="s">
        <v>967</v>
      </c>
      <c r="AG558" s="2">
        <f t="shared" si="105"/>
        <v>0</v>
      </c>
      <c r="AH558" t="s">
        <v>968</v>
      </c>
      <c r="AI558" s="2">
        <f t="shared" si="106"/>
        <v>7</v>
      </c>
      <c r="AJ558" s="2">
        <f t="shared" si="107"/>
        <v>1</v>
      </c>
      <c r="AK558" s="3">
        <v>769.00000000256114</v>
      </c>
      <c r="AM558" s="2">
        <v>1</v>
      </c>
      <c r="AN558">
        <v>2</v>
      </c>
      <c r="AO558">
        <v>0</v>
      </c>
      <c r="AP558">
        <v>0</v>
      </c>
      <c r="AQ558" s="2">
        <f>IF((2*G558 + M558 -P558 + 3*W558 + 2*Z558+2*AD558 + AG558+2*AJ558 + 4*AM558) &gt;=8,1,0)</f>
        <v>1</v>
      </c>
    </row>
    <row r="559" spans="1:43" x14ac:dyDescent="0.25">
      <c r="A559" t="s">
        <v>27</v>
      </c>
      <c r="B559" s="1">
        <v>38922</v>
      </c>
      <c r="C559" s="7">
        <f t="shared" si="99"/>
        <v>2006</v>
      </c>
      <c r="D559">
        <v>91.8</v>
      </c>
      <c r="E559">
        <v>70.7</v>
      </c>
      <c r="F559">
        <v>82.4</v>
      </c>
      <c r="G559" s="2">
        <f t="shared" si="98"/>
        <v>1</v>
      </c>
      <c r="H559">
        <v>88.7</v>
      </c>
      <c r="I559">
        <v>70.7</v>
      </c>
      <c r="J559">
        <v>80.8</v>
      </c>
      <c r="K559">
        <v>47.9</v>
      </c>
      <c r="L559">
        <v>31</v>
      </c>
      <c r="M559" s="2">
        <f t="shared" si="100"/>
        <v>1</v>
      </c>
      <c r="N559">
        <v>0</v>
      </c>
      <c r="P559" s="2">
        <f t="shared" si="101"/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2">
        <f t="shared" si="102"/>
        <v>0</v>
      </c>
      <c r="X559">
        <v>19.5</v>
      </c>
      <c r="Z559" s="2">
        <f t="shared" si="103"/>
        <v>1</v>
      </c>
      <c r="AA559">
        <v>4.0999999999999996</v>
      </c>
      <c r="AB559" s="2" t="str">
        <f>CHOOSE(MATCH(AA559,{0;11;80;111;161;191;241;281;341},1),"North","NorthEast","East","SouthEast","South","SouthWest","West","NorthWest","North")</f>
        <v>North</v>
      </c>
      <c r="AC559" s="5">
        <f>CHOOSE(MATCH(AB559,{"South";"SouthEast";"SouthWest";"North";"NorthEast";"East";"West";"NorthWest"},0),1,2,3,4,5,6,7,8)</f>
        <v>4</v>
      </c>
      <c r="AD559" s="2">
        <f t="shared" si="104"/>
        <v>1</v>
      </c>
      <c r="AE559">
        <v>1013.2</v>
      </c>
      <c r="AF559" s="4" t="s">
        <v>372</v>
      </c>
      <c r="AG559" s="2">
        <f t="shared" si="105"/>
        <v>1</v>
      </c>
      <c r="AH559" t="s">
        <v>969</v>
      </c>
      <c r="AI559" s="2">
        <f t="shared" si="106"/>
        <v>7</v>
      </c>
      <c r="AJ559" s="2">
        <f t="shared" si="107"/>
        <v>1</v>
      </c>
      <c r="AK559" s="3">
        <v>169.99999999883579</v>
      </c>
      <c r="AM559" s="2">
        <v>0</v>
      </c>
      <c r="AN559">
        <v>0</v>
      </c>
      <c r="AO559">
        <v>9</v>
      </c>
      <c r="AP559">
        <v>0</v>
      </c>
      <c r="AQ559" s="2">
        <f>IF((2*G559 + M559 -P559 + 3*W559 + 2*Z559+2*AD559 + AG559+2*AJ559 + 4*AM559) &gt;=8,1,0)</f>
        <v>1</v>
      </c>
    </row>
    <row r="560" spans="1:43" x14ac:dyDescent="0.25">
      <c r="A560" t="s">
        <v>27</v>
      </c>
      <c r="B560" s="1">
        <v>38922</v>
      </c>
      <c r="C560" s="7">
        <f t="shared" si="99"/>
        <v>2006</v>
      </c>
      <c r="D560">
        <v>91.8</v>
      </c>
      <c r="E560">
        <v>70.7</v>
      </c>
      <c r="F560">
        <v>82.4</v>
      </c>
      <c r="G560" s="2">
        <f t="shared" si="98"/>
        <v>1</v>
      </c>
      <c r="H560">
        <v>88.7</v>
      </c>
      <c r="I560">
        <v>70.7</v>
      </c>
      <c r="J560">
        <v>80.8</v>
      </c>
      <c r="K560">
        <v>47.9</v>
      </c>
      <c r="L560">
        <v>31</v>
      </c>
      <c r="M560" s="2">
        <f t="shared" si="100"/>
        <v>1</v>
      </c>
      <c r="N560">
        <v>0</v>
      </c>
      <c r="P560" s="2">
        <f t="shared" si="101"/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s="2">
        <f t="shared" si="102"/>
        <v>0</v>
      </c>
      <c r="X560">
        <v>19.5</v>
      </c>
      <c r="Z560" s="2">
        <f t="shared" si="103"/>
        <v>1</v>
      </c>
      <c r="AA560">
        <v>4.0999999999999996</v>
      </c>
      <c r="AB560" s="2" t="str">
        <f>CHOOSE(MATCH(AA560,{0;11;80;111;161;191;241;281;341},1),"North","NorthEast","East","SouthEast","South","SouthWest","West","NorthWest","North")</f>
        <v>North</v>
      </c>
      <c r="AC560" s="5">
        <f>CHOOSE(MATCH(AB560,{"South";"SouthEast";"SouthWest";"North";"NorthEast";"East";"West";"NorthWest"},0),1,2,3,4,5,6,7,8)</f>
        <v>4</v>
      </c>
      <c r="AD560" s="2">
        <f t="shared" si="104"/>
        <v>1</v>
      </c>
      <c r="AE560">
        <v>1013.2</v>
      </c>
      <c r="AF560" s="4" t="s">
        <v>970</v>
      </c>
      <c r="AG560" s="2">
        <f t="shared" si="105"/>
        <v>1</v>
      </c>
      <c r="AH560" t="s">
        <v>971</v>
      </c>
      <c r="AI560" s="2">
        <f t="shared" si="106"/>
        <v>7</v>
      </c>
      <c r="AJ560" s="2">
        <f t="shared" si="107"/>
        <v>1</v>
      </c>
      <c r="AK560" s="3">
        <v>1384.9999999988361</v>
      </c>
      <c r="AM560" s="2">
        <v>1</v>
      </c>
      <c r="AN560">
        <v>0</v>
      </c>
      <c r="AO560">
        <v>5</v>
      </c>
      <c r="AP560">
        <v>0</v>
      </c>
      <c r="AQ560" s="2">
        <f>IF((2*G560 + M560 -P560 + 3*W560 + 2*Z560+2*AD560 + AG560+2*AJ560 + 4*AM560) &gt;=8,1,0)</f>
        <v>1</v>
      </c>
    </row>
    <row r="561" spans="1:43" x14ac:dyDescent="0.25">
      <c r="A561" t="s">
        <v>27</v>
      </c>
      <c r="B561" s="1">
        <v>38924</v>
      </c>
      <c r="C561" s="7">
        <f t="shared" si="99"/>
        <v>2006</v>
      </c>
      <c r="D561">
        <v>92.4</v>
      </c>
      <c r="E561">
        <v>74.900000000000006</v>
      </c>
      <c r="F561">
        <v>83.9</v>
      </c>
      <c r="G561" s="2">
        <f t="shared" si="98"/>
        <v>1</v>
      </c>
      <c r="H561">
        <v>89.5</v>
      </c>
      <c r="I561">
        <v>74.900000000000006</v>
      </c>
      <c r="J561">
        <v>82.5</v>
      </c>
      <c r="K561">
        <v>53</v>
      </c>
      <c r="L561">
        <v>35.700000000000003</v>
      </c>
      <c r="M561" s="2">
        <f t="shared" si="100"/>
        <v>1</v>
      </c>
      <c r="N561">
        <v>0</v>
      </c>
      <c r="P561" s="2">
        <f t="shared" si="101"/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2">
        <f t="shared" si="102"/>
        <v>0</v>
      </c>
      <c r="X561">
        <v>19.3</v>
      </c>
      <c r="Z561" s="2">
        <f t="shared" si="103"/>
        <v>1</v>
      </c>
      <c r="AA561">
        <v>8.9</v>
      </c>
      <c r="AB561" s="2" t="str">
        <f>CHOOSE(MATCH(AA561,{0;11;80;111;161;191;241;281;341},1),"North","NorthEast","East","SouthEast","South","SouthWest","West","NorthWest","North")</f>
        <v>North</v>
      </c>
      <c r="AC561" s="5">
        <f>CHOOSE(MATCH(AB561,{"South";"SouthEast";"SouthWest";"North";"NorthEast";"East";"West";"NorthWest"},0),1,2,3,4,5,6,7,8)</f>
        <v>4</v>
      </c>
      <c r="AD561" s="2">
        <f t="shared" si="104"/>
        <v>1</v>
      </c>
      <c r="AE561">
        <v>1012.1</v>
      </c>
      <c r="AF561" s="4" t="s">
        <v>972</v>
      </c>
      <c r="AG561" s="2">
        <f t="shared" si="105"/>
        <v>0</v>
      </c>
      <c r="AH561" t="s">
        <v>973</v>
      </c>
      <c r="AI561" s="2">
        <f t="shared" si="106"/>
        <v>7</v>
      </c>
      <c r="AJ561" s="2">
        <f t="shared" si="107"/>
        <v>1</v>
      </c>
      <c r="AK561" s="3">
        <v>31.999999999534339</v>
      </c>
      <c r="AM561" s="2">
        <v>0</v>
      </c>
      <c r="AN561">
        <v>0</v>
      </c>
      <c r="AO561">
        <v>0.5</v>
      </c>
      <c r="AP561">
        <v>0</v>
      </c>
      <c r="AQ561" s="2">
        <f>IF((2*G561 + M561 -P561 + 3*W561 + 2*Z561+2*AD561 + AG561+2*AJ561 + 4*AM561) &gt;=8,1,0)</f>
        <v>1</v>
      </c>
    </row>
    <row r="562" spans="1:43" x14ac:dyDescent="0.25">
      <c r="A562" t="s">
        <v>27</v>
      </c>
      <c r="B562" s="1">
        <v>38925</v>
      </c>
      <c r="C562" s="7">
        <f t="shared" si="99"/>
        <v>2006</v>
      </c>
      <c r="D562">
        <v>91.9</v>
      </c>
      <c r="E562">
        <v>72.8</v>
      </c>
      <c r="F562">
        <v>83</v>
      </c>
      <c r="G562" s="2">
        <f t="shared" si="98"/>
        <v>1</v>
      </c>
      <c r="H562">
        <v>89</v>
      </c>
      <c r="I562">
        <v>72.8</v>
      </c>
      <c r="J562">
        <v>81.7</v>
      </c>
      <c r="K562">
        <v>51.6</v>
      </c>
      <c r="L562">
        <v>34.9</v>
      </c>
      <c r="M562" s="2">
        <f t="shared" si="100"/>
        <v>1</v>
      </c>
      <c r="N562">
        <v>0</v>
      </c>
      <c r="P562" s="2">
        <f t="shared" si="101"/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2">
        <f t="shared" si="102"/>
        <v>0</v>
      </c>
      <c r="X562">
        <v>20.100000000000001</v>
      </c>
      <c r="Z562" s="2">
        <f t="shared" si="103"/>
        <v>1</v>
      </c>
      <c r="AA562">
        <v>2.1</v>
      </c>
      <c r="AB562" s="2" t="str">
        <f>CHOOSE(MATCH(AA562,{0;11;80;111;161;191;241;281;341},1),"North","NorthEast","East","SouthEast","South","SouthWest","West","NorthWest","North")</f>
        <v>North</v>
      </c>
      <c r="AC562" s="5">
        <f>CHOOSE(MATCH(AB562,{"South";"SouthEast";"SouthWest";"North";"NorthEast";"East";"West";"NorthWest"},0),1,2,3,4,5,6,7,8)</f>
        <v>4</v>
      </c>
      <c r="AD562" s="2">
        <f t="shared" si="104"/>
        <v>1</v>
      </c>
      <c r="AE562">
        <v>1011.2</v>
      </c>
      <c r="AF562" s="4" t="s">
        <v>261</v>
      </c>
      <c r="AG562" s="2">
        <f t="shared" si="105"/>
        <v>1</v>
      </c>
      <c r="AH562" t="s">
        <v>974</v>
      </c>
      <c r="AI562" s="2">
        <f t="shared" si="106"/>
        <v>7</v>
      </c>
      <c r="AJ562" s="2">
        <f t="shared" si="107"/>
        <v>1</v>
      </c>
      <c r="AK562" s="3">
        <v>245.00000000232831</v>
      </c>
      <c r="AM562" s="2">
        <v>0</v>
      </c>
      <c r="AN562">
        <v>0</v>
      </c>
      <c r="AO562">
        <v>3</v>
      </c>
      <c r="AP562">
        <v>0</v>
      </c>
      <c r="AQ562" s="2">
        <f>IF((2*G562 + M562 -P562 + 3*W562 + 2*Z562+2*AD562 + AG562+2*AJ562 + 4*AM562) &gt;=8,1,0)</f>
        <v>1</v>
      </c>
    </row>
    <row r="563" spans="1:43" x14ac:dyDescent="0.25">
      <c r="A563" t="s">
        <v>27</v>
      </c>
      <c r="B563" s="1">
        <v>38927</v>
      </c>
      <c r="C563" s="7">
        <f t="shared" si="99"/>
        <v>2006</v>
      </c>
      <c r="D563">
        <v>94</v>
      </c>
      <c r="E563">
        <v>78</v>
      </c>
      <c r="F563">
        <v>85.9</v>
      </c>
      <c r="G563" s="2">
        <f t="shared" si="98"/>
        <v>1</v>
      </c>
      <c r="H563">
        <v>93.3</v>
      </c>
      <c r="I563">
        <v>78</v>
      </c>
      <c r="J563">
        <v>84.7</v>
      </c>
      <c r="K563">
        <v>54.5</v>
      </c>
      <c r="L563">
        <v>34.9</v>
      </c>
      <c r="M563" s="2">
        <f t="shared" si="100"/>
        <v>1</v>
      </c>
      <c r="N563">
        <v>0</v>
      </c>
      <c r="P563" s="2">
        <f t="shared" si="101"/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2">
        <f t="shared" si="102"/>
        <v>0</v>
      </c>
      <c r="X563">
        <v>15.3</v>
      </c>
      <c r="Z563" s="2">
        <f t="shared" si="103"/>
        <v>0</v>
      </c>
      <c r="AA563">
        <v>7.5</v>
      </c>
      <c r="AB563" s="2" t="str">
        <f>CHOOSE(MATCH(AA563,{0;11;80;111;161;191;241;281;341},1),"North","NorthEast","East","SouthEast","South","SouthWest","West","NorthWest","North")</f>
        <v>North</v>
      </c>
      <c r="AC563" s="5">
        <f>CHOOSE(MATCH(AB563,{"South";"SouthEast";"SouthWest";"North";"NorthEast";"East";"West";"NorthWest"},0),1,2,3,4,5,6,7,8)</f>
        <v>4</v>
      </c>
      <c r="AD563" s="2">
        <f t="shared" si="104"/>
        <v>1</v>
      </c>
      <c r="AE563">
        <v>1007.6</v>
      </c>
      <c r="AF563" s="4" t="s">
        <v>975</v>
      </c>
      <c r="AG563" s="2">
        <f t="shared" si="105"/>
        <v>1</v>
      </c>
      <c r="AH563" t="s">
        <v>976</v>
      </c>
      <c r="AI563" s="2">
        <f t="shared" si="106"/>
        <v>7</v>
      </c>
      <c r="AJ563" s="2">
        <f t="shared" si="107"/>
        <v>1</v>
      </c>
      <c r="AK563" s="3">
        <v>40.000000004656613</v>
      </c>
      <c r="AM563" s="2">
        <v>0</v>
      </c>
      <c r="AN563">
        <v>0</v>
      </c>
      <c r="AO563">
        <v>0.1</v>
      </c>
      <c r="AP563">
        <v>0</v>
      </c>
      <c r="AQ563" s="2">
        <f>IF((2*G563 + M563 -P563 + 3*W563 + 2*Z563+2*AD563 + AG563+2*AJ563 + 4*AM563) &gt;=8,1,0)</f>
        <v>0</v>
      </c>
    </row>
    <row r="564" spans="1:43" x14ac:dyDescent="0.25">
      <c r="A564" t="s">
        <v>27</v>
      </c>
      <c r="B564" s="1">
        <v>38927</v>
      </c>
      <c r="C564" s="7">
        <f t="shared" si="99"/>
        <v>2006</v>
      </c>
      <c r="D564">
        <v>94</v>
      </c>
      <c r="E564">
        <v>78</v>
      </c>
      <c r="F564">
        <v>85.9</v>
      </c>
      <c r="G564" s="2">
        <f t="shared" si="98"/>
        <v>1</v>
      </c>
      <c r="H564">
        <v>93.3</v>
      </c>
      <c r="I564">
        <v>78</v>
      </c>
      <c r="J564">
        <v>84.7</v>
      </c>
      <c r="K564">
        <v>54.5</v>
      </c>
      <c r="L564">
        <v>34.9</v>
      </c>
      <c r="M564" s="2">
        <f t="shared" si="100"/>
        <v>1</v>
      </c>
      <c r="N564">
        <v>0</v>
      </c>
      <c r="P564" s="2">
        <f t="shared" si="101"/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2">
        <f t="shared" si="102"/>
        <v>0</v>
      </c>
      <c r="X564">
        <v>15.3</v>
      </c>
      <c r="Z564" s="2">
        <f t="shared" si="103"/>
        <v>0</v>
      </c>
      <c r="AA564">
        <v>7.5</v>
      </c>
      <c r="AB564" s="2" t="str">
        <f>CHOOSE(MATCH(AA564,{0;11;80;111;161;191;241;281;341},1),"North","NorthEast","East","SouthEast","South","SouthWest","West","NorthWest","North")</f>
        <v>North</v>
      </c>
      <c r="AC564" s="5">
        <f>CHOOSE(MATCH(AB564,{"South";"SouthEast";"SouthWest";"North";"NorthEast";"East";"West";"NorthWest"},0),1,2,3,4,5,6,7,8)</f>
        <v>4</v>
      </c>
      <c r="AD564" s="2">
        <f t="shared" si="104"/>
        <v>1</v>
      </c>
      <c r="AE564">
        <v>1007.6</v>
      </c>
      <c r="AF564" s="4" t="s">
        <v>292</v>
      </c>
      <c r="AG564" s="2">
        <f t="shared" si="105"/>
        <v>1</v>
      </c>
      <c r="AH564" t="s">
        <v>977</v>
      </c>
      <c r="AI564" s="2">
        <f t="shared" si="106"/>
        <v>7</v>
      </c>
      <c r="AJ564" s="2">
        <f t="shared" si="107"/>
        <v>1</v>
      </c>
      <c r="AK564" s="3">
        <v>2740.0000000046571</v>
      </c>
      <c r="AM564" s="2">
        <v>1</v>
      </c>
      <c r="AN564">
        <v>0</v>
      </c>
      <c r="AO564">
        <v>250</v>
      </c>
      <c r="AP564">
        <v>0</v>
      </c>
      <c r="AQ564" s="2">
        <f>IF((2*G564 + M564 -P564 + 3*W564 + 2*Z564+2*AD564 + AG564+2*AJ564 + 4*AM564) &gt;=8,1,0)</f>
        <v>1</v>
      </c>
    </row>
    <row r="565" spans="1:43" x14ac:dyDescent="0.25">
      <c r="A565" t="s">
        <v>27</v>
      </c>
      <c r="B565" s="1">
        <v>38928</v>
      </c>
      <c r="C565" s="7">
        <f t="shared" si="99"/>
        <v>2006</v>
      </c>
      <c r="D565">
        <v>93.3</v>
      </c>
      <c r="E565">
        <v>73.5</v>
      </c>
      <c r="F565">
        <v>84</v>
      </c>
      <c r="G565" s="2">
        <f t="shared" si="98"/>
        <v>1</v>
      </c>
      <c r="H565">
        <v>92.6</v>
      </c>
      <c r="I565">
        <v>73.5</v>
      </c>
      <c r="J565">
        <v>83.2</v>
      </c>
      <c r="K565">
        <v>54.4</v>
      </c>
      <c r="L565">
        <v>37.299999999999997</v>
      </c>
      <c r="M565" s="2">
        <f t="shared" si="100"/>
        <v>1</v>
      </c>
      <c r="N565">
        <v>0</v>
      </c>
      <c r="P565" s="2">
        <f t="shared" si="101"/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2">
        <f t="shared" si="102"/>
        <v>0</v>
      </c>
      <c r="X565">
        <v>14.2</v>
      </c>
      <c r="Z565" s="2">
        <f t="shared" si="103"/>
        <v>0</v>
      </c>
      <c r="AA565">
        <v>333.7</v>
      </c>
      <c r="AB565" s="2" t="str">
        <f>CHOOSE(MATCH(AA565,{0;11;80;111;161;191;241;281;341},1),"North","NorthEast","East","SouthEast","South","SouthWest","West","NorthWest","North")</f>
        <v>NorthWest</v>
      </c>
      <c r="AC565" s="5">
        <f>CHOOSE(MATCH(AB565,{"South";"SouthEast";"SouthWest";"North";"NorthEast";"East";"West";"NorthWest"},0),1,2,3,4,5,6,7,8)</f>
        <v>8</v>
      </c>
      <c r="AD565" s="2">
        <f t="shared" si="104"/>
        <v>1</v>
      </c>
      <c r="AE565">
        <v>1008.3</v>
      </c>
      <c r="AF565" s="4" t="s">
        <v>978</v>
      </c>
      <c r="AG565" s="2">
        <f t="shared" si="105"/>
        <v>1</v>
      </c>
      <c r="AH565" t="s">
        <v>979</v>
      </c>
      <c r="AI565" s="2">
        <f t="shared" si="106"/>
        <v>7</v>
      </c>
      <c r="AJ565" s="2">
        <f t="shared" si="107"/>
        <v>1</v>
      </c>
      <c r="AK565" s="3">
        <v>24.99999999767169</v>
      </c>
      <c r="AM565" s="2">
        <v>0</v>
      </c>
      <c r="AN565">
        <v>0</v>
      </c>
      <c r="AO565">
        <v>0.1</v>
      </c>
      <c r="AP565">
        <v>0</v>
      </c>
      <c r="AQ565" s="2">
        <f>IF((2*G565 + M565 -P565 + 3*W565 + 2*Z565+2*AD565 + AG565+2*AJ565 + 4*AM565) &gt;=8,1,0)</f>
        <v>0</v>
      </c>
    </row>
    <row r="566" spans="1:43" x14ac:dyDescent="0.25">
      <c r="A566" t="s">
        <v>27</v>
      </c>
      <c r="B566" s="1">
        <v>38929</v>
      </c>
      <c r="C566" s="7">
        <f t="shared" si="99"/>
        <v>2006</v>
      </c>
      <c r="D566">
        <v>92.3</v>
      </c>
      <c r="E566">
        <v>74</v>
      </c>
      <c r="F566">
        <v>83.2</v>
      </c>
      <c r="G566" s="2">
        <f t="shared" si="98"/>
        <v>1</v>
      </c>
      <c r="H566">
        <v>91.8</v>
      </c>
      <c r="I566">
        <v>74</v>
      </c>
      <c r="J566">
        <v>83.1</v>
      </c>
      <c r="K566">
        <v>59.5</v>
      </c>
      <c r="L566">
        <v>46</v>
      </c>
      <c r="M566" s="2">
        <f t="shared" si="100"/>
        <v>1</v>
      </c>
      <c r="N566">
        <v>0</v>
      </c>
      <c r="P566" s="2">
        <f t="shared" si="101"/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s="2">
        <f t="shared" si="102"/>
        <v>0</v>
      </c>
      <c r="X566">
        <v>15.9</v>
      </c>
      <c r="Z566" s="2">
        <f t="shared" si="103"/>
        <v>0</v>
      </c>
      <c r="AA566">
        <v>8.1</v>
      </c>
      <c r="AB566" s="2" t="str">
        <f>CHOOSE(MATCH(AA566,{0;11;80;111;161;191;241;281;341},1),"North","NorthEast","East","SouthEast","South","SouthWest","West","NorthWest","North")</f>
        <v>North</v>
      </c>
      <c r="AC566" s="5">
        <f>CHOOSE(MATCH(AB566,{"South";"SouthEast";"SouthWest";"North";"NorthEast";"East";"West";"NorthWest"},0),1,2,3,4,5,6,7,8)</f>
        <v>4</v>
      </c>
      <c r="AD566" s="2">
        <f t="shared" si="104"/>
        <v>1</v>
      </c>
      <c r="AE566">
        <v>1008.1</v>
      </c>
      <c r="AF566" s="4" t="s">
        <v>959</v>
      </c>
      <c r="AG566" s="2">
        <f t="shared" si="105"/>
        <v>1</v>
      </c>
      <c r="AH566" t="s">
        <v>980</v>
      </c>
      <c r="AI566" s="2">
        <f t="shared" si="106"/>
        <v>7</v>
      </c>
      <c r="AJ566" s="2">
        <f t="shared" si="107"/>
        <v>1</v>
      </c>
      <c r="AK566" s="3">
        <v>1052.000000003027</v>
      </c>
      <c r="AM566" s="2">
        <v>1</v>
      </c>
      <c r="AN566">
        <v>0</v>
      </c>
      <c r="AO566">
        <v>0</v>
      </c>
      <c r="AP566">
        <v>8</v>
      </c>
      <c r="AQ566" s="2">
        <f>IF((2*G566 + M566 -P566 + 3*W566 + 2*Z566+2*AD566 + AG566+2*AJ566 + 4*AM566) &gt;=8,1,0)</f>
        <v>1</v>
      </c>
    </row>
    <row r="567" spans="1:43" x14ac:dyDescent="0.25">
      <c r="A567" t="s">
        <v>27</v>
      </c>
      <c r="B567" s="1">
        <v>38929</v>
      </c>
      <c r="C567" s="7">
        <f t="shared" si="99"/>
        <v>2006</v>
      </c>
      <c r="D567">
        <v>92.3</v>
      </c>
      <c r="E567">
        <v>74</v>
      </c>
      <c r="F567">
        <v>83.2</v>
      </c>
      <c r="G567" s="2">
        <f t="shared" si="98"/>
        <v>1</v>
      </c>
      <c r="H567">
        <v>91.8</v>
      </c>
      <c r="I567">
        <v>74</v>
      </c>
      <c r="J567">
        <v>83.1</v>
      </c>
      <c r="K567">
        <v>59.5</v>
      </c>
      <c r="L567">
        <v>46</v>
      </c>
      <c r="M567" s="2">
        <f t="shared" si="100"/>
        <v>1</v>
      </c>
      <c r="N567">
        <v>0</v>
      </c>
      <c r="P567" s="2">
        <f t="shared" si="101"/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s="2">
        <f t="shared" si="102"/>
        <v>0</v>
      </c>
      <c r="X567">
        <v>15.9</v>
      </c>
      <c r="Z567" s="2">
        <f t="shared" si="103"/>
        <v>0</v>
      </c>
      <c r="AA567">
        <v>8.1</v>
      </c>
      <c r="AB567" s="2" t="str">
        <f>CHOOSE(MATCH(AA567,{0;11;80;111;161;191;241;281;341},1),"North","NorthEast","East","SouthEast","South","SouthWest","West","NorthWest","North")</f>
        <v>North</v>
      </c>
      <c r="AC567" s="5">
        <f>CHOOSE(MATCH(AB567,{"South";"SouthEast";"SouthWest";"North";"NorthEast";"East";"West";"NorthWest"},0),1,2,3,4,5,6,7,8)</f>
        <v>4</v>
      </c>
      <c r="AD567" s="2">
        <f t="shared" si="104"/>
        <v>1</v>
      </c>
      <c r="AE567">
        <v>1008.1</v>
      </c>
      <c r="AF567" s="4" t="s">
        <v>67</v>
      </c>
      <c r="AG567" s="2">
        <f t="shared" si="105"/>
        <v>1</v>
      </c>
      <c r="AH567" t="s">
        <v>981</v>
      </c>
      <c r="AI567" s="2">
        <f t="shared" si="106"/>
        <v>7</v>
      </c>
      <c r="AJ567" s="2">
        <f t="shared" si="107"/>
        <v>1</v>
      </c>
      <c r="AK567" s="3">
        <v>310.00000000465661</v>
      </c>
      <c r="AM567" s="2">
        <v>0</v>
      </c>
      <c r="AN567">
        <v>0</v>
      </c>
      <c r="AO567">
        <v>1.5</v>
      </c>
      <c r="AP567">
        <v>0</v>
      </c>
      <c r="AQ567" s="2">
        <f>IF((2*G567 + M567 -P567 + 3*W567 + 2*Z567+2*AD567 + AG567+2*AJ567 + 4*AM567) &gt;=8,1,0)</f>
        <v>0</v>
      </c>
    </row>
    <row r="568" spans="1:43" x14ac:dyDescent="0.25">
      <c r="A568" t="s">
        <v>27</v>
      </c>
      <c r="B568" s="1">
        <v>38932</v>
      </c>
      <c r="C568" s="7">
        <f t="shared" si="99"/>
        <v>2006</v>
      </c>
      <c r="D568">
        <v>93.6</v>
      </c>
      <c r="E568">
        <v>71.599999999999994</v>
      </c>
      <c r="F568">
        <v>83.2</v>
      </c>
      <c r="G568" s="2">
        <f t="shared" si="98"/>
        <v>1</v>
      </c>
      <c r="H568">
        <v>93.2</v>
      </c>
      <c r="I568">
        <v>71.599999999999994</v>
      </c>
      <c r="J568">
        <v>83.4</v>
      </c>
      <c r="K568">
        <v>60.2</v>
      </c>
      <c r="L568">
        <v>47.2</v>
      </c>
      <c r="M568" s="2">
        <f t="shared" si="100"/>
        <v>1</v>
      </c>
      <c r="N568">
        <v>0</v>
      </c>
      <c r="P568" s="2">
        <f t="shared" si="101"/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s="2">
        <f t="shared" si="102"/>
        <v>0</v>
      </c>
      <c r="X568">
        <v>10.8</v>
      </c>
      <c r="Z568" s="2">
        <f t="shared" si="103"/>
        <v>0</v>
      </c>
      <c r="AA568">
        <v>145</v>
      </c>
      <c r="AB568" s="2" t="str">
        <f>CHOOSE(MATCH(AA568,{0;11;80;111;161;191;241;281;341},1),"North","NorthEast","East","SouthEast","South","SouthWest","West","NorthWest","North")</f>
        <v>SouthEast</v>
      </c>
      <c r="AC568" s="5">
        <f>CHOOSE(MATCH(AB568,{"South";"SouthEast";"SouthWest";"North";"NorthEast";"East";"West";"NorthWest"},0),1,2,3,4,5,6,7,8)</f>
        <v>2</v>
      </c>
      <c r="AD568" s="2">
        <f t="shared" si="104"/>
        <v>0</v>
      </c>
      <c r="AE568">
        <v>1006.4</v>
      </c>
      <c r="AF568" s="4" t="s">
        <v>982</v>
      </c>
      <c r="AG568" s="2">
        <f t="shared" si="105"/>
        <v>0</v>
      </c>
      <c r="AH568" t="s">
        <v>983</v>
      </c>
      <c r="AI568" s="2">
        <f t="shared" si="106"/>
        <v>8</v>
      </c>
      <c r="AJ568" s="2">
        <f t="shared" si="107"/>
        <v>1</v>
      </c>
      <c r="AK568" s="3">
        <v>209.0000000002328</v>
      </c>
      <c r="AM568" s="2">
        <v>0</v>
      </c>
      <c r="AN568">
        <v>7</v>
      </c>
      <c r="AO568">
        <v>0</v>
      </c>
      <c r="AP568">
        <v>0</v>
      </c>
      <c r="AQ568" s="2">
        <f>IF((2*G568 + M568 -P568 + 3*W568 + 2*Z568+2*AD568 + AG568+2*AJ568 + 4*AM568) &gt;=8,1,0)</f>
        <v>0</v>
      </c>
    </row>
    <row r="569" spans="1:43" x14ac:dyDescent="0.25">
      <c r="A569" t="s">
        <v>27</v>
      </c>
      <c r="B569" s="1">
        <v>38937</v>
      </c>
      <c r="C569" s="7">
        <f t="shared" si="99"/>
        <v>2006</v>
      </c>
      <c r="D569">
        <v>89.7</v>
      </c>
      <c r="E569">
        <v>72.900000000000006</v>
      </c>
      <c r="F569">
        <v>81.5</v>
      </c>
      <c r="G569" s="2">
        <f t="shared" si="98"/>
        <v>1</v>
      </c>
      <c r="H569">
        <v>87.4</v>
      </c>
      <c r="I569">
        <v>72.900000000000006</v>
      </c>
      <c r="J569">
        <v>80.5</v>
      </c>
      <c r="K569">
        <v>53.8</v>
      </c>
      <c r="L569">
        <v>40.299999999999997</v>
      </c>
      <c r="M569" s="2">
        <f t="shared" si="100"/>
        <v>1</v>
      </c>
      <c r="N569">
        <v>0</v>
      </c>
      <c r="P569" s="2">
        <f t="shared" si="101"/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2">
        <f t="shared" si="102"/>
        <v>0</v>
      </c>
      <c r="X569">
        <v>14.8</v>
      </c>
      <c r="Z569" s="2">
        <f t="shared" si="103"/>
        <v>0</v>
      </c>
      <c r="AA569">
        <v>304.5</v>
      </c>
      <c r="AB569" s="2" t="str">
        <f>CHOOSE(MATCH(AA569,{0;11;80;111;161;191;241;281;341},1),"North","NorthEast","East","SouthEast","South","SouthWest","West","NorthWest","North")</f>
        <v>NorthWest</v>
      </c>
      <c r="AC569" s="5">
        <f>CHOOSE(MATCH(AB569,{"South";"SouthEast";"SouthWest";"North";"NorthEast";"East";"West";"NorthWest"},0),1,2,3,4,5,6,7,8)</f>
        <v>8</v>
      </c>
      <c r="AD569" s="2">
        <f t="shared" si="104"/>
        <v>1</v>
      </c>
      <c r="AE569">
        <v>1004.4</v>
      </c>
      <c r="AF569" s="4" t="s">
        <v>44</v>
      </c>
      <c r="AG569" s="2">
        <f t="shared" si="105"/>
        <v>1</v>
      </c>
      <c r="AH569" t="s">
        <v>984</v>
      </c>
      <c r="AI569" s="2">
        <f t="shared" si="106"/>
        <v>8</v>
      </c>
      <c r="AJ569" s="2">
        <f t="shared" si="107"/>
        <v>1</v>
      </c>
      <c r="AK569" s="3">
        <v>64.999999991850927</v>
      </c>
      <c r="AM569" s="2">
        <v>0</v>
      </c>
      <c r="AN569">
        <v>0</v>
      </c>
      <c r="AO569">
        <v>1</v>
      </c>
      <c r="AP569">
        <v>0</v>
      </c>
      <c r="AQ569" s="2">
        <f>IF((2*G569 + M569 -P569 + 3*W569 + 2*Z569+2*AD569 + AG569+2*AJ569 + 4*AM569) &gt;=8,1,0)</f>
        <v>0</v>
      </c>
    </row>
    <row r="570" spans="1:43" x14ac:dyDescent="0.25">
      <c r="A570" t="s">
        <v>27</v>
      </c>
      <c r="B570" s="1">
        <v>38939</v>
      </c>
      <c r="C570" s="7">
        <f t="shared" si="99"/>
        <v>2006</v>
      </c>
      <c r="D570">
        <v>87.4</v>
      </c>
      <c r="E570">
        <v>68</v>
      </c>
      <c r="F570">
        <v>78.3</v>
      </c>
      <c r="G570" s="2">
        <f t="shared" si="98"/>
        <v>1</v>
      </c>
      <c r="H570">
        <v>87.7</v>
      </c>
      <c r="I570">
        <v>68</v>
      </c>
      <c r="J570">
        <v>78.900000000000006</v>
      </c>
      <c r="K570">
        <v>62.6</v>
      </c>
      <c r="L570">
        <v>59.6</v>
      </c>
      <c r="M570" s="2">
        <f t="shared" si="100"/>
        <v>0</v>
      </c>
      <c r="N570">
        <v>0</v>
      </c>
      <c r="P570" s="2">
        <f t="shared" si="101"/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2">
        <f t="shared" si="102"/>
        <v>0</v>
      </c>
      <c r="X570">
        <v>12.5</v>
      </c>
      <c r="Z570" s="2">
        <f t="shared" si="103"/>
        <v>0</v>
      </c>
      <c r="AA570">
        <v>193.6</v>
      </c>
      <c r="AB570" s="2" t="str">
        <f>CHOOSE(MATCH(AA570,{0;11;80;111;161;191;241;281;341},1),"North","NorthEast","East","SouthEast","South","SouthWest","West","NorthWest","North")</f>
        <v>SouthWest</v>
      </c>
      <c r="AC570" s="5">
        <f>CHOOSE(MATCH(AB570,{"South";"SouthEast";"SouthWest";"North";"NorthEast";"East";"West";"NorthWest"},0),1,2,3,4,5,6,7,8)</f>
        <v>3</v>
      </c>
      <c r="AD570" s="2">
        <f t="shared" si="104"/>
        <v>1</v>
      </c>
      <c r="AE570">
        <v>1007.6</v>
      </c>
      <c r="AF570" s="4" t="s">
        <v>985</v>
      </c>
      <c r="AG570" s="2">
        <f t="shared" si="105"/>
        <v>0</v>
      </c>
      <c r="AH570" t="s">
        <v>986</v>
      </c>
      <c r="AI570" s="2">
        <f t="shared" si="106"/>
        <v>8</v>
      </c>
      <c r="AJ570" s="2">
        <f t="shared" si="107"/>
        <v>1</v>
      </c>
      <c r="AK570" s="3">
        <v>124.9999999988358</v>
      </c>
      <c r="AM570" s="2">
        <v>0</v>
      </c>
      <c r="AN570">
        <v>0</v>
      </c>
      <c r="AO570">
        <v>1</v>
      </c>
      <c r="AP570">
        <v>0</v>
      </c>
      <c r="AQ570" s="2">
        <f>IF((2*G570 + M570 -P570 + 3*W570 + 2*Z570+2*AD570 + AG570+2*AJ570 + 4*AM570) &gt;=8,1,0)</f>
        <v>0</v>
      </c>
    </row>
    <row r="571" spans="1:43" x14ac:dyDescent="0.25">
      <c r="A571" t="s">
        <v>27</v>
      </c>
      <c r="B571" s="1">
        <v>38942</v>
      </c>
      <c r="C571" s="7">
        <f t="shared" si="99"/>
        <v>2006</v>
      </c>
      <c r="D571">
        <v>92.5</v>
      </c>
      <c r="E571">
        <v>71.400000000000006</v>
      </c>
      <c r="F571">
        <v>81.7</v>
      </c>
      <c r="G571" s="2">
        <f t="shared" si="98"/>
        <v>1</v>
      </c>
      <c r="H571">
        <v>91.8</v>
      </c>
      <c r="I571">
        <v>71.400000000000006</v>
      </c>
      <c r="J571">
        <v>81.8</v>
      </c>
      <c r="K571">
        <v>61.1</v>
      </c>
      <c r="L571">
        <v>51.4</v>
      </c>
      <c r="M571" s="2">
        <f t="shared" si="100"/>
        <v>0</v>
      </c>
      <c r="N571">
        <v>0</v>
      </c>
      <c r="P571" s="2">
        <f t="shared" si="101"/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s="2">
        <f t="shared" si="102"/>
        <v>0</v>
      </c>
      <c r="X571">
        <v>9.8000000000000007</v>
      </c>
      <c r="Z571" s="2">
        <f t="shared" si="103"/>
        <v>0</v>
      </c>
      <c r="AA571">
        <v>173.4</v>
      </c>
      <c r="AB571" s="2" t="str">
        <f>CHOOSE(MATCH(AA571,{0;11;80;111;161;191;241;281;341},1),"North","NorthEast","East","SouthEast","South","SouthWest","West","NorthWest","North")</f>
        <v>South</v>
      </c>
      <c r="AC571" s="5">
        <f>CHOOSE(MATCH(AB571,{"South";"SouthEast";"SouthWest";"North";"NorthEast";"East";"West";"NorthWest"},0),1,2,3,4,5,6,7,8)</f>
        <v>1</v>
      </c>
      <c r="AD571" s="2">
        <f t="shared" si="104"/>
        <v>0</v>
      </c>
      <c r="AE571">
        <v>1010.1</v>
      </c>
      <c r="AF571" s="4" t="s">
        <v>662</v>
      </c>
      <c r="AG571" s="2">
        <f t="shared" si="105"/>
        <v>1</v>
      </c>
      <c r="AH571" t="s">
        <v>987</v>
      </c>
      <c r="AI571" s="2">
        <f t="shared" si="106"/>
        <v>8</v>
      </c>
      <c r="AJ571" s="2">
        <f t="shared" si="107"/>
        <v>1</v>
      </c>
      <c r="AK571" s="3">
        <v>197.0000000030268</v>
      </c>
      <c r="AM571" s="2">
        <v>0</v>
      </c>
      <c r="AN571">
        <v>6</v>
      </c>
      <c r="AO571">
        <v>0</v>
      </c>
      <c r="AP571">
        <v>0</v>
      </c>
      <c r="AQ571" s="2">
        <f>IF((2*G571 + M571 -P571 + 3*W571 + 2*Z571+2*AD571 + AG571+2*AJ571 + 4*AM571) &gt;=8,1,0)</f>
        <v>0</v>
      </c>
    </row>
    <row r="572" spans="1:43" x14ac:dyDescent="0.25">
      <c r="A572" t="s">
        <v>27</v>
      </c>
      <c r="B572" s="1">
        <v>38944</v>
      </c>
      <c r="C572" s="7">
        <f t="shared" si="99"/>
        <v>2006</v>
      </c>
      <c r="D572">
        <v>93.3</v>
      </c>
      <c r="E572">
        <v>73.599999999999994</v>
      </c>
      <c r="F572">
        <v>83.1</v>
      </c>
      <c r="G572" s="2">
        <f t="shared" si="98"/>
        <v>1</v>
      </c>
      <c r="H572">
        <v>92.8</v>
      </c>
      <c r="I572">
        <v>73.599999999999994</v>
      </c>
      <c r="J572">
        <v>83.2</v>
      </c>
      <c r="K572">
        <v>61.1</v>
      </c>
      <c r="L572">
        <v>49.3</v>
      </c>
      <c r="M572" s="2">
        <f t="shared" si="100"/>
        <v>1</v>
      </c>
      <c r="N572">
        <v>0</v>
      </c>
      <c r="P572" s="2">
        <f t="shared" si="101"/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s="2">
        <f t="shared" si="102"/>
        <v>0</v>
      </c>
      <c r="X572">
        <v>14.3</v>
      </c>
      <c r="Z572" s="2">
        <f t="shared" si="103"/>
        <v>0</v>
      </c>
      <c r="AA572">
        <v>106.5</v>
      </c>
      <c r="AB572" s="2" t="str">
        <f>CHOOSE(MATCH(AA572,{0;11;80;111;161;191;241;281;341},1),"North","NorthEast","East","SouthEast","South","SouthWest","West","NorthWest","North")</f>
        <v>East</v>
      </c>
      <c r="AC572" s="5">
        <f>CHOOSE(MATCH(AB572,{"South";"SouthEast";"SouthWest";"North";"NorthEast";"East";"West";"NorthWest"},0),1,2,3,4,5,6,7,8)</f>
        <v>6</v>
      </c>
      <c r="AD572" s="2">
        <f t="shared" si="104"/>
        <v>0</v>
      </c>
      <c r="AE572">
        <v>1010</v>
      </c>
      <c r="AF572" s="4" t="s">
        <v>315</v>
      </c>
      <c r="AG572" s="2">
        <f t="shared" si="105"/>
        <v>1</v>
      </c>
      <c r="AH572" t="s">
        <v>988</v>
      </c>
      <c r="AI572" s="2">
        <f t="shared" si="106"/>
        <v>8</v>
      </c>
      <c r="AJ572" s="2">
        <f t="shared" si="107"/>
        <v>1</v>
      </c>
      <c r="AK572" s="3">
        <v>1384.9999999988361</v>
      </c>
      <c r="AM572" s="2">
        <v>1</v>
      </c>
      <c r="AN572">
        <v>0</v>
      </c>
      <c r="AO572">
        <v>5</v>
      </c>
      <c r="AP572">
        <v>0</v>
      </c>
      <c r="AQ572" s="2">
        <f>IF((2*G572 + M572 -P572 + 3*W572 + 2*Z572+2*AD572 + AG572+2*AJ572 + 4*AM572) &gt;=8,1,0)</f>
        <v>1</v>
      </c>
    </row>
    <row r="573" spans="1:43" x14ac:dyDescent="0.25">
      <c r="A573" t="s">
        <v>27</v>
      </c>
      <c r="B573" s="1">
        <v>38945</v>
      </c>
      <c r="C573" s="7">
        <f t="shared" si="99"/>
        <v>2006</v>
      </c>
      <c r="D573">
        <v>95</v>
      </c>
      <c r="E573">
        <v>76.3</v>
      </c>
      <c r="F573">
        <v>85.9</v>
      </c>
      <c r="G573" s="2">
        <f t="shared" si="98"/>
        <v>1</v>
      </c>
      <c r="H573">
        <v>91.9</v>
      </c>
      <c r="I573">
        <v>76.3</v>
      </c>
      <c r="J573">
        <v>84.2</v>
      </c>
      <c r="K573">
        <v>52.5</v>
      </c>
      <c r="L573">
        <v>33.700000000000003</v>
      </c>
      <c r="M573" s="2">
        <f t="shared" si="100"/>
        <v>1</v>
      </c>
      <c r="N573">
        <v>0</v>
      </c>
      <c r="P573" s="2">
        <f t="shared" si="101"/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2">
        <f t="shared" si="102"/>
        <v>0</v>
      </c>
      <c r="X573">
        <v>18.399999999999999</v>
      </c>
      <c r="Z573" s="2">
        <f t="shared" si="103"/>
        <v>1</v>
      </c>
      <c r="AA573">
        <v>0.1</v>
      </c>
      <c r="AB573" s="2" t="str">
        <f>CHOOSE(MATCH(AA573,{0;11;80;111;161;191;241;281;341},1),"North","NorthEast","East","SouthEast","South","SouthWest","West","NorthWest","North")</f>
        <v>North</v>
      </c>
      <c r="AC573" s="5">
        <f>CHOOSE(MATCH(AB573,{"South";"SouthEast";"SouthWest";"North";"NorthEast";"East";"West";"NorthWest"},0),1,2,3,4,5,6,7,8)</f>
        <v>4</v>
      </c>
      <c r="AD573" s="2">
        <f t="shared" si="104"/>
        <v>1</v>
      </c>
      <c r="AE573">
        <v>1010</v>
      </c>
      <c r="AF573" s="4" t="s">
        <v>989</v>
      </c>
      <c r="AG573" s="2">
        <f t="shared" si="105"/>
        <v>1</v>
      </c>
      <c r="AH573" t="s">
        <v>990</v>
      </c>
      <c r="AI573" s="2">
        <f t="shared" si="106"/>
        <v>8</v>
      </c>
      <c r="AJ573" s="2">
        <f t="shared" si="107"/>
        <v>1</v>
      </c>
      <c r="AK573" s="3">
        <v>2432.999999999302</v>
      </c>
      <c r="AM573" s="2">
        <v>1</v>
      </c>
      <c r="AN573">
        <v>0</v>
      </c>
      <c r="AO573">
        <v>200</v>
      </c>
      <c r="AP573">
        <v>0</v>
      </c>
      <c r="AQ573" s="2">
        <f>IF((2*G573 + M573 -P573 + 3*W573 + 2*Z573+2*AD573 + AG573+2*AJ573 + 4*AM573) &gt;=8,1,0)</f>
        <v>1</v>
      </c>
    </row>
    <row r="574" spans="1:43" x14ac:dyDescent="0.25">
      <c r="A574" t="s">
        <v>27</v>
      </c>
      <c r="B574" s="1">
        <v>38948</v>
      </c>
      <c r="C574" s="7">
        <f t="shared" si="99"/>
        <v>2006</v>
      </c>
      <c r="D574">
        <v>99.1</v>
      </c>
      <c r="E574">
        <v>80.599999999999994</v>
      </c>
      <c r="F574">
        <v>90.9</v>
      </c>
      <c r="G574" s="2">
        <f t="shared" si="98"/>
        <v>1</v>
      </c>
      <c r="H574">
        <v>97</v>
      </c>
      <c r="I574">
        <v>81.400000000000006</v>
      </c>
      <c r="J574">
        <v>89</v>
      </c>
      <c r="K574">
        <v>54.1</v>
      </c>
      <c r="L574">
        <v>29.6</v>
      </c>
      <c r="M574" s="2">
        <f t="shared" si="100"/>
        <v>1</v>
      </c>
      <c r="N574">
        <v>0</v>
      </c>
      <c r="P574" s="2">
        <f t="shared" si="101"/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s="2">
        <f t="shared" si="102"/>
        <v>0</v>
      </c>
      <c r="X574">
        <v>18.3</v>
      </c>
      <c r="Z574" s="2">
        <f t="shared" si="103"/>
        <v>1</v>
      </c>
      <c r="AA574">
        <v>4.8</v>
      </c>
      <c r="AB574" s="2" t="str">
        <f>CHOOSE(MATCH(AA574,{0;11;80;111;161;191;241;281;341},1),"North","NorthEast","East","SouthEast","South","SouthWest","West","NorthWest","North")</f>
        <v>North</v>
      </c>
      <c r="AC574" s="5">
        <f>CHOOSE(MATCH(AB574,{"South";"SouthEast";"SouthWest";"North";"NorthEast";"East";"West";"NorthWest"},0),1,2,3,4,5,6,7,8)</f>
        <v>4</v>
      </c>
      <c r="AD574" s="2">
        <f t="shared" si="104"/>
        <v>1</v>
      </c>
      <c r="AE574">
        <v>1014.2</v>
      </c>
      <c r="AF574" s="4" t="s">
        <v>991</v>
      </c>
      <c r="AG574" s="2">
        <f t="shared" si="105"/>
        <v>0</v>
      </c>
      <c r="AH574" t="s">
        <v>992</v>
      </c>
      <c r="AI574" s="2">
        <f t="shared" si="106"/>
        <v>8</v>
      </c>
      <c r="AJ574" s="2">
        <f t="shared" si="107"/>
        <v>1</v>
      </c>
      <c r="AK574" s="3">
        <v>418.99999999324791</v>
      </c>
      <c r="AM574" s="2">
        <v>1</v>
      </c>
      <c r="AN574">
        <v>0</v>
      </c>
      <c r="AO574">
        <v>1</v>
      </c>
      <c r="AP574">
        <v>0</v>
      </c>
      <c r="AQ574" s="2">
        <f>IF((2*G574 + M574 -P574 + 3*W574 + 2*Z574+2*AD574 + AG574+2*AJ574 + 4*AM574) &gt;=8,1,0)</f>
        <v>1</v>
      </c>
    </row>
    <row r="575" spans="1:43" x14ac:dyDescent="0.25">
      <c r="A575" t="s">
        <v>27</v>
      </c>
      <c r="B575" s="1">
        <v>38954</v>
      </c>
      <c r="C575" s="7">
        <f t="shared" si="99"/>
        <v>2006</v>
      </c>
      <c r="D575">
        <v>93.2</v>
      </c>
      <c r="E575">
        <v>71.2</v>
      </c>
      <c r="F575">
        <v>82.1</v>
      </c>
      <c r="G575" s="2">
        <f t="shared" si="98"/>
        <v>1</v>
      </c>
      <c r="H575">
        <v>91.8</v>
      </c>
      <c r="I575">
        <v>71.2</v>
      </c>
      <c r="J575">
        <v>81.400000000000006</v>
      </c>
      <c r="K575">
        <v>55.1</v>
      </c>
      <c r="L575">
        <v>41.3</v>
      </c>
      <c r="M575" s="2">
        <f t="shared" si="100"/>
        <v>1</v>
      </c>
      <c r="N575">
        <v>0</v>
      </c>
      <c r="P575" s="2">
        <f t="shared" si="101"/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s="2">
        <f t="shared" si="102"/>
        <v>0</v>
      </c>
      <c r="X575">
        <v>12.9</v>
      </c>
      <c r="Z575" s="2">
        <f t="shared" si="103"/>
        <v>0</v>
      </c>
      <c r="AA575">
        <v>120.1</v>
      </c>
      <c r="AB575" s="2" t="str">
        <f>CHOOSE(MATCH(AA575,{0;11;80;111;161;191;241;281;341},1),"North","NorthEast","East","SouthEast","South","SouthWest","West","NorthWest","North")</f>
        <v>SouthEast</v>
      </c>
      <c r="AC575" s="5">
        <f>CHOOSE(MATCH(AB575,{"South";"SouthEast";"SouthWest";"North";"NorthEast";"East";"West";"NorthWest"},0),1,2,3,4,5,6,7,8)</f>
        <v>2</v>
      </c>
      <c r="AD575" s="2">
        <f t="shared" si="104"/>
        <v>0</v>
      </c>
      <c r="AE575">
        <v>1009.3</v>
      </c>
      <c r="AF575" s="4" t="s">
        <v>993</v>
      </c>
      <c r="AG575" s="2">
        <f t="shared" si="105"/>
        <v>1</v>
      </c>
      <c r="AH575" t="s">
        <v>994</v>
      </c>
      <c r="AI575" s="2">
        <f t="shared" si="106"/>
        <v>8</v>
      </c>
      <c r="AJ575" s="2">
        <f t="shared" si="107"/>
        <v>1</v>
      </c>
      <c r="AK575" s="3">
        <v>1175.999999998603</v>
      </c>
      <c r="AM575" s="2">
        <v>1</v>
      </c>
      <c r="AN575">
        <v>0</v>
      </c>
      <c r="AO575">
        <v>15</v>
      </c>
      <c r="AP575">
        <v>0</v>
      </c>
      <c r="AQ575" s="2">
        <f>IF((2*G575 + M575 -P575 + 3*W575 + 2*Z575+2*AD575 + AG575+2*AJ575 + 4*AM575) &gt;=8,1,0)</f>
        <v>1</v>
      </c>
    </row>
    <row r="576" spans="1:43" x14ac:dyDescent="0.25">
      <c r="A576" t="s">
        <v>27</v>
      </c>
      <c r="B576" s="1">
        <v>38956</v>
      </c>
      <c r="C576" s="7">
        <f t="shared" si="99"/>
        <v>2006</v>
      </c>
      <c r="D576">
        <v>91.5</v>
      </c>
      <c r="E576">
        <v>76.2</v>
      </c>
      <c r="F576">
        <v>83.3</v>
      </c>
      <c r="G576" s="2">
        <f t="shared" si="98"/>
        <v>1</v>
      </c>
      <c r="H576">
        <v>91.9</v>
      </c>
      <c r="I576">
        <v>76.2</v>
      </c>
      <c r="J576">
        <v>84.1</v>
      </c>
      <c r="K576">
        <v>64.099999999999994</v>
      </c>
      <c r="L576">
        <v>53.9</v>
      </c>
      <c r="M576" s="2">
        <f t="shared" si="100"/>
        <v>0</v>
      </c>
      <c r="N576">
        <v>0</v>
      </c>
      <c r="P576" s="2">
        <f t="shared" si="101"/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s="2">
        <f t="shared" si="102"/>
        <v>0</v>
      </c>
      <c r="X576">
        <v>13.3</v>
      </c>
      <c r="Z576" s="2">
        <f t="shared" si="103"/>
        <v>0</v>
      </c>
      <c r="AA576">
        <v>186.2</v>
      </c>
      <c r="AB576" s="2" t="str">
        <f>CHOOSE(MATCH(AA576,{0;11;80;111;161;191;241;281;341},1),"North","NorthEast","East","SouthEast","South","SouthWest","West","NorthWest","North")</f>
        <v>South</v>
      </c>
      <c r="AC576" s="5">
        <f>CHOOSE(MATCH(AB576,{"South";"SouthEast";"SouthWest";"North";"NorthEast";"East";"West";"NorthWest"},0),1,2,3,4,5,6,7,8)</f>
        <v>1</v>
      </c>
      <c r="AD576" s="2">
        <f t="shared" si="104"/>
        <v>0</v>
      </c>
      <c r="AE576">
        <v>1008.1</v>
      </c>
      <c r="AF576" s="4" t="s">
        <v>995</v>
      </c>
      <c r="AG576" s="2">
        <f t="shared" si="105"/>
        <v>1</v>
      </c>
      <c r="AH576" t="s">
        <v>996</v>
      </c>
      <c r="AI576" s="2">
        <f t="shared" si="106"/>
        <v>8</v>
      </c>
      <c r="AJ576" s="2">
        <f t="shared" si="107"/>
        <v>1</v>
      </c>
      <c r="AK576" s="3">
        <v>177.00000000069849</v>
      </c>
      <c r="AM576" s="2">
        <v>0</v>
      </c>
      <c r="AN576">
        <v>0</v>
      </c>
      <c r="AO576">
        <v>5</v>
      </c>
      <c r="AP576">
        <v>0</v>
      </c>
      <c r="AQ576" s="2">
        <f>IF((2*G576 + M576 -P576 + 3*W576 + 2*Z576+2*AD576 + AG576+2*AJ576 + 4*AM576) &gt;=8,1,0)</f>
        <v>0</v>
      </c>
    </row>
    <row r="577" spans="1:43" x14ac:dyDescent="0.25">
      <c r="A577" t="s">
        <v>27</v>
      </c>
      <c r="B577" s="1">
        <v>38958</v>
      </c>
      <c r="C577" s="7">
        <f t="shared" si="99"/>
        <v>2006</v>
      </c>
      <c r="D577">
        <v>88.8</v>
      </c>
      <c r="E577">
        <v>69.900000000000006</v>
      </c>
      <c r="F577">
        <v>79.900000000000006</v>
      </c>
      <c r="G577" s="2">
        <f t="shared" si="98"/>
        <v>1</v>
      </c>
      <c r="H577">
        <v>86.3</v>
      </c>
      <c r="I577">
        <v>69.900000000000006</v>
      </c>
      <c r="J577">
        <v>79.099999999999994</v>
      </c>
      <c r="K577">
        <v>55.1</v>
      </c>
      <c r="L577">
        <v>44.3</v>
      </c>
      <c r="M577" s="2">
        <f t="shared" si="100"/>
        <v>1</v>
      </c>
      <c r="N577">
        <v>0</v>
      </c>
      <c r="P577" s="2">
        <f t="shared" si="101"/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s="2">
        <f t="shared" si="102"/>
        <v>0</v>
      </c>
      <c r="X577">
        <v>16.100000000000001</v>
      </c>
      <c r="Z577" s="2">
        <f t="shared" si="103"/>
        <v>1</v>
      </c>
      <c r="AA577">
        <v>236.7</v>
      </c>
      <c r="AB577" s="2" t="str">
        <f>CHOOSE(MATCH(AA577,{0;11;80;111;161;191;241;281;341},1),"North","NorthEast","East","SouthEast","South","SouthWest","West","NorthWest","North")</f>
        <v>SouthWest</v>
      </c>
      <c r="AC577" s="5">
        <f>CHOOSE(MATCH(AB577,{"South";"SouthEast";"SouthWest";"North";"NorthEast";"East";"West";"NorthWest"},0),1,2,3,4,5,6,7,8)</f>
        <v>3</v>
      </c>
      <c r="AD577" s="2">
        <f t="shared" si="104"/>
        <v>1</v>
      </c>
      <c r="AE577">
        <v>1008.6</v>
      </c>
      <c r="AF577" s="4" t="s">
        <v>123</v>
      </c>
      <c r="AG577" s="2">
        <f t="shared" si="105"/>
        <v>1</v>
      </c>
      <c r="AH577" t="s">
        <v>997</v>
      </c>
      <c r="AI577" s="2">
        <f t="shared" si="106"/>
        <v>8</v>
      </c>
      <c r="AJ577" s="2">
        <f t="shared" si="107"/>
        <v>1</v>
      </c>
      <c r="AK577" s="3">
        <v>450</v>
      </c>
      <c r="AM577" s="2">
        <v>1</v>
      </c>
      <c r="AN577">
        <v>0</v>
      </c>
      <c r="AO577">
        <v>2</v>
      </c>
      <c r="AP577">
        <v>0</v>
      </c>
      <c r="AQ577" s="2">
        <f>IF((2*G577 + M577 -P577 + 3*W577 + 2*Z577+2*AD577 + AG577+2*AJ577 + 4*AM577) &gt;=8,1,0)</f>
        <v>1</v>
      </c>
    </row>
    <row r="578" spans="1:43" x14ac:dyDescent="0.25">
      <c r="A578" t="s">
        <v>27</v>
      </c>
      <c r="B578" s="1">
        <v>38959</v>
      </c>
      <c r="C578" s="7">
        <f t="shared" si="99"/>
        <v>2006</v>
      </c>
      <c r="D578">
        <v>88.8</v>
      </c>
      <c r="E578">
        <v>72.5</v>
      </c>
      <c r="F578">
        <v>81.599999999999994</v>
      </c>
      <c r="G578" s="2">
        <f t="shared" ref="G578:G641" si="108">IF(F578&lt;=73.6,0,1)</f>
        <v>1</v>
      </c>
      <c r="H578">
        <v>88</v>
      </c>
      <c r="I578">
        <v>72.5</v>
      </c>
      <c r="J578">
        <v>81.599999999999994</v>
      </c>
      <c r="K578">
        <v>60.7</v>
      </c>
      <c r="L578">
        <v>50.2</v>
      </c>
      <c r="M578" s="2">
        <f t="shared" si="100"/>
        <v>0</v>
      </c>
      <c r="N578">
        <v>0</v>
      </c>
      <c r="P578" s="2">
        <f t="shared" si="101"/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s="2">
        <f t="shared" si="102"/>
        <v>0</v>
      </c>
      <c r="X578">
        <v>16.2</v>
      </c>
      <c r="Z578" s="2">
        <f t="shared" si="103"/>
        <v>1</v>
      </c>
      <c r="AA578">
        <v>240.3</v>
      </c>
      <c r="AB578" s="2" t="str">
        <f>CHOOSE(MATCH(AA578,{0;11;80;111;161;191;241;281;341},1),"North","NorthEast","East","SouthEast","South","SouthWest","West","NorthWest","North")</f>
        <v>SouthWest</v>
      </c>
      <c r="AC578" s="5">
        <f>CHOOSE(MATCH(AB578,{"South";"SouthEast";"SouthWest";"North";"NorthEast";"East";"West";"NorthWest"},0),1,2,3,4,5,6,7,8)</f>
        <v>3</v>
      </c>
      <c r="AD578" s="2">
        <f t="shared" si="104"/>
        <v>1</v>
      </c>
      <c r="AE578">
        <v>1008.7</v>
      </c>
      <c r="AF578" s="4" t="s">
        <v>998</v>
      </c>
      <c r="AG578" s="2">
        <f t="shared" si="105"/>
        <v>1</v>
      </c>
      <c r="AH578" t="s">
        <v>999</v>
      </c>
      <c r="AI578" s="2">
        <f t="shared" si="106"/>
        <v>8</v>
      </c>
      <c r="AJ578" s="2">
        <f t="shared" si="107"/>
        <v>1</v>
      </c>
      <c r="AK578" s="3">
        <v>14919.99999999767</v>
      </c>
      <c r="AM578" s="2">
        <v>1</v>
      </c>
      <c r="AN578">
        <v>0</v>
      </c>
      <c r="AO578">
        <v>50</v>
      </c>
      <c r="AP578">
        <v>0</v>
      </c>
      <c r="AQ578" s="2">
        <f>IF((2*G578 + M578 -P578 + 3*W578 + 2*Z578+2*AD578 + AG578+2*AJ578 + 4*AM578) &gt;=8,1,0)</f>
        <v>1</v>
      </c>
    </row>
    <row r="579" spans="1:43" x14ac:dyDescent="0.25">
      <c r="A579" t="s">
        <v>27</v>
      </c>
      <c r="B579" s="1">
        <v>38960</v>
      </c>
      <c r="C579" s="7">
        <f t="shared" ref="C579:C638" si="109">YEAR(B579)</f>
        <v>2006</v>
      </c>
      <c r="D579">
        <v>85.1</v>
      </c>
      <c r="E579">
        <v>72.400000000000006</v>
      </c>
      <c r="F579">
        <v>78.900000000000006</v>
      </c>
      <c r="G579" s="2">
        <f t="shared" si="108"/>
        <v>1</v>
      </c>
      <c r="H579">
        <v>84.8</v>
      </c>
      <c r="I579">
        <v>72.400000000000006</v>
      </c>
      <c r="J579">
        <v>78.8</v>
      </c>
      <c r="K579">
        <v>56.8</v>
      </c>
      <c r="L579">
        <v>47.5</v>
      </c>
      <c r="M579" s="2">
        <f t="shared" ref="M579:M638" si="110">IF(L579&lt;=49.3,1,0)</f>
        <v>1</v>
      </c>
      <c r="N579">
        <v>0</v>
      </c>
      <c r="P579" s="2">
        <f t="shared" ref="P579:P638" si="111">IF(N579&lt;=0.01,1,0)</f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s="2">
        <f t="shared" ref="W579:W638" si="112">IF(V579&lt;=10,0,1)</f>
        <v>0</v>
      </c>
      <c r="X579">
        <v>17.8</v>
      </c>
      <c r="Z579" s="2">
        <f t="shared" ref="Z579:Z638" si="113">IF(X579&gt;=16,1,0)</f>
        <v>1</v>
      </c>
      <c r="AA579">
        <v>355.5</v>
      </c>
      <c r="AB579" s="2" t="str">
        <f>CHOOSE(MATCH(AA579,{0;11;80;111;161;191;241;281;341},1),"North","NorthEast","East","SouthEast","South","SouthWest","West","NorthWest","North")</f>
        <v>North</v>
      </c>
      <c r="AC579" s="5">
        <f>CHOOSE(MATCH(AB579,{"South";"SouthEast";"SouthWest";"North";"NorthEast";"East";"West";"NorthWest"},0),1,2,3,4,5,6,7,8)</f>
        <v>4</v>
      </c>
      <c r="AD579" s="2">
        <f t="shared" ref="AD579:AD638" si="114">IF(OR(AC579=3,AC579=4,AC579=5,AC579=8),1,0)</f>
        <v>1</v>
      </c>
      <c r="AE579">
        <v>1010.7</v>
      </c>
      <c r="AF579" s="4" t="s">
        <v>1000</v>
      </c>
      <c r="AG579" s="2">
        <f t="shared" ref="AG579:AG638" si="115">IF(TIMEVALUE(AF579)&lt;=TIME(12,30,0),0,1)</f>
        <v>1</v>
      </c>
      <c r="AH579" t="s">
        <v>1001</v>
      </c>
      <c r="AI579" s="2">
        <f t="shared" ref="AI579:AI638" si="116">MONTH(AH579)</f>
        <v>8</v>
      </c>
      <c r="AJ579" s="2">
        <f t="shared" ref="AJ579:AJ638" si="117">IF(OR(AI579=6,AI579=7,AI579=8),1,0)</f>
        <v>1</v>
      </c>
      <c r="AK579" s="3">
        <v>232.9999999946449</v>
      </c>
      <c r="AM579" s="2">
        <v>0</v>
      </c>
      <c r="AN579">
        <v>2</v>
      </c>
      <c r="AO579">
        <v>0</v>
      </c>
      <c r="AP579">
        <v>0</v>
      </c>
      <c r="AQ579" s="2">
        <f>IF((2*G579 + M579 -P579 + 3*W579 + 2*Z579+2*AD579 + AG579+2*AJ579 + 4*AM579) &gt;=8,1,0)</f>
        <v>1</v>
      </c>
    </row>
    <row r="580" spans="1:43" x14ac:dyDescent="0.25">
      <c r="A580" t="s">
        <v>27</v>
      </c>
      <c r="B580" s="1">
        <v>38961</v>
      </c>
      <c r="C580" s="7">
        <f t="shared" si="109"/>
        <v>2006</v>
      </c>
      <c r="D580">
        <v>77.900000000000006</v>
      </c>
      <c r="E580">
        <v>66.599999999999994</v>
      </c>
      <c r="F580">
        <v>72.8</v>
      </c>
      <c r="G580" s="2">
        <f t="shared" si="108"/>
        <v>0</v>
      </c>
      <c r="H580">
        <v>77.900000000000006</v>
      </c>
      <c r="I580">
        <v>66.599999999999994</v>
      </c>
      <c r="J580">
        <v>72.8</v>
      </c>
      <c r="K580">
        <v>48.4</v>
      </c>
      <c r="L580">
        <v>42.7</v>
      </c>
      <c r="M580" s="2">
        <f t="shared" si="110"/>
        <v>1</v>
      </c>
      <c r="N580">
        <v>0</v>
      </c>
      <c r="P580" s="2">
        <f t="shared" si="111"/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s="2">
        <f t="shared" si="112"/>
        <v>0</v>
      </c>
      <c r="X580">
        <v>18.600000000000001</v>
      </c>
      <c r="Z580" s="2">
        <f t="shared" si="113"/>
        <v>1</v>
      </c>
      <c r="AA580">
        <v>1.8</v>
      </c>
      <c r="AB580" s="2" t="str">
        <f>CHOOSE(MATCH(AA580,{0;11;80;111;161;191;241;281;341},1),"North","NorthEast","East","SouthEast","South","SouthWest","West","NorthWest","North")</f>
        <v>North</v>
      </c>
      <c r="AC580" s="5">
        <f>CHOOSE(MATCH(AB580,{"South";"SouthEast";"SouthWest";"North";"NorthEast";"East";"West";"NorthWest"},0),1,2,3,4,5,6,7,8)</f>
        <v>4</v>
      </c>
      <c r="AD580" s="2">
        <f t="shared" si="114"/>
        <v>1</v>
      </c>
      <c r="AE580">
        <v>1014.2</v>
      </c>
      <c r="AF580" s="4" t="s">
        <v>1002</v>
      </c>
      <c r="AG580" s="2">
        <f t="shared" si="115"/>
        <v>0</v>
      </c>
      <c r="AH580" t="s">
        <v>1003</v>
      </c>
      <c r="AI580" s="2">
        <f t="shared" si="116"/>
        <v>9</v>
      </c>
      <c r="AJ580" s="2">
        <f t="shared" si="117"/>
        <v>0</v>
      </c>
      <c r="AK580" s="3">
        <v>97.000000001862645</v>
      </c>
      <c r="AM580" s="2">
        <v>0</v>
      </c>
      <c r="AN580">
        <v>1</v>
      </c>
      <c r="AO580">
        <v>0</v>
      </c>
      <c r="AP580">
        <v>0</v>
      </c>
      <c r="AQ580" s="2">
        <f>IF((2*G580 + M580 -P580 + 3*W580 + 2*Z580+2*AD580 + AG580+2*AJ580 + 4*AM580) &gt;=8,1,0)</f>
        <v>0</v>
      </c>
    </row>
    <row r="581" spans="1:43" x14ac:dyDescent="0.25">
      <c r="A581" t="s">
        <v>27</v>
      </c>
      <c r="B581" s="1">
        <v>38964</v>
      </c>
      <c r="C581" s="7">
        <f t="shared" si="109"/>
        <v>2006</v>
      </c>
      <c r="D581">
        <v>89.6</v>
      </c>
      <c r="E581">
        <v>61.8</v>
      </c>
      <c r="F581">
        <v>76.099999999999994</v>
      </c>
      <c r="G581" s="2">
        <f t="shared" si="108"/>
        <v>1</v>
      </c>
      <c r="H581">
        <v>86.5</v>
      </c>
      <c r="I581">
        <v>61.8</v>
      </c>
      <c r="J581">
        <v>75.3</v>
      </c>
      <c r="K581">
        <v>50.9</v>
      </c>
      <c r="L581">
        <v>43.5</v>
      </c>
      <c r="M581" s="2">
        <f t="shared" si="110"/>
        <v>1</v>
      </c>
      <c r="N581">
        <v>0</v>
      </c>
      <c r="P581" s="2">
        <f t="shared" si="111"/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s="2">
        <f t="shared" si="112"/>
        <v>0</v>
      </c>
      <c r="X581">
        <v>13.2</v>
      </c>
      <c r="Z581" s="2">
        <f t="shared" si="113"/>
        <v>0</v>
      </c>
      <c r="AA581">
        <v>0.6</v>
      </c>
      <c r="AB581" s="2" t="str">
        <f>CHOOSE(MATCH(AA581,{0;11;80;111;161;191;241;281;341},1),"North","NorthEast","East","SouthEast","South","SouthWest","West","NorthWest","North")</f>
        <v>North</v>
      </c>
      <c r="AC581" s="5">
        <f>CHOOSE(MATCH(AB581,{"South";"SouthEast";"SouthWest";"North";"NorthEast";"East";"West";"NorthWest"},0),1,2,3,4,5,6,7,8)</f>
        <v>4</v>
      </c>
      <c r="AD581" s="2">
        <f t="shared" si="114"/>
        <v>1</v>
      </c>
      <c r="AE581">
        <v>1019.6</v>
      </c>
      <c r="AF581" s="4" t="s">
        <v>1004</v>
      </c>
      <c r="AG581" s="2">
        <f t="shared" si="115"/>
        <v>0</v>
      </c>
      <c r="AH581" t="s">
        <v>1005</v>
      </c>
      <c r="AI581" s="2">
        <f t="shared" si="116"/>
        <v>9</v>
      </c>
      <c r="AJ581" s="2">
        <f t="shared" si="117"/>
        <v>0</v>
      </c>
      <c r="AK581" s="3">
        <v>2679.9999999976721</v>
      </c>
      <c r="AM581" s="2">
        <v>1</v>
      </c>
      <c r="AN581">
        <v>8</v>
      </c>
      <c r="AO581">
        <v>0</v>
      </c>
      <c r="AP581">
        <v>0</v>
      </c>
      <c r="AQ581" s="2">
        <f>IF((2*G581 + M581 -P581 + 3*W581 + 2*Z581+2*AD581 + AG581+2*AJ581 + 4*AM581) &gt;=8,1,0)</f>
        <v>1</v>
      </c>
    </row>
    <row r="582" spans="1:43" x14ac:dyDescent="0.25">
      <c r="A582" t="s">
        <v>27</v>
      </c>
      <c r="B582" s="1">
        <v>38969</v>
      </c>
      <c r="C582" s="7">
        <f t="shared" si="109"/>
        <v>2006</v>
      </c>
      <c r="D582">
        <v>89</v>
      </c>
      <c r="E582">
        <v>68</v>
      </c>
      <c r="F582">
        <v>78.2</v>
      </c>
      <c r="G582" s="2">
        <f t="shared" si="108"/>
        <v>1</v>
      </c>
      <c r="H582">
        <v>86.5</v>
      </c>
      <c r="I582">
        <v>68</v>
      </c>
      <c r="J582">
        <v>77.599999999999994</v>
      </c>
      <c r="K582">
        <v>52.3</v>
      </c>
      <c r="L582">
        <v>41.2</v>
      </c>
      <c r="M582" s="2">
        <f t="shared" si="110"/>
        <v>1</v>
      </c>
      <c r="N582">
        <v>0</v>
      </c>
      <c r="P582" s="2">
        <f t="shared" si="111"/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s="2">
        <f t="shared" si="112"/>
        <v>0</v>
      </c>
      <c r="X582">
        <v>21.2</v>
      </c>
      <c r="Z582" s="2">
        <f t="shared" si="113"/>
        <v>1</v>
      </c>
      <c r="AA582">
        <v>4.2</v>
      </c>
      <c r="AB582" s="2" t="str">
        <f>CHOOSE(MATCH(AA582,{0;11;80;111;161;191;241;281;341},1),"North","NorthEast","East","SouthEast","South","SouthWest","West","NorthWest","North")</f>
        <v>North</v>
      </c>
      <c r="AC582" s="5">
        <f>CHOOSE(MATCH(AB582,{"South";"SouthEast";"SouthWest";"North";"NorthEast";"East";"West";"NorthWest"},0),1,2,3,4,5,6,7,8)</f>
        <v>4</v>
      </c>
      <c r="AD582" s="2">
        <f t="shared" si="114"/>
        <v>1</v>
      </c>
      <c r="AE582">
        <v>1015.5</v>
      </c>
      <c r="AF582" s="4" t="s">
        <v>315</v>
      </c>
      <c r="AG582" s="2">
        <f t="shared" si="115"/>
        <v>1</v>
      </c>
      <c r="AH582" t="s">
        <v>1006</v>
      </c>
      <c r="AI582" s="2">
        <f t="shared" si="116"/>
        <v>9</v>
      </c>
      <c r="AJ582" s="2">
        <f t="shared" si="117"/>
        <v>0</v>
      </c>
      <c r="AK582" s="3">
        <v>865.00000000116415</v>
      </c>
      <c r="AM582" s="2">
        <v>1</v>
      </c>
      <c r="AN582">
        <v>0</v>
      </c>
      <c r="AO582">
        <v>6</v>
      </c>
      <c r="AP582">
        <v>0</v>
      </c>
      <c r="AQ582" s="2">
        <f>IF((2*G582 + M582 -P582 + 3*W582 + 2*Z582+2*AD582 + AG582+2*AJ582 + 4*AM582) &gt;=8,1,0)</f>
        <v>1</v>
      </c>
    </row>
    <row r="583" spans="1:43" x14ac:dyDescent="0.25">
      <c r="A583" t="s">
        <v>27</v>
      </c>
      <c r="B583" s="1">
        <v>38971</v>
      </c>
      <c r="C583" s="7">
        <f t="shared" si="109"/>
        <v>2006</v>
      </c>
      <c r="D583">
        <v>80.099999999999994</v>
      </c>
      <c r="E583">
        <v>68</v>
      </c>
      <c r="F583">
        <v>73</v>
      </c>
      <c r="G583" s="2">
        <f t="shared" si="108"/>
        <v>0</v>
      </c>
      <c r="H583">
        <v>79.3</v>
      </c>
      <c r="I583">
        <v>68</v>
      </c>
      <c r="J583">
        <v>73</v>
      </c>
      <c r="K583">
        <v>50.8</v>
      </c>
      <c r="L583">
        <v>46.5</v>
      </c>
      <c r="M583" s="2">
        <f t="shared" si="110"/>
        <v>1</v>
      </c>
      <c r="N583">
        <v>0</v>
      </c>
      <c r="P583" s="2">
        <f t="shared" si="111"/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s="2">
        <f t="shared" si="112"/>
        <v>0</v>
      </c>
      <c r="X583">
        <v>24.6</v>
      </c>
      <c r="Z583" s="2">
        <f t="shared" si="113"/>
        <v>1</v>
      </c>
      <c r="AA583">
        <v>3.6</v>
      </c>
      <c r="AB583" s="2" t="str">
        <f>CHOOSE(MATCH(AA583,{0;11;80;111;161;191;241;281;341},1),"North","NorthEast","East","SouthEast","South","SouthWest","West","NorthWest","North")</f>
        <v>North</v>
      </c>
      <c r="AC583" s="5">
        <f>CHOOSE(MATCH(AB583,{"South";"SouthEast";"SouthWest";"North";"NorthEast";"East";"West";"NorthWest"},0),1,2,3,4,5,6,7,8)</f>
        <v>4</v>
      </c>
      <c r="AD583" s="2">
        <f t="shared" si="114"/>
        <v>1</v>
      </c>
      <c r="AE583">
        <v>1021.1</v>
      </c>
      <c r="AF583" s="4" t="s">
        <v>1007</v>
      </c>
      <c r="AG583" s="2">
        <f t="shared" si="115"/>
        <v>1</v>
      </c>
      <c r="AH583" t="s">
        <v>1008</v>
      </c>
      <c r="AI583" s="2">
        <f t="shared" si="116"/>
        <v>9</v>
      </c>
      <c r="AJ583" s="2">
        <f t="shared" si="117"/>
        <v>0</v>
      </c>
      <c r="AK583" s="3">
        <v>85175.999999991618</v>
      </c>
      <c r="AM583" s="2">
        <v>1</v>
      </c>
      <c r="AN583">
        <v>0</v>
      </c>
      <c r="AO583">
        <v>20</v>
      </c>
      <c r="AP583">
        <v>0</v>
      </c>
      <c r="AQ583" s="2">
        <f>IF((2*G583 + M583 -P583 + 3*W583 + 2*Z583+2*AD583 + AG583+2*AJ583 + 4*AM583) &gt;=8,1,0)</f>
        <v>1</v>
      </c>
    </row>
    <row r="584" spans="1:43" x14ac:dyDescent="0.25">
      <c r="A584" t="s">
        <v>27</v>
      </c>
      <c r="B584" s="1">
        <v>38974</v>
      </c>
      <c r="C584" s="7">
        <f t="shared" si="109"/>
        <v>2006</v>
      </c>
      <c r="D584">
        <v>81.599999999999994</v>
      </c>
      <c r="E584">
        <v>65.7</v>
      </c>
      <c r="F584">
        <v>73.2</v>
      </c>
      <c r="G584" s="2">
        <f t="shared" si="108"/>
        <v>0</v>
      </c>
      <c r="H584">
        <v>80.5</v>
      </c>
      <c r="I584">
        <v>65.7</v>
      </c>
      <c r="J584">
        <v>73.099999999999994</v>
      </c>
      <c r="K584">
        <v>51.3</v>
      </c>
      <c r="L584">
        <v>47.2</v>
      </c>
      <c r="M584" s="2">
        <f t="shared" si="110"/>
        <v>1</v>
      </c>
      <c r="N584">
        <v>0</v>
      </c>
      <c r="P584" s="2">
        <f t="shared" si="111"/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s="2">
        <f t="shared" si="112"/>
        <v>0</v>
      </c>
      <c r="X584">
        <v>20.100000000000001</v>
      </c>
      <c r="Z584" s="2">
        <f t="shared" si="113"/>
        <v>1</v>
      </c>
      <c r="AA584">
        <v>359.8</v>
      </c>
      <c r="AB584" s="2" t="str">
        <f>CHOOSE(MATCH(AA584,{0;11;80;111;161;191;241;281;341},1),"North","NorthEast","East","SouthEast","South","SouthWest","West","NorthWest","North")</f>
        <v>North</v>
      </c>
      <c r="AC584" s="5">
        <f>CHOOSE(MATCH(AB584,{"South";"SouthEast";"SouthWest";"North";"NorthEast";"East";"West";"NorthWest"},0),1,2,3,4,5,6,7,8)</f>
        <v>4</v>
      </c>
      <c r="AD584" s="2">
        <f t="shared" si="114"/>
        <v>1</v>
      </c>
      <c r="AE584">
        <v>1018.6</v>
      </c>
      <c r="AF584" s="4" t="s">
        <v>1009</v>
      </c>
      <c r="AG584" s="2">
        <f t="shared" si="115"/>
        <v>1</v>
      </c>
      <c r="AH584" t="s">
        <v>1010</v>
      </c>
      <c r="AI584" s="2">
        <f t="shared" si="116"/>
        <v>9</v>
      </c>
      <c r="AJ584" s="2">
        <f t="shared" si="117"/>
        <v>0</v>
      </c>
      <c r="AK584" s="3">
        <v>1045.9999999939459</v>
      </c>
      <c r="AM584" s="2">
        <v>1</v>
      </c>
      <c r="AN584">
        <v>1</v>
      </c>
      <c r="AO584">
        <v>0</v>
      </c>
      <c r="AP584">
        <v>0</v>
      </c>
      <c r="AQ584" s="2">
        <f>IF((2*G584 + M584 -P584 + 3*W584 + 2*Z584+2*AD584 + AG584+2*AJ584 + 4*AM584) &gt;=8,1,0)</f>
        <v>1</v>
      </c>
    </row>
    <row r="585" spans="1:43" x14ac:dyDescent="0.25">
      <c r="A585" t="s">
        <v>27</v>
      </c>
      <c r="B585" s="1">
        <v>38979</v>
      </c>
      <c r="C585" s="7">
        <f t="shared" si="109"/>
        <v>2006</v>
      </c>
      <c r="D585">
        <v>80.7</v>
      </c>
      <c r="E585">
        <v>60</v>
      </c>
      <c r="F585">
        <v>71</v>
      </c>
      <c r="G585" s="2">
        <f t="shared" si="108"/>
        <v>0</v>
      </c>
      <c r="H585">
        <v>81.900000000000006</v>
      </c>
      <c r="I585">
        <v>60</v>
      </c>
      <c r="J585">
        <v>71.2</v>
      </c>
      <c r="K585">
        <v>60.7</v>
      </c>
      <c r="L585">
        <v>71.7</v>
      </c>
      <c r="M585" s="2">
        <f t="shared" si="110"/>
        <v>0</v>
      </c>
      <c r="N585">
        <v>0</v>
      </c>
      <c r="P585" s="2">
        <f t="shared" si="111"/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s="2">
        <f t="shared" si="112"/>
        <v>0</v>
      </c>
      <c r="X585">
        <v>12.6</v>
      </c>
      <c r="Z585" s="2">
        <f t="shared" si="113"/>
        <v>0</v>
      </c>
      <c r="AA585">
        <v>167.8</v>
      </c>
      <c r="AB585" s="2" t="str">
        <f>CHOOSE(MATCH(AA585,{0;11;80;111;161;191;241;281;341},1),"North","NorthEast","East","SouthEast","South","SouthWest","West","NorthWest","North")</f>
        <v>South</v>
      </c>
      <c r="AC585" s="5">
        <f>CHOOSE(MATCH(AB585,{"South";"SouthEast";"SouthWest";"North";"NorthEast";"East";"West";"NorthWest"},0),1,2,3,4,5,6,7,8)</f>
        <v>1</v>
      </c>
      <c r="AD585" s="2">
        <f t="shared" si="114"/>
        <v>0</v>
      </c>
      <c r="AE585">
        <v>1011.2</v>
      </c>
      <c r="AF585" s="4" t="s">
        <v>1011</v>
      </c>
      <c r="AG585" s="2">
        <f t="shared" si="115"/>
        <v>0</v>
      </c>
      <c r="AH585" t="s">
        <v>1012</v>
      </c>
      <c r="AI585" s="2">
        <f t="shared" si="116"/>
        <v>9</v>
      </c>
      <c r="AJ585" s="2">
        <f t="shared" si="117"/>
        <v>0</v>
      </c>
      <c r="AK585" s="3">
        <v>69.999999997671694</v>
      </c>
      <c r="AM585" s="2">
        <v>0</v>
      </c>
      <c r="AN585">
        <v>0</v>
      </c>
      <c r="AO585">
        <v>0.2</v>
      </c>
      <c r="AP585">
        <v>0</v>
      </c>
      <c r="AQ585" s="2">
        <f>IF((2*G585 + M585 -P585 + 3*W585 + 2*Z585+2*AD585 + AG585+2*AJ585 + 4*AM585) &gt;=8,1,0)</f>
        <v>0</v>
      </c>
    </row>
    <row r="586" spans="1:43" x14ac:dyDescent="0.25">
      <c r="A586" t="s">
        <v>27</v>
      </c>
      <c r="B586" s="1">
        <v>38981</v>
      </c>
      <c r="C586" s="7">
        <f t="shared" si="109"/>
        <v>2006</v>
      </c>
      <c r="D586">
        <v>78.599999999999994</v>
      </c>
      <c r="E586">
        <v>65.400000000000006</v>
      </c>
      <c r="F586">
        <v>71.2</v>
      </c>
      <c r="G586" s="2">
        <f t="shared" si="108"/>
        <v>0</v>
      </c>
      <c r="H586">
        <v>78.599999999999994</v>
      </c>
      <c r="I586">
        <v>65.400000000000006</v>
      </c>
      <c r="J586">
        <v>71.2</v>
      </c>
      <c r="K586">
        <v>61</v>
      </c>
      <c r="L586">
        <v>71.400000000000006</v>
      </c>
      <c r="M586" s="2">
        <f t="shared" si="110"/>
        <v>0</v>
      </c>
      <c r="N586">
        <v>0.06</v>
      </c>
      <c r="P586" s="2">
        <f t="shared" si="111"/>
        <v>0</v>
      </c>
      <c r="Q586">
        <v>100</v>
      </c>
      <c r="R586">
        <v>4.17</v>
      </c>
      <c r="S586" t="s">
        <v>87</v>
      </c>
      <c r="T586">
        <v>0</v>
      </c>
      <c r="U586">
        <v>0</v>
      </c>
      <c r="V586">
        <v>0</v>
      </c>
      <c r="W586" s="2">
        <f t="shared" si="112"/>
        <v>0</v>
      </c>
      <c r="X586">
        <v>12.1</v>
      </c>
      <c r="Z586" s="2">
        <f t="shared" si="113"/>
        <v>0</v>
      </c>
      <c r="AA586">
        <v>21.7</v>
      </c>
      <c r="AB586" s="2" t="str">
        <f>CHOOSE(MATCH(AA586,{0;11;80;111;161;191;241;281;341},1),"North","NorthEast","East","SouthEast","South","SouthWest","West","NorthWest","North")</f>
        <v>NorthEast</v>
      </c>
      <c r="AC586" s="5">
        <f>CHOOSE(MATCH(AB586,{"South";"SouthEast";"SouthWest";"North";"NorthEast";"East";"West";"NorthWest"},0),1,2,3,4,5,6,7,8)</f>
        <v>5</v>
      </c>
      <c r="AD586" s="2">
        <f t="shared" si="114"/>
        <v>1</v>
      </c>
      <c r="AE586">
        <v>1013.7</v>
      </c>
      <c r="AF586" s="4" t="s">
        <v>1013</v>
      </c>
      <c r="AG586" s="2">
        <f t="shared" si="115"/>
        <v>0</v>
      </c>
      <c r="AH586" t="s">
        <v>1014</v>
      </c>
      <c r="AI586" s="2">
        <f t="shared" si="116"/>
        <v>9</v>
      </c>
      <c r="AJ586" s="2">
        <f t="shared" si="117"/>
        <v>0</v>
      </c>
      <c r="AK586" s="3">
        <v>2142.000000004191</v>
      </c>
      <c r="AM586" s="2">
        <v>1</v>
      </c>
      <c r="AN586">
        <v>100</v>
      </c>
      <c r="AO586">
        <v>0</v>
      </c>
      <c r="AP586">
        <v>0</v>
      </c>
      <c r="AQ586" s="2">
        <f>IF((2*G586 + M586 -P586 + 3*W586 + 2*Z586+2*AD586 + AG586+2*AJ586 + 4*AM586) &gt;=8,1,0)</f>
        <v>0</v>
      </c>
    </row>
    <row r="587" spans="1:43" x14ac:dyDescent="0.25">
      <c r="A587" t="s">
        <v>27</v>
      </c>
      <c r="B587" s="1">
        <v>38991</v>
      </c>
      <c r="C587" s="7">
        <f t="shared" si="109"/>
        <v>2006</v>
      </c>
      <c r="D587">
        <v>80.900000000000006</v>
      </c>
      <c r="E587">
        <v>63.6</v>
      </c>
      <c r="F587">
        <v>71.900000000000006</v>
      </c>
      <c r="G587" s="2">
        <f t="shared" si="108"/>
        <v>0</v>
      </c>
      <c r="H587">
        <v>81.099999999999994</v>
      </c>
      <c r="I587">
        <v>63.6</v>
      </c>
      <c r="J587">
        <v>71.900000000000006</v>
      </c>
      <c r="K587">
        <v>58</v>
      </c>
      <c r="L587">
        <v>63.8</v>
      </c>
      <c r="M587" s="2">
        <f t="shared" si="110"/>
        <v>0</v>
      </c>
      <c r="N587">
        <v>0</v>
      </c>
      <c r="P587" s="2">
        <f t="shared" si="111"/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2">
        <f t="shared" si="112"/>
        <v>0</v>
      </c>
      <c r="X587">
        <v>17.3</v>
      </c>
      <c r="Z587" s="2">
        <f t="shared" si="113"/>
        <v>1</v>
      </c>
      <c r="AA587">
        <v>9.1</v>
      </c>
      <c r="AB587" s="2" t="str">
        <f>CHOOSE(MATCH(AA587,{0;11;80;111;161;191;241;281;341},1),"North","NorthEast","East","SouthEast","South","SouthWest","West","NorthWest","North")</f>
        <v>North</v>
      </c>
      <c r="AC587" s="5">
        <f>CHOOSE(MATCH(AB587,{"South";"SouthEast";"SouthWest";"North";"NorthEast";"East";"West";"NorthWest"},0),1,2,3,4,5,6,7,8)</f>
        <v>4</v>
      </c>
      <c r="AD587" s="2">
        <f t="shared" si="114"/>
        <v>1</v>
      </c>
      <c r="AE587">
        <v>1016.1</v>
      </c>
      <c r="AF587" s="4" t="s">
        <v>201</v>
      </c>
      <c r="AG587" s="2">
        <f t="shared" si="115"/>
        <v>1</v>
      </c>
      <c r="AH587" t="s">
        <v>1015</v>
      </c>
      <c r="AI587" s="2">
        <f t="shared" si="116"/>
        <v>10</v>
      </c>
      <c r="AJ587" s="2">
        <f t="shared" si="117"/>
        <v>0</v>
      </c>
      <c r="AK587" s="3">
        <v>30.00000000349246</v>
      </c>
      <c r="AM587" s="2">
        <v>0</v>
      </c>
      <c r="AN587">
        <v>0.3</v>
      </c>
      <c r="AO587">
        <v>0</v>
      </c>
      <c r="AP587">
        <v>0</v>
      </c>
      <c r="AQ587" s="2">
        <f>IF((2*G587 + M587 -P587 + 3*W587 + 2*Z587+2*AD587 + AG587+2*AJ587 + 4*AM587) &gt;=8,1,0)</f>
        <v>0</v>
      </c>
    </row>
    <row r="588" spans="1:43" x14ac:dyDescent="0.25">
      <c r="A588" t="s">
        <v>27</v>
      </c>
      <c r="B588" s="1">
        <v>38992</v>
      </c>
      <c r="C588" s="7">
        <f t="shared" si="109"/>
        <v>2006</v>
      </c>
      <c r="D588">
        <v>79.900000000000006</v>
      </c>
      <c r="E588">
        <v>65</v>
      </c>
      <c r="F588">
        <v>71.7</v>
      </c>
      <c r="G588" s="2">
        <f t="shared" si="108"/>
        <v>0</v>
      </c>
      <c r="H588">
        <v>79.900000000000006</v>
      </c>
      <c r="I588">
        <v>65</v>
      </c>
      <c r="J588">
        <v>71.7</v>
      </c>
      <c r="K588">
        <v>56.5</v>
      </c>
      <c r="L588">
        <v>59.7</v>
      </c>
      <c r="M588" s="2">
        <f t="shared" si="110"/>
        <v>0</v>
      </c>
      <c r="N588">
        <v>0</v>
      </c>
      <c r="P588" s="2">
        <f t="shared" si="111"/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2">
        <f t="shared" si="112"/>
        <v>0</v>
      </c>
      <c r="X588">
        <v>16.100000000000001</v>
      </c>
      <c r="Z588" s="2">
        <f t="shared" si="113"/>
        <v>1</v>
      </c>
      <c r="AA588">
        <v>9.1999999999999993</v>
      </c>
      <c r="AB588" s="2" t="str">
        <f>CHOOSE(MATCH(AA588,{0;11;80;111;161;191;241;281;341},1),"North","NorthEast","East","SouthEast","South","SouthWest","West","NorthWest","North")</f>
        <v>North</v>
      </c>
      <c r="AC588" s="5">
        <f>CHOOSE(MATCH(AB588,{"South";"SouthEast";"SouthWest";"North";"NorthEast";"East";"West";"NorthWest"},0),1,2,3,4,5,6,7,8)</f>
        <v>4</v>
      </c>
      <c r="AD588" s="2">
        <f t="shared" si="114"/>
        <v>1</v>
      </c>
      <c r="AE588">
        <v>1018</v>
      </c>
      <c r="AF588" s="4" t="s">
        <v>1016</v>
      </c>
      <c r="AG588" s="2">
        <f t="shared" si="115"/>
        <v>1</v>
      </c>
      <c r="AH588" t="s">
        <v>1017</v>
      </c>
      <c r="AI588" s="2">
        <f t="shared" si="116"/>
        <v>10</v>
      </c>
      <c r="AJ588" s="2">
        <f t="shared" si="117"/>
        <v>0</v>
      </c>
      <c r="AK588" s="3">
        <v>90.99999999278225</v>
      </c>
      <c r="AM588" s="2">
        <v>0</v>
      </c>
      <c r="AN588">
        <v>1</v>
      </c>
      <c r="AO588">
        <v>0</v>
      </c>
      <c r="AP588">
        <v>0</v>
      </c>
      <c r="AQ588" s="2">
        <f>IF((2*G588 + M588 -P588 + 3*W588 + 2*Z588+2*AD588 + AG588+2*AJ588 + 4*AM588) &gt;=8,1,0)</f>
        <v>0</v>
      </c>
    </row>
    <row r="589" spans="1:43" x14ac:dyDescent="0.25">
      <c r="A589" t="s">
        <v>27</v>
      </c>
      <c r="B589" s="1">
        <v>38996</v>
      </c>
      <c r="C589" s="7">
        <f t="shared" si="109"/>
        <v>2006</v>
      </c>
      <c r="D589">
        <v>78.5</v>
      </c>
      <c r="E589">
        <v>65</v>
      </c>
      <c r="F589">
        <v>71.599999999999994</v>
      </c>
      <c r="G589" s="2">
        <f t="shared" si="108"/>
        <v>0</v>
      </c>
      <c r="H589">
        <v>78.5</v>
      </c>
      <c r="I589">
        <v>65</v>
      </c>
      <c r="J589">
        <v>71.599999999999994</v>
      </c>
      <c r="K589">
        <v>64.400000000000006</v>
      </c>
      <c r="L589">
        <v>79</v>
      </c>
      <c r="M589" s="2">
        <f t="shared" si="110"/>
        <v>0</v>
      </c>
      <c r="N589">
        <v>0</v>
      </c>
      <c r="P589" s="2">
        <f t="shared" si="111"/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s="2">
        <f t="shared" si="112"/>
        <v>0</v>
      </c>
      <c r="X589">
        <v>9</v>
      </c>
      <c r="Z589" s="2">
        <f t="shared" si="113"/>
        <v>0</v>
      </c>
      <c r="AA589">
        <v>132.4</v>
      </c>
      <c r="AB589" s="2" t="str">
        <f>CHOOSE(MATCH(AA589,{0;11;80;111;161;191;241;281;341},1),"North","NorthEast","East","SouthEast","South","SouthWest","West","NorthWest","North")</f>
        <v>SouthEast</v>
      </c>
      <c r="AC589" s="5">
        <f>CHOOSE(MATCH(AB589,{"South";"SouthEast";"SouthWest";"North";"NorthEast";"East";"West";"NorthWest"},0),1,2,3,4,5,6,7,8)</f>
        <v>2</v>
      </c>
      <c r="AD589" s="2">
        <f t="shared" si="114"/>
        <v>0</v>
      </c>
      <c r="AE589">
        <v>1013.9</v>
      </c>
      <c r="AF589" s="4" t="s">
        <v>326</v>
      </c>
      <c r="AG589" s="2">
        <f t="shared" si="115"/>
        <v>0</v>
      </c>
      <c r="AH589" t="s">
        <v>1018</v>
      </c>
      <c r="AI589" s="2">
        <f t="shared" si="116"/>
        <v>10</v>
      </c>
      <c r="AJ589" s="2">
        <f t="shared" si="117"/>
        <v>0</v>
      </c>
      <c r="AK589" s="3">
        <v>85.000000004656613</v>
      </c>
      <c r="AM589" s="2">
        <v>0</v>
      </c>
      <c r="AN589">
        <v>1</v>
      </c>
      <c r="AO589">
        <v>0</v>
      </c>
      <c r="AP589">
        <v>0</v>
      </c>
      <c r="AQ589" s="2">
        <f>IF((2*G589 + M589 -P589 + 3*W589 + 2*Z589+2*AD589 + AG589+2*AJ589 + 4*AM589) &gt;=8,1,0)</f>
        <v>0</v>
      </c>
    </row>
    <row r="590" spans="1:43" x14ac:dyDescent="0.25">
      <c r="A590" t="s">
        <v>27</v>
      </c>
      <c r="B590" s="1">
        <v>38996</v>
      </c>
      <c r="C590" s="7">
        <f t="shared" si="109"/>
        <v>2006</v>
      </c>
      <c r="D590">
        <v>78.5</v>
      </c>
      <c r="E590">
        <v>65</v>
      </c>
      <c r="F590">
        <v>71.599999999999994</v>
      </c>
      <c r="G590" s="2">
        <f t="shared" si="108"/>
        <v>0</v>
      </c>
      <c r="H590">
        <v>78.5</v>
      </c>
      <c r="I590">
        <v>65</v>
      </c>
      <c r="J590">
        <v>71.599999999999994</v>
      </c>
      <c r="K590">
        <v>64.400000000000006</v>
      </c>
      <c r="L590">
        <v>79</v>
      </c>
      <c r="M590" s="2">
        <f t="shared" si="110"/>
        <v>0</v>
      </c>
      <c r="N590">
        <v>0</v>
      </c>
      <c r="P590" s="2">
        <f t="shared" si="111"/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2">
        <f t="shared" si="112"/>
        <v>0</v>
      </c>
      <c r="X590">
        <v>9</v>
      </c>
      <c r="Z590" s="2">
        <f t="shared" si="113"/>
        <v>0</v>
      </c>
      <c r="AA590">
        <v>132.4</v>
      </c>
      <c r="AB590" s="2" t="str">
        <f>CHOOSE(MATCH(AA590,{0;11;80;111;161;191;241;281;341},1),"North","NorthEast","East","SouthEast","South","SouthWest","West","NorthWest","North")</f>
        <v>SouthEast</v>
      </c>
      <c r="AC590" s="5">
        <f>CHOOSE(MATCH(AB590,{"South";"SouthEast";"SouthWest";"North";"NorthEast";"East";"West";"NorthWest"},0),1,2,3,4,5,6,7,8)</f>
        <v>2</v>
      </c>
      <c r="AD590" s="2">
        <f t="shared" si="114"/>
        <v>0</v>
      </c>
      <c r="AE590">
        <v>1013.9</v>
      </c>
      <c r="AF590" s="4" t="s">
        <v>1019</v>
      </c>
      <c r="AG590" s="2">
        <f t="shared" si="115"/>
        <v>0</v>
      </c>
      <c r="AH590" t="s">
        <v>1020</v>
      </c>
      <c r="AI590" s="2">
        <f t="shared" si="116"/>
        <v>10</v>
      </c>
      <c r="AJ590" s="2">
        <f t="shared" si="117"/>
        <v>0</v>
      </c>
      <c r="AK590" s="3">
        <v>65.000000002328306</v>
      </c>
      <c r="AM590" s="2">
        <v>0</v>
      </c>
      <c r="AN590">
        <v>0.02</v>
      </c>
      <c r="AO590">
        <v>0</v>
      </c>
      <c r="AP590">
        <v>0</v>
      </c>
      <c r="AQ590" s="2">
        <f>IF((2*G590 + M590 -P590 + 3*W590 + 2*Z590+2*AD590 + AG590+2*AJ590 + 4*AM590) &gt;=8,1,0)</f>
        <v>0</v>
      </c>
    </row>
    <row r="591" spans="1:43" x14ac:dyDescent="0.25">
      <c r="A591" t="s">
        <v>27</v>
      </c>
      <c r="B591" s="1">
        <v>39018</v>
      </c>
      <c r="C591" s="7">
        <f t="shared" si="109"/>
        <v>2006</v>
      </c>
      <c r="D591">
        <v>72.400000000000006</v>
      </c>
      <c r="E591">
        <v>56.8</v>
      </c>
      <c r="F591">
        <v>63.7</v>
      </c>
      <c r="G591" s="2">
        <f t="shared" si="108"/>
        <v>0</v>
      </c>
      <c r="H591">
        <v>72.400000000000006</v>
      </c>
      <c r="I591">
        <v>56.8</v>
      </c>
      <c r="J591">
        <v>63.7</v>
      </c>
      <c r="K591">
        <v>50.7</v>
      </c>
      <c r="L591">
        <v>63.4</v>
      </c>
      <c r="M591" s="2">
        <f t="shared" si="110"/>
        <v>0</v>
      </c>
      <c r="N591">
        <v>0</v>
      </c>
      <c r="P591" s="2">
        <f t="shared" si="111"/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2">
        <f t="shared" si="112"/>
        <v>0</v>
      </c>
      <c r="X591">
        <v>22.3</v>
      </c>
      <c r="Z591" s="2">
        <f t="shared" si="113"/>
        <v>1</v>
      </c>
      <c r="AA591">
        <v>2.8</v>
      </c>
      <c r="AB591" s="2" t="str">
        <f>CHOOSE(MATCH(AA591,{0;11;80;111;161;191;241;281;341},1),"North","NorthEast","East","SouthEast","South","SouthWest","West","NorthWest","North")</f>
        <v>North</v>
      </c>
      <c r="AC591" s="5">
        <f>CHOOSE(MATCH(AB591,{"South";"SouthEast";"SouthWest";"North";"NorthEast";"East";"West";"NorthWest"},0),1,2,3,4,5,6,7,8)</f>
        <v>4</v>
      </c>
      <c r="AD591" s="2">
        <f t="shared" si="114"/>
        <v>1</v>
      </c>
      <c r="AE591">
        <v>1019.3</v>
      </c>
      <c r="AF591" s="4" t="s">
        <v>927</v>
      </c>
      <c r="AG591" s="2">
        <f t="shared" si="115"/>
        <v>1</v>
      </c>
      <c r="AH591" t="s">
        <v>1021</v>
      </c>
      <c r="AI591" s="2">
        <f t="shared" si="116"/>
        <v>10</v>
      </c>
      <c r="AJ591" s="2">
        <f t="shared" si="117"/>
        <v>0</v>
      </c>
      <c r="AK591" s="3">
        <v>119.99999999301509</v>
      </c>
      <c r="AM591" s="2">
        <v>0</v>
      </c>
      <c r="AN591">
        <v>0</v>
      </c>
      <c r="AO591">
        <v>0.5</v>
      </c>
      <c r="AP591">
        <v>0</v>
      </c>
      <c r="AQ591" s="2">
        <f>IF((2*G591 + M591 -P591 + 3*W591 + 2*Z591+2*AD591 + AG591+2*AJ591 + 4*AM591) &gt;=8,1,0)</f>
        <v>0</v>
      </c>
    </row>
    <row r="592" spans="1:43" x14ac:dyDescent="0.25">
      <c r="A592" t="s">
        <v>27</v>
      </c>
      <c r="B592" s="1">
        <v>39050</v>
      </c>
      <c r="C592" s="7">
        <f t="shared" si="109"/>
        <v>2006</v>
      </c>
      <c r="D592">
        <v>58.9</v>
      </c>
      <c r="E592">
        <v>50.4</v>
      </c>
      <c r="F592">
        <v>55</v>
      </c>
      <c r="G592" s="2">
        <f t="shared" si="108"/>
        <v>0</v>
      </c>
      <c r="H592">
        <v>58.9</v>
      </c>
      <c r="I592">
        <v>50.4</v>
      </c>
      <c r="J592">
        <v>55</v>
      </c>
      <c r="K592">
        <v>44.2</v>
      </c>
      <c r="L592">
        <v>66.900000000000006</v>
      </c>
      <c r="M592" s="2">
        <f t="shared" si="110"/>
        <v>0</v>
      </c>
      <c r="N592">
        <v>0</v>
      </c>
      <c r="P592" s="2">
        <f t="shared" si="111"/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2">
        <f t="shared" si="112"/>
        <v>0</v>
      </c>
      <c r="X592">
        <v>18.3</v>
      </c>
      <c r="Z592" s="2">
        <f t="shared" si="113"/>
        <v>1</v>
      </c>
      <c r="AA592">
        <v>354.7</v>
      </c>
      <c r="AB592" s="2" t="str">
        <f>CHOOSE(MATCH(AA592,{0;11;80;111;161;191;241;281;341},1),"North","NorthEast","East","SouthEast","South","SouthWest","West","NorthWest","North")</f>
        <v>North</v>
      </c>
      <c r="AC592" s="5">
        <f>CHOOSE(MATCH(AB592,{"South";"SouthEast";"SouthWest";"North";"NorthEast";"East";"West";"NorthWest"},0),1,2,3,4,5,6,7,8)</f>
        <v>4</v>
      </c>
      <c r="AD592" s="2">
        <f t="shared" si="114"/>
        <v>1</v>
      </c>
      <c r="AE592">
        <v>1022.4</v>
      </c>
      <c r="AF592" s="4" t="s">
        <v>550</v>
      </c>
      <c r="AG592" s="2">
        <f t="shared" si="115"/>
        <v>1</v>
      </c>
      <c r="AH592" t="s">
        <v>1022</v>
      </c>
      <c r="AI592" s="2">
        <f t="shared" si="116"/>
        <v>11</v>
      </c>
      <c r="AJ592" s="2">
        <f t="shared" si="117"/>
        <v>0</v>
      </c>
      <c r="AK592" s="3">
        <v>120.0000000034925</v>
      </c>
      <c r="AM592" s="2">
        <v>0</v>
      </c>
      <c r="AN592">
        <v>0</v>
      </c>
      <c r="AO592">
        <v>2</v>
      </c>
      <c r="AP592">
        <v>0</v>
      </c>
      <c r="AQ592" s="2">
        <f>IF((2*G592 + M592 -P592 + 3*W592 + 2*Z592+2*AD592 + AG592+2*AJ592 + 4*AM592) &gt;=8,1,0)</f>
        <v>0</v>
      </c>
    </row>
    <row r="593" spans="1:43" x14ac:dyDescent="0.25">
      <c r="A593" t="s">
        <v>27</v>
      </c>
      <c r="B593" s="1">
        <v>39077</v>
      </c>
      <c r="C593" s="7">
        <f t="shared" si="109"/>
        <v>2006</v>
      </c>
      <c r="D593">
        <v>46.9</v>
      </c>
      <c r="E593">
        <v>41.1</v>
      </c>
      <c r="F593">
        <v>43.9</v>
      </c>
      <c r="G593" s="2">
        <f t="shared" si="108"/>
        <v>0</v>
      </c>
      <c r="H593">
        <v>41.7</v>
      </c>
      <c r="I593">
        <v>34.5</v>
      </c>
      <c r="J593">
        <v>37.9</v>
      </c>
      <c r="K593">
        <v>33.6</v>
      </c>
      <c r="L593">
        <v>67.099999999999994</v>
      </c>
      <c r="M593" s="2">
        <f t="shared" si="110"/>
        <v>0</v>
      </c>
      <c r="N593">
        <v>0.09</v>
      </c>
      <c r="P593" s="2">
        <f t="shared" si="111"/>
        <v>0</v>
      </c>
      <c r="Q593">
        <v>100</v>
      </c>
      <c r="R593">
        <v>4.17</v>
      </c>
      <c r="S593" t="s">
        <v>87</v>
      </c>
      <c r="T593">
        <v>0</v>
      </c>
      <c r="U593">
        <v>0</v>
      </c>
      <c r="V593">
        <v>0</v>
      </c>
      <c r="W593" s="2">
        <f t="shared" si="112"/>
        <v>0</v>
      </c>
      <c r="X593">
        <v>16.7</v>
      </c>
      <c r="Z593" s="2">
        <f t="shared" si="113"/>
        <v>1</v>
      </c>
      <c r="AA593">
        <v>347</v>
      </c>
      <c r="AB593" s="2" t="str">
        <f>CHOOSE(MATCH(AA593,{0;11;80;111;161;191;241;281;341},1),"North","NorthEast","East","SouthEast","South","SouthWest","West","NorthWest","North")</f>
        <v>North</v>
      </c>
      <c r="AC593" s="5">
        <f>CHOOSE(MATCH(AB593,{"South";"SouthEast";"SouthWest";"North";"NorthEast";"East";"West";"NorthWest"},0),1,2,3,4,5,6,7,8)</f>
        <v>4</v>
      </c>
      <c r="AD593" s="2">
        <f t="shared" si="114"/>
        <v>1</v>
      </c>
      <c r="AE593">
        <v>1025.5</v>
      </c>
      <c r="AF593" s="4" t="s">
        <v>426</v>
      </c>
      <c r="AG593" s="2">
        <f t="shared" si="115"/>
        <v>1</v>
      </c>
      <c r="AH593" t="s">
        <v>1023</v>
      </c>
      <c r="AI593" s="2">
        <f t="shared" si="116"/>
        <v>12</v>
      </c>
      <c r="AJ593" s="2">
        <f t="shared" si="117"/>
        <v>0</v>
      </c>
      <c r="AK593" s="3">
        <v>255.00000000349249</v>
      </c>
      <c r="AM593" s="2">
        <v>0</v>
      </c>
      <c r="AN593">
        <v>0</v>
      </c>
      <c r="AO593">
        <v>100</v>
      </c>
      <c r="AP593">
        <v>0</v>
      </c>
      <c r="AQ593" s="2">
        <f>IF((2*G593 + M593 -P593 + 3*W593 + 2*Z593+2*AD593 + AG593+2*AJ593 + 4*AM593) &gt;=8,1,0)</f>
        <v>0</v>
      </c>
    </row>
    <row r="594" spans="1:43" x14ac:dyDescent="0.25">
      <c r="A594" t="s">
        <v>27</v>
      </c>
      <c r="B594" s="1">
        <v>39077</v>
      </c>
      <c r="C594" s="7">
        <f t="shared" si="109"/>
        <v>2006</v>
      </c>
      <c r="D594">
        <v>46.9</v>
      </c>
      <c r="E594">
        <v>41.1</v>
      </c>
      <c r="F594">
        <v>43.9</v>
      </c>
      <c r="G594" s="2">
        <f t="shared" si="108"/>
        <v>0</v>
      </c>
      <c r="H594">
        <v>41.7</v>
      </c>
      <c r="I594">
        <v>34.5</v>
      </c>
      <c r="J594">
        <v>37.9</v>
      </c>
      <c r="K594">
        <v>33.6</v>
      </c>
      <c r="L594">
        <v>67.099999999999994</v>
      </c>
      <c r="M594" s="2">
        <f t="shared" si="110"/>
        <v>0</v>
      </c>
      <c r="N594">
        <v>0.09</v>
      </c>
      <c r="P594" s="2">
        <f t="shared" si="111"/>
        <v>0</v>
      </c>
      <c r="Q594">
        <v>100</v>
      </c>
      <c r="R594">
        <v>4.17</v>
      </c>
      <c r="S594" t="s">
        <v>87</v>
      </c>
      <c r="T594">
        <v>0</v>
      </c>
      <c r="U594">
        <v>0</v>
      </c>
      <c r="V594">
        <v>0</v>
      </c>
      <c r="W594" s="2">
        <f t="shared" si="112"/>
        <v>0</v>
      </c>
      <c r="X594">
        <v>16.7</v>
      </c>
      <c r="Z594" s="2">
        <f t="shared" si="113"/>
        <v>1</v>
      </c>
      <c r="AA594">
        <v>347</v>
      </c>
      <c r="AB594" s="2" t="str">
        <f>CHOOSE(MATCH(AA594,{0;11;80;111;161;191;241;281;341},1),"North","NorthEast","East","SouthEast","South","SouthWest","West","NorthWest","North")</f>
        <v>North</v>
      </c>
      <c r="AC594" s="5">
        <f>CHOOSE(MATCH(AB594,{"South";"SouthEast";"SouthWest";"North";"NorthEast";"East";"West";"NorthWest"},0),1,2,3,4,5,6,7,8)</f>
        <v>4</v>
      </c>
      <c r="AD594" s="2">
        <f t="shared" si="114"/>
        <v>1</v>
      </c>
      <c r="AE594">
        <v>1025.5</v>
      </c>
      <c r="AF594" s="4" t="s">
        <v>1024</v>
      </c>
      <c r="AG594" s="2">
        <f t="shared" si="115"/>
        <v>1</v>
      </c>
      <c r="AH594" t="s">
        <v>1025</v>
      </c>
      <c r="AI594" s="2">
        <f t="shared" si="116"/>
        <v>12</v>
      </c>
      <c r="AJ594" s="2">
        <f t="shared" si="117"/>
        <v>0</v>
      </c>
      <c r="AK594" s="3">
        <v>409.99999999534339</v>
      </c>
      <c r="AM594" s="2">
        <v>1</v>
      </c>
      <c r="AN594">
        <v>0</v>
      </c>
      <c r="AO594">
        <v>40</v>
      </c>
      <c r="AP594">
        <v>0</v>
      </c>
      <c r="AQ594" s="2">
        <f>IF((2*G594 + M594 -P594 + 3*W594 + 2*Z594+2*AD594 + AG594+2*AJ594 + 4*AM594) &gt;=8,1,0)</f>
        <v>1</v>
      </c>
    </row>
    <row r="595" spans="1:43" x14ac:dyDescent="0.25">
      <c r="A595" t="s">
        <v>27</v>
      </c>
      <c r="B595" s="1">
        <v>39081</v>
      </c>
      <c r="C595" s="7">
        <f t="shared" si="109"/>
        <v>2006</v>
      </c>
      <c r="D595">
        <v>51.9</v>
      </c>
      <c r="E595">
        <v>37.299999999999997</v>
      </c>
      <c r="F595">
        <v>44.9</v>
      </c>
      <c r="G595" s="2">
        <f t="shared" si="108"/>
        <v>0</v>
      </c>
      <c r="H595">
        <v>51.9</v>
      </c>
      <c r="I595">
        <v>31.2</v>
      </c>
      <c r="J595">
        <v>42.5</v>
      </c>
      <c r="K595">
        <v>33.6</v>
      </c>
      <c r="L595">
        <v>65.3</v>
      </c>
      <c r="M595" s="2">
        <f t="shared" si="110"/>
        <v>0</v>
      </c>
      <c r="N595">
        <v>0</v>
      </c>
      <c r="P595" s="2">
        <f t="shared" si="111"/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2">
        <f t="shared" si="112"/>
        <v>0</v>
      </c>
      <c r="X595">
        <v>16.7</v>
      </c>
      <c r="Z595" s="2">
        <f t="shared" si="113"/>
        <v>1</v>
      </c>
      <c r="AA595">
        <v>324.7</v>
      </c>
      <c r="AB595" s="2" t="str">
        <f>CHOOSE(MATCH(AA595,{0;11;80;111;161;191;241;281;341},1),"North","NorthEast","East","SouthEast","South","SouthWest","West","NorthWest","North")</f>
        <v>NorthWest</v>
      </c>
      <c r="AC595" s="5">
        <f>CHOOSE(MATCH(AB595,{"South";"SouthEast";"SouthWest";"North";"NorthEast";"East";"West";"NorthWest"},0),1,2,3,4,5,6,7,8)</f>
        <v>8</v>
      </c>
      <c r="AD595" s="2">
        <f t="shared" si="114"/>
        <v>1</v>
      </c>
      <c r="AE595">
        <v>1031</v>
      </c>
      <c r="AF595" s="4" t="s">
        <v>61</v>
      </c>
      <c r="AG595" s="2">
        <f t="shared" si="115"/>
        <v>1</v>
      </c>
      <c r="AH595" t="s">
        <v>1026</v>
      </c>
      <c r="AI595" s="2">
        <f t="shared" si="116"/>
        <v>12</v>
      </c>
      <c r="AJ595" s="2">
        <f t="shared" si="117"/>
        <v>0</v>
      </c>
      <c r="AK595" s="3">
        <v>49.999999995343387</v>
      </c>
      <c r="AM595" s="2">
        <v>0</v>
      </c>
      <c r="AN595">
        <v>0</v>
      </c>
      <c r="AO595">
        <v>0.1</v>
      </c>
      <c r="AP595">
        <v>0</v>
      </c>
      <c r="AQ595" s="2">
        <f>IF((2*G595 + M595 -P595 + 3*W595 + 2*Z595+2*AD595 + AG595+2*AJ595 + 4*AM595) &gt;=8,1,0)</f>
        <v>0</v>
      </c>
    </row>
    <row r="596" spans="1:43" x14ac:dyDescent="0.25">
      <c r="A596" t="s">
        <v>27</v>
      </c>
      <c r="B596" s="1">
        <v>39081</v>
      </c>
      <c r="C596" s="7">
        <f t="shared" si="109"/>
        <v>2006</v>
      </c>
      <c r="D596">
        <v>51.9</v>
      </c>
      <c r="E596">
        <v>37.299999999999997</v>
      </c>
      <c r="F596">
        <v>44.9</v>
      </c>
      <c r="G596" s="2">
        <f t="shared" si="108"/>
        <v>0</v>
      </c>
      <c r="H596">
        <v>51.9</v>
      </c>
      <c r="I596">
        <v>31.2</v>
      </c>
      <c r="J596">
        <v>42.5</v>
      </c>
      <c r="K596">
        <v>33.6</v>
      </c>
      <c r="L596">
        <v>65.3</v>
      </c>
      <c r="M596" s="2">
        <f t="shared" si="110"/>
        <v>0</v>
      </c>
      <c r="N596">
        <v>0</v>
      </c>
      <c r="P596" s="2">
        <f t="shared" si="111"/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s="2">
        <f t="shared" si="112"/>
        <v>0</v>
      </c>
      <c r="X596">
        <v>16.7</v>
      </c>
      <c r="Z596" s="2">
        <f t="shared" si="113"/>
        <v>1</v>
      </c>
      <c r="AA596">
        <v>324.7</v>
      </c>
      <c r="AB596" s="2" t="str">
        <f>CHOOSE(MATCH(AA596,{0;11;80;111;161;191;241;281;341},1),"North","NorthEast","East","SouthEast","South","SouthWest","West","NorthWest","North")</f>
        <v>NorthWest</v>
      </c>
      <c r="AC596" s="5">
        <f>CHOOSE(MATCH(AB596,{"South";"SouthEast";"SouthWest";"North";"NorthEast";"East";"West";"NorthWest"},0),1,2,3,4,5,6,7,8)</f>
        <v>8</v>
      </c>
      <c r="AD596" s="2">
        <f t="shared" si="114"/>
        <v>1</v>
      </c>
      <c r="AE596">
        <v>1031</v>
      </c>
      <c r="AF596" s="4" t="s">
        <v>197</v>
      </c>
      <c r="AG596" s="2">
        <f t="shared" si="115"/>
        <v>1</v>
      </c>
      <c r="AH596" t="s">
        <v>1027</v>
      </c>
      <c r="AI596" s="2">
        <f t="shared" si="116"/>
        <v>12</v>
      </c>
      <c r="AJ596" s="2">
        <f t="shared" si="117"/>
        <v>0</v>
      </c>
      <c r="AK596" s="3">
        <v>328.00000000046572</v>
      </c>
      <c r="AM596" s="2">
        <v>0</v>
      </c>
      <c r="AN596">
        <v>0</v>
      </c>
      <c r="AO596">
        <v>20</v>
      </c>
      <c r="AP596">
        <v>0</v>
      </c>
      <c r="AQ596" s="2">
        <f>IF((2*G596 + M596 -P596 + 3*W596 + 2*Z596+2*AD596 + AG596+2*AJ596 + 4*AM596) &gt;=8,1,0)</f>
        <v>0</v>
      </c>
    </row>
    <row r="597" spans="1:43" x14ac:dyDescent="0.25">
      <c r="A597" t="s">
        <v>27</v>
      </c>
      <c r="B597" s="1">
        <v>39083</v>
      </c>
      <c r="C597" s="7">
        <f t="shared" si="109"/>
        <v>2007</v>
      </c>
      <c r="D597">
        <v>57.1</v>
      </c>
      <c r="E597">
        <v>31.2</v>
      </c>
      <c r="F597">
        <v>43.2</v>
      </c>
      <c r="G597" s="2">
        <f t="shared" si="108"/>
        <v>0</v>
      </c>
      <c r="H597">
        <v>57.1</v>
      </c>
      <c r="I597">
        <v>27.6</v>
      </c>
      <c r="J597">
        <v>42.4</v>
      </c>
      <c r="K597">
        <v>33.799999999999997</v>
      </c>
      <c r="L597">
        <v>70.5</v>
      </c>
      <c r="M597" s="2">
        <f t="shared" si="110"/>
        <v>0</v>
      </c>
      <c r="N597">
        <v>0</v>
      </c>
      <c r="O597">
        <f>AVERAGE(N597:N729)</f>
        <v>3.9022556390977447E-3</v>
      </c>
      <c r="P597" s="2">
        <f t="shared" si="111"/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2">
        <f t="shared" si="112"/>
        <v>0</v>
      </c>
      <c r="X597">
        <v>6.8</v>
      </c>
      <c r="Y597">
        <f>AVERAGE(X597:X729)</f>
        <v>16.2827067669173</v>
      </c>
      <c r="Z597" s="2">
        <f t="shared" si="113"/>
        <v>0</v>
      </c>
      <c r="AA597">
        <v>240.8</v>
      </c>
      <c r="AB597" s="2" t="str">
        <f>CHOOSE(MATCH(AA597,{0;11;80;111;161;191;241;281;341},1),"North","NorthEast","East","SouthEast","South","SouthWest","West","NorthWest","North")</f>
        <v>SouthWest</v>
      </c>
      <c r="AC597" s="5">
        <f>CHOOSE(MATCH(AB597,{"South";"SouthEast";"SouthWest";"North";"NorthEast";"East";"West";"NorthWest"},0),1,2,3,4,5,6,7,8)</f>
        <v>3</v>
      </c>
      <c r="AD597" s="2">
        <f t="shared" si="114"/>
        <v>1</v>
      </c>
      <c r="AE597">
        <v>1033.8</v>
      </c>
      <c r="AF597" s="4" t="s">
        <v>1028</v>
      </c>
      <c r="AG597" s="2">
        <f t="shared" si="115"/>
        <v>1</v>
      </c>
      <c r="AH597" t="s">
        <v>1029</v>
      </c>
      <c r="AI597" s="2">
        <f t="shared" si="116"/>
        <v>1</v>
      </c>
      <c r="AJ597" s="2">
        <f t="shared" si="117"/>
        <v>0</v>
      </c>
      <c r="AK597" s="3">
        <v>75.00000000349246</v>
      </c>
      <c r="AL597" s="3">
        <f>AVERAGE(AK597:AK729)</f>
        <v>985.20300751836464</v>
      </c>
      <c r="AM597" s="2">
        <v>0</v>
      </c>
      <c r="AN597">
        <v>0</v>
      </c>
      <c r="AO597">
        <v>2</v>
      </c>
      <c r="AP597">
        <v>0</v>
      </c>
      <c r="AQ597" s="2">
        <f>IF((2*G597 + M597 -P597 + 3*W597 + 2*Z597+2*AD597 + AG597+2*AJ597 + 4*AM597) &gt;=8,1,0)</f>
        <v>0</v>
      </c>
    </row>
    <row r="598" spans="1:43" x14ac:dyDescent="0.25">
      <c r="A598" t="s">
        <v>27</v>
      </c>
      <c r="B598" s="1">
        <v>39087</v>
      </c>
      <c r="C598" s="7">
        <f t="shared" si="109"/>
        <v>2007</v>
      </c>
      <c r="D598">
        <v>52.4</v>
      </c>
      <c r="E598">
        <v>38.200000000000003</v>
      </c>
      <c r="F598">
        <v>45.4</v>
      </c>
      <c r="G598" s="2">
        <f t="shared" si="108"/>
        <v>0</v>
      </c>
      <c r="H598">
        <v>52.4</v>
      </c>
      <c r="I598">
        <v>35.700000000000003</v>
      </c>
      <c r="J598">
        <v>44.1</v>
      </c>
      <c r="K598">
        <v>31.7</v>
      </c>
      <c r="L598">
        <v>59.5</v>
      </c>
      <c r="M598" s="2">
        <f t="shared" si="110"/>
        <v>0</v>
      </c>
      <c r="N598">
        <v>0</v>
      </c>
      <c r="P598" s="2">
        <f t="shared" si="111"/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2">
        <f t="shared" si="112"/>
        <v>0</v>
      </c>
      <c r="X598">
        <v>9</v>
      </c>
      <c r="Z598" s="2">
        <f t="shared" si="113"/>
        <v>0</v>
      </c>
      <c r="AA598">
        <v>343.2</v>
      </c>
      <c r="AB598" s="2" t="str">
        <f>CHOOSE(MATCH(AA598,{0;11;80;111;161;191;241;281;341},1),"North","NorthEast","East","SouthEast","South","SouthWest","West","NorthWest","North")</f>
        <v>North</v>
      </c>
      <c r="AC598" s="5">
        <f>CHOOSE(MATCH(AB598,{"South";"SouthEast";"SouthWest";"North";"NorthEast";"East";"West";"NorthWest"},0),1,2,3,4,5,6,7,8)</f>
        <v>4</v>
      </c>
      <c r="AD598" s="2">
        <f t="shared" si="114"/>
        <v>1</v>
      </c>
      <c r="AE598">
        <v>1018.9</v>
      </c>
      <c r="AF598" s="4" t="s">
        <v>1030</v>
      </c>
      <c r="AG598" s="2">
        <f t="shared" si="115"/>
        <v>1</v>
      </c>
      <c r="AH598" t="s">
        <v>1031</v>
      </c>
      <c r="AI598" s="2">
        <f t="shared" si="116"/>
        <v>1</v>
      </c>
      <c r="AJ598" s="2">
        <f t="shared" si="117"/>
        <v>0</v>
      </c>
      <c r="AK598" s="3">
        <v>39.999999994179227</v>
      </c>
      <c r="AM598" s="2">
        <v>0</v>
      </c>
      <c r="AN598">
        <v>1</v>
      </c>
      <c r="AO598">
        <v>0</v>
      </c>
      <c r="AP598">
        <v>0</v>
      </c>
      <c r="AQ598" s="2">
        <f>IF((2*G598 + M598 -P598 + 3*W598 + 2*Z598+2*AD598 + AG598+2*AJ598 + 4*AM598) &gt;=8,1,0)</f>
        <v>0</v>
      </c>
    </row>
    <row r="599" spans="1:43" x14ac:dyDescent="0.25">
      <c r="A599" t="s">
        <v>27</v>
      </c>
      <c r="B599" s="1">
        <v>39088</v>
      </c>
      <c r="C599" s="7">
        <f t="shared" si="109"/>
        <v>2007</v>
      </c>
      <c r="D599">
        <v>53.7</v>
      </c>
      <c r="E599">
        <v>41.5</v>
      </c>
      <c r="F599">
        <v>47.5</v>
      </c>
      <c r="G599" s="2">
        <f t="shared" si="108"/>
        <v>0</v>
      </c>
      <c r="H599">
        <v>53.7</v>
      </c>
      <c r="I599">
        <v>40</v>
      </c>
      <c r="J599">
        <v>45.5</v>
      </c>
      <c r="K599">
        <v>32.299999999999997</v>
      </c>
      <c r="L599">
        <v>56</v>
      </c>
      <c r="M599" s="2">
        <f t="shared" si="110"/>
        <v>0</v>
      </c>
      <c r="N599">
        <v>0</v>
      </c>
      <c r="P599" s="2">
        <f t="shared" si="111"/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2">
        <f t="shared" si="112"/>
        <v>0</v>
      </c>
      <c r="X599">
        <v>11.8</v>
      </c>
      <c r="Z599" s="2">
        <f t="shared" si="113"/>
        <v>0</v>
      </c>
      <c r="AA599">
        <v>330.1</v>
      </c>
      <c r="AB599" s="2" t="str">
        <f>CHOOSE(MATCH(AA599,{0;11;80;111;161;191;241;281;341},1),"North","NorthEast","East","SouthEast","South","SouthWest","West","NorthWest","North")</f>
        <v>NorthWest</v>
      </c>
      <c r="AC599" s="5">
        <f>CHOOSE(MATCH(AB599,{"South";"SouthEast";"SouthWest";"North";"NorthEast";"East";"West";"NorthWest"},0),1,2,3,4,5,6,7,8)</f>
        <v>8</v>
      </c>
      <c r="AD599" s="2">
        <f t="shared" si="114"/>
        <v>1</v>
      </c>
      <c r="AE599">
        <v>1023.4</v>
      </c>
      <c r="AF599" s="4" t="s">
        <v>1032</v>
      </c>
      <c r="AG599" s="2">
        <f t="shared" si="115"/>
        <v>1</v>
      </c>
      <c r="AH599" t="s">
        <v>1033</v>
      </c>
      <c r="AI599" s="2">
        <f t="shared" si="116"/>
        <v>1</v>
      </c>
      <c r="AJ599" s="2">
        <f t="shared" si="117"/>
        <v>0</v>
      </c>
      <c r="AK599" s="3">
        <v>135</v>
      </c>
      <c r="AM599" s="2">
        <v>0</v>
      </c>
      <c r="AN599">
        <v>0</v>
      </c>
      <c r="AO599">
        <v>0.03</v>
      </c>
      <c r="AP599">
        <v>0</v>
      </c>
      <c r="AQ599" s="2">
        <f>IF((2*G599 + M599 -P599 + 3*W599 + 2*Z599+2*AD599 + AG599+2*AJ599 + 4*AM599) &gt;=8,1,0)</f>
        <v>0</v>
      </c>
    </row>
    <row r="600" spans="1:43" x14ac:dyDescent="0.25">
      <c r="A600" t="s">
        <v>27</v>
      </c>
      <c r="B600" s="1">
        <v>39096</v>
      </c>
      <c r="C600" s="7">
        <f t="shared" si="109"/>
        <v>2007</v>
      </c>
      <c r="D600">
        <v>60.7</v>
      </c>
      <c r="E600">
        <v>33.9</v>
      </c>
      <c r="F600">
        <v>47.4</v>
      </c>
      <c r="G600" s="2">
        <f t="shared" si="108"/>
        <v>0</v>
      </c>
      <c r="H600">
        <v>60.7</v>
      </c>
      <c r="I600">
        <v>33.9</v>
      </c>
      <c r="J600">
        <v>47.4</v>
      </c>
      <c r="K600">
        <v>34.299999999999997</v>
      </c>
      <c r="L600">
        <v>62.5</v>
      </c>
      <c r="M600" s="2">
        <f t="shared" si="110"/>
        <v>0</v>
      </c>
      <c r="N600">
        <v>0</v>
      </c>
      <c r="P600" s="2">
        <f t="shared" si="111"/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2">
        <f t="shared" si="112"/>
        <v>0</v>
      </c>
      <c r="X600">
        <v>4.7</v>
      </c>
      <c r="Z600" s="2">
        <f t="shared" si="113"/>
        <v>0</v>
      </c>
      <c r="AA600">
        <v>217.3</v>
      </c>
      <c r="AB600" s="2" t="str">
        <f>CHOOSE(MATCH(AA600,{0;11;80;111;161;191;241;281;341},1),"North","NorthEast","East","SouthEast","South","SouthWest","West","NorthWest","North")</f>
        <v>SouthWest</v>
      </c>
      <c r="AC600" s="5">
        <f>CHOOSE(MATCH(AB600,{"South";"SouthEast";"SouthWest";"North";"NorthEast";"East";"West";"NorthWest"},0),1,2,3,4,5,6,7,8)</f>
        <v>3</v>
      </c>
      <c r="AD600" s="2">
        <f t="shared" si="114"/>
        <v>1</v>
      </c>
      <c r="AE600">
        <v>1025.8</v>
      </c>
      <c r="AF600" s="4" t="s">
        <v>1034</v>
      </c>
      <c r="AG600" s="2">
        <f t="shared" si="115"/>
        <v>1</v>
      </c>
      <c r="AH600" t="s">
        <v>1035</v>
      </c>
      <c r="AI600" s="2">
        <f t="shared" si="116"/>
        <v>1</v>
      </c>
      <c r="AJ600" s="2">
        <f t="shared" si="117"/>
        <v>0</v>
      </c>
      <c r="AK600" s="3">
        <v>74.999999993015081</v>
      </c>
      <c r="AM600" s="2">
        <v>0</v>
      </c>
      <c r="AN600">
        <v>0</v>
      </c>
      <c r="AO600">
        <v>1</v>
      </c>
      <c r="AP600">
        <v>0</v>
      </c>
      <c r="AQ600" s="2">
        <f>IF((2*G600 + M600 -P600 + 3*W600 + 2*Z600+2*AD600 + AG600+2*AJ600 + 4*AM600) &gt;=8,1,0)</f>
        <v>0</v>
      </c>
    </row>
    <row r="601" spans="1:43" x14ac:dyDescent="0.25">
      <c r="A601" t="s">
        <v>27</v>
      </c>
      <c r="B601" s="1">
        <v>39096</v>
      </c>
      <c r="C601" s="7">
        <f t="shared" si="109"/>
        <v>2007</v>
      </c>
      <c r="D601">
        <v>60.7</v>
      </c>
      <c r="E601">
        <v>33.9</v>
      </c>
      <c r="F601">
        <v>47.4</v>
      </c>
      <c r="G601" s="2">
        <f t="shared" si="108"/>
        <v>0</v>
      </c>
      <c r="H601">
        <v>60.7</v>
      </c>
      <c r="I601">
        <v>33.9</v>
      </c>
      <c r="J601">
        <v>47.4</v>
      </c>
      <c r="K601">
        <v>34.299999999999997</v>
      </c>
      <c r="L601">
        <v>62.5</v>
      </c>
      <c r="M601" s="2">
        <f t="shared" si="110"/>
        <v>0</v>
      </c>
      <c r="N601">
        <v>0</v>
      </c>
      <c r="P601" s="2">
        <f t="shared" si="111"/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s="2">
        <f t="shared" si="112"/>
        <v>0</v>
      </c>
      <c r="X601">
        <v>4.7</v>
      </c>
      <c r="Z601" s="2">
        <f t="shared" si="113"/>
        <v>0</v>
      </c>
      <c r="AA601">
        <v>217.3</v>
      </c>
      <c r="AB601" s="2" t="str">
        <f>CHOOSE(MATCH(AA601,{0;11;80;111;161;191;241;281;341},1),"North","NorthEast","East","SouthEast","South","SouthWest","West","NorthWest","North")</f>
        <v>SouthWest</v>
      </c>
      <c r="AC601" s="5">
        <f>CHOOSE(MATCH(AB601,{"South";"SouthEast";"SouthWest";"North";"NorthEast";"East";"West";"NorthWest"},0),1,2,3,4,5,6,7,8)</f>
        <v>3</v>
      </c>
      <c r="AD601" s="2">
        <f t="shared" si="114"/>
        <v>1</v>
      </c>
      <c r="AE601">
        <v>1025.8</v>
      </c>
      <c r="AF601" s="4" t="s">
        <v>1036</v>
      </c>
      <c r="AG601" s="2">
        <f t="shared" si="115"/>
        <v>0</v>
      </c>
      <c r="AH601" t="s">
        <v>1037</v>
      </c>
      <c r="AI601" s="2">
        <f t="shared" si="116"/>
        <v>1</v>
      </c>
      <c r="AJ601" s="2">
        <f t="shared" si="117"/>
        <v>0</v>
      </c>
      <c r="AK601" s="3">
        <v>180</v>
      </c>
      <c r="AM601" s="2">
        <v>0</v>
      </c>
      <c r="AN601">
        <v>0</v>
      </c>
      <c r="AO601">
        <v>2</v>
      </c>
      <c r="AP601">
        <v>0</v>
      </c>
      <c r="AQ601" s="2">
        <f>IF((2*G601 + M601 -P601 + 3*W601 + 2*Z601+2*AD601 + AG601+2*AJ601 + 4*AM601) &gt;=8,1,0)</f>
        <v>0</v>
      </c>
    </row>
    <row r="602" spans="1:43" x14ac:dyDescent="0.25">
      <c r="A602" t="s">
        <v>27</v>
      </c>
      <c r="B602" s="1">
        <v>39097</v>
      </c>
      <c r="C602" s="7">
        <f t="shared" si="109"/>
        <v>2007</v>
      </c>
      <c r="D602">
        <v>61.7</v>
      </c>
      <c r="E602">
        <v>39.5</v>
      </c>
      <c r="F602">
        <v>50.1</v>
      </c>
      <c r="G602" s="2">
        <f t="shared" si="108"/>
        <v>0</v>
      </c>
      <c r="H602">
        <v>61.7</v>
      </c>
      <c r="I602">
        <v>39.5</v>
      </c>
      <c r="J602">
        <v>50.1</v>
      </c>
      <c r="K602">
        <v>38</v>
      </c>
      <c r="L602">
        <v>64.8</v>
      </c>
      <c r="M602" s="2">
        <f t="shared" si="110"/>
        <v>0</v>
      </c>
      <c r="N602">
        <v>0</v>
      </c>
      <c r="P602" s="2">
        <f t="shared" si="111"/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2">
        <f t="shared" si="112"/>
        <v>0</v>
      </c>
      <c r="X602">
        <v>16.600000000000001</v>
      </c>
      <c r="Z602" s="2">
        <f t="shared" si="113"/>
        <v>1</v>
      </c>
      <c r="AA602">
        <v>4.5</v>
      </c>
      <c r="AB602" s="2" t="str">
        <f>CHOOSE(MATCH(AA602,{0;11;80;111;161;191;241;281;341},1),"North","NorthEast","East","SouthEast","South","SouthWest","West","NorthWest","North")</f>
        <v>North</v>
      </c>
      <c r="AC602" s="5">
        <f>CHOOSE(MATCH(AB602,{"South";"SouthEast";"SouthWest";"North";"NorthEast";"East";"West";"NorthWest"},0),1,2,3,4,5,6,7,8)</f>
        <v>4</v>
      </c>
      <c r="AD602" s="2">
        <f t="shared" si="114"/>
        <v>1</v>
      </c>
      <c r="AE602">
        <v>1025.9000000000001</v>
      </c>
      <c r="AF602" s="4" t="s">
        <v>1038</v>
      </c>
      <c r="AG602" s="2">
        <f t="shared" si="115"/>
        <v>0</v>
      </c>
      <c r="AH602" t="s">
        <v>1039</v>
      </c>
      <c r="AI602" s="2">
        <f t="shared" si="116"/>
        <v>1</v>
      </c>
      <c r="AJ602" s="2">
        <f t="shared" si="117"/>
        <v>0</v>
      </c>
      <c r="AK602" s="3">
        <v>271.00000000325957</v>
      </c>
      <c r="AM602" s="2">
        <v>0</v>
      </c>
      <c r="AN602">
        <v>1</v>
      </c>
      <c r="AO602">
        <v>0</v>
      </c>
      <c r="AP602">
        <v>0</v>
      </c>
      <c r="AQ602" s="2">
        <f>IF((2*G602 + M602 -P602 + 3*W602 + 2*Z602+2*AD602 + AG602+2*AJ602 + 4*AM602) &gt;=8,1,0)</f>
        <v>0</v>
      </c>
    </row>
    <row r="603" spans="1:43" x14ac:dyDescent="0.25">
      <c r="A603" t="s">
        <v>27</v>
      </c>
      <c r="B603" s="1">
        <v>39099</v>
      </c>
      <c r="C603" s="7">
        <f t="shared" si="109"/>
        <v>2007</v>
      </c>
      <c r="D603">
        <v>63.2</v>
      </c>
      <c r="E603">
        <v>37</v>
      </c>
      <c r="F603">
        <v>49.2</v>
      </c>
      <c r="G603" s="2">
        <f t="shared" si="108"/>
        <v>0</v>
      </c>
      <c r="H603">
        <v>63.2</v>
      </c>
      <c r="I603">
        <v>33.200000000000003</v>
      </c>
      <c r="J603">
        <v>48.4</v>
      </c>
      <c r="K603">
        <v>37.200000000000003</v>
      </c>
      <c r="L603">
        <v>65.400000000000006</v>
      </c>
      <c r="M603" s="2">
        <f t="shared" si="110"/>
        <v>0</v>
      </c>
      <c r="N603">
        <v>0</v>
      </c>
      <c r="P603" s="2">
        <f t="shared" si="111"/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s="2">
        <f t="shared" si="112"/>
        <v>0</v>
      </c>
      <c r="X603">
        <v>7.4</v>
      </c>
      <c r="Z603" s="2">
        <f t="shared" si="113"/>
        <v>0</v>
      </c>
      <c r="AA603">
        <v>301.10000000000002</v>
      </c>
      <c r="AB603" s="2" t="str">
        <f>CHOOSE(MATCH(AA603,{0;11;80;111;161;191;241;281;341},1),"North","NorthEast","East","SouthEast","South","SouthWest","West","NorthWest","North")</f>
        <v>NorthWest</v>
      </c>
      <c r="AC603" s="5">
        <f>CHOOSE(MATCH(AB603,{"South";"SouthEast";"SouthWest";"North";"NorthEast";"East";"West";"NorthWest"},0),1,2,3,4,5,6,7,8)</f>
        <v>8</v>
      </c>
      <c r="AD603" s="2">
        <f t="shared" si="114"/>
        <v>1</v>
      </c>
      <c r="AE603">
        <v>1027.9000000000001</v>
      </c>
      <c r="AF603" s="4" t="s">
        <v>1040</v>
      </c>
      <c r="AG603" s="2">
        <f t="shared" si="115"/>
        <v>0</v>
      </c>
      <c r="AH603" t="s">
        <v>1041</v>
      </c>
      <c r="AI603" s="2">
        <f t="shared" si="116"/>
        <v>1</v>
      </c>
      <c r="AJ603" s="2">
        <f t="shared" si="117"/>
        <v>0</v>
      </c>
      <c r="AK603" s="3">
        <v>214.99999999883579</v>
      </c>
      <c r="AM603" s="2">
        <v>0</v>
      </c>
      <c r="AN603">
        <v>0</v>
      </c>
      <c r="AO603">
        <v>1</v>
      </c>
      <c r="AP603">
        <v>0</v>
      </c>
      <c r="AQ603" s="2">
        <f>IF((2*G603 + M603 -P603 + 3*W603 + 2*Z603+2*AD603 + AG603+2*AJ603 + 4*AM603) &gt;=8,1,0)</f>
        <v>0</v>
      </c>
    </row>
    <row r="604" spans="1:43" x14ac:dyDescent="0.25">
      <c r="A604" t="s">
        <v>27</v>
      </c>
      <c r="B604" s="1">
        <v>39101</v>
      </c>
      <c r="C604" s="7">
        <f t="shared" si="109"/>
        <v>2007</v>
      </c>
      <c r="D604">
        <v>63.5</v>
      </c>
      <c r="E604">
        <v>49.4</v>
      </c>
      <c r="F604">
        <v>56.9</v>
      </c>
      <c r="G604" s="2">
        <f t="shared" si="108"/>
        <v>0</v>
      </c>
      <c r="H604">
        <v>63.5</v>
      </c>
      <c r="I604">
        <v>49.4</v>
      </c>
      <c r="J604">
        <v>56.9</v>
      </c>
      <c r="K604">
        <v>45.9</v>
      </c>
      <c r="L604">
        <v>67.7</v>
      </c>
      <c r="M604" s="2">
        <f t="shared" si="110"/>
        <v>0</v>
      </c>
      <c r="N604">
        <v>0</v>
      </c>
      <c r="P604" s="2">
        <f t="shared" si="111"/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2">
        <f t="shared" si="112"/>
        <v>0</v>
      </c>
      <c r="X604">
        <v>15.2</v>
      </c>
      <c r="Z604" s="2">
        <f t="shared" si="113"/>
        <v>0</v>
      </c>
      <c r="AA604">
        <v>254.8</v>
      </c>
      <c r="AB604" s="2" t="str">
        <f>CHOOSE(MATCH(AA604,{0;11;80;111;161;191;241;281;341},1),"North","NorthEast","East","SouthEast","South","SouthWest","West","NorthWest","North")</f>
        <v>West</v>
      </c>
      <c r="AC604" s="5">
        <f>CHOOSE(MATCH(AB604,{"South";"SouthEast";"SouthWest";"North";"NorthEast";"East";"West";"NorthWest"},0),1,2,3,4,5,6,7,8)</f>
        <v>7</v>
      </c>
      <c r="AD604" s="2">
        <f t="shared" si="114"/>
        <v>0</v>
      </c>
      <c r="AE604">
        <v>1015.7</v>
      </c>
      <c r="AF604" s="4" t="s">
        <v>1042</v>
      </c>
      <c r="AG604" s="2">
        <f t="shared" si="115"/>
        <v>1</v>
      </c>
      <c r="AH604" t="s">
        <v>1043</v>
      </c>
      <c r="AI604" s="2">
        <f t="shared" si="116"/>
        <v>1</v>
      </c>
      <c r="AJ604" s="2">
        <f t="shared" si="117"/>
        <v>0</v>
      </c>
      <c r="AK604" s="3">
        <v>779.99999999650754</v>
      </c>
      <c r="AM604" s="2">
        <v>1</v>
      </c>
      <c r="AN604">
        <v>0</v>
      </c>
      <c r="AO604">
        <v>22</v>
      </c>
      <c r="AP604">
        <v>0</v>
      </c>
      <c r="AQ604" s="2">
        <f>IF((2*G604 + M604 -P604 + 3*W604 + 2*Z604+2*AD604 + AG604+2*AJ604 + 4*AM604) &gt;=8,1,0)</f>
        <v>0</v>
      </c>
    </row>
    <row r="605" spans="1:43" x14ac:dyDescent="0.25">
      <c r="A605" t="s">
        <v>27</v>
      </c>
      <c r="B605" s="1">
        <v>39102</v>
      </c>
      <c r="C605" s="7">
        <f t="shared" si="109"/>
        <v>2007</v>
      </c>
      <c r="D605">
        <v>66.8</v>
      </c>
      <c r="E605">
        <v>49</v>
      </c>
      <c r="F605">
        <v>58.9</v>
      </c>
      <c r="G605" s="2">
        <f t="shared" si="108"/>
        <v>0</v>
      </c>
      <c r="H605">
        <v>66.8</v>
      </c>
      <c r="I605">
        <v>49</v>
      </c>
      <c r="J605">
        <v>58.9</v>
      </c>
      <c r="K605">
        <v>38.200000000000003</v>
      </c>
      <c r="L605">
        <v>48.4</v>
      </c>
      <c r="M605" s="2">
        <f t="shared" si="110"/>
        <v>1</v>
      </c>
      <c r="N605">
        <v>0</v>
      </c>
      <c r="P605" s="2">
        <f t="shared" si="111"/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2">
        <f t="shared" si="112"/>
        <v>0</v>
      </c>
      <c r="X605">
        <v>16.2</v>
      </c>
      <c r="Z605" s="2">
        <f t="shared" si="113"/>
        <v>1</v>
      </c>
      <c r="AA605">
        <v>325.89999999999998</v>
      </c>
      <c r="AB605" s="2" t="str">
        <f>CHOOSE(MATCH(AA605,{0;11;80;111;161;191;241;281;341},1),"North","NorthEast","East","SouthEast","South","SouthWest","West","NorthWest","North")</f>
        <v>NorthWest</v>
      </c>
      <c r="AC605" s="5">
        <f>CHOOSE(MATCH(AB605,{"South";"SouthEast";"SouthWest";"North";"NorthEast";"East";"West";"NorthWest"},0),1,2,3,4,5,6,7,8)</f>
        <v>8</v>
      </c>
      <c r="AD605" s="2">
        <f t="shared" si="114"/>
        <v>1</v>
      </c>
      <c r="AE605">
        <v>1018.1</v>
      </c>
      <c r="AF605" s="4" t="s">
        <v>1044</v>
      </c>
      <c r="AG605" s="2">
        <f t="shared" si="115"/>
        <v>1</v>
      </c>
      <c r="AH605" t="s">
        <v>1045</v>
      </c>
      <c r="AI605" s="2">
        <f t="shared" si="116"/>
        <v>1</v>
      </c>
      <c r="AJ605" s="2">
        <f t="shared" si="117"/>
        <v>0</v>
      </c>
      <c r="AK605" s="3">
        <v>42.000000000698492</v>
      </c>
      <c r="AM605" s="2">
        <v>0</v>
      </c>
      <c r="AN605">
        <v>0</v>
      </c>
      <c r="AO605">
        <v>1</v>
      </c>
      <c r="AP605">
        <v>0</v>
      </c>
      <c r="AQ605" s="2">
        <f>IF((2*G605 + M605 -P605 + 3*W605 + 2*Z605+2*AD605 + AG605+2*AJ605 + 4*AM605) &gt;=8,1,0)</f>
        <v>0</v>
      </c>
    </row>
    <row r="606" spans="1:43" x14ac:dyDescent="0.25">
      <c r="A606" t="s">
        <v>27</v>
      </c>
      <c r="B606" s="1">
        <v>39105</v>
      </c>
      <c r="C606" s="7">
        <f t="shared" si="109"/>
        <v>2007</v>
      </c>
      <c r="D606">
        <v>62.3</v>
      </c>
      <c r="E606">
        <v>46.5</v>
      </c>
      <c r="F606">
        <v>54.9</v>
      </c>
      <c r="G606" s="2">
        <f t="shared" si="108"/>
        <v>0</v>
      </c>
      <c r="H606">
        <v>62.3</v>
      </c>
      <c r="I606">
        <v>46.5</v>
      </c>
      <c r="J606">
        <v>54.7</v>
      </c>
      <c r="K606">
        <v>49.8</v>
      </c>
      <c r="L606">
        <v>83.1</v>
      </c>
      <c r="M606" s="2">
        <f t="shared" si="110"/>
        <v>0</v>
      </c>
      <c r="N606">
        <v>0</v>
      </c>
      <c r="P606" s="2">
        <f t="shared" si="111"/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2">
        <f t="shared" si="112"/>
        <v>0</v>
      </c>
      <c r="X606">
        <v>16</v>
      </c>
      <c r="Z606" s="2">
        <f t="shared" si="113"/>
        <v>1</v>
      </c>
      <c r="AA606">
        <v>183.2</v>
      </c>
      <c r="AB606" s="2" t="str">
        <f>CHOOSE(MATCH(AA606,{0;11;80;111;161;191;241;281;341},1),"North","NorthEast","East","SouthEast","South","SouthWest","West","NorthWest","North")</f>
        <v>South</v>
      </c>
      <c r="AC606" s="5">
        <f>CHOOSE(MATCH(AB606,{"South";"SouthEast";"SouthWest";"North";"NorthEast";"East";"West";"NorthWest"},0),1,2,3,4,5,6,7,8)</f>
        <v>1</v>
      </c>
      <c r="AD606" s="2">
        <f t="shared" si="114"/>
        <v>0</v>
      </c>
      <c r="AE606">
        <v>1020.6</v>
      </c>
      <c r="AF606" s="4" t="s">
        <v>1046</v>
      </c>
      <c r="AG606" s="2">
        <f t="shared" si="115"/>
        <v>1</v>
      </c>
      <c r="AH606" t="s">
        <v>1047</v>
      </c>
      <c r="AI606" s="2">
        <f t="shared" si="116"/>
        <v>1</v>
      </c>
      <c r="AJ606" s="2">
        <f t="shared" si="117"/>
        <v>0</v>
      </c>
      <c r="AK606" s="3">
        <v>135</v>
      </c>
      <c r="AM606" s="2">
        <v>0</v>
      </c>
      <c r="AN606">
        <v>0</v>
      </c>
      <c r="AO606">
        <v>5</v>
      </c>
      <c r="AP606">
        <v>0</v>
      </c>
      <c r="AQ606" s="2">
        <f>IF((2*G606 + M606 -P606 + 3*W606 + 2*Z606+2*AD606 + AG606+2*AJ606 + 4*AM606) &gt;=8,1,0)</f>
        <v>0</v>
      </c>
    </row>
    <row r="607" spans="1:43" x14ac:dyDescent="0.25">
      <c r="A607" t="s">
        <v>27</v>
      </c>
      <c r="B607" s="1">
        <v>39106</v>
      </c>
      <c r="C607" s="7">
        <f t="shared" si="109"/>
        <v>2007</v>
      </c>
      <c r="D607">
        <v>63.7</v>
      </c>
      <c r="E607">
        <v>56.3</v>
      </c>
      <c r="F607">
        <v>59.5</v>
      </c>
      <c r="G607" s="2">
        <f t="shared" si="108"/>
        <v>0</v>
      </c>
      <c r="H607">
        <v>63.7</v>
      </c>
      <c r="I607">
        <v>56.3</v>
      </c>
      <c r="J607">
        <v>59.5</v>
      </c>
      <c r="K607">
        <v>51.2</v>
      </c>
      <c r="L607">
        <v>74.400000000000006</v>
      </c>
      <c r="M607" s="2">
        <f t="shared" si="110"/>
        <v>0</v>
      </c>
      <c r="N607">
        <v>0</v>
      </c>
      <c r="P607" s="2">
        <f t="shared" si="111"/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2">
        <f t="shared" si="112"/>
        <v>0</v>
      </c>
      <c r="X607">
        <v>23.6</v>
      </c>
      <c r="Z607" s="2">
        <f t="shared" si="113"/>
        <v>1</v>
      </c>
      <c r="AA607">
        <v>170.1</v>
      </c>
      <c r="AB607" s="2" t="str">
        <f>CHOOSE(MATCH(AA607,{0;11;80;111;161;191;241;281;341},1),"North","NorthEast","East","SouthEast","South","SouthWest","West","NorthWest","North")</f>
        <v>South</v>
      </c>
      <c r="AC607" s="5">
        <f>CHOOSE(MATCH(AB607,{"South";"SouthEast";"SouthWest";"North";"NorthEast";"East";"West";"NorthWest"},0),1,2,3,4,5,6,7,8)</f>
        <v>1</v>
      </c>
      <c r="AD607" s="2">
        <f t="shared" si="114"/>
        <v>0</v>
      </c>
      <c r="AE607">
        <v>1014</v>
      </c>
      <c r="AF607" s="4" t="s">
        <v>1048</v>
      </c>
      <c r="AG607" s="2">
        <f t="shared" si="115"/>
        <v>1</v>
      </c>
      <c r="AH607" t="s">
        <v>1049</v>
      </c>
      <c r="AI607" s="2">
        <f t="shared" si="116"/>
        <v>1</v>
      </c>
      <c r="AJ607" s="2">
        <f t="shared" si="117"/>
        <v>0</v>
      </c>
      <c r="AK607" s="3">
        <v>924.99999999767169</v>
      </c>
      <c r="AM607" s="2">
        <v>1</v>
      </c>
      <c r="AN607">
        <v>0</v>
      </c>
      <c r="AO607">
        <v>2</v>
      </c>
      <c r="AP607">
        <v>0</v>
      </c>
      <c r="AQ607" s="2">
        <f>IF((2*G607 + M607 -P607 + 3*W607 + 2*Z607+2*AD607 + AG607+2*AJ607 + 4*AM607) &gt;=8,1,0)</f>
        <v>0</v>
      </c>
    </row>
    <row r="608" spans="1:43" x14ac:dyDescent="0.25">
      <c r="A608" t="s">
        <v>27</v>
      </c>
      <c r="B608" s="1">
        <v>39107</v>
      </c>
      <c r="C608" s="7">
        <f t="shared" si="109"/>
        <v>2007</v>
      </c>
      <c r="D608">
        <v>64.5</v>
      </c>
      <c r="E608">
        <v>56.5</v>
      </c>
      <c r="F608">
        <v>59.8</v>
      </c>
      <c r="G608" s="2">
        <f t="shared" si="108"/>
        <v>0</v>
      </c>
      <c r="H608">
        <v>64.5</v>
      </c>
      <c r="I608">
        <v>56.5</v>
      </c>
      <c r="J608">
        <v>59.8</v>
      </c>
      <c r="K608">
        <v>51.1</v>
      </c>
      <c r="L608">
        <v>73.2</v>
      </c>
      <c r="M608" s="2">
        <f t="shared" si="110"/>
        <v>0</v>
      </c>
      <c r="N608">
        <v>0</v>
      </c>
      <c r="P608" s="2">
        <f t="shared" si="111"/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s="2">
        <f t="shared" si="112"/>
        <v>0</v>
      </c>
      <c r="X608">
        <v>19.5</v>
      </c>
      <c r="Z608" s="2">
        <f t="shared" si="113"/>
        <v>1</v>
      </c>
      <c r="AA608">
        <v>161.80000000000001</v>
      </c>
      <c r="AB608" s="2" t="str">
        <f>CHOOSE(MATCH(AA608,{0;11;80;111;161;191;241;281;341},1),"North","NorthEast","East","SouthEast","South","SouthWest","West","NorthWest","North")</f>
        <v>South</v>
      </c>
      <c r="AC608" s="5">
        <f>CHOOSE(MATCH(AB608,{"South";"SouthEast";"SouthWest";"North";"NorthEast";"East";"West";"NorthWest"},0),1,2,3,4,5,6,7,8)</f>
        <v>1</v>
      </c>
      <c r="AD608" s="2">
        <f t="shared" si="114"/>
        <v>0</v>
      </c>
      <c r="AE608">
        <v>1015.1</v>
      </c>
      <c r="AF608" s="4" t="s">
        <v>1050</v>
      </c>
      <c r="AG608" s="2">
        <f t="shared" si="115"/>
        <v>1</v>
      </c>
      <c r="AH608" t="s">
        <v>1051</v>
      </c>
      <c r="AI608" s="2">
        <f t="shared" si="116"/>
        <v>1</v>
      </c>
      <c r="AJ608" s="2">
        <f t="shared" si="117"/>
        <v>0</v>
      </c>
      <c r="AK608" s="3">
        <v>120.9999999962747</v>
      </c>
      <c r="AM608" s="2">
        <v>0</v>
      </c>
      <c r="AN608">
        <v>1</v>
      </c>
      <c r="AO608">
        <v>0</v>
      </c>
      <c r="AP608">
        <v>0</v>
      </c>
      <c r="AQ608" s="2">
        <f>IF((2*G608 + M608 -P608 + 3*W608 + 2*Z608+2*AD608 + AG608+2*AJ608 + 4*AM608) &gt;=8,1,0)</f>
        <v>0</v>
      </c>
    </row>
    <row r="609" spans="1:43" x14ac:dyDescent="0.25">
      <c r="A609" t="s">
        <v>27</v>
      </c>
      <c r="B609" s="1">
        <v>39108</v>
      </c>
      <c r="C609" s="7">
        <f t="shared" si="109"/>
        <v>2007</v>
      </c>
      <c r="D609">
        <v>65.400000000000006</v>
      </c>
      <c r="E609">
        <v>54.8</v>
      </c>
      <c r="F609">
        <v>59.5</v>
      </c>
      <c r="G609" s="2">
        <f t="shared" si="108"/>
        <v>0</v>
      </c>
      <c r="H609">
        <v>65.400000000000006</v>
      </c>
      <c r="I609">
        <v>54.8</v>
      </c>
      <c r="J609">
        <v>59.5</v>
      </c>
      <c r="K609">
        <v>49.4</v>
      </c>
      <c r="L609">
        <v>69.7</v>
      </c>
      <c r="M609" s="2">
        <f t="shared" si="110"/>
        <v>0</v>
      </c>
      <c r="N609">
        <v>0</v>
      </c>
      <c r="P609" s="2">
        <f t="shared" si="111"/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2">
        <f t="shared" si="112"/>
        <v>0</v>
      </c>
      <c r="X609">
        <v>17.3</v>
      </c>
      <c r="Z609" s="2">
        <f t="shared" si="113"/>
        <v>1</v>
      </c>
      <c r="AA609">
        <v>145.6</v>
      </c>
      <c r="AB609" s="2" t="str">
        <f>CHOOSE(MATCH(AA609,{0;11;80;111;161;191;241;281;341},1),"North","NorthEast","East","SouthEast","South","SouthWest","West","NorthWest","North")</f>
        <v>SouthEast</v>
      </c>
      <c r="AC609" s="5">
        <f>CHOOSE(MATCH(AB609,{"South";"SouthEast";"SouthWest";"North";"NorthEast";"East";"West";"NorthWest"},0),1,2,3,4,5,6,7,8)</f>
        <v>2</v>
      </c>
      <c r="AD609" s="2">
        <f t="shared" si="114"/>
        <v>0</v>
      </c>
      <c r="AE609">
        <v>1016.6</v>
      </c>
      <c r="AF609" s="4" t="s">
        <v>1052</v>
      </c>
      <c r="AG609" s="2">
        <f t="shared" si="115"/>
        <v>1</v>
      </c>
      <c r="AH609" t="s">
        <v>1053</v>
      </c>
      <c r="AI609" s="2">
        <f t="shared" si="116"/>
        <v>1</v>
      </c>
      <c r="AJ609" s="2">
        <f t="shared" si="117"/>
        <v>0</v>
      </c>
      <c r="AK609" s="3">
        <v>680.00000000582077</v>
      </c>
      <c r="AM609" s="2">
        <v>1</v>
      </c>
      <c r="AN609">
        <v>0</v>
      </c>
      <c r="AO609">
        <v>20</v>
      </c>
      <c r="AP609">
        <v>0</v>
      </c>
      <c r="AQ609" s="2">
        <f>IF((2*G609 + M609 -P609 + 3*W609 + 2*Z609+2*AD609 + AG609+2*AJ609 + 4*AM609) &gt;=8,1,0)</f>
        <v>0</v>
      </c>
    </row>
    <row r="610" spans="1:43" x14ac:dyDescent="0.25">
      <c r="A610" t="s">
        <v>27</v>
      </c>
      <c r="B610" s="1">
        <v>39108</v>
      </c>
      <c r="C610" s="7">
        <f t="shared" si="109"/>
        <v>2007</v>
      </c>
      <c r="D610">
        <v>65.400000000000006</v>
      </c>
      <c r="E610">
        <v>54.8</v>
      </c>
      <c r="F610">
        <v>59.5</v>
      </c>
      <c r="G610" s="2">
        <f t="shared" si="108"/>
        <v>0</v>
      </c>
      <c r="H610">
        <v>65.400000000000006</v>
      </c>
      <c r="I610">
        <v>54.8</v>
      </c>
      <c r="J610">
        <v>59.5</v>
      </c>
      <c r="K610">
        <v>49.4</v>
      </c>
      <c r="L610">
        <v>69.7</v>
      </c>
      <c r="M610" s="2">
        <f t="shared" si="110"/>
        <v>0</v>
      </c>
      <c r="N610">
        <v>0</v>
      </c>
      <c r="P610" s="2">
        <f t="shared" si="111"/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s="2">
        <f t="shared" si="112"/>
        <v>0</v>
      </c>
      <c r="X610">
        <v>17.3</v>
      </c>
      <c r="Z610" s="2">
        <f t="shared" si="113"/>
        <v>1</v>
      </c>
      <c r="AA610">
        <v>145.6</v>
      </c>
      <c r="AB610" s="2" t="str">
        <f>CHOOSE(MATCH(AA610,{0;11;80;111;161;191;241;281;341},1),"North","NorthEast","East","SouthEast","South","SouthWest","West","NorthWest","North")</f>
        <v>SouthEast</v>
      </c>
      <c r="AC610" s="5">
        <f>CHOOSE(MATCH(AB610,{"South";"SouthEast";"SouthWest";"North";"NorthEast";"East";"West";"NorthWest"},0),1,2,3,4,5,6,7,8)</f>
        <v>2</v>
      </c>
      <c r="AD610" s="2">
        <f t="shared" si="114"/>
        <v>0</v>
      </c>
      <c r="AE610">
        <v>1016.6</v>
      </c>
      <c r="AF610" s="4" t="s">
        <v>1054</v>
      </c>
      <c r="AG610" s="2">
        <f t="shared" si="115"/>
        <v>1</v>
      </c>
      <c r="AH610" t="s">
        <v>1055</v>
      </c>
      <c r="AI610" s="2">
        <f t="shared" si="116"/>
        <v>1</v>
      </c>
      <c r="AJ610" s="2">
        <f t="shared" si="117"/>
        <v>0</v>
      </c>
      <c r="AK610" s="3">
        <v>675</v>
      </c>
      <c r="AM610" s="2">
        <v>1</v>
      </c>
      <c r="AN610">
        <v>0</v>
      </c>
      <c r="AO610">
        <v>20</v>
      </c>
      <c r="AP610">
        <v>0</v>
      </c>
      <c r="AQ610" s="2">
        <f>IF((2*G610 + M610 -P610 + 3*W610 + 2*Z610+2*AD610 + AG610+2*AJ610 + 4*AM610) &gt;=8,1,0)</f>
        <v>0</v>
      </c>
    </row>
    <row r="611" spans="1:43" x14ac:dyDescent="0.25">
      <c r="A611" t="s">
        <v>27</v>
      </c>
      <c r="B611" s="1">
        <v>39110</v>
      </c>
      <c r="C611" s="7">
        <f t="shared" si="109"/>
        <v>2007</v>
      </c>
      <c r="D611">
        <v>57.3</v>
      </c>
      <c r="E611">
        <v>39.5</v>
      </c>
      <c r="F611">
        <v>47.3</v>
      </c>
      <c r="G611" s="2">
        <f t="shared" si="108"/>
        <v>0</v>
      </c>
      <c r="H611">
        <v>57.3</v>
      </c>
      <c r="I611">
        <v>36.9</v>
      </c>
      <c r="J611">
        <v>43.1</v>
      </c>
      <c r="K611">
        <v>21.2</v>
      </c>
      <c r="L611">
        <v>36.6</v>
      </c>
      <c r="M611" s="2">
        <f t="shared" si="110"/>
        <v>1</v>
      </c>
      <c r="N611">
        <v>0</v>
      </c>
      <c r="P611" s="2">
        <f t="shared" si="111"/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s="2">
        <f t="shared" si="112"/>
        <v>0</v>
      </c>
      <c r="X611">
        <v>22.6</v>
      </c>
      <c r="Z611" s="2">
        <f t="shared" si="113"/>
        <v>1</v>
      </c>
      <c r="AA611">
        <v>332.3</v>
      </c>
      <c r="AB611" s="2" t="str">
        <f>CHOOSE(MATCH(AA611,{0;11;80;111;161;191;241;281;341},1),"North","NorthEast","East","SouthEast","South","SouthWest","West","NorthWest","North")</f>
        <v>NorthWest</v>
      </c>
      <c r="AC611" s="5">
        <f>CHOOSE(MATCH(AB611,{"South";"SouthEast";"SouthWest";"North";"NorthEast";"East";"West";"NorthWest"},0),1,2,3,4,5,6,7,8)</f>
        <v>8</v>
      </c>
      <c r="AD611" s="2">
        <f t="shared" si="114"/>
        <v>1</v>
      </c>
      <c r="AE611">
        <v>1020.8</v>
      </c>
      <c r="AF611" s="4" t="s">
        <v>1056</v>
      </c>
      <c r="AG611" s="2">
        <f t="shared" si="115"/>
        <v>1</v>
      </c>
      <c r="AH611" t="s">
        <v>1057</v>
      </c>
      <c r="AI611" s="2">
        <f t="shared" si="116"/>
        <v>1</v>
      </c>
      <c r="AJ611" s="2">
        <f t="shared" si="117"/>
        <v>0</v>
      </c>
      <c r="AK611" s="3">
        <v>79.999999998835847</v>
      </c>
      <c r="AM611" s="2">
        <v>0</v>
      </c>
      <c r="AN611">
        <v>1</v>
      </c>
      <c r="AO611">
        <v>0</v>
      </c>
      <c r="AP611">
        <v>0</v>
      </c>
      <c r="AQ611" s="2">
        <f>IF((2*G611 + M611 -P611 + 3*W611 + 2*Z611+2*AD611 + AG611+2*AJ611 + 4*AM611) &gt;=8,1,0)</f>
        <v>0</v>
      </c>
    </row>
    <row r="612" spans="1:43" x14ac:dyDescent="0.25">
      <c r="A612" t="s">
        <v>27</v>
      </c>
      <c r="B612" s="1">
        <v>39122</v>
      </c>
      <c r="C612" s="7">
        <f t="shared" si="109"/>
        <v>2007</v>
      </c>
      <c r="D612">
        <v>61.2</v>
      </c>
      <c r="E612">
        <v>44.7</v>
      </c>
      <c r="F612">
        <v>53</v>
      </c>
      <c r="G612" s="2">
        <f t="shared" si="108"/>
        <v>0</v>
      </c>
      <c r="H612">
        <v>61.2</v>
      </c>
      <c r="I612">
        <v>44.7</v>
      </c>
      <c r="J612">
        <v>53</v>
      </c>
      <c r="K612">
        <v>46.6</v>
      </c>
      <c r="L612">
        <v>79.900000000000006</v>
      </c>
      <c r="M612" s="2">
        <f t="shared" si="110"/>
        <v>0</v>
      </c>
      <c r="N612">
        <v>0</v>
      </c>
      <c r="P612" s="2">
        <f t="shared" si="111"/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2">
        <f t="shared" si="112"/>
        <v>0</v>
      </c>
      <c r="X612">
        <v>9.6999999999999993</v>
      </c>
      <c r="Z612" s="2">
        <f t="shared" si="113"/>
        <v>0</v>
      </c>
      <c r="AA612">
        <v>195</v>
      </c>
      <c r="AB612" s="2" t="str">
        <f>CHOOSE(MATCH(AA612,{0;11;80;111;161;191;241;281;341},1),"North","NorthEast","East","SouthEast","South","SouthWest","West","NorthWest","North")</f>
        <v>SouthWest</v>
      </c>
      <c r="AC612" s="5">
        <f>CHOOSE(MATCH(AB612,{"South";"SouthEast";"SouthWest";"North";"NorthEast";"East";"West";"NorthWest"},0),1,2,3,4,5,6,7,8)</f>
        <v>3</v>
      </c>
      <c r="AD612" s="2">
        <f t="shared" si="114"/>
        <v>1</v>
      </c>
      <c r="AE612">
        <v>1015.8</v>
      </c>
      <c r="AF612" s="4" t="s">
        <v>1058</v>
      </c>
      <c r="AG612" s="2">
        <f t="shared" si="115"/>
        <v>1</v>
      </c>
      <c r="AH612" t="s">
        <v>1059</v>
      </c>
      <c r="AI612" s="2">
        <f t="shared" si="116"/>
        <v>2</v>
      </c>
      <c r="AJ612" s="2">
        <f t="shared" si="117"/>
        <v>0</v>
      </c>
      <c r="AK612" s="3">
        <v>90</v>
      </c>
      <c r="AM612" s="2">
        <v>0</v>
      </c>
      <c r="AN612">
        <v>0</v>
      </c>
      <c r="AO612">
        <v>1</v>
      </c>
      <c r="AP612">
        <v>0</v>
      </c>
      <c r="AQ612" s="2">
        <f>IF((2*G612 + M612 -P612 + 3*W612 + 2*Z612+2*AD612 + AG612+2*AJ612 + 4*AM612) &gt;=8,1,0)</f>
        <v>0</v>
      </c>
    </row>
    <row r="613" spans="1:43" x14ac:dyDescent="0.25">
      <c r="A613" t="s">
        <v>27</v>
      </c>
      <c r="B613" s="1">
        <v>39126</v>
      </c>
      <c r="C613" s="7">
        <f t="shared" si="109"/>
        <v>2007</v>
      </c>
      <c r="D613">
        <v>61.9</v>
      </c>
      <c r="E613">
        <v>49.9</v>
      </c>
      <c r="F613">
        <v>54.9</v>
      </c>
      <c r="G613" s="2">
        <f t="shared" si="108"/>
        <v>0</v>
      </c>
      <c r="H613">
        <v>61.9</v>
      </c>
      <c r="I613">
        <v>49.9</v>
      </c>
      <c r="J613">
        <v>54.9</v>
      </c>
      <c r="K613">
        <v>47.5</v>
      </c>
      <c r="L613">
        <v>77.3</v>
      </c>
      <c r="M613" s="2">
        <f t="shared" si="110"/>
        <v>0</v>
      </c>
      <c r="N613">
        <v>0</v>
      </c>
      <c r="P613" s="2">
        <f t="shared" si="111"/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2">
        <f t="shared" si="112"/>
        <v>0</v>
      </c>
      <c r="X613">
        <v>17.8</v>
      </c>
      <c r="Z613" s="2">
        <f t="shared" si="113"/>
        <v>1</v>
      </c>
      <c r="AA613">
        <v>218.4</v>
      </c>
      <c r="AB613" s="2" t="str">
        <f>CHOOSE(MATCH(AA613,{0;11;80;111;161;191;241;281;341},1),"North","NorthEast","East","SouthEast","South","SouthWest","West","NorthWest","North")</f>
        <v>SouthWest</v>
      </c>
      <c r="AC613" s="5">
        <f>CHOOSE(MATCH(AB613,{"South";"SouthEast";"SouthWest";"North";"NorthEast";"East";"West";"NorthWest"},0),1,2,3,4,5,6,7,8)</f>
        <v>3</v>
      </c>
      <c r="AD613" s="2">
        <f t="shared" si="114"/>
        <v>1</v>
      </c>
      <c r="AE613">
        <v>1007.1</v>
      </c>
      <c r="AF613" s="4" t="s">
        <v>1060</v>
      </c>
      <c r="AG613" s="2">
        <f t="shared" si="115"/>
        <v>1</v>
      </c>
      <c r="AH613" t="s">
        <v>1061</v>
      </c>
      <c r="AI613" s="2">
        <f t="shared" si="116"/>
        <v>2</v>
      </c>
      <c r="AJ613" s="2">
        <f t="shared" si="117"/>
        <v>0</v>
      </c>
      <c r="AK613" s="3">
        <v>106.99999999254941</v>
      </c>
      <c r="AM613" s="2">
        <v>0</v>
      </c>
      <c r="AN613">
        <v>0</v>
      </c>
      <c r="AO613">
        <v>5</v>
      </c>
      <c r="AP613">
        <v>0</v>
      </c>
      <c r="AQ613" s="2">
        <f>IF((2*G613 + M613 -P613 + 3*W613 + 2*Z613+2*AD613 + AG613+2*AJ613 + 4*AM613) &gt;=8,1,0)</f>
        <v>0</v>
      </c>
    </row>
    <row r="614" spans="1:43" x14ac:dyDescent="0.25">
      <c r="A614" t="s">
        <v>27</v>
      </c>
      <c r="B614" s="1">
        <v>39140</v>
      </c>
      <c r="C614" s="7">
        <f t="shared" si="109"/>
        <v>2007</v>
      </c>
      <c r="D614">
        <v>57.1</v>
      </c>
      <c r="E614">
        <v>49.2</v>
      </c>
      <c r="F614">
        <v>52.2</v>
      </c>
      <c r="G614" s="2">
        <f t="shared" si="108"/>
        <v>0</v>
      </c>
      <c r="H614">
        <v>57.1</v>
      </c>
      <c r="I614">
        <v>47.9</v>
      </c>
      <c r="J614">
        <v>52.1</v>
      </c>
      <c r="K614">
        <v>46.5</v>
      </c>
      <c r="L614">
        <v>81</v>
      </c>
      <c r="M614" s="2">
        <f t="shared" si="110"/>
        <v>0</v>
      </c>
      <c r="N614">
        <v>0.189</v>
      </c>
      <c r="P614" s="2">
        <f t="shared" si="111"/>
        <v>0</v>
      </c>
      <c r="Q614">
        <v>100</v>
      </c>
      <c r="R614">
        <v>8.33</v>
      </c>
      <c r="S614" t="s">
        <v>87</v>
      </c>
      <c r="T614">
        <v>0</v>
      </c>
      <c r="U614">
        <v>0</v>
      </c>
      <c r="V614">
        <v>0</v>
      </c>
      <c r="W614" s="2">
        <f t="shared" si="112"/>
        <v>0</v>
      </c>
      <c r="X614">
        <v>14.5</v>
      </c>
      <c r="Z614" s="2">
        <f t="shared" si="113"/>
        <v>0</v>
      </c>
      <c r="AA614">
        <v>158.1</v>
      </c>
      <c r="AB614" s="2" t="str">
        <f>CHOOSE(MATCH(AA614,{0;11;80;111;161;191;241;281;341},1),"North","NorthEast","East","SouthEast","South","SouthWest","West","NorthWest","North")</f>
        <v>SouthEast</v>
      </c>
      <c r="AC614" s="5">
        <f>CHOOSE(MATCH(AB614,{"South";"SouthEast";"SouthWest";"North";"NorthEast";"East";"West";"NorthWest"},0),1,2,3,4,5,6,7,8)</f>
        <v>2</v>
      </c>
      <c r="AD614" s="2">
        <f t="shared" si="114"/>
        <v>0</v>
      </c>
      <c r="AE614">
        <v>1008.4</v>
      </c>
      <c r="AF614" s="4" t="s">
        <v>1062</v>
      </c>
      <c r="AG614" s="2">
        <f t="shared" si="115"/>
        <v>0</v>
      </c>
      <c r="AH614" t="s">
        <v>1063</v>
      </c>
      <c r="AI614" s="2">
        <f t="shared" si="116"/>
        <v>2</v>
      </c>
      <c r="AJ614" s="2">
        <f t="shared" si="117"/>
        <v>0</v>
      </c>
      <c r="AK614" s="3">
        <v>84.000000001396984</v>
      </c>
      <c r="AM614" s="2">
        <v>0</v>
      </c>
      <c r="AN614">
        <v>0.1</v>
      </c>
      <c r="AO614">
        <v>0</v>
      </c>
      <c r="AP614">
        <v>0</v>
      </c>
      <c r="AQ614" s="2">
        <f>IF((2*G614 + M614 -P614 + 3*W614 + 2*Z614+2*AD614 + AG614+2*AJ614 + 4*AM614) &gt;=8,1,0)</f>
        <v>0</v>
      </c>
    </row>
    <row r="615" spans="1:43" x14ac:dyDescent="0.25">
      <c r="A615" t="s">
        <v>27</v>
      </c>
      <c r="B615" s="1">
        <v>39144</v>
      </c>
      <c r="C615" s="7">
        <f t="shared" si="109"/>
        <v>2007</v>
      </c>
      <c r="D615">
        <v>69.900000000000006</v>
      </c>
      <c r="E615">
        <v>52.4</v>
      </c>
      <c r="F615">
        <v>61.6</v>
      </c>
      <c r="G615" s="2">
        <f t="shared" si="108"/>
        <v>0</v>
      </c>
      <c r="H615">
        <v>69.900000000000006</v>
      </c>
      <c r="I615">
        <v>52.4</v>
      </c>
      <c r="J615">
        <v>61.6</v>
      </c>
      <c r="K615">
        <v>47.2</v>
      </c>
      <c r="L615">
        <v>60</v>
      </c>
      <c r="M615" s="2">
        <f t="shared" si="110"/>
        <v>0</v>
      </c>
      <c r="N615">
        <v>0</v>
      </c>
      <c r="P615" s="2">
        <f t="shared" si="111"/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2">
        <f t="shared" si="112"/>
        <v>0</v>
      </c>
      <c r="X615">
        <v>14.1</v>
      </c>
      <c r="Z615" s="2">
        <f t="shared" si="113"/>
        <v>0</v>
      </c>
      <c r="AA615">
        <v>225.7</v>
      </c>
      <c r="AB615" s="2" t="str">
        <f>CHOOSE(MATCH(AA615,{0;11;80;111;161;191;241;281;341},1),"North","NorthEast","East","SouthEast","South","SouthWest","West","NorthWest","North")</f>
        <v>SouthWest</v>
      </c>
      <c r="AC615" s="5">
        <f>CHOOSE(MATCH(AB615,{"South";"SouthEast";"SouthWest";"North";"NorthEast";"East";"West";"NorthWest"},0),1,2,3,4,5,6,7,8)</f>
        <v>3</v>
      </c>
      <c r="AD615" s="2">
        <f t="shared" si="114"/>
        <v>1</v>
      </c>
      <c r="AE615">
        <v>1013.5</v>
      </c>
      <c r="AF615" s="4" t="s">
        <v>1064</v>
      </c>
      <c r="AG615" s="2">
        <f t="shared" si="115"/>
        <v>1</v>
      </c>
      <c r="AH615" t="s">
        <v>1065</v>
      </c>
      <c r="AI615" s="2">
        <f t="shared" si="116"/>
        <v>3</v>
      </c>
      <c r="AJ615" s="2">
        <f t="shared" si="117"/>
        <v>0</v>
      </c>
      <c r="AK615" s="3">
        <v>90</v>
      </c>
      <c r="AM615" s="2">
        <v>0</v>
      </c>
      <c r="AN615">
        <v>0</v>
      </c>
      <c r="AO615">
        <v>0.5</v>
      </c>
      <c r="AP615">
        <v>0</v>
      </c>
      <c r="AQ615" s="2">
        <f>IF((2*G615 + M615 -P615 + 3*W615 + 2*Z615+2*AD615 + AG615+2*AJ615 + 4*AM615) &gt;=8,1,0)</f>
        <v>0</v>
      </c>
    </row>
    <row r="616" spans="1:43" x14ac:dyDescent="0.25">
      <c r="A616" t="s">
        <v>27</v>
      </c>
      <c r="B616" s="1">
        <v>39151</v>
      </c>
      <c r="C616" s="7">
        <f t="shared" si="109"/>
        <v>2007</v>
      </c>
      <c r="D616">
        <v>54.6</v>
      </c>
      <c r="E616">
        <v>48.8</v>
      </c>
      <c r="F616">
        <v>51.1</v>
      </c>
      <c r="G616" s="2">
        <f t="shared" si="108"/>
        <v>0</v>
      </c>
      <c r="H616">
        <v>54.6</v>
      </c>
      <c r="I616">
        <v>43.2</v>
      </c>
      <c r="J616">
        <v>49.7</v>
      </c>
      <c r="K616">
        <v>39.5</v>
      </c>
      <c r="L616">
        <v>64.599999999999994</v>
      </c>
      <c r="M616" s="2">
        <f t="shared" si="110"/>
        <v>0</v>
      </c>
      <c r="N616">
        <v>0</v>
      </c>
      <c r="P616" s="2">
        <f t="shared" si="111"/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s="2">
        <f t="shared" si="112"/>
        <v>0</v>
      </c>
      <c r="X616">
        <v>19.899999999999999</v>
      </c>
      <c r="Z616" s="2">
        <f t="shared" si="113"/>
        <v>1</v>
      </c>
      <c r="AA616">
        <v>4.5</v>
      </c>
      <c r="AB616" s="2" t="str">
        <f>CHOOSE(MATCH(AA616,{0;11;80;111;161;191;241;281;341},1),"North","NorthEast","East","SouthEast","South","SouthWest","West","NorthWest","North")</f>
        <v>North</v>
      </c>
      <c r="AC616" s="5">
        <f>CHOOSE(MATCH(AB616,{"South";"SouthEast";"SouthWest";"North";"NorthEast";"East";"West";"NorthWest"},0),1,2,3,4,5,6,7,8)</f>
        <v>4</v>
      </c>
      <c r="AD616" s="2">
        <f t="shared" si="114"/>
        <v>1</v>
      </c>
      <c r="AE616">
        <v>1017.1</v>
      </c>
      <c r="AF616" s="4" t="s">
        <v>1067</v>
      </c>
      <c r="AG616" s="2">
        <f t="shared" si="115"/>
        <v>0</v>
      </c>
      <c r="AH616" t="s">
        <v>1068</v>
      </c>
      <c r="AI616" s="2">
        <f t="shared" si="116"/>
        <v>3</v>
      </c>
      <c r="AJ616" s="2">
        <f t="shared" si="117"/>
        <v>0</v>
      </c>
      <c r="AK616" s="3">
        <v>39.999999994179227</v>
      </c>
      <c r="AM616" s="2">
        <v>0</v>
      </c>
      <c r="AN616">
        <v>0</v>
      </c>
      <c r="AO616">
        <v>0.5</v>
      </c>
      <c r="AP616">
        <v>0</v>
      </c>
      <c r="AQ616" s="2">
        <f>IF((2*G616 + M616 -P616 + 3*W616 + 2*Z616+2*AD616 + AG616+2*AJ616 + 4*AM616) &gt;=8,1,0)</f>
        <v>0</v>
      </c>
    </row>
    <row r="617" spans="1:43" x14ac:dyDescent="0.25">
      <c r="A617" t="s">
        <v>27</v>
      </c>
      <c r="B617" s="1">
        <v>39153</v>
      </c>
      <c r="C617" s="7">
        <f t="shared" si="109"/>
        <v>2007</v>
      </c>
      <c r="D617">
        <v>58.8</v>
      </c>
      <c r="E617">
        <v>49</v>
      </c>
      <c r="F617">
        <v>52.2</v>
      </c>
      <c r="G617" s="2">
        <f t="shared" si="108"/>
        <v>0</v>
      </c>
      <c r="H617">
        <v>58.8</v>
      </c>
      <c r="I617">
        <v>42.2</v>
      </c>
      <c r="J617">
        <v>50.1</v>
      </c>
      <c r="K617">
        <v>35.9</v>
      </c>
      <c r="L617">
        <v>54.4</v>
      </c>
      <c r="M617" s="2">
        <f t="shared" si="110"/>
        <v>0</v>
      </c>
      <c r="N617">
        <v>0</v>
      </c>
      <c r="P617" s="2">
        <f t="shared" si="111"/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2">
        <f t="shared" si="112"/>
        <v>0</v>
      </c>
      <c r="X617">
        <v>21.4</v>
      </c>
      <c r="Z617" s="2">
        <f t="shared" si="113"/>
        <v>1</v>
      </c>
      <c r="AA617">
        <v>356.6</v>
      </c>
      <c r="AB617" s="2" t="str">
        <f>CHOOSE(MATCH(AA617,{0;11;80;111;161;191;241;281;341},1),"North","NorthEast","East","SouthEast","South","SouthWest","West","NorthWest","North")</f>
        <v>North</v>
      </c>
      <c r="AC617" s="5">
        <f>CHOOSE(MATCH(AB617,{"South";"SouthEast";"SouthWest";"North";"NorthEast";"East";"West";"NorthWest"},0),1,2,3,4,5,6,7,8)</f>
        <v>4</v>
      </c>
      <c r="AD617" s="2">
        <f t="shared" si="114"/>
        <v>1</v>
      </c>
      <c r="AE617">
        <v>1021.5</v>
      </c>
      <c r="AF617" s="4" t="s">
        <v>1069</v>
      </c>
      <c r="AG617" s="2">
        <f t="shared" si="115"/>
        <v>1</v>
      </c>
      <c r="AH617" t="s">
        <v>1070</v>
      </c>
      <c r="AI617" s="2">
        <f t="shared" si="116"/>
        <v>3</v>
      </c>
      <c r="AJ617" s="2">
        <f t="shared" si="117"/>
        <v>0</v>
      </c>
      <c r="AK617" s="3">
        <v>290.00000000232831</v>
      </c>
      <c r="AM617" s="2">
        <v>0</v>
      </c>
      <c r="AN617">
        <v>0</v>
      </c>
      <c r="AO617">
        <v>1</v>
      </c>
      <c r="AP617">
        <v>0</v>
      </c>
      <c r="AQ617" s="2">
        <f>IF((2*G617 + M617 -P617 + 3*W617 + 2*Z617+2*AD617 + AG617+2*AJ617 + 4*AM617) &gt;=8,1,0)</f>
        <v>0</v>
      </c>
    </row>
    <row r="618" spans="1:43" x14ac:dyDescent="0.25">
      <c r="A618" t="s">
        <v>27</v>
      </c>
      <c r="B618" s="1">
        <v>39156</v>
      </c>
      <c r="C618" s="7">
        <f t="shared" si="109"/>
        <v>2007</v>
      </c>
      <c r="D618">
        <v>64</v>
      </c>
      <c r="E618">
        <v>42.1</v>
      </c>
      <c r="F618">
        <v>52.4</v>
      </c>
      <c r="G618" s="2">
        <f t="shared" si="108"/>
        <v>0</v>
      </c>
      <c r="H618">
        <v>64</v>
      </c>
      <c r="I618">
        <v>38.4</v>
      </c>
      <c r="J618">
        <v>51.2</v>
      </c>
      <c r="K618">
        <v>27.6</v>
      </c>
      <c r="L618">
        <v>42.1</v>
      </c>
      <c r="M618" s="2">
        <f t="shared" si="110"/>
        <v>1</v>
      </c>
      <c r="N618">
        <v>0</v>
      </c>
      <c r="P618" s="2">
        <f t="shared" si="111"/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2">
        <f t="shared" si="112"/>
        <v>0</v>
      </c>
      <c r="X618">
        <v>14.6</v>
      </c>
      <c r="Z618" s="2">
        <f t="shared" si="113"/>
        <v>0</v>
      </c>
      <c r="AA618">
        <v>355.4</v>
      </c>
      <c r="AB618" s="2" t="str">
        <f>CHOOSE(MATCH(AA618,{0;11;80;111;161;191;241;281;341},1),"North","NorthEast","East","SouthEast","South","SouthWest","West","NorthWest","North")</f>
        <v>North</v>
      </c>
      <c r="AC618" s="5">
        <f>CHOOSE(MATCH(AB618,{"South";"SouthEast";"SouthWest";"North";"NorthEast";"East";"West";"NorthWest"},0),1,2,3,4,5,6,7,8)</f>
        <v>4</v>
      </c>
      <c r="AD618" s="2">
        <f t="shared" si="114"/>
        <v>1</v>
      </c>
      <c r="AE618">
        <v>1020.5</v>
      </c>
      <c r="AF618" s="4" t="s">
        <v>1072</v>
      </c>
      <c r="AG618" s="2">
        <f t="shared" si="115"/>
        <v>1</v>
      </c>
      <c r="AH618" t="s">
        <v>1073</v>
      </c>
      <c r="AI618" s="2">
        <f t="shared" si="116"/>
        <v>3</v>
      </c>
      <c r="AJ618" s="2">
        <f t="shared" si="117"/>
        <v>0</v>
      </c>
      <c r="AK618" s="3">
        <v>451.99999999604188</v>
      </c>
      <c r="AM618" s="2">
        <v>1</v>
      </c>
      <c r="AN618">
        <v>2</v>
      </c>
      <c r="AO618">
        <v>0</v>
      </c>
      <c r="AP618">
        <v>0</v>
      </c>
      <c r="AQ618" s="2">
        <f>IF((2*G618 + M618 -P618 + 3*W618 + 2*Z618+2*AD618 + AG618+2*AJ618 + 4*AM618) &gt;=8,1,0)</f>
        <v>0</v>
      </c>
    </row>
    <row r="619" spans="1:43" x14ac:dyDescent="0.25">
      <c r="A619" t="s">
        <v>27</v>
      </c>
      <c r="B619" s="1">
        <v>39169</v>
      </c>
      <c r="C619" s="7">
        <f t="shared" si="109"/>
        <v>2007</v>
      </c>
      <c r="D619">
        <v>56</v>
      </c>
      <c r="E619">
        <v>46.3</v>
      </c>
      <c r="F619">
        <v>49.8</v>
      </c>
      <c r="G619" s="2">
        <f t="shared" si="108"/>
        <v>0</v>
      </c>
      <c r="H619">
        <v>56</v>
      </c>
      <c r="I619">
        <v>42</v>
      </c>
      <c r="J619">
        <v>48.3</v>
      </c>
      <c r="K619">
        <v>35.1</v>
      </c>
      <c r="L619">
        <v>57.2</v>
      </c>
      <c r="M619" s="2">
        <f t="shared" si="110"/>
        <v>0</v>
      </c>
      <c r="N619">
        <v>0</v>
      </c>
      <c r="P619" s="2">
        <f t="shared" si="111"/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2">
        <f t="shared" si="112"/>
        <v>0</v>
      </c>
      <c r="X619">
        <v>17.899999999999999</v>
      </c>
      <c r="Z619" s="2">
        <f t="shared" si="113"/>
        <v>1</v>
      </c>
      <c r="AA619">
        <v>3.8</v>
      </c>
      <c r="AB619" s="2" t="str">
        <f>CHOOSE(MATCH(AA619,{0;11;80;111;161;191;241;281;341},1),"North","NorthEast","East","SouthEast","South","SouthWest","West","NorthWest","North")</f>
        <v>North</v>
      </c>
      <c r="AC619" s="5">
        <f>CHOOSE(MATCH(AB619,{"South";"SouthEast";"SouthWest";"North";"NorthEast";"East";"West";"NorthWest"},0),1,2,3,4,5,6,7,8)</f>
        <v>4</v>
      </c>
      <c r="AD619" s="2">
        <f t="shared" si="114"/>
        <v>1</v>
      </c>
      <c r="AE619">
        <v>1021.4</v>
      </c>
      <c r="AF619" s="4" t="s">
        <v>1075</v>
      </c>
      <c r="AG619" s="2">
        <f t="shared" si="115"/>
        <v>0</v>
      </c>
      <c r="AH619" t="s">
        <v>1076</v>
      </c>
      <c r="AI619" s="2">
        <f t="shared" si="116"/>
        <v>3</v>
      </c>
      <c r="AJ619" s="2">
        <f t="shared" si="117"/>
        <v>0</v>
      </c>
      <c r="AK619" s="3">
        <v>90</v>
      </c>
      <c r="AM619" s="2">
        <v>0</v>
      </c>
      <c r="AN619">
        <v>0</v>
      </c>
      <c r="AO619">
        <v>0.25</v>
      </c>
      <c r="AP619">
        <v>0</v>
      </c>
      <c r="AQ619" s="2">
        <f>IF((2*G619 + M619 -P619 + 3*W619 + 2*Z619+2*AD619 + AG619+2*AJ619 + 4*AM619) &gt;=8,1,0)</f>
        <v>0</v>
      </c>
    </row>
    <row r="620" spans="1:43" x14ac:dyDescent="0.25">
      <c r="A620" t="s">
        <v>27</v>
      </c>
      <c r="B620" s="1">
        <v>39180</v>
      </c>
      <c r="C620" s="7">
        <f t="shared" si="109"/>
        <v>2007</v>
      </c>
      <c r="D620">
        <v>70.8</v>
      </c>
      <c r="E620">
        <v>48.8</v>
      </c>
      <c r="F620">
        <v>59.6</v>
      </c>
      <c r="G620" s="2">
        <f t="shared" si="108"/>
        <v>0</v>
      </c>
      <c r="H620">
        <v>70.8</v>
      </c>
      <c r="I620">
        <v>47</v>
      </c>
      <c r="J620">
        <v>59.5</v>
      </c>
      <c r="K620">
        <v>44.6</v>
      </c>
      <c r="L620">
        <v>60.6</v>
      </c>
      <c r="M620" s="2">
        <f t="shared" si="110"/>
        <v>0</v>
      </c>
      <c r="N620">
        <v>0</v>
      </c>
      <c r="P620" s="2">
        <f t="shared" si="111"/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s="2">
        <f t="shared" si="112"/>
        <v>0</v>
      </c>
      <c r="X620">
        <v>11.7</v>
      </c>
      <c r="Z620" s="2">
        <f t="shared" si="113"/>
        <v>0</v>
      </c>
      <c r="AA620">
        <v>346.8</v>
      </c>
      <c r="AB620" s="2" t="str">
        <f>CHOOSE(MATCH(AA620,{0;11;80;111;161;191;241;281;341},1),"North","NorthEast","East","SouthEast","South","SouthWest","West","NorthWest","North")</f>
        <v>North</v>
      </c>
      <c r="AC620" s="5">
        <f>CHOOSE(MATCH(AB620,{"South";"SouthEast";"SouthWest";"North";"NorthEast";"East";"West";"NorthWest"},0),1,2,3,4,5,6,7,8)</f>
        <v>4</v>
      </c>
      <c r="AD620" s="2">
        <f t="shared" si="114"/>
        <v>1</v>
      </c>
      <c r="AE620">
        <v>1014.4</v>
      </c>
      <c r="AF620" s="4" t="s">
        <v>1077</v>
      </c>
      <c r="AG620" s="2">
        <f t="shared" si="115"/>
        <v>1</v>
      </c>
      <c r="AH620" t="s">
        <v>1078</v>
      </c>
      <c r="AI620" s="2">
        <f t="shared" si="116"/>
        <v>4</v>
      </c>
      <c r="AJ620" s="2">
        <f t="shared" si="117"/>
        <v>0</v>
      </c>
      <c r="AK620" s="3">
        <v>31.999999999534339</v>
      </c>
      <c r="AM620" s="2">
        <v>0</v>
      </c>
      <c r="AN620">
        <v>0</v>
      </c>
      <c r="AO620">
        <v>1</v>
      </c>
      <c r="AP620">
        <v>0</v>
      </c>
      <c r="AQ620" s="2">
        <f>IF((2*G620 + M620 -P620 + 3*W620 + 2*Z620+2*AD620 + AG620+2*AJ620 + 4*AM620) &gt;=8,1,0)</f>
        <v>0</v>
      </c>
    </row>
    <row r="621" spans="1:43" x14ac:dyDescent="0.25">
      <c r="A621" t="s">
        <v>27</v>
      </c>
      <c r="B621" s="1">
        <v>39183</v>
      </c>
      <c r="C621" s="7">
        <f t="shared" si="109"/>
        <v>2007</v>
      </c>
      <c r="D621">
        <v>75.3</v>
      </c>
      <c r="E621">
        <v>49.1</v>
      </c>
      <c r="F621">
        <v>62.2</v>
      </c>
      <c r="G621" s="2">
        <f t="shared" si="108"/>
        <v>0</v>
      </c>
      <c r="H621">
        <v>75.3</v>
      </c>
      <c r="I621">
        <v>49.1</v>
      </c>
      <c r="J621">
        <v>62.2</v>
      </c>
      <c r="K621">
        <v>44.1</v>
      </c>
      <c r="L621">
        <v>54.3</v>
      </c>
      <c r="M621" s="2">
        <f t="shared" si="110"/>
        <v>0</v>
      </c>
      <c r="N621">
        <v>0</v>
      </c>
      <c r="P621" s="2">
        <f t="shared" si="111"/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s="2">
        <f t="shared" si="112"/>
        <v>0</v>
      </c>
      <c r="X621">
        <v>16</v>
      </c>
      <c r="Z621" s="2">
        <f t="shared" si="113"/>
        <v>1</v>
      </c>
      <c r="AA621">
        <v>7</v>
      </c>
      <c r="AB621" s="2" t="str">
        <f>CHOOSE(MATCH(AA621,{0;11;80;111;161;191;241;281;341},1),"North","NorthEast","East","SouthEast","South","SouthWest","West","NorthWest","North")</f>
        <v>North</v>
      </c>
      <c r="AC621" s="5">
        <f>CHOOSE(MATCH(AB621,{"South";"SouthEast";"SouthWest";"North";"NorthEast";"East";"West";"NorthWest"},0),1,2,3,4,5,6,7,8)</f>
        <v>4</v>
      </c>
      <c r="AD621" s="2">
        <f t="shared" si="114"/>
        <v>1</v>
      </c>
      <c r="AE621">
        <v>1014.4</v>
      </c>
      <c r="AF621" s="4" t="s">
        <v>1079</v>
      </c>
      <c r="AG621" s="2">
        <f t="shared" si="115"/>
        <v>1</v>
      </c>
      <c r="AH621" t="s">
        <v>1080</v>
      </c>
      <c r="AI621" s="2">
        <f t="shared" si="116"/>
        <v>4</v>
      </c>
      <c r="AJ621" s="2">
        <f t="shared" si="117"/>
        <v>0</v>
      </c>
      <c r="AK621" s="3">
        <v>397.99999999813741</v>
      </c>
      <c r="AM621" s="2">
        <v>1</v>
      </c>
      <c r="AN621">
        <v>2</v>
      </c>
      <c r="AO621">
        <v>0</v>
      </c>
      <c r="AP621">
        <v>0</v>
      </c>
      <c r="AQ621" s="2">
        <f>IF((2*G621 + M621 -P621 + 3*W621 + 2*Z621+2*AD621 + AG621+2*AJ621 + 4*AM621) &gt;=8,1,0)</f>
        <v>1</v>
      </c>
    </row>
    <row r="622" spans="1:43" x14ac:dyDescent="0.25">
      <c r="A622" t="s">
        <v>27</v>
      </c>
      <c r="B622" s="1">
        <v>39186</v>
      </c>
      <c r="C622" s="7">
        <f t="shared" si="109"/>
        <v>2007</v>
      </c>
      <c r="D622">
        <v>70.900000000000006</v>
      </c>
      <c r="E622">
        <v>47.2</v>
      </c>
      <c r="F622">
        <v>60.7</v>
      </c>
      <c r="G622" s="2">
        <f t="shared" si="108"/>
        <v>0</v>
      </c>
      <c r="H622">
        <v>70.900000000000006</v>
      </c>
      <c r="I622">
        <v>45.5</v>
      </c>
      <c r="J622">
        <v>60.6</v>
      </c>
      <c r="K622">
        <v>43.3</v>
      </c>
      <c r="L622">
        <v>54.6</v>
      </c>
      <c r="M622" s="2">
        <f t="shared" si="110"/>
        <v>0</v>
      </c>
      <c r="N622">
        <v>0</v>
      </c>
      <c r="P622" s="2">
        <f t="shared" si="111"/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s="2">
        <f t="shared" si="112"/>
        <v>0</v>
      </c>
      <c r="X622">
        <v>9.5</v>
      </c>
      <c r="Z622" s="2">
        <f t="shared" si="113"/>
        <v>0</v>
      </c>
      <c r="AA622">
        <v>195.1</v>
      </c>
      <c r="AB622" s="2" t="str">
        <f>CHOOSE(MATCH(AA622,{0;11;80;111;161;191;241;281;341},1),"North","NorthEast","East","SouthEast","South","SouthWest","West","NorthWest","North")</f>
        <v>SouthWest</v>
      </c>
      <c r="AC622" s="5">
        <f>CHOOSE(MATCH(AB622,{"South";"SouthEast";"SouthWest";"North";"NorthEast";"East";"West";"NorthWest"},0),1,2,3,4,5,6,7,8)</f>
        <v>3</v>
      </c>
      <c r="AD622" s="2">
        <f t="shared" si="114"/>
        <v>1</v>
      </c>
      <c r="AE622">
        <v>1019.9</v>
      </c>
      <c r="AF622" s="4" t="s">
        <v>1077</v>
      </c>
      <c r="AG622" s="2">
        <f t="shared" si="115"/>
        <v>1</v>
      </c>
      <c r="AH622" t="s">
        <v>1081</v>
      </c>
      <c r="AI622" s="2">
        <f t="shared" si="116"/>
        <v>4</v>
      </c>
      <c r="AJ622" s="2">
        <f t="shared" si="117"/>
        <v>0</v>
      </c>
      <c r="AK622" s="3">
        <v>22.000000008847561</v>
      </c>
      <c r="AM622" s="2">
        <v>0</v>
      </c>
      <c r="AN622">
        <v>0</v>
      </c>
      <c r="AO622">
        <v>25</v>
      </c>
      <c r="AP622">
        <v>0</v>
      </c>
      <c r="AQ622" s="2">
        <f>IF((2*G622 + M622 -P622 + 3*W622 + 2*Z622+2*AD622 + AG622+2*AJ622 + 4*AM622) &gt;=8,1,0)</f>
        <v>0</v>
      </c>
    </row>
    <row r="623" spans="1:43" x14ac:dyDescent="0.25">
      <c r="A623" t="s">
        <v>27</v>
      </c>
      <c r="B623" s="1">
        <v>39193</v>
      </c>
      <c r="C623" s="7">
        <f t="shared" si="109"/>
        <v>2007</v>
      </c>
      <c r="D623">
        <v>71.400000000000006</v>
      </c>
      <c r="E623">
        <v>50.6</v>
      </c>
      <c r="F623">
        <v>60.7</v>
      </c>
      <c r="G623" s="2">
        <f t="shared" si="108"/>
        <v>0</v>
      </c>
      <c r="H623">
        <v>71.400000000000006</v>
      </c>
      <c r="I623">
        <v>50.6</v>
      </c>
      <c r="J623">
        <v>60.7</v>
      </c>
      <c r="K623">
        <v>45.1</v>
      </c>
      <c r="L623">
        <v>58.7</v>
      </c>
      <c r="M623" s="2">
        <f t="shared" si="110"/>
        <v>0</v>
      </c>
      <c r="N623">
        <v>0</v>
      </c>
      <c r="P623" s="2">
        <f t="shared" si="111"/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s="2">
        <f t="shared" si="112"/>
        <v>0</v>
      </c>
      <c r="X623">
        <v>10</v>
      </c>
      <c r="Z623" s="2">
        <f t="shared" si="113"/>
        <v>0</v>
      </c>
      <c r="AA623">
        <v>97.7</v>
      </c>
      <c r="AB623" s="2" t="str">
        <f>CHOOSE(MATCH(AA623,{0;11;80;111;161;191;241;281;341},1),"North","NorthEast","East","SouthEast","South","SouthWest","West","NorthWest","North")</f>
        <v>East</v>
      </c>
      <c r="AC623" s="5">
        <f>CHOOSE(MATCH(AB623,{"South";"SouthEast";"SouthWest";"North";"NorthEast";"East";"West";"NorthWest"},0),1,2,3,4,5,6,7,8)</f>
        <v>6</v>
      </c>
      <c r="AD623" s="2">
        <f t="shared" si="114"/>
        <v>0</v>
      </c>
      <c r="AE623">
        <v>1017.9</v>
      </c>
      <c r="AF623" s="4" t="s">
        <v>1082</v>
      </c>
      <c r="AG623" s="2">
        <f t="shared" si="115"/>
        <v>1</v>
      </c>
      <c r="AH623" t="s">
        <v>1083</v>
      </c>
      <c r="AI623" s="2">
        <f t="shared" si="116"/>
        <v>4</v>
      </c>
      <c r="AJ623" s="2">
        <f t="shared" si="117"/>
        <v>0</v>
      </c>
      <c r="AK623" s="3">
        <v>75.00000000349246</v>
      </c>
      <c r="AM623" s="2">
        <v>0</v>
      </c>
      <c r="AN623">
        <v>0.5</v>
      </c>
      <c r="AO623">
        <v>0</v>
      </c>
      <c r="AP623">
        <v>0</v>
      </c>
      <c r="AQ623" s="2">
        <f>IF((2*G623 + M623 -P623 + 3*W623 + 2*Z623+2*AD623 + AG623+2*AJ623 + 4*AM623) &gt;=8,1,0)</f>
        <v>0</v>
      </c>
    </row>
    <row r="624" spans="1:43" x14ac:dyDescent="0.25">
      <c r="A624" t="s">
        <v>27</v>
      </c>
      <c r="B624" s="1">
        <v>39204</v>
      </c>
      <c r="C624" s="7">
        <f t="shared" si="109"/>
        <v>2007</v>
      </c>
      <c r="D624">
        <v>74.5</v>
      </c>
      <c r="E624">
        <v>55.6</v>
      </c>
      <c r="F624">
        <v>64.5</v>
      </c>
      <c r="G624" s="2">
        <f t="shared" si="108"/>
        <v>0</v>
      </c>
      <c r="H624">
        <v>74.5</v>
      </c>
      <c r="I624">
        <v>55.6</v>
      </c>
      <c r="J624">
        <v>64.5</v>
      </c>
      <c r="K624">
        <v>53.4</v>
      </c>
      <c r="L624">
        <v>69.099999999999994</v>
      </c>
      <c r="M624" s="2">
        <f t="shared" si="110"/>
        <v>0</v>
      </c>
      <c r="N624">
        <v>8.9999999999999993E-3</v>
      </c>
      <c r="P624" s="2">
        <f t="shared" si="111"/>
        <v>1</v>
      </c>
      <c r="Q624">
        <v>100</v>
      </c>
      <c r="R624">
        <v>4.17</v>
      </c>
      <c r="S624" t="s">
        <v>87</v>
      </c>
      <c r="T624">
        <v>0</v>
      </c>
      <c r="U624">
        <v>0</v>
      </c>
      <c r="V624">
        <v>0</v>
      </c>
      <c r="W624" s="2">
        <f t="shared" si="112"/>
        <v>0</v>
      </c>
      <c r="X624">
        <v>12.4</v>
      </c>
      <c r="Z624" s="2">
        <f t="shared" si="113"/>
        <v>0</v>
      </c>
      <c r="AA624">
        <v>141.6</v>
      </c>
      <c r="AB624" s="2" t="str">
        <f>CHOOSE(MATCH(AA624,{0;11;80;111;161;191;241;281;341},1),"North","NorthEast","East","SouthEast","South","SouthWest","West","NorthWest","North")</f>
        <v>SouthEast</v>
      </c>
      <c r="AC624" s="5">
        <f>CHOOSE(MATCH(AB624,{"South";"SouthEast";"SouthWest";"North";"NorthEast";"East";"West";"NorthWest"},0),1,2,3,4,5,6,7,8)</f>
        <v>2</v>
      </c>
      <c r="AD624" s="2">
        <f t="shared" si="114"/>
        <v>0</v>
      </c>
      <c r="AE624">
        <v>1014.2</v>
      </c>
      <c r="AF624" s="4" t="s">
        <v>1084</v>
      </c>
      <c r="AG624" s="2">
        <f t="shared" si="115"/>
        <v>0</v>
      </c>
      <c r="AH624" t="s">
        <v>1085</v>
      </c>
      <c r="AI624" s="2">
        <f t="shared" si="116"/>
        <v>5</v>
      </c>
      <c r="AJ624" s="2">
        <f t="shared" si="117"/>
        <v>0</v>
      </c>
      <c r="AK624" s="3">
        <v>1275.0000000069849</v>
      </c>
      <c r="AM624" s="2">
        <v>1</v>
      </c>
      <c r="AN624">
        <v>0</v>
      </c>
      <c r="AO624">
        <v>10</v>
      </c>
      <c r="AP624">
        <v>0</v>
      </c>
      <c r="AQ624" s="2">
        <f>IF((2*G624 + M624 -P624 + 3*W624 + 2*Z624+2*AD624 + AG624+2*AJ624 + 4*AM624) &gt;=8,1,0)</f>
        <v>0</v>
      </c>
    </row>
    <row r="625" spans="1:43" x14ac:dyDescent="0.25">
      <c r="A625" t="s">
        <v>27</v>
      </c>
      <c r="B625" s="1">
        <v>39208</v>
      </c>
      <c r="C625" s="7">
        <f t="shared" si="109"/>
        <v>2007</v>
      </c>
      <c r="D625">
        <v>79.5</v>
      </c>
      <c r="E625">
        <v>60.5</v>
      </c>
      <c r="F625">
        <v>69.400000000000006</v>
      </c>
      <c r="G625" s="2">
        <f t="shared" si="108"/>
        <v>0</v>
      </c>
      <c r="H625">
        <v>79.5</v>
      </c>
      <c r="I625">
        <v>60.5</v>
      </c>
      <c r="J625">
        <v>69.400000000000006</v>
      </c>
      <c r="K625">
        <v>49.7</v>
      </c>
      <c r="L625">
        <v>51.7</v>
      </c>
      <c r="M625" s="2">
        <f t="shared" si="110"/>
        <v>0</v>
      </c>
      <c r="N625">
        <v>0</v>
      </c>
      <c r="P625" s="2">
        <f t="shared" si="111"/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2">
        <f t="shared" si="112"/>
        <v>0</v>
      </c>
      <c r="X625">
        <v>11.1</v>
      </c>
      <c r="Z625" s="2">
        <f t="shared" si="113"/>
        <v>0</v>
      </c>
      <c r="AA625">
        <v>137.4</v>
      </c>
      <c r="AB625" s="2" t="str">
        <f>CHOOSE(MATCH(AA625,{0;11;80;111;161;191;241;281;341},1),"North","NorthEast","East","SouthEast","South","SouthWest","West","NorthWest","North")</f>
        <v>SouthEast</v>
      </c>
      <c r="AC625" s="5">
        <f>CHOOSE(MATCH(AB625,{"South";"SouthEast";"SouthWest";"North";"NorthEast";"East";"West";"NorthWest"},0),1,2,3,4,5,6,7,8)</f>
        <v>2</v>
      </c>
      <c r="AD625" s="2">
        <f t="shared" si="114"/>
        <v>0</v>
      </c>
      <c r="AE625">
        <v>1011.4</v>
      </c>
      <c r="AF625" s="4" t="s">
        <v>1086</v>
      </c>
      <c r="AG625" s="2">
        <f t="shared" si="115"/>
        <v>0</v>
      </c>
      <c r="AH625" t="s">
        <v>1087</v>
      </c>
      <c r="AI625" s="2">
        <f t="shared" si="116"/>
        <v>5</v>
      </c>
      <c r="AJ625" s="2">
        <f t="shared" si="117"/>
        <v>0</v>
      </c>
      <c r="AK625" s="3">
        <v>1125</v>
      </c>
      <c r="AM625" s="2">
        <v>1</v>
      </c>
      <c r="AN625">
        <v>2</v>
      </c>
      <c r="AO625">
        <v>0</v>
      </c>
      <c r="AP625">
        <v>0</v>
      </c>
      <c r="AQ625" s="2">
        <f>IF((2*G625 + M625 -P625 + 3*W625 + 2*Z625+2*AD625 + AG625+2*AJ625 + 4*AM625) &gt;=8,1,0)</f>
        <v>0</v>
      </c>
    </row>
    <row r="626" spans="1:43" x14ac:dyDescent="0.25">
      <c r="A626" t="s">
        <v>27</v>
      </c>
      <c r="B626" s="1">
        <v>39208</v>
      </c>
      <c r="C626" s="7">
        <f t="shared" si="109"/>
        <v>2007</v>
      </c>
      <c r="D626">
        <v>79.5</v>
      </c>
      <c r="E626">
        <v>60.5</v>
      </c>
      <c r="F626">
        <v>69.400000000000006</v>
      </c>
      <c r="G626" s="2">
        <f t="shared" si="108"/>
        <v>0</v>
      </c>
      <c r="H626">
        <v>79.5</v>
      </c>
      <c r="I626">
        <v>60.5</v>
      </c>
      <c r="J626">
        <v>69.400000000000006</v>
      </c>
      <c r="K626">
        <v>49.7</v>
      </c>
      <c r="L626">
        <v>51.7</v>
      </c>
      <c r="M626" s="2">
        <f t="shared" si="110"/>
        <v>0</v>
      </c>
      <c r="N626">
        <v>0</v>
      </c>
      <c r="P626" s="2">
        <f t="shared" si="111"/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s="2">
        <f t="shared" si="112"/>
        <v>0</v>
      </c>
      <c r="X626">
        <v>11.1</v>
      </c>
      <c r="Z626" s="2">
        <f t="shared" si="113"/>
        <v>0</v>
      </c>
      <c r="AA626">
        <v>137.4</v>
      </c>
      <c r="AB626" s="2" t="str">
        <f>CHOOSE(MATCH(AA626,{0;11;80;111;161;191;241;281;341},1),"North","NorthEast","East","SouthEast","South","SouthWest","West","NorthWest","North")</f>
        <v>SouthEast</v>
      </c>
      <c r="AC626" s="5">
        <f>CHOOSE(MATCH(AB626,{"South";"SouthEast";"SouthWest";"North";"NorthEast";"East";"West";"NorthWest"},0),1,2,3,4,5,6,7,8)</f>
        <v>2</v>
      </c>
      <c r="AD626" s="2">
        <f t="shared" si="114"/>
        <v>0</v>
      </c>
      <c r="AE626">
        <v>1011.4</v>
      </c>
      <c r="AF626" s="4" t="s">
        <v>1088</v>
      </c>
      <c r="AG626" s="2">
        <f t="shared" si="115"/>
        <v>0</v>
      </c>
      <c r="AH626" t="s">
        <v>1089</v>
      </c>
      <c r="AI626" s="2">
        <f t="shared" si="116"/>
        <v>5</v>
      </c>
      <c r="AJ626" s="2">
        <f t="shared" si="117"/>
        <v>0</v>
      </c>
      <c r="AK626" s="3">
        <v>1367.000000003027</v>
      </c>
      <c r="AM626" s="2">
        <v>1</v>
      </c>
      <c r="AN626">
        <v>15</v>
      </c>
      <c r="AO626">
        <v>0</v>
      </c>
      <c r="AP626">
        <v>0</v>
      </c>
      <c r="AQ626" s="2">
        <f>IF((2*G626 + M626 -P626 + 3*W626 + 2*Z626+2*AD626 + AG626+2*AJ626 + 4*AM626) &gt;=8,1,0)</f>
        <v>0</v>
      </c>
    </row>
    <row r="627" spans="1:43" x14ac:dyDescent="0.25">
      <c r="A627" t="s">
        <v>27</v>
      </c>
      <c r="B627" s="1">
        <v>39213</v>
      </c>
      <c r="C627" s="7">
        <f t="shared" si="109"/>
        <v>2007</v>
      </c>
      <c r="D627">
        <v>84.7</v>
      </c>
      <c r="E627">
        <v>69</v>
      </c>
      <c r="F627">
        <v>76.2</v>
      </c>
      <c r="G627" s="2">
        <f t="shared" si="108"/>
        <v>1</v>
      </c>
      <c r="H627">
        <v>82.2</v>
      </c>
      <c r="I627">
        <v>69</v>
      </c>
      <c r="J627">
        <v>75.599999999999994</v>
      </c>
      <c r="K627">
        <v>45.8</v>
      </c>
      <c r="L627">
        <v>34.700000000000003</v>
      </c>
      <c r="M627" s="2">
        <f t="shared" si="110"/>
        <v>1</v>
      </c>
      <c r="N627">
        <v>0</v>
      </c>
      <c r="P627" s="2">
        <f t="shared" si="111"/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s="2">
        <f t="shared" si="112"/>
        <v>0</v>
      </c>
      <c r="X627">
        <v>15.7</v>
      </c>
      <c r="Z627" s="2">
        <f t="shared" si="113"/>
        <v>0</v>
      </c>
      <c r="AA627">
        <v>0.3</v>
      </c>
      <c r="AB627" s="2" t="str">
        <f>CHOOSE(MATCH(AA627,{0;11;80;111;161;191;241;281;341},1),"North","NorthEast","East","SouthEast","South","SouthWest","West","NorthWest","North")</f>
        <v>North</v>
      </c>
      <c r="AC627" s="5">
        <f>CHOOSE(MATCH(AB627,{"South";"SouthEast";"SouthWest";"North";"NorthEast";"East";"West";"NorthWest"},0),1,2,3,4,5,6,7,8)</f>
        <v>4</v>
      </c>
      <c r="AD627" s="2">
        <f t="shared" si="114"/>
        <v>1</v>
      </c>
      <c r="AE627">
        <v>1013.9</v>
      </c>
      <c r="AF627" s="4" t="s">
        <v>1090</v>
      </c>
      <c r="AG627" s="2">
        <f t="shared" si="115"/>
        <v>0</v>
      </c>
      <c r="AH627" t="s">
        <v>1091</v>
      </c>
      <c r="AI627" s="2">
        <f t="shared" si="116"/>
        <v>5</v>
      </c>
      <c r="AJ627" s="2">
        <f t="shared" si="117"/>
        <v>0</v>
      </c>
      <c r="AK627" s="3">
        <v>180</v>
      </c>
      <c r="AM627" s="2">
        <v>0</v>
      </c>
      <c r="AN627">
        <v>0</v>
      </c>
      <c r="AO627">
        <v>3</v>
      </c>
      <c r="AP627">
        <v>0</v>
      </c>
      <c r="AQ627" s="2">
        <f>IF((2*G627 + M627 -P627 + 3*W627 + 2*Z627+2*AD627 + AG627+2*AJ627 + 4*AM627) &gt;=8,1,0)</f>
        <v>0</v>
      </c>
    </row>
    <row r="628" spans="1:43" x14ac:dyDescent="0.25">
      <c r="A628" t="s">
        <v>27</v>
      </c>
      <c r="B628" s="1">
        <v>39213</v>
      </c>
      <c r="C628" s="7">
        <f t="shared" si="109"/>
        <v>2007</v>
      </c>
      <c r="D628">
        <v>84.7</v>
      </c>
      <c r="E628">
        <v>69</v>
      </c>
      <c r="F628">
        <v>76.2</v>
      </c>
      <c r="G628" s="2">
        <f t="shared" si="108"/>
        <v>1</v>
      </c>
      <c r="H628">
        <v>82.2</v>
      </c>
      <c r="I628">
        <v>69</v>
      </c>
      <c r="J628">
        <v>75.599999999999994</v>
      </c>
      <c r="K628">
        <v>45.8</v>
      </c>
      <c r="L628">
        <v>34.700000000000003</v>
      </c>
      <c r="M628" s="2">
        <f t="shared" si="110"/>
        <v>1</v>
      </c>
      <c r="N628">
        <v>0</v>
      </c>
      <c r="P628" s="2">
        <f t="shared" si="111"/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2">
        <f t="shared" si="112"/>
        <v>0</v>
      </c>
      <c r="X628">
        <v>15.7</v>
      </c>
      <c r="Z628" s="2">
        <f t="shared" si="113"/>
        <v>0</v>
      </c>
      <c r="AA628">
        <v>0.3</v>
      </c>
      <c r="AB628" s="2" t="str">
        <f>CHOOSE(MATCH(AA628,{0;11;80;111;161;191;241;281;341},1),"North","NorthEast","East","SouthEast","South","SouthWest","West","NorthWest","North")</f>
        <v>North</v>
      </c>
      <c r="AC628" s="5">
        <f>CHOOSE(MATCH(AB628,{"South";"SouthEast";"SouthWest";"North";"NorthEast";"East";"West";"NorthWest"},0),1,2,3,4,5,6,7,8)</f>
        <v>4</v>
      </c>
      <c r="AD628" s="2">
        <f t="shared" si="114"/>
        <v>1</v>
      </c>
      <c r="AE628">
        <v>1013.9</v>
      </c>
      <c r="AF628" s="4" t="s">
        <v>1038</v>
      </c>
      <c r="AG628" s="2">
        <f t="shared" si="115"/>
        <v>0</v>
      </c>
      <c r="AH628" t="s">
        <v>1092</v>
      </c>
      <c r="AI628" s="2">
        <f t="shared" si="116"/>
        <v>5</v>
      </c>
      <c r="AJ628" s="2">
        <f t="shared" si="117"/>
        <v>0</v>
      </c>
      <c r="AK628" s="3">
        <v>1860.9999999997669</v>
      </c>
      <c r="AM628" s="2">
        <v>1</v>
      </c>
      <c r="AN628">
        <v>0</v>
      </c>
      <c r="AO628">
        <v>20</v>
      </c>
      <c r="AP628">
        <v>0</v>
      </c>
      <c r="AQ628" s="2">
        <f>IF((2*G628 + M628 -P628 + 3*W628 + 2*Z628+2*AD628 + AG628+2*AJ628 + 4*AM628) &gt;=8,1,0)</f>
        <v>1</v>
      </c>
    </row>
    <row r="629" spans="1:43" x14ac:dyDescent="0.25">
      <c r="A629" t="s">
        <v>27</v>
      </c>
      <c r="B629" s="1">
        <v>39214</v>
      </c>
      <c r="C629" s="7">
        <f t="shared" si="109"/>
        <v>2007</v>
      </c>
      <c r="D629">
        <v>85</v>
      </c>
      <c r="E629">
        <v>59.6</v>
      </c>
      <c r="F629">
        <v>72.599999999999994</v>
      </c>
      <c r="G629" s="2">
        <f t="shared" si="108"/>
        <v>0</v>
      </c>
      <c r="H629">
        <v>82.5</v>
      </c>
      <c r="I629">
        <v>59.6</v>
      </c>
      <c r="J629">
        <v>72.2</v>
      </c>
      <c r="K629">
        <v>46.8</v>
      </c>
      <c r="L629">
        <v>41.3</v>
      </c>
      <c r="M629" s="2">
        <f t="shared" si="110"/>
        <v>1</v>
      </c>
      <c r="N629">
        <v>0</v>
      </c>
      <c r="P629" s="2">
        <f t="shared" si="111"/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s="2">
        <f t="shared" si="112"/>
        <v>0</v>
      </c>
      <c r="X629">
        <v>12.5</v>
      </c>
      <c r="Z629" s="2">
        <f t="shared" si="113"/>
        <v>0</v>
      </c>
      <c r="AA629">
        <v>100.5</v>
      </c>
      <c r="AB629" s="2" t="str">
        <f>CHOOSE(MATCH(AA629,{0;11;80;111;161;191;241;281;341},1),"North","NorthEast","East","SouthEast","South","SouthWest","West","NorthWest","North")</f>
        <v>East</v>
      </c>
      <c r="AC629" s="5">
        <f>CHOOSE(MATCH(AB629,{"South";"SouthEast";"SouthWest";"North";"NorthEast";"East";"West";"NorthWest"},0),1,2,3,4,5,6,7,8)</f>
        <v>6</v>
      </c>
      <c r="AD629" s="2">
        <f t="shared" si="114"/>
        <v>0</v>
      </c>
      <c r="AE629">
        <v>1011.7</v>
      </c>
      <c r="AF629" s="4" t="s">
        <v>1093</v>
      </c>
      <c r="AG629" s="2">
        <f t="shared" si="115"/>
        <v>0</v>
      </c>
      <c r="AH629" t="s">
        <v>1094</v>
      </c>
      <c r="AI629" s="2">
        <f t="shared" si="116"/>
        <v>5</v>
      </c>
      <c r="AJ629" s="2">
        <f t="shared" si="117"/>
        <v>0</v>
      </c>
      <c r="AK629" s="3">
        <v>1422.000000004191</v>
      </c>
      <c r="AM629" s="2">
        <v>1</v>
      </c>
      <c r="AN629">
        <v>5</v>
      </c>
      <c r="AO629">
        <v>5</v>
      </c>
      <c r="AP629">
        <v>0</v>
      </c>
      <c r="AQ629" s="2">
        <f>IF((2*G629 + M629 -P629 + 3*W629 + 2*Z629+2*AD629 + AG629+2*AJ629 + 4*AM629) &gt;=8,1,0)</f>
        <v>0</v>
      </c>
    </row>
    <row r="630" spans="1:43" x14ac:dyDescent="0.25">
      <c r="A630" t="s">
        <v>27</v>
      </c>
      <c r="B630" s="1">
        <v>39214</v>
      </c>
      <c r="C630" s="7">
        <f t="shared" si="109"/>
        <v>2007</v>
      </c>
      <c r="D630">
        <v>85</v>
      </c>
      <c r="E630">
        <v>59.6</v>
      </c>
      <c r="F630">
        <v>72.599999999999994</v>
      </c>
      <c r="G630" s="2">
        <f t="shared" si="108"/>
        <v>0</v>
      </c>
      <c r="H630">
        <v>82.5</v>
      </c>
      <c r="I630">
        <v>59.6</v>
      </c>
      <c r="J630">
        <v>72.2</v>
      </c>
      <c r="K630">
        <v>46.8</v>
      </c>
      <c r="L630">
        <v>41.3</v>
      </c>
      <c r="M630" s="2">
        <f t="shared" si="110"/>
        <v>1</v>
      </c>
      <c r="N630">
        <v>0</v>
      </c>
      <c r="P630" s="2">
        <f t="shared" si="111"/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2">
        <f t="shared" si="112"/>
        <v>0</v>
      </c>
      <c r="X630">
        <v>12.5</v>
      </c>
      <c r="Z630" s="2">
        <f t="shared" si="113"/>
        <v>0</v>
      </c>
      <c r="AA630">
        <v>100.5</v>
      </c>
      <c r="AB630" s="2" t="str">
        <f>CHOOSE(MATCH(AA630,{0;11;80;111;161;191;241;281;341},1),"North","NorthEast","East","SouthEast","South","SouthWest","West","NorthWest","North")</f>
        <v>East</v>
      </c>
      <c r="AC630" s="5">
        <f>CHOOSE(MATCH(AB630,{"South";"SouthEast";"SouthWest";"North";"NorthEast";"East";"West";"NorthWest"},0),1,2,3,4,5,6,7,8)</f>
        <v>6</v>
      </c>
      <c r="AD630" s="2">
        <f t="shared" si="114"/>
        <v>0</v>
      </c>
      <c r="AE630">
        <v>1011.7</v>
      </c>
      <c r="AF630" s="4" t="s">
        <v>1095</v>
      </c>
      <c r="AG630" s="2">
        <f t="shared" si="115"/>
        <v>1</v>
      </c>
      <c r="AH630" t="s">
        <v>1096</v>
      </c>
      <c r="AI630" s="2">
        <f t="shared" si="116"/>
        <v>5</v>
      </c>
      <c r="AJ630" s="2">
        <f t="shared" si="117"/>
        <v>0</v>
      </c>
      <c r="AK630" s="3">
        <v>31.999999999534339</v>
      </c>
      <c r="AM630" s="2">
        <v>0</v>
      </c>
      <c r="AN630">
        <v>0</v>
      </c>
      <c r="AO630">
        <v>5</v>
      </c>
      <c r="AP630">
        <v>0</v>
      </c>
      <c r="AQ630" s="2">
        <f>IF((2*G630 + M630 -P630 + 3*W630 + 2*Z630+2*AD630 + AG630+2*AJ630 + 4*AM630) &gt;=8,1,0)</f>
        <v>0</v>
      </c>
    </row>
    <row r="631" spans="1:43" x14ac:dyDescent="0.25">
      <c r="A631" t="s">
        <v>27</v>
      </c>
      <c r="B631" s="1">
        <v>39218</v>
      </c>
      <c r="C631" s="7">
        <f t="shared" si="109"/>
        <v>2007</v>
      </c>
      <c r="D631">
        <v>86.1</v>
      </c>
      <c r="E631">
        <v>56</v>
      </c>
      <c r="F631">
        <v>72</v>
      </c>
      <c r="G631" s="2">
        <f t="shared" si="108"/>
        <v>0</v>
      </c>
      <c r="H631">
        <v>82.9</v>
      </c>
      <c r="I631">
        <v>56</v>
      </c>
      <c r="J631">
        <v>71.400000000000006</v>
      </c>
      <c r="K631">
        <v>45.5</v>
      </c>
      <c r="L631">
        <v>41.7</v>
      </c>
      <c r="M631" s="2">
        <f t="shared" si="110"/>
        <v>1</v>
      </c>
      <c r="N631">
        <v>0</v>
      </c>
      <c r="P631" s="2">
        <f t="shared" si="111"/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s="2">
        <f t="shared" si="112"/>
        <v>0</v>
      </c>
      <c r="X631">
        <v>11.6</v>
      </c>
      <c r="Z631" s="2">
        <f t="shared" si="113"/>
        <v>0</v>
      </c>
      <c r="AA631">
        <v>168.1</v>
      </c>
      <c r="AB631" s="2" t="str">
        <f>CHOOSE(MATCH(AA631,{0;11;80;111;161;191;241;281;341},1),"North","NorthEast","East","SouthEast","South","SouthWest","West","NorthWest","North")</f>
        <v>South</v>
      </c>
      <c r="AC631" s="5">
        <f>CHOOSE(MATCH(AB631,{"South";"SouthEast";"SouthWest";"North";"NorthEast";"East";"West";"NorthWest"},0),1,2,3,4,5,6,7,8)</f>
        <v>1</v>
      </c>
      <c r="AD631" s="2">
        <f t="shared" si="114"/>
        <v>0</v>
      </c>
      <c r="AE631">
        <v>1010.1</v>
      </c>
      <c r="AF631" s="4" t="s">
        <v>1097</v>
      </c>
      <c r="AG631" s="2">
        <f t="shared" si="115"/>
        <v>0</v>
      </c>
      <c r="AH631" t="s">
        <v>1098</v>
      </c>
      <c r="AI631" s="2">
        <f t="shared" si="116"/>
        <v>5</v>
      </c>
      <c r="AJ631" s="2">
        <f t="shared" si="117"/>
        <v>0</v>
      </c>
      <c r="AK631" s="3">
        <v>116.9999999937136</v>
      </c>
      <c r="AM631" s="2">
        <v>0</v>
      </c>
      <c r="AN631">
        <v>0</v>
      </c>
      <c r="AO631">
        <v>0.5</v>
      </c>
      <c r="AP631">
        <v>0</v>
      </c>
      <c r="AQ631" s="2">
        <f>IF((2*G631 + M631 -P631 + 3*W631 + 2*Z631+2*AD631 + AG631+2*AJ631 + 4*AM631) &gt;=8,1,0)</f>
        <v>0</v>
      </c>
    </row>
    <row r="632" spans="1:43" x14ac:dyDescent="0.25">
      <c r="A632" t="s">
        <v>27</v>
      </c>
      <c r="B632" s="1">
        <v>39220</v>
      </c>
      <c r="C632" s="7">
        <f t="shared" si="109"/>
        <v>2007</v>
      </c>
      <c r="D632">
        <v>73.599999999999994</v>
      </c>
      <c r="E632">
        <v>61.9</v>
      </c>
      <c r="F632">
        <v>68</v>
      </c>
      <c r="G632" s="2">
        <f t="shared" si="108"/>
        <v>0</v>
      </c>
      <c r="H632">
        <v>73.599999999999994</v>
      </c>
      <c r="I632">
        <v>61.9</v>
      </c>
      <c r="J632">
        <v>68</v>
      </c>
      <c r="K632">
        <v>51.8</v>
      </c>
      <c r="L632">
        <v>57</v>
      </c>
      <c r="M632" s="2">
        <f t="shared" si="110"/>
        <v>0</v>
      </c>
      <c r="N632">
        <v>0</v>
      </c>
      <c r="P632" s="2">
        <f t="shared" si="111"/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s="2">
        <f t="shared" si="112"/>
        <v>0</v>
      </c>
      <c r="X632">
        <v>18.7</v>
      </c>
      <c r="Z632" s="2">
        <f t="shared" si="113"/>
        <v>1</v>
      </c>
      <c r="AA632">
        <v>189.1</v>
      </c>
      <c r="AB632" s="2" t="str">
        <f>CHOOSE(MATCH(AA632,{0;11;80;111;161;191;241;281;341},1),"North","NorthEast","East","SouthEast","South","SouthWest","West","NorthWest","North")</f>
        <v>South</v>
      </c>
      <c r="AC632" s="5">
        <f>CHOOSE(MATCH(AB632,{"South";"SouthEast";"SouthWest";"North";"NorthEast";"East";"West";"NorthWest"},0),1,2,3,4,5,6,7,8)</f>
        <v>1</v>
      </c>
      <c r="AD632" s="2">
        <f t="shared" si="114"/>
        <v>0</v>
      </c>
      <c r="AE632">
        <v>1004.6</v>
      </c>
      <c r="AF632" s="4" t="s">
        <v>1099</v>
      </c>
      <c r="AG632" s="2">
        <f t="shared" si="115"/>
        <v>0</v>
      </c>
      <c r="AH632" t="s">
        <v>1100</v>
      </c>
      <c r="AI632" s="2">
        <f t="shared" si="116"/>
        <v>5</v>
      </c>
      <c r="AJ632" s="2">
        <f t="shared" si="117"/>
        <v>0</v>
      </c>
      <c r="AK632" s="3">
        <v>654.99999999767169</v>
      </c>
      <c r="AM632" s="2">
        <v>1</v>
      </c>
      <c r="AN632">
        <v>0</v>
      </c>
      <c r="AO632">
        <v>1</v>
      </c>
      <c r="AP632">
        <v>0</v>
      </c>
      <c r="AQ632" s="2">
        <f>IF((2*G632 + M632 -P632 + 3*W632 + 2*Z632+2*AD632 + AG632+2*AJ632 + 4*AM632) &gt;=8,1,0)</f>
        <v>0</v>
      </c>
    </row>
    <row r="633" spans="1:43" x14ac:dyDescent="0.25">
      <c r="A633" t="s">
        <v>27</v>
      </c>
      <c r="B633" s="1">
        <v>39233</v>
      </c>
      <c r="C633" s="7">
        <f t="shared" si="109"/>
        <v>2007</v>
      </c>
      <c r="D633">
        <v>78</v>
      </c>
      <c r="E633">
        <v>62.6</v>
      </c>
      <c r="F633">
        <v>70.5</v>
      </c>
      <c r="G633" s="2">
        <f t="shared" si="108"/>
        <v>0</v>
      </c>
      <c r="H633">
        <v>78</v>
      </c>
      <c r="I633">
        <v>62.6</v>
      </c>
      <c r="J633">
        <v>70.5</v>
      </c>
      <c r="K633">
        <v>49.8</v>
      </c>
      <c r="L633">
        <v>48.9</v>
      </c>
      <c r="M633" s="2">
        <f t="shared" si="110"/>
        <v>1</v>
      </c>
      <c r="N633">
        <v>0</v>
      </c>
      <c r="P633" s="2">
        <f t="shared" si="111"/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s="2">
        <f t="shared" si="112"/>
        <v>0</v>
      </c>
      <c r="X633">
        <v>13.7</v>
      </c>
      <c r="Z633" s="2">
        <f t="shared" si="113"/>
        <v>0</v>
      </c>
      <c r="AA633">
        <v>202.7</v>
      </c>
      <c r="AB633" s="2" t="str">
        <f>CHOOSE(MATCH(AA633,{0;11;80;111;161;191;241;281;341},1),"North","NorthEast","East","SouthEast","South","SouthWest","West","NorthWest","North")</f>
        <v>SouthWest</v>
      </c>
      <c r="AC633" s="5">
        <f>CHOOSE(MATCH(AB633,{"South";"SouthEast";"SouthWest";"North";"NorthEast";"East";"West";"NorthWest"},0),1,2,3,4,5,6,7,8)</f>
        <v>3</v>
      </c>
      <c r="AD633" s="2">
        <f t="shared" si="114"/>
        <v>1</v>
      </c>
      <c r="AE633">
        <v>1010.7</v>
      </c>
      <c r="AF633" s="4" t="s">
        <v>1101</v>
      </c>
      <c r="AG633" s="2">
        <f t="shared" si="115"/>
        <v>1</v>
      </c>
      <c r="AH633" t="s">
        <v>1102</v>
      </c>
      <c r="AI633" s="2">
        <f t="shared" si="116"/>
        <v>5</v>
      </c>
      <c r="AJ633" s="2">
        <f t="shared" si="117"/>
        <v>0</v>
      </c>
      <c r="AK633" s="3">
        <v>195.9999999997672</v>
      </c>
      <c r="AM633" s="2">
        <v>0</v>
      </c>
      <c r="AN633">
        <v>0</v>
      </c>
      <c r="AO633">
        <v>8</v>
      </c>
      <c r="AP633">
        <v>0</v>
      </c>
      <c r="AQ633" s="2">
        <f>IF((2*G633 + M633 -P633 + 3*W633 + 2*Z633+2*AD633 + AG633+2*AJ633 + 4*AM633) &gt;=8,1,0)</f>
        <v>0</v>
      </c>
    </row>
    <row r="634" spans="1:43" x14ac:dyDescent="0.25">
      <c r="A634" t="s">
        <v>27</v>
      </c>
      <c r="B634" s="1">
        <v>39238</v>
      </c>
      <c r="C634" s="7">
        <f t="shared" si="109"/>
        <v>2007</v>
      </c>
      <c r="D634">
        <v>76.2</v>
      </c>
      <c r="E634">
        <v>65.2</v>
      </c>
      <c r="F634">
        <v>70</v>
      </c>
      <c r="G634" s="2">
        <f t="shared" si="108"/>
        <v>0</v>
      </c>
      <c r="H634">
        <v>76.2</v>
      </c>
      <c r="I634">
        <v>65.2</v>
      </c>
      <c r="J634">
        <v>70</v>
      </c>
      <c r="K634">
        <v>61.7</v>
      </c>
      <c r="L634">
        <v>75.5</v>
      </c>
      <c r="M634" s="2">
        <f t="shared" si="110"/>
        <v>0</v>
      </c>
      <c r="N634">
        <v>0.22800000000000001</v>
      </c>
      <c r="P634" s="2">
        <f t="shared" si="111"/>
        <v>0</v>
      </c>
      <c r="Q634">
        <v>100</v>
      </c>
      <c r="R634">
        <v>12.5</v>
      </c>
      <c r="S634" t="s">
        <v>87</v>
      </c>
      <c r="T634">
        <v>0</v>
      </c>
      <c r="U634">
        <v>0</v>
      </c>
      <c r="V634">
        <v>0</v>
      </c>
      <c r="W634" s="2">
        <f t="shared" si="112"/>
        <v>0</v>
      </c>
      <c r="X634">
        <v>12.7</v>
      </c>
      <c r="Z634" s="2">
        <f t="shared" si="113"/>
        <v>0</v>
      </c>
      <c r="AA634">
        <v>88.9</v>
      </c>
      <c r="AB634" s="2" t="str">
        <f>CHOOSE(MATCH(AA634,{0;11;80;111;161;191;241;281;341},1),"North","NorthEast","East","SouthEast","South","SouthWest","West","NorthWest","North")</f>
        <v>East</v>
      </c>
      <c r="AC634" s="5">
        <f>CHOOSE(MATCH(AB634,{"South";"SouthEast";"SouthWest";"North";"NorthEast";"East";"West";"NorthWest"},0),1,2,3,4,5,6,7,8)</f>
        <v>6</v>
      </c>
      <c r="AD634" s="2">
        <f t="shared" si="114"/>
        <v>0</v>
      </c>
      <c r="AE634">
        <v>1008.5</v>
      </c>
      <c r="AF634" s="4" t="s">
        <v>1103</v>
      </c>
      <c r="AG634" s="2">
        <f t="shared" si="115"/>
        <v>0</v>
      </c>
      <c r="AH634" t="s">
        <v>1104</v>
      </c>
      <c r="AI634" s="2">
        <f t="shared" si="116"/>
        <v>6</v>
      </c>
      <c r="AJ634" s="2">
        <f t="shared" si="117"/>
        <v>1</v>
      </c>
      <c r="AK634" s="3">
        <v>55.999999993946403</v>
      </c>
      <c r="AM634" s="2">
        <v>0</v>
      </c>
      <c r="AN634">
        <v>0</v>
      </c>
      <c r="AO634">
        <v>1</v>
      </c>
      <c r="AP634">
        <v>0</v>
      </c>
      <c r="AQ634" s="2">
        <f>IF((2*G634 + M634 -P634 + 3*W634 + 2*Z634+2*AD634 + AG634+2*AJ634 + 4*AM634) &gt;=8,1,0)</f>
        <v>0</v>
      </c>
    </row>
    <row r="635" spans="1:43" x14ac:dyDescent="0.25">
      <c r="A635" t="s">
        <v>27</v>
      </c>
      <c r="B635" s="1">
        <v>39241</v>
      </c>
      <c r="C635" s="7">
        <f t="shared" si="109"/>
        <v>2007</v>
      </c>
      <c r="D635">
        <v>80.400000000000006</v>
      </c>
      <c r="E635">
        <v>62.4</v>
      </c>
      <c r="F635">
        <v>72</v>
      </c>
      <c r="G635" s="2">
        <f t="shared" si="108"/>
        <v>0</v>
      </c>
      <c r="H635">
        <v>80.8</v>
      </c>
      <c r="I635">
        <v>62.4</v>
      </c>
      <c r="J635">
        <v>72.099999999999994</v>
      </c>
      <c r="K635">
        <v>51.6</v>
      </c>
      <c r="L635">
        <v>50.5</v>
      </c>
      <c r="M635" s="2">
        <f t="shared" si="110"/>
        <v>0</v>
      </c>
      <c r="N635">
        <v>0</v>
      </c>
      <c r="P635" s="2">
        <f t="shared" si="111"/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s="2">
        <f t="shared" si="112"/>
        <v>0</v>
      </c>
      <c r="X635">
        <v>16.7</v>
      </c>
      <c r="Z635" s="2">
        <f t="shared" si="113"/>
        <v>1</v>
      </c>
      <c r="AA635">
        <v>357.7</v>
      </c>
      <c r="AB635" s="2" t="str">
        <f>CHOOSE(MATCH(AA635,{0;11;80;111;161;191;241;281;341},1),"North","NorthEast","East","SouthEast","South","SouthWest","West","NorthWest","North")</f>
        <v>North</v>
      </c>
      <c r="AC635" s="5">
        <f>CHOOSE(MATCH(AB635,{"South";"SouthEast";"SouthWest";"North";"NorthEast";"East";"West";"NorthWest"},0),1,2,3,4,5,6,7,8)</f>
        <v>4</v>
      </c>
      <c r="AD635" s="2">
        <f t="shared" si="114"/>
        <v>1</v>
      </c>
      <c r="AE635">
        <v>1013.2</v>
      </c>
      <c r="AF635" s="4" t="s">
        <v>1105</v>
      </c>
      <c r="AG635" s="2">
        <f t="shared" si="115"/>
        <v>1</v>
      </c>
      <c r="AH635" t="s">
        <v>1106</v>
      </c>
      <c r="AI635" s="2">
        <f t="shared" si="116"/>
        <v>6</v>
      </c>
      <c r="AJ635" s="2">
        <f t="shared" si="117"/>
        <v>1</v>
      </c>
      <c r="AK635" s="3">
        <v>355.00000000465661</v>
      </c>
      <c r="AM635" s="2">
        <v>0</v>
      </c>
      <c r="AN635">
        <v>0</v>
      </c>
      <c r="AO635">
        <v>3</v>
      </c>
      <c r="AP635">
        <v>0</v>
      </c>
      <c r="AQ635" s="2">
        <f>IF((2*G635 + M635 -P635 + 3*W635 + 2*Z635+2*AD635 + AG635+2*AJ635 + 4*AM635) &gt;=8,1,0)</f>
        <v>0</v>
      </c>
    </row>
    <row r="636" spans="1:43" x14ac:dyDescent="0.25">
      <c r="A636" t="s">
        <v>27</v>
      </c>
      <c r="B636" s="1">
        <v>39244</v>
      </c>
      <c r="C636" s="7">
        <f t="shared" si="109"/>
        <v>2007</v>
      </c>
      <c r="D636">
        <v>81.8</v>
      </c>
      <c r="E636">
        <v>60.6</v>
      </c>
      <c r="F636">
        <v>73.3</v>
      </c>
      <c r="G636" s="2">
        <f t="shared" si="108"/>
        <v>0</v>
      </c>
      <c r="H636">
        <v>81</v>
      </c>
      <c r="I636">
        <v>60.6</v>
      </c>
      <c r="J636">
        <v>73.099999999999994</v>
      </c>
      <c r="K636">
        <v>50.7</v>
      </c>
      <c r="L636">
        <v>46.3</v>
      </c>
      <c r="M636" s="2">
        <f t="shared" si="110"/>
        <v>1</v>
      </c>
      <c r="N636">
        <v>0</v>
      </c>
      <c r="P636" s="2">
        <f t="shared" si="111"/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s="2">
        <f t="shared" si="112"/>
        <v>0</v>
      </c>
      <c r="X636">
        <v>11.3</v>
      </c>
      <c r="Z636" s="2">
        <f t="shared" si="113"/>
        <v>0</v>
      </c>
      <c r="AA636">
        <v>117.7</v>
      </c>
      <c r="AB636" s="2" t="str">
        <f>CHOOSE(MATCH(AA636,{0;11;80;111;161;191;241;281;341},1),"North","NorthEast","East","SouthEast","South","SouthWest","West","NorthWest","North")</f>
        <v>SouthEast</v>
      </c>
      <c r="AC636" s="5">
        <f>CHOOSE(MATCH(AB636,{"South";"SouthEast";"SouthWest";"North";"NorthEast";"East";"West";"NorthWest"},0),1,2,3,4,5,6,7,8)</f>
        <v>2</v>
      </c>
      <c r="AD636" s="2">
        <f t="shared" si="114"/>
        <v>0</v>
      </c>
      <c r="AE636">
        <v>1011.9</v>
      </c>
      <c r="AF636" s="4" t="s">
        <v>1107</v>
      </c>
      <c r="AG636" s="2">
        <f t="shared" si="115"/>
        <v>1</v>
      </c>
      <c r="AH636" t="s">
        <v>1108</v>
      </c>
      <c r="AI636" s="2">
        <f t="shared" si="116"/>
        <v>6</v>
      </c>
      <c r="AJ636" s="2">
        <f t="shared" si="117"/>
        <v>1</v>
      </c>
      <c r="AK636" s="3">
        <v>111.9999999983702</v>
      </c>
      <c r="AM636" s="2">
        <v>0</v>
      </c>
      <c r="AN636">
        <v>0</v>
      </c>
      <c r="AO636">
        <v>4</v>
      </c>
      <c r="AP636">
        <v>0</v>
      </c>
      <c r="AQ636" s="2">
        <f>IF((2*G636 + M636 -P636 + 3*W636 + 2*Z636+2*AD636 + AG636+2*AJ636 + 4*AM636) &gt;=8,1,0)</f>
        <v>0</v>
      </c>
    </row>
    <row r="637" spans="1:43" x14ac:dyDescent="0.25">
      <c r="A637" t="s">
        <v>27</v>
      </c>
      <c r="B637" s="1">
        <v>39247</v>
      </c>
      <c r="C637" s="7">
        <f t="shared" si="109"/>
        <v>2007</v>
      </c>
      <c r="D637">
        <v>85.3</v>
      </c>
      <c r="E637">
        <v>63.6</v>
      </c>
      <c r="F637">
        <v>74.900000000000006</v>
      </c>
      <c r="G637" s="2">
        <f t="shared" si="108"/>
        <v>1</v>
      </c>
      <c r="H637">
        <v>84.7</v>
      </c>
      <c r="I637">
        <v>63.6</v>
      </c>
      <c r="J637">
        <v>74.900000000000006</v>
      </c>
      <c r="K637">
        <v>60</v>
      </c>
      <c r="L637">
        <v>61.3</v>
      </c>
      <c r="M637" s="2">
        <f t="shared" si="110"/>
        <v>0</v>
      </c>
      <c r="N637">
        <v>0</v>
      </c>
      <c r="P637" s="2">
        <f t="shared" si="111"/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s="2">
        <f t="shared" si="112"/>
        <v>0</v>
      </c>
      <c r="X637">
        <v>10.9</v>
      </c>
      <c r="Z637" s="2">
        <f t="shared" si="113"/>
        <v>0</v>
      </c>
      <c r="AA637">
        <v>126.1</v>
      </c>
      <c r="AB637" s="2" t="str">
        <f>CHOOSE(MATCH(AA637,{0;11;80;111;161;191;241;281;341},1),"North","NorthEast","East","SouthEast","South","SouthWest","West","NorthWest","North")</f>
        <v>SouthEast</v>
      </c>
      <c r="AC637" s="5">
        <f>CHOOSE(MATCH(AB637,{"South";"SouthEast";"SouthWest";"North";"NorthEast";"East";"West";"NorthWest"},0),1,2,3,4,5,6,7,8)</f>
        <v>2</v>
      </c>
      <c r="AD637" s="2">
        <f t="shared" si="114"/>
        <v>0</v>
      </c>
      <c r="AE637">
        <v>1010</v>
      </c>
      <c r="AF637" s="4" t="s">
        <v>1109</v>
      </c>
      <c r="AG637" s="2">
        <f t="shared" si="115"/>
        <v>0</v>
      </c>
      <c r="AH637" t="s">
        <v>1110</v>
      </c>
      <c r="AI637" s="2">
        <f t="shared" si="116"/>
        <v>6</v>
      </c>
      <c r="AJ637" s="2">
        <f t="shared" si="117"/>
        <v>1</v>
      </c>
      <c r="AK637" s="3">
        <v>30.99999999627471</v>
      </c>
      <c r="AM637" s="2">
        <v>0</v>
      </c>
      <c r="AN637">
        <v>1</v>
      </c>
      <c r="AO637">
        <v>1</v>
      </c>
      <c r="AP637">
        <v>0</v>
      </c>
      <c r="AQ637" s="2">
        <f>IF((2*G637 + M637 -P637 + 3*W637 + 2*Z637+2*AD637 + AG637+2*AJ637 + 4*AM637) &gt;=8,1,0)</f>
        <v>0</v>
      </c>
    </row>
    <row r="638" spans="1:43" x14ac:dyDescent="0.25">
      <c r="A638" t="s">
        <v>27</v>
      </c>
      <c r="B638" s="1">
        <v>39252</v>
      </c>
      <c r="C638" s="7">
        <f t="shared" si="109"/>
        <v>2007</v>
      </c>
      <c r="D638">
        <v>95</v>
      </c>
      <c r="E638">
        <v>70.599999999999994</v>
      </c>
      <c r="F638">
        <v>83.3</v>
      </c>
      <c r="G638" s="2">
        <f t="shared" si="108"/>
        <v>1</v>
      </c>
      <c r="H638">
        <v>93.6</v>
      </c>
      <c r="I638">
        <v>70.599999999999994</v>
      </c>
      <c r="J638">
        <v>83.1</v>
      </c>
      <c r="K638">
        <v>60.5</v>
      </c>
      <c r="L638">
        <v>49</v>
      </c>
      <c r="M638" s="2">
        <f t="shared" si="110"/>
        <v>1</v>
      </c>
      <c r="N638">
        <v>0</v>
      </c>
      <c r="P638" s="2">
        <f t="shared" si="111"/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s="2">
        <f t="shared" si="112"/>
        <v>0</v>
      </c>
      <c r="X638">
        <v>13.5</v>
      </c>
      <c r="Z638" s="2">
        <f t="shared" si="113"/>
        <v>0</v>
      </c>
      <c r="AA638">
        <v>345.7</v>
      </c>
      <c r="AB638" s="2" t="str">
        <f>CHOOSE(MATCH(AA638,{0;11;80;111;161;191;241;281;341},1),"North","NorthEast","East","SouthEast","South","SouthWest","West","NorthWest","North")</f>
        <v>North</v>
      </c>
      <c r="AC638" s="5">
        <f>CHOOSE(MATCH(AB638,{"South";"SouthEast";"SouthWest";"North";"NorthEast";"East";"West";"NorthWest"},0),1,2,3,4,5,6,7,8)</f>
        <v>4</v>
      </c>
      <c r="AD638" s="2">
        <f t="shared" si="114"/>
        <v>1</v>
      </c>
      <c r="AE638">
        <v>1011.8</v>
      </c>
      <c r="AF638" s="4" t="s">
        <v>1112</v>
      </c>
      <c r="AG638" s="2">
        <f t="shared" si="115"/>
        <v>1</v>
      </c>
      <c r="AH638" t="s">
        <v>1113</v>
      </c>
      <c r="AI638" s="2">
        <f t="shared" si="116"/>
        <v>6</v>
      </c>
      <c r="AJ638" s="2">
        <f t="shared" si="117"/>
        <v>1</v>
      </c>
      <c r="AK638" s="3">
        <v>988.99999999674037</v>
      </c>
      <c r="AM638" s="2">
        <v>1</v>
      </c>
      <c r="AN638">
        <v>3</v>
      </c>
      <c r="AO638">
        <v>0</v>
      </c>
      <c r="AP638">
        <v>0</v>
      </c>
      <c r="AQ638" s="2">
        <f>IF((2*G638 + M638 -P638 + 3*W638 + 2*Z638+2*AD638 + AG638+2*AJ638 + 4*AM638) &gt;=8,1,0)</f>
        <v>1</v>
      </c>
    </row>
    <row r="639" spans="1:43" x14ac:dyDescent="0.25">
      <c r="A639" t="s">
        <v>27</v>
      </c>
      <c r="B639" s="1">
        <v>39255</v>
      </c>
      <c r="C639" s="7">
        <f t="shared" ref="C639:C692" si="118">YEAR(B639)</f>
        <v>2007</v>
      </c>
      <c r="D639">
        <v>94.3</v>
      </c>
      <c r="E639">
        <v>71.599999999999994</v>
      </c>
      <c r="F639">
        <v>83.7</v>
      </c>
      <c r="G639" s="2">
        <f t="shared" si="108"/>
        <v>1</v>
      </c>
      <c r="H639">
        <v>94</v>
      </c>
      <c r="I639">
        <v>71.599999999999994</v>
      </c>
      <c r="J639">
        <v>83.9</v>
      </c>
      <c r="K639">
        <v>61.1</v>
      </c>
      <c r="L639">
        <v>48.5</v>
      </c>
      <c r="M639" s="2">
        <f t="shared" ref="M639:M692" si="119">IF(L639&lt;=49.3,1,0)</f>
        <v>1</v>
      </c>
      <c r="N639">
        <v>0</v>
      </c>
      <c r="P639" s="2">
        <f t="shared" ref="P639:P692" si="120">IF(N639&lt;=0.01,1,0)</f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s="2">
        <f t="shared" ref="W639:W692" si="121">IF(V639&lt;=10,0,1)</f>
        <v>0</v>
      </c>
      <c r="X639">
        <v>10.4</v>
      </c>
      <c r="Z639" s="2">
        <f t="shared" ref="Z639:Z692" si="122">IF(X639&gt;=16,1,0)</f>
        <v>0</v>
      </c>
      <c r="AA639">
        <v>139.4</v>
      </c>
      <c r="AB639" s="2" t="str">
        <f>CHOOSE(MATCH(AA639,{0;11;80;111;161;191;241;281;341},1),"North","NorthEast","East","SouthEast","South","SouthWest","West","NorthWest","North")</f>
        <v>SouthEast</v>
      </c>
      <c r="AC639" s="5">
        <f>CHOOSE(MATCH(AB639,{"South";"SouthEast";"SouthWest";"North";"NorthEast";"East";"West";"NorthWest"},0),1,2,3,4,5,6,7,8)</f>
        <v>2</v>
      </c>
      <c r="AD639" s="2">
        <f t="shared" ref="AD639:AD692" si="123">IF(OR(AC639=3,AC639=4,AC639=5,AC639=8),1,0)</f>
        <v>0</v>
      </c>
      <c r="AE639">
        <v>1012.4</v>
      </c>
      <c r="AF639" s="4" t="s">
        <v>1114</v>
      </c>
      <c r="AG639" s="2">
        <f t="shared" ref="AG639:AG692" si="124">IF(TIMEVALUE(AF639)&lt;=TIME(12,30,0),0,1)</f>
        <v>0</v>
      </c>
      <c r="AH639" t="s">
        <v>1115</v>
      </c>
      <c r="AI639" s="2">
        <f t="shared" ref="AI639:AI692" si="125">MONTH(AH639)</f>
        <v>6</v>
      </c>
      <c r="AJ639" s="2">
        <f t="shared" ref="AJ639:AJ692" si="126">IF(OR(AI639=6,AI639=7,AI639=8),1,0)</f>
        <v>1</v>
      </c>
      <c r="AK639" s="3">
        <v>66.999999998370185</v>
      </c>
      <c r="AM639" s="2">
        <v>0</v>
      </c>
      <c r="AN639">
        <v>0</v>
      </c>
      <c r="AO639">
        <v>0.5</v>
      </c>
      <c r="AP639">
        <v>0</v>
      </c>
      <c r="AQ639" s="2">
        <f>IF((2*G639 + M639 -P639 + 3*W639 + 2*Z639+2*AD639 + AG639+2*AJ639 + 4*AM639) &gt;=8,1,0)</f>
        <v>0</v>
      </c>
    </row>
    <row r="640" spans="1:43" x14ac:dyDescent="0.25">
      <c r="A640" t="s">
        <v>27</v>
      </c>
      <c r="B640" s="1">
        <v>39255</v>
      </c>
      <c r="C640" s="7">
        <f t="shared" si="118"/>
        <v>2007</v>
      </c>
      <c r="D640">
        <v>94.3</v>
      </c>
      <c r="E640">
        <v>71.599999999999994</v>
      </c>
      <c r="F640">
        <v>83.7</v>
      </c>
      <c r="G640" s="2">
        <f t="shared" si="108"/>
        <v>1</v>
      </c>
      <c r="H640">
        <v>94</v>
      </c>
      <c r="I640">
        <v>71.599999999999994</v>
      </c>
      <c r="J640">
        <v>83.9</v>
      </c>
      <c r="K640">
        <v>61.1</v>
      </c>
      <c r="L640">
        <v>48.5</v>
      </c>
      <c r="M640" s="2">
        <f t="shared" si="119"/>
        <v>1</v>
      </c>
      <c r="N640">
        <v>0</v>
      </c>
      <c r="P640" s="2">
        <f t="shared" si="120"/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s="2">
        <f t="shared" si="121"/>
        <v>0</v>
      </c>
      <c r="X640">
        <v>10.4</v>
      </c>
      <c r="Z640" s="2">
        <f t="shared" si="122"/>
        <v>0</v>
      </c>
      <c r="AA640">
        <v>139.4</v>
      </c>
      <c r="AB640" s="2" t="str">
        <f>CHOOSE(MATCH(AA640,{0;11;80;111;161;191;241;281;341},1),"North","NorthEast","East","SouthEast","South","SouthWest","West","NorthWest","North")</f>
        <v>SouthEast</v>
      </c>
      <c r="AC640" s="5">
        <f>CHOOSE(MATCH(AB640,{"South";"SouthEast";"SouthWest";"North";"NorthEast";"East";"West";"NorthWest"},0),1,2,3,4,5,6,7,8)</f>
        <v>2</v>
      </c>
      <c r="AD640" s="2">
        <f t="shared" si="123"/>
        <v>0</v>
      </c>
      <c r="AE640">
        <v>1012.4</v>
      </c>
      <c r="AF640" s="4" t="s">
        <v>1116</v>
      </c>
      <c r="AG640" s="2">
        <f t="shared" si="124"/>
        <v>1</v>
      </c>
      <c r="AH640" t="s">
        <v>1117</v>
      </c>
      <c r="AI640" s="2">
        <f t="shared" si="125"/>
        <v>6</v>
      </c>
      <c r="AJ640" s="2">
        <f t="shared" si="126"/>
        <v>1</v>
      </c>
      <c r="AK640" s="3">
        <v>429.99999999767169</v>
      </c>
      <c r="AM640" s="2">
        <v>1</v>
      </c>
      <c r="AN640">
        <v>0</v>
      </c>
      <c r="AO640">
        <v>1</v>
      </c>
      <c r="AP640">
        <v>0</v>
      </c>
      <c r="AQ640" s="2">
        <f>IF((2*G640 + M640 -P640 + 3*W640 + 2*Z640+2*AD640 + AG640+2*AJ640 + 4*AM640) &gt;=8,1,0)</f>
        <v>1</v>
      </c>
    </row>
    <row r="641" spans="1:43" x14ac:dyDescent="0.25">
      <c r="A641" t="s">
        <v>27</v>
      </c>
      <c r="B641" s="1">
        <v>39256</v>
      </c>
      <c r="C641" s="7">
        <f t="shared" si="118"/>
        <v>2007</v>
      </c>
      <c r="D641">
        <v>97.3</v>
      </c>
      <c r="E641">
        <v>71.599999999999994</v>
      </c>
      <c r="F641">
        <v>85.1</v>
      </c>
      <c r="G641" s="2">
        <f t="shared" si="108"/>
        <v>1</v>
      </c>
      <c r="H641">
        <v>98.3</v>
      </c>
      <c r="I641">
        <v>71.599999999999994</v>
      </c>
      <c r="J641">
        <v>85.9</v>
      </c>
      <c r="K641">
        <v>62.4</v>
      </c>
      <c r="L641">
        <v>48.6</v>
      </c>
      <c r="M641" s="2">
        <f t="shared" si="119"/>
        <v>1</v>
      </c>
      <c r="N641">
        <v>0</v>
      </c>
      <c r="P641" s="2">
        <f t="shared" si="120"/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s="2">
        <f t="shared" si="121"/>
        <v>0</v>
      </c>
      <c r="X641">
        <v>9.4</v>
      </c>
      <c r="Z641" s="2">
        <f t="shared" si="122"/>
        <v>0</v>
      </c>
      <c r="AA641">
        <v>171.4</v>
      </c>
      <c r="AB641" s="2" t="str">
        <f>CHOOSE(MATCH(AA641,{0;11;80;111;161;191;241;281;341},1),"North","NorthEast","East","SouthEast","South","SouthWest","West","NorthWest","North")</f>
        <v>South</v>
      </c>
      <c r="AC641" s="5">
        <f>CHOOSE(MATCH(AB641,{"South";"SouthEast";"SouthWest";"North";"NorthEast";"East";"West";"NorthWest"},0),1,2,3,4,5,6,7,8)</f>
        <v>1</v>
      </c>
      <c r="AD641" s="2">
        <f t="shared" si="123"/>
        <v>0</v>
      </c>
      <c r="AE641">
        <v>1012.6</v>
      </c>
      <c r="AF641" s="4" t="s">
        <v>1119</v>
      </c>
      <c r="AG641" s="2">
        <f t="shared" si="124"/>
        <v>1</v>
      </c>
      <c r="AH641" t="s">
        <v>1120</v>
      </c>
      <c r="AI641" s="2">
        <f t="shared" si="125"/>
        <v>6</v>
      </c>
      <c r="AJ641" s="2">
        <f t="shared" si="126"/>
        <v>1</v>
      </c>
      <c r="AK641" s="3">
        <v>126.0000000020955</v>
      </c>
      <c r="AM641" s="2">
        <v>0</v>
      </c>
      <c r="AN641">
        <v>0</v>
      </c>
      <c r="AO641">
        <v>2</v>
      </c>
      <c r="AP641">
        <v>0</v>
      </c>
      <c r="AQ641" s="2">
        <f>IF((2*G641 + M641 -P641 + 3*W641 + 2*Z641+2*AD641 + AG641+2*AJ641 + 4*AM641) &gt;=8,1,0)</f>
        <v>0</v>
      </c>
    </row>
    <row r="642" spans="1:43" x14ac:dyDescent="0.25">
      <c r="A642" t="s">
        <v>27</v>
      </c>
      <c r="B642" s="1">
        <v>39256</v>
      </c>
      <c r="C642" s="7">
        <f t="shared" si="118"/>
        <v>2007</v>
      </c>
      <c r="D642">
        <v>97.3</v>
      </c>
      <c r="E642">
        <v>71.599999999999994</v>
      </c>
      <c r="F642">
        <v>85.1</v>
      </c>
      <c r="G642" s="2">
        <f t="shared" ref="G642:G705" si="127">IF(F642&lt;=73.6,0,1)</f>
        <v>1</v>
      </c>
      <c r="H642">
        <v>98.3</v>
      </c>
      <c r="I642">
        <v>71.599999999999994</v>
      </c>
      <c r="J642">
        <v>85.9</v>
      </c>
      <c r="K642">
        <v>62.4</v>
      </c>
      <c r="L642">
        <v>48.6</v>
      </c>
      <c r="M642" s="2">
        <f t="shared" si="119"/>
        <v>1</v>
      </c>
      <c r="N642">
        <v>0</v>
      </c>
      <c r="P642" s="2">
        <f t="shared" si="120"/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s="2">
        <f t="shared" si="121"/>
        <v>0</v>
      </c>
      <c r="X642">
        <v>9.4</v>
      </c>
      <c r="Z642" s="2">
        <f t="shared" si="122"/>
        <v>0</v>
      </c>
      <c r="AA642">
        <v>171.4</v>
      </c>
      <c r="AB642" s="2" t="str">
        <f>CHOOSE(MATCH(AA642,{0;11;80;111;161;191;241;281;341},1),"North","NorthEast","East","SouthEast","South","SouthWest","West","NorthWest","North")</f>
        <v>South</v>
      </c>
      <c r="AC642" s="5">
        <f>CHOOSE(MATCH(AB642,{"South";"SouthEast";"SouthWest";"North";"NorthEast";"East";"West";"NorthWest"},0),1,2,3,4,5,6,7,8)</f>
        <v>1</v>
      </c>
      <c r="AD642" s="2">
        <f t="shared" si="123"/>
        <v>0</v>
      </c>
      <c r="AE642">
        <v>1012.6</v>
      </c>
      <c r="AF642" s="4" t="s">
        <v>1121</v>
      </c>
      <c r="AG642" s="2">
        <f t="shared" si="124"/>
        <v>1</v>
      </c>
      <c r="AH642" t="s">
        <v>1122</v>
      </c>
      <c r="AI642" s="2">
        <f t="shared" si="125"/>
        <v>6</v>
      </c>
      <c r="AJ642" s="2">
        <f t="shared" si="126"/>
        <v>1</v>
      </c>
      <c r="AK642" s="3">
        <v>1590.0000000069849</v>
      </c>
      <c r="AM642" s="2">
        <v>1</v>
      </c>
      <c r="AN642">
        <v>0</v>
      </c>
      <c r="AO642">
        <v>12</v>
      </c>
      <c r="AP642">
        <v>0</v>
      </c>
      <c r="AQ642" s="2">
        <f>IF((2*G642 + M642 -P642 + 3*W642 + 2*Z642+2*AD642 + AG642+2*AJ642 + 4*AM642) &gt;=8,1,0)</f>
        <v>1</v>
      </c>
    </row>
    <row r="643" spans="1:43" x14ac:dyDescent="0.25">
      <c r="A643" t="s">
        <v>27</v>
      </c>
      <c r="B643" s="1">
        <v>39257</v>
      </c>
      <c r="C643" s="7">
        <f t="shared" si="118"/>
        <v>2007</v>
      </c>
      <c r="D643">
        <v>109.4</v>
      </c>
      <c r="E643">
        <v>75.8</v>
      </c>
      <c r="F643">
        <v>91.4</v>
      </c>
      <c r="G643" s="2">
        <f t="shared" si="127"/>
        <v>1</v>
      </c>
      <c r="H643">
        <v>104.6</v>
      </c>
      <c r="I643">
        <v>75.8</v>
      </c>
      <c r="J643">
        <v>90.7</v>
      </c>
      <c r="K643">
        <v>57.4</v>
      </c>
      <c r="L643">
        <v>36.9</v>
      </c>
      <c r="M643" s="2">
        <f t="shared" si="119"/>
        <v>1</v>
      </c>
      <c r="N643">
        <v>0</v>
      </c>
      <c r="P643" s="2">
        <f t="shared" si="120"/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s="2">
        <f t="shared" si="121"/>
        <v>0</v>
      </c>
      <c r="X643">
        <v>11</v>
      </c>
      <c r="Z643" s="2">
        <f t="shared" si="122"/>
        <v>0</v>
      </c>
      <c r="AA643">
        <v>57.8</v>
      </c>
      <c r="AB643" s="2" t="str">
        <f>CHOOSE(MATCH(AA643,{0;11;80;111;161;191;241;281;341},1),"North","NorthEast","East","SouthEast","South","SouthWest","West","NorthWest","North")</f>
        <v>NorthEast</v>
      </c>
      <c r="AC643" s="5">
        <f>CHOOSE(MATCH(AB643,{"South";"SouthEast";"SouthWest";"North";"NorthEast";"East";"West";"NorthWest"},0),1,2,3,4,5,6,7,8)</f>
        <v>5</v>
      </c>
      <c r="AD643" s="2">
        <f t="shared" si="123"/>
        <v>1</v>
      </c>
      <c r="AE643">
        <v>1012.5</v>
      </c>
      <c r="AF643" s="4" t="s">
        <v>1123</v>
      </c>
      <c r="AG643" s="2">
        <f t="shared" si="124"/>
        <v>1</v>
      </c>
      <c r="AH643" t="s">
        <v>1124</v>
      </c>
      <c r="AI643" s="2">
        <f t="shared" si="125"/>
        <v>6</v>
      </c>
      <c r="AJ643" s="2">
        <f t="shared" si="126"/>
        <v>1</v>
      </c>
      <c r="AK643" s="3">
        <v>139.99999999534339</v>
      </c>
      <c r="AM643" s="2">
        <v>0</v>
      </c>
      <c r="AN643">
        <v>5</v>
      </c>
      <c r="AO643">
        <v>0</v>
      </c>
      <c r="AP643">
        <v>0</v>
      </c>
      <c r="AQ643" s="2">
        <f>IF((2*G643 + M643 -P643 + 3*W643 + 2*Z643+2*AD643 + AG643+2*AJ643 + 4*AM643) &gt;=8,1,0)</f>
        <v>0</v>
      </c>
    </row>
    <row r="644" spans="1:43" x14ac:dyDescent="0.25">
      <c r="A644" t="s">
        <v>27</v>
      </c>
      <c r="B644" s="1">
        <v>39257</v>
      </c>
      <c r="C644" s="7">
        <f t="shared" si="118"/>
        <v>2007</v>
      </c>
      <c r="D644">
        <v>109.4</v>
      </c>
      <c r="E644">
        <v>75.8</v>
      </c>
      <c r="F644">
        <v>91.4</v>
      </c>
      <c r="G644" s="2">
        <f t="shared" si="127"/>
        <v>1</v>
      </c>
      <c r="H644">
        <v>104.6</v>
      </c>
      <c r="I644">
        <v>75.8</v>
      </c>
      <c r="J644">
        <v>90.7</v>
      </c>
      <c r="K644">
        <v>57.4</v>
      </c>
      <c r="L644">
        <v>36.9</v>
      </c>
      <c r="M644" s="2">
        <f t="shared" si="119"/>
        <v>1</v>
      </c>
      <c r="N644">
        <v>0</v>
      </c>
      <c r="P644" s="2">
        <f t="shared" si="120"/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s="2">
        <f t="shared" si="121"/>
        <v>0</v>
      </c>
      <c r="X644">
        <v>11</v>
      </c>
      <c r="Z644" s="2">
        <f t="shared" si="122"/>
        <v>0</v>
      </c>
      <c r="AA644">
        <v>57.8</v>
      </c>
      <c r="AB644" s="2" t="str">
        <f>CHOOSE(MATCH(AA644,{0;11;80;111;161;191;241;281;341},1),"North","NorthEast","East","SouthEast","South","SouthWest","West","NorthWest","North")</f>
        <v>NorthEast</v>
      </c>
      <c r="AC644" s="5">
        <f>CHOOSE(MATCH(AB644,{"South";"SouthEast";"SouthWest";"North";"NorthEast";"East";"West";"NorthWest"},0),1,2,3,4,5,6,7,8)</f>
        <v>5</v>
      </c>
      <c r="AD644" s="2">
        <f t="shared" si="123"/>
        <v>1</v>
      </c>
      <c r="AE644">
        <v>1012.5</v>
      </c>
      <c r="AF644" s="4" t="s">
        <v>1125</v>
      </c>
      <c r="AG644" s="2">
        <f t="shared" si="124"/>
        <v>0</v>
      </c>
      <c r="AH644" t="s">
        <v>1126</v>
      </c>
      <c r="AI644" s="2">
        <f t="shared" si="125"/>
        <v>6</v>
      </c>
      <c r="AJ644" s="2">
        <f t="shared" si="126"/>
        <v>1</v>
      </c>
      <c r="AK644" s="3">
        <v>1305</v>
      </c>
      <c r="AM644" s="2">
        <v>1</v>
      </c>
      <c r="AN644">
        <v>20</v>
      </c>
      <c r="AO644">
        <v>5</v>
      </c>
      <c r="AP644">
        <v>0</v>
      </c>
      <c r="AQ644" s="2">
        <f>IF((2*G644 + M644 -P644 + 3*W644 + 2*Z644+2*AD644 + AG644+2*AJ644 + 4*AM644) &gt;=8,1,0)</f>
        <v>1</v>
      </c>
    </row>
    <row r="645" spans="1:43" x14ac:dyDescent="0.25">
      <c r="A645" t="s">
        <v>27</v>
      </c>
      <c r="B645" s="1">
        <v>39257</v>
      </c>
      <c r="C645" s="7">
        <f t="shared" si="118"/>
        <v>2007</v>
      </c>
      <c r="D645">
        <v>109.4</v>
      </c>
      <c r="E645">
        <v>75.8</v>
      </c>
      <c r="F645">
        <v>91.4</v>
      </c>
      <c r="G645" s="2">
        <f t="shared" si="127"/>
        <v>1</v>
      </c>
      <c r="H645">
        <v>104.6</v>
      </c>
      <c r="I645">
        <v>75.8</v>
      </c>
      <c r="J645">
        <v>90.7</v>
      </c>
      <c r="K645">
        <v>57.4</v>
      </c>
      <c r="L645">
        <v>36.9</v>
      </c>
      <c r="M645" s="2">
        <f t="shared" si="119"/>
        <v>1</v>
      </c>
      <c r="N645">
        <v>0</v>
      </c>
      <c r="P645" s="2">
        <f t="shared" si="120"/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s="2">
        <f t="shared" si="121"/>
        <v>0</v>
      </c>
      <c r="X645">
        <v>11</v>
      </c>
      <c r="Z645" s="2">
        <f t="shared" si="122"/>
        <v>0</v>
      </c>
      <c r="AA645">
        <v>57.8</v>
      </c>
      <c r="AB645" s="2" t="str">
        <f>CHOOSE(MATCH(AA645,{0;11;80;111;161;191;241;281;341},1),"North","NorthEast","East","SouthEast","South","SouthWest","West","NorthWest","North")</f>
        <v>NorthEast</v>
      </c>
      <c r="AC645" s="5">
        <f>CHOOSE(MATCH(AB645,{"South";"SouthEast";"SouthWest";"North";"NorthEast";"East";"West";"NorthWest"},0),1,2,3,4,5,6,7,8)</f>
        <v>5</v>
      </c>
      <c r="AD645" s="2">
        <f t="shared" si="123"/>
        <v>1</v>
      </c>
      <c r="AE645">
        <v>1012.5</v>
      </c>
      <c r="AF645" s="4" t="s">
        <v>1127</v>
      </c>
      <c r="AG645" s="2">
        <f t="shared" si="124"/>
        <v>1</v>
      </c>
      <c r="AH645" t="s">
        <v>1128</v>
      </c>
      <c r="AI645" s="2">
        <f t="shared" si="125"/>
        <v>6</v>
      </c>
      <c r="AJ645" s="2">
        <f t="shared" si="126"/>
        <v>1</v>
      </c>
      <c r="AK645" s="3">
        <v>155.00000000232831</v>
      </c>
      <c r="AM645" s="2">
        <v>0</v>
      </c>
      <c r="AN645">
        <v>0</v>
      </c>
      <c r="AO645">
        <v>1</v>
      </c>
      <c r="AP645">
        <v>0</v>
      </c>
      <c r="AQ645" s="2">
        <f>IF((2*G645 + M645 -P645 + 3*W645 + 2*Z645+2*AD645 + AG645+2*AJ645 + 4*AM645) &gt;=8,1,0)</f>
        <v>0</v>
      </c>
    </row>
    <row r="646" spans="1:43" x14ac:dyDescent="0.25">
      <c r="A646" t="s">
        <v>27</v>
      </c>
      <c r="B646" s="1">
        <v>39257</v>
      </c>
      <c r="C646" s="7">
        <f t="shared" si="118"/>
        <v>2007</v>
      </c>
      <c r="D646">
        <v>109.4</v>
      </c>
      <c r="E646">
        <v>75.8</v>
      </c>
      <c r="F646">
        <v>91.4</v>
      </c>
      <c r="G646" s="2">
        <f t="shared" si="127"/>
        <v>1</v>
      </c>
      <c r="H646">
        <v>104.6</v>
      </c>
      <c r="I646">
        <v>75.8</v>
      </c>
      <c r="J646">
        <v>90.7</v>
      </c>
      <c r="K646">
        <v>57.4</v>
      </c>
      <c r="L646">
        <v>36.9</v>
      </c>
      <c r="M646" s="2">
        <f t="shared" si="119"/>
        <v>1</v>
      </c>
      <c r="N646">
        <v>0</v>
      </c>
      <c r="P646" s="2">
        <f t="shared" si="120"/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s="2">
        <f t="shared" si="121"/>
        <v>0</v>
      </c>
      <c r="X646">
        <v>11</v>
      </c>
      <c r="Z646" s="2">
        <f t="shared" si="122"/>
        <v>0</v>
      </c>
      <c r="AA646">
        <v>57.8</v>
      </c>
      <c r="AB646" s="2" t="str">
        <f>CHOOSE(MATCH(AA646,{0;11;80;111;161;191;241;281;341},1),"North","NorthEast","East","SouthEast","South","SouthWest","West","NorthWest","North")</f>
        <v>NorthEast</v>
      </c>
      <c r="AC646" s="5">
        <f>CHOOSE(MATCH(AB646,{"South";"SouthEast";"SouthWest";"North";"NorthEast";"East";"West";"NorthWest"},0),1,2,3,4,5,6,7,8)</f>
        <v>5</v>
      </c>
      <c r="AD646" s="2">
        <f t="shared" si="123"/>
        <v>1</v>
      </c>
      <c r="AE646">
        <v>1012.5</v>
      </c>
      <c r="AF646" s="4" t="s">
        <v>1129</v>
      </c>
      <c r="AG646" s="2">
        <f t="shared" si="124"/>
        <v>0</v>
      </c>
      <c r="AH646" t="s">
        <v>1130</v>
      </c>
      <c r="AI646" s="2">
        <f t="shared" si="125"/>
        <v>6</v>
      </c>
      <c r="AJ646" s="2">
        <f t="shared" si="126"/>
        <v>1</v>
      </c>
      <c r="AK646" s="3">
        <v>284.99999999650748</v>
      </c>
      <c r="AM646" s="2">
        <v>0</v>
      </c>
      <c r="AN646">
        <v>0.5</v>
      </c>
      <c r="AO646">
        <v>0</v>
      </c>
      <c r="AP646">
        <v>0</v>
      </c>
      <c r="AQ646" s="2">
        <f>IF((2*G646 + M646 -P646 + 3*W646 + 2*Z646+2*AD646 + AG646+2*AJ646 + 4*AM646) &gt;=8,1,0)</f>
        <v>0</v>
      </c>
    </row>
    <row r="647" spans="1:43" x14ac:dyDescent="0.25">
      <c r="A647" t="s">
        <v>27</v>
      </c>
      <c r="B647" s="1">
        <v>39259</v>
      </c>
      <c r="C647" s="7">
        <f t="shared" si="118"/>
        <v>2007</v>
      </c>
      <c r="D647">
        <v>112.1</v>
      </c>
      <c r="E647">
        <v>75.3</v>
      </c>
      <c r="F647">
        <v>92.8</v>
      </c>
      <c r="G647" s="2">
        <f t="shared" si="127"/>
        <v>1</v>
      </c>
      <c r="H647">
        <v>112.1</v>
      </c>
      <c r="I647">
        <v>75.3</v>
      </c>
      <c r="J647">
        <v>92.3</v>
      </c>
      <c r="K647">
        <v>56</v>
      </c>
      <c r="L647">
        <v>32.799999999999997</v>
      </c>
      <c r="M647" s="2">
        <f t="shared" si="119"/>
        <v>1</v>
      </c>
      <c r="N647">
        <v>0</v>
      </c>
      <c r="P647" s="2">
        <f t="shared" si="120"/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s="2">
        <f t="shared" si="121"/>
        <v>0</v>
      </c>
      <c r="X647">
        <v>14.7</v>
      </c>
      <c r="Z647" s="2">
        <f t="shared" si="122"/>
        <v>0</v>
      </c>
      <c r="AA647">
        <v>332.5</v>
      </c>
      <c r="AB647" s="2" t="str">
        <f>CHOOSE(MATCH(AA647,{0;11;80;111;161;191;241;281;341},1),"North","NorthEast","East","SouthEast","South","SouthWest","West","NorthWest","North")</f>
        <v>NorthWest</v>
      </c>
      <c r="AC647" s="5">
        <f>CHOOSE(MATCH(AB647,{"South";"SouthEast";"SouthWest";"North";"NorthEast";"East";"West";"NorthWest"},0),1,2,3,4,5,6,7,8)</f>
        <v>8</v>
      </c>
      <c r="AD647" s="2">
        <f t="shared" si="123"/>
        <v>1</v>
      </c>
      <c r="AE647">
        <v>1007.2</v>
      </c>
      <c r="AF647" s="4" t="s">
        <v>1131</v>
      </c>
      <c r="AG647" s="2">
        <f t="shared" si="124"/>
        <v>1</v>
      </c>
      <c r="AH647" t="s">
        <v>1132</v>
      </c>
      <c r="AI647" s="2">
        <f t="shared" si="125"/>
        <v>6</v>
      </c>
      <c r="AJ647" s="2">
        <f t="shared" si="126"/>
        <v>1</v>
      </c>
      <c r="AK647" s="3">
        <v>7516.0000000032596</v>
      </c>
      <c r="AM647" s="2">
        <v>1</v>
      </c>
      <c r="AN647">
        <v>0</v>
      </c>
      <c r="AO647">
        <v>700</v>
      </c>
      <c r="AP647">
        <v>0</v>
      </c>
      <c r="AQ647" s="2">
        <f>IF((2*G647 + M647 -P647 + 3*W647 + 2*Z647+2*AD647 + AG647+2*AJ647 + 4*AM647) &gt;=8,1,0)</f>
        <v>1</v>
      </c>
    </row>
    <row r="648" spans="1:43" x14ac:dyDescent="0.25">
      <c r="A648" t="s">
        <v>27</v>
      </c>
      <c r="B648" s="1">
        <v>39261</v>
      </c>
      <c r="C648" s="7">
        <f t="shared" si="118"/>
        <v>2007</v>
      </c>
      <c r="D648">
        <v>100.5</v>
      </c>
      <c r="E648">
        <v>80.7</v>
      </c>
      <c r="F648">
        <v>90.2</v>
      </c>
      <c r="G648" s="2">
        <f t="shared" si="127"/>
        <v>1</v>
      </c>
      <c r="H648">
        <v>98.6</v>
      </c>
      <c r="I648">
        <v>80.599999999999994</v>
      </c>
      <c r="J648">
        <v>88.8</v>
      </c>
      <c r="K648">
        <v>54.6</v>
      </c>
      <c r="L648">
        <v>30.9</v>
      </c>
      <c r="M648" s="2">
        <f t="shared" si="119"/>
        <v>1</v>
      </c>
      <c r="N648">
        <v>0</v>
      </c>
      <c r="P648" s="2">
        <f t="shared" si="120"/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s="2">
        <f t="shared" si="121"/>
        <v>0</v>
      </c>
      <c r="X648">
        <v>15.6</v>
      </c>
      <c r="Z648" s="2">
        <f t="shared" si="122"/>
        <v>0</v>
      </c>
      <c r="AA648">
        <v>340.1</v>
      </c>
      <c r="AB648" s="2" t="str">
        <f>CHOOSE(MATCH(AA648,{0;11;80;111;161;191;241;281;341},1),"North","NorthEast","East","SouthEast","South","SouthWest","West","NorthWest","North")</f>
        <v>NorthWest</v>
      </c>
      <c r="AC648" s="5">
        <f>CHOOSE(MATCH(AB648,{"South";"SouthEast";"SouthWest";"North";"NorthEast";"East";"West";"NorthWest"},0),1,2,3,4,5,6,7,8)</f>
        <v>8</v>
      </c>
      <c r="AD648" s="2">
        <f t="shared" si="123"/>
        <v>1</v>
      </c>
      <c r="AE648">
        <v>1005.9</v>
      </c>
      <c r="AF648" s="4" t="s">
        <v>1135</v>
      </c>
      <c r="AG648" s="2">
        <f t="shared" si="124"/>
        <v>1</v>
      </c>
      <c r="AH648" t="s">
        <v>1136</v>
      </c>
      <c r="AI648" s="2">
        <f t="shared" si="125"/>
        <v>6</v>
      </c>
      <c r="AJ648" s="2">
        <f t="shared" si="126"/>
        <v>1</v>
      </c>
      <c r="AK648" s="3">
        <v>191.00000000442381</v>
      </c>
      <c r="AM648" s="2">
        <v>0</v>
      </c>
      <c r="AN648">
        <v>0</v>
      </c>
      <c r="AO648">
        <v>20</v>
      </c>
      <c r="AP648">
        <v>0</v>
      </c>
      <c r="AQ648" s="2">
        <f>IF((2*G648 + M648 -P648 + 3*W648 + 2*Z648+2*AD648 + AG648+2*AJ648 + 4*AM648) &gt;=8,1,0)</f>
        <v>0</v>
      </c>
    </row>
    <row r="649" spans="1:43" x14ac:dyDescent="0.25">
      <c r="A649" t="s">
        <v>27</v>
      </c>
      <c r="B649" s="1">
        <v>39262</v>
      </c>
      <c r="C649" s="7">
        <f t="shared" si="118"/>
        <v>2007</v>
      </c>
      <c r="D649">
        <v>92.2</v>
      </c>
      <c r="E649">
        <v>71.7</v>
      </c>
      <c r="F649">
        <v>83</v>
      </c>
      <c r="G649" s="2">
        <f t="shared" si="127"/>
        <v>1</v>
      </c>
      <c r="H649">
        <v>91.1</v>
      </c>
      <c r="I649">
        <v>71.7</v>
      </c>
      <c r="J649">
        <v>82.9</v>
      </c>
      <c r="K649">
        <v>56.3</v>
      </c>
      <c r="L649">
        <v>40.799999999999997</v>
      </c>
      <c r="M649" s="2">
        <f t="shared" si="119"/>
        <v>1</v>
      </c>
      <c r="N649">
        <v>0</v>
      </c>
      <c r="P649" s="2">
        <f t="shared" si="120"/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s="2">
        <f t="shared" si="121"/>
        <v>0</v>
      </c>
      <c r="X649">
        <v>16.7</v>
      </c>
      <c r="Z649" s="2">
        <f t="shared" si="122"/>
        <v>1</v>
      </c>
      <c r="AA649">
        <v>30</v>
      </c>
      <c r="AB649" s="2" t="str">
        <f>CHOOSE(MATCH(AA649,{0;11;80;111;161;191;241;281;341},1),"North","NorthEast","East","SouthEast","South","SouthWest","West","NorthWest","North")</f>
        <v>NorthEast</v>
      </c>
      <c r="AC649" s="5">
        <f>CHOOSE(MATCH(AB649,{"South";"SouthEast";"SouthWest";"North";"NorthEast";"East";"West";"NorthWest"},0),1,2,3,4,5,6,7,8)</f>
        <v>5</v>
      </c>
      <c r="AD649" s="2">
        <f t="shared" si="123"/>
        <v>1</v>
      </c>
      <c r="AE649">
        <v>1009.7</v>
      </c>
      <c r="AF649" s="4" t="s">
        <v>1137</v>
      </c>
      <c r="AG649" s="2">
        <f t="shared" si="124"/>
        <v>0</v>
      </c>
      <c r="AH649" t="s">
        <v>1138</v>
      </c>
      <c r="AI649" s="2">
        <f t="shared" si="125"/>
        <v>6</v>
      </c>
      <c r="AJ649" s="2">
        <f t="shared" si="126"/>
        <v>1</v>
      </c>
      <c r="AK649" s="3">
        <v>102.0000000076834</v>
      </c>
      <c r="AM649" s="2">
        <v>0</v>
      </c>
      <c r="AN649">
        <v>6</v>
      </c>
      <c r="AO649">
        <v>2</v>
      </c>
      <c r="AP649">
        <v>0</v>
      </c>
      <c r="AQ649" s="2">
        <f>IF((2*G649 + M649 -P649 + 3*W649 + 2*Z649+2*AD649 + AG649+2*AJ649 + 4*AM649) &gt;=8,1,0)</f>
        <v>1</v>
      </c>
    </row>
    <row r="650" spans="1:43" x14ac:dyDescent="0.25">
      <c r="A650" t="s">
        <v>27</v>
      </c>
      <c r="B650" s="1">
        <v>39262</v>
      </c>
      <c r="C650" s="7">
        <f t="shared" si="118"/>
        <v>2007</v>
      </c>
      <c r="D650">
        <v>92.2</v>
      </c>
      <c r="E650">
        <v>71.7</v>
      </c>
      <c r="F650">
        <v>83</v>
      </c>
      <c r="G650" s="2">
        <f t="shared" si="127"/>
        <v>1</v>
      </c>
      <c r="H650">
        <v>91.1</v>
      </c>
      <c r="I650">
        <v>71.7</v>
      </c>
      <c r="J650">
        <v>82.9</v>
      </c>
      <c r="K650">
        <v>56.3</v>
      </c>
      <c r="L650">
        <v>40.799999999999997</v>
      </c>
      <c r="M650" s="2">
        <f t="shared" si="119"/>
        <v>1</v>
      </c>
      <c r="N650">
        <v>0</v>
      </c>
      <c r="P650" s="2">
        <f t="shared" si="120"/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s="2">
        <f t="shared" si="121"/>
        <v>0</v>
      </c>
      <c r="X650">
        <v>16.7</v>
      </c>
      <c r="Z650" s="2">
        <f t="shared" si="122"/>
        <v>1</v>
      </c>
      <c r="AA650">
        <v>30</v>
      </c>
      <c r="AB650" s="2" t="str">
        <f>CHOOSE(MATCH(AA650,{0;11;80;111;161;191;241;281;341},1),"North","NorthEast","East","SouthEast","South","SouthWest","West","NorthWest","North")</f>
        <v>NorthEast</v>
      </c>
      <c r="AC650" s="5">
        <f>CHOOSE(MATCH(AB650,{"South";"SouthEast";"SouthWest";"North";"NorthEast";"East";"West";"NorthWest"},0),1,2,3,4,5,6,7,8)</f>
        <v>5</v>
      </c>
      <c r="AD650" s="2">
        <f t="shared" si="123"/>
        <v>1</v>
      </c>
      <c r="AE650">
        <v>1009.7</v>
      </c>
      <c r="AF650" s="4" t="s">
        <v>1139</v>
      </c>
      <c r="AG650" s="2">
        <f t="shared" si="124"/>
        <v>0</v>
      </c>
      <c r="AH650" t="s">
        <v>1140</v>
      </c>
      <c r="AI650" s="2">
        <f t="shared" si="125"/>
        <v>6</v>
      </c>
      <c r="AJ650" s="2">
        <f t="shared" si="126"/>
        <v>1</v>
      </c>
      <c r="AK650" s="3">
        <v>135</v>
      </c>
      <c r="AM650" s="2">
        <v>0</v>
      </c>
      <c r="AN650">
        <v>2</v>
      </c>
      <c r="AO650">
        <v>0</v>
      </c>
      <c r="AP650">
        <v>0</v>
      </c>
      <c r="AQ650" s="2">
        <f>IF((2*G650 + M650 -P650 + 3*W650 + 2*Z650+2*AD650 + AG650+2*AJ650 + 4*AM650) &gt;=8,1,0)</f>
        <v>1</v>
      </c>
    </row>
    <row r="651" spans="1:43" x14ac:dyDescent="0.25">
      <c r="A651" t="s">
        <v>27</v>
      </c>
      <c r="B651" s="1">
        <v>39263</v>
      </c>
      <c r="C651" s="7">
        <f t="shared" si="118"/>
        <v>2007</v>
      </c>
      <c r="D651">
        <v>87.2</v>
      </c>
      <c r="E651">
        <v>75.3</v>
      </c>
      <c r="F651">
        <v>81.400000000000006</v>
      </c>
      <c r="G651" s="2">
        <f t="shared" si="127"/>
        <v>1</v>
      </c>
      <c r="H651">
        <v>85</v>
      </c>
      <c r="I651">
        <v>75.3</v>
      </c>
      <c r="J651">
        <v>80.599999999999994</v>
      </c>
      <c r="K651">
        <v>53.5</v>
      </c>
      <c r="L651">
        <v>38.6</v>
      </c>
      <c r="M651" s="2">
        <f t="shared" si="119"/>
        <v>1</v>
      </c>
      <c r="N651">
        <v>0</v>
      </c>
      <c r="P651" s="2">
        <f t="shared" si="120"/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s="2">
        <f t="shared" si="121"/>
        <v>0</v>
      </c>
      <c r="X651">
        <v>15.6</v>
      </c>
      <c r="Z651" s="2">
        <f t="shared" si="122"/>
        <v>0</v>
      </c>
      <c r="AA651">
        <v>29.2</v>
      </c>
      <c r="AB651" s="2" t="str">
        <f>CHOOSE(MATCH(AA651,{0;11;80;111;161;191;241;281;341},1),"North","NorthEast","East","SouthEast","South","SouthWest","West","NorthWest","North")</f>
        <v>NorthEast</v>
      </c>
      <c r="AC651" s="5">
        <f>CHOOSE(MATCH(AB651,{"South";"SouthEast";"SouthWest";"North";"NorthEast";"East";"West";"NorthWest"},0),1,2,3,4,5,6,7,8)</f>
        <v>5</v>
      </c>
      <c r="AD651" s="2">
        <f t="shared" si="123"/>
        <v>1</v>
      </c>
      <c r="AE651">
        <v>1012.3</v>
      </c>
      <c r="AF651" s="4" t="s">
        <v>1074</v>
      </c>
      <c r="AG651" s="2">
        <f t="shared" si="124"/>
        <v>1</v>
      </c>
      <c r="AH651" t="s">
        <v>1142</v>
      </c>
      <c r="AI651" s="2">
        <f t="shared" si="125"/>
        <v>6</v>
      </c>
      <c r="AJ651" s="2">
        <f t="shared" si="126"/>
        <v>1</v>
      </c>
      <c r="AK651" s="3">
        <v>360</v>
      </c>
      <c r="AM651" s="2">
        <v>0</v>
      </c>
      <c r="AN651">
        <v>0</v>
      </c>
      <c r="AO651">
        <v>2</v>
      </c>
      <c r="AP651">
        <v>0</v>
      </c>
      <c r="AQ651" s="2">
        <f>IF((2*G651 + M651 -P651 + 3*W651 + 2*Z651+2*AD651 + AG651+2*AJ651 + 4*AM651) &gt;=8,1,0)</f>
        <v>0</v>
      </c>
    </row>
    <row r="652" spans="1:43" x14ac:dyDescent="0.25">
      <c r="A652" t="s">
        <v>27</v>
      </c>
      <c r="B652" s="1">
        <v>39267</v>
      </c>
      <c r="C652" s="7">
        <f t="shared" si="118"/>
        <v>2007</v>
      </c>
      <c r="D652">
        <v>90.7</v>
      </c>
      <c r="E652">
        <v>70.599999999999994</v>
      </c>
      <c r="F652">
        <v>81.3</v>
      </c>
      <c r="G652" s="2">
        <f t="shared" si="127"/>
        <v>1</v>
      </c>
      <c r="H652">
        <v>92.2</v>
      </c>
      <c r="I652">
        <v>70.599999999999994</v>
      </c>
      <c r="J652">
        <v>81.2</v>
      </c>
      <c r="K652">
        <v>59.3</v>
      </c>
      <c r="L652">
        <v>48.7</v>
      </c>
      <c r="M652" s="2">
        <f t="shared" si="119"/>
        <v>1</v>
      </c>
      <c r="N652">
        <v>0</v>
      </c>
      <c r="P652" s="2">
        <f t="shared" si="120"/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s="2">
        <f t="shared" si="121"/>
        <v>0</v>
      </c>
      <c r="X652">
        <v>12.1</v>
      </c>
      <c r="Z652" s="2">
        <f t="shared" si="122"/>
        <v>0</v>
      </c>
      <c r="AA652">
        <v>168.1</v>
      </c>
      <c r="AB652" s="2" t="str">
        <f>CHOOSE(MATCH(AA652,{0;11;80;111;161;191;241;281;341},1),"North","NorthEast","East","SouthEast","South","SouthWest","West","NorthWest","North")</f>
        <v>South</v>
      </c>
      <c r="AC652" s="5">
        <f>CHOOSE(MATCH(AB652,{"South";"SouthEast";"SouthWest";"North";"NorthEast";"East";"West";"NorthWest"},0),1,2,3,4,5,6,7,8)</f>
        <v>1</v>
      </c>
      <c r="AD652" s="2">
        <f t="shared" si="123"/>
        <v>0</v>
      </c>
      <c r="AE652">
        <v>1008.1</v>
      </c>
      <c r="AF652" s="4" t="s">
        <v>1144</v>
      </c>
      <c r="AG652" s="2">
        <f t="shared" si="124"/>
        <v>0</v>
      </c>
      <c r="AH652" t="s">
        <v>1145</v>
      </c>
      <c r="AI652" s="2">
        <f t="shared" si="125"/>
        <v>7</v>
      </c>
      <c r="AJ652" s="2">
        <f t="shared" si="126"/>
        <v>1</v>
      </c>
      <c r="AK652" s="3">
        <v>10.00000000116415</v>
      </c>
      <c r="AM652" s="2">
        <v>0</v>
      </c>
      <c r="AN652">
        <v>0</v>
      </c>
      <c r="AO652">
        <v>0.01</v>
      </c>
      <c r="AP652">
        <v>0</v>
      </c>
      <c r="AQ652" s="2">
        <f>IF((2*G652 + M652 -P652 + 3*W652 + 2*Z652+2*AD652 + AG652+2*AJ652 + 4*AM652) &gt;=8,1,0)</f>
        <v>0</v>
      </c>
    </row>
    <row r="653" spans="1:43" x14ac:dyDescent="0.25">
      <c r="A653" t="s">
        <v>27</v>
      </c>
      <c r="B653" s="1">
        <v>39267</v>
      </c>
      <c r="C653" s="7">
        <f t="shared" si="118"/>
        <v>2007</v>
      </c>
      <c r="D653">
        <v>90.7</v>
      </c>
      <c r="E653">
        <v>70.599999999999994</v>
      </c>
      <c r="F653">
        <v>81.3</v>
      </c>
      <c r="G653" s="2">
        <f t="shared" si="127"/>
        <v>1</v>
      </c>
      <c r="H653">
        <v>92.2</v>
      </c>
      <c r="I653">
        <v>70.599999999999994</v>
      </c>
      <c r="J653">
        <v>81.2</v>
      </c>
      <c r="K653">
        <v>59.3</v>
      </c>
      <c r="L653">
        <v>48.7</v>
      </c>
      <c r="M653" s="2">
        <f t="shared" si="119"/>
        <v>1</v>
      </c>
      <c r="N653">
        <v>0</v>
      </c>
      <c r="P653" s="2">
        <f t="shared" si="120"/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2">
        <f t="shared" si="121"/>
        <v>0</v>
      </c>
      <c r="X653">
        <v>12.1</v>
      </c>
      <c r="Z653" s="2">
        <f t="shared" si="122"/>
        <v>0</v>
      </c>
      <c r="AA653">
        <v>168.1</v>
      </c>
      <c r="AB653" s="2" t="str">
        <f>CHOOSE(MATCH(AA653,{0;11;80;111;161;191;241;281;341},1),"North","NorthEast","East","SouthEast","South","SouthWest","West","NorthWest","North")</f>
        <v>South</v>
      </c>
      <c r="AC653" s="5">
        <f>CHOOSE(MATCH(AB653,{"South";"SouthEast";"SouthWest";"North";"NorthEast";"East";"West";"NorthWest"},0),1,2,3,4,5,6,7,8)</f>
        <v>1</v>
      </c>
      <c r="AD653" s="2">
        <f t="shared" si="123"/>
        <v>0</v>
      </c>
      <c r="AE653">
        <v>1008.1</v>
      </c>
      <c r="AF653" s="4" t="s">
        <v>1146</v>
      </c>
      <c r="AG653" s="2">
        <f t="shared" si="124"/>
        <v>1</v>
      </c>
      <c r="AH653" t="s">
        <v>1147</v>
      </c>
      <c r="AI653" s="2">
        <f t="shared" si="125"/>
        <v>7</v>
      </c>
      <c r="AJ653" s="2">
        <f t="shared" si="126"/>
        <v>1</v>
      </c>
      <c r="AK653" s="3">
        <v>159.99999999767169</v>
      </c>
      <c r="AM653" s="2">
        <v>0</v>
      </c>
      <c r="AN653">
        <v>0</v>
      </c>
      <c r="AO653">
        <v>2</v>
      </c>
      <c r="AP653">
        <v>0</v>
      </c>
      <c r="AQ653" s="2">
        <f>IF((2*G653 + M653 -P653 + 3*W653 + 2*Z653+2*AD653 + AG653+2*AJ653 + 4*AM653) &gt;=8,1,0)</f>
        <v>0</v>
      </c>
    </row>
    <row r="654" spans="1:43" x14ac:dyDescent="0.25">
      <c r="A654" t="s">
        <v>27</v>
      </c>
      <c r="B654" s="1">
        <v>39270</v>
      </c>
      <c r="C654" s="7">
        <f t="shared" si="118"/>
        <v>2007</v>
      </c>
      <c r="D654">
        <v>87.9</v>
      </c>
      <c r="E654">
        <v>65.5</v>
      </c>
      <c r="F654">
        <v>79.099999999999994</v>
      </c>
      <c r="G654" s="2">
        <f t="shared" si="127"/>
        <v>1</v>
      </c>
      <c r="H654">
        <v>86.4</v>
      </c>
      <c r="I654">
        <v>65.5</v>
      </c>
      <c r="J654">
        <v>78</v>
      </c>
      <c r="K654">
        <v>49.3</v>
      </c>
      <c r="L654">
        <v>36.4</v>
      </c>
      <c r="M654" s="2">
        <f t="shared" si="119"/>
        <v>1</v>
      </c>
      <c r="N654">
        <v>0</v>
      </c>
      <c r="P654" s="2">
        <f t="shared" si="120"/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s="2">
        <f t="shared" si="121"/>
        <v>0</v>
      </c>
      <c r="X654">
        <v>14.4</v>
      </c>
      <c r="Z654" s="2">
        <f t="shared" si="122"/>
        <v>0</v>
      </c>
      <c r="AA654">
        <v>39.6</v>
      </c>
      <c r="AB654" s="2" t="str">
        <f>CHOOSE(MATCH(AA654,{0;11;80;111;161;191;241;281;341},1),"North","NorthEast","East","SouthEast","South","SouthWest","West","NorthWest","North")</f>
        <v>NorthEast</v>
      </c>
      <c r="AC654" s="5">
        <f>CHOOSE(MATCH(AB654,{"South";"SouthEast";"SouthWest";"North";"NorthEast";"East";"West";"NorthWest"},0),1,2,3,4,5,6,7,8)</f>
        <v>5</v>
      </c>
      <c r="AD654" s="2">
        <f t="shared" si="123"/>
        <v>1</v>
      </c>
      <c r="AE654">
        <v>1015</v>
      </c>
      <c r="AF654" s="4" t="s">
        <v>1148</v>
      </c>
      <c r="AG654" s="2">
        <f t="shared" si="124"/>
        <v>0</v>
      </c>
      <c r="AH654" t="s">
        <v>1149</v>
      </c>
      <c r="AI654" s="2">
        <f t="shared" si="125"/>
        <v>7</v>
      </c>
      <c r="AJ654" s="2">
        <f t="shared" si="126"/>
        <v>1</v>
      </c>
      <c r="AK654" s="3">
        <v>34.999999998835847</v>
      </c>
      <c r="AM654" s="2">
        <v>0</v>
      </c>
      <c r="AN654">
        <v>0</v>
      </c>
      <c r="AO654">
        <v>10</v>
      </c>
      <c r="AP654">
        <v>0</v>
      </c>
      <c r="AQ654" s="2">
        <f>IF((2*G654 + M654 -P654 + 3*W654 + 2*Z654+2*AD654 + AG654+2*AJ654 + 4*AM654) &gt;=8,1,0)</f>
        <v>0</v>
      </c>
    </row>
    <row r="655" spans="1:43" x14ac:dyDescent="0.25">
      <c r="A655" t="s">
        <v>27</v>
      </c>
      <c r="B655" s="1">
        <v>39271</v>
      </c>
      <c r="C655" s="7">
        <f t="shared" si="118"/>
        <v>2007</v>
      </c>
      <c r="D655">
        <v>93.3</v>
      </c>
      <c r="E655">
        <v>68</v>
      </c>
      <c r="F655">
        <v>82.2</v>
      </c>
      <c r="G655" s="2">
        <f t="shared" si="127"/>
        <v>1</v>
      </c>
      <c r="H655">
        <v>91.2</v>
      </c>
      <c r="I655">
        <v>68</v>
      </c>
      <c r="J655">
        <v>80.900000000000006</v>
      </c>
      <c r="K655">
        <v>50.1</v>
      </c>
      <c r="L655">
        <v>34.299999999999997</v>
      </c>
      <c r="M655" s="2">
        <f t="shared" si="119"/>
        <v>1</v>
      </c>
      <c r="N655">
        <v>0</v>
      </c>
      <c r="P655" s="2">
        <f t="shared" si="120"/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s="2">
        <f t="shared" si="121"/>
        <v>0</v>
      </c>
      <c r="X655">
        <v>14.3</v>
      </c>
      <c r="Z655" s="2">
        <f t="shared" si="122"/>
        <v>0</v>
      </c>
      <c r="AA655">
        <v>35.200000000000003</v>
      </c>
      <c r="AB655" s="2" t="str">
        <f>CHOOSE(MATCH(AA655,{0;11;80;111;161;191;241;281;341},1),"North","NorthEast","East","SouthEast","South","SouthWest","West","NorthWest","North")</f>
        <v>NorthEast</v>
      </c>
      <c r="AC655" s="5">
        <f>CHOOSE(MATCH(AB655,{"South";"SouthEast";"SouthWest";"North";"NorthEast";"East";"West";"NorthWest"},0),1,2,3,4,5,6,7,8)</f>
        <v>5</v>
      </c>
      <c r="AD655" s="2">
        <f t="shared" si="123"/>
        <v>1</v>
      </c>
      <c r="AE655">
        <v>1015.2</v>
      </c>
      <c r="AF655" s="4" t="s">
        <v>1150</v>
      </c>
      <c r="AG655" s="2">
        <f t="shared" si="124"/>
        <v>0</v>
      </c>
      <c r="AH655" t="s">
        <v>1151</v>
      </c>
      <c r="AI655" s="2">
        <f t="shared" si="125"/>
        <v>7</v>
      </c>
      <c r="AJ655" s="2">
        <f t="shared" si="126"/>
        <v>1</v>
      </c>
      <c r="AK655" s="3">
        <v>143.9999999979045</v>
      </c>
      <c r="AM655" s="2">
        <v>0</v>
      </c>
      <c r="AN655">
        <v>0</v>
      </c>
      <c r="AO655">
        <v>2</v>
      </c>
      <c r="AP655">
        <v>0</v>
      </c>
      <c r="AQ655" s="2">
        <f>IF((2*G655 + M655 -P655 + 3*W655 + 2*Z655+2*AD655 + AG655+2*AJ655 + 4*AM655) &gt;=8,1,0)</f>
        <v>0</v>
      </c>
    </row>
    <row r="656" spans="1:43" x14ac:dyDescent="0.25">
      <c r="A656" t="s">
        <v>27</v>
      </c>
      <c r="B656" s="1">
        <v>39271</v>
      </c>
      <c r="C656" s="7">
        <f t="shared" si="118"/>
        <v>2007</v>
      </c>
      <c r="D656">
        <v>93.3</v>
      </c>
      <c r="E656">
        <v>68</v>
      </c>
      <c r="F656">
        <v>82.2</v>
      </c>
      <c r="G656" s="2">
        <f t="shared" si="127"/>
        <v>1</v>
      </c>
      <c r="H656">
        <v>91.2</v>
      </c>
      <c r="I656">
        <v>68</v>
      </c>
      <c r="J656">
        <v>80.900000000000006</v>
      </c>
      <c r="K656">
        <v>50.1</v>
      </c>
      <c r="L656">
        <v>34.299999999999997</v>
      </c>
      <c r="M656" s="2">
        <f t="shared" si="119"/>
        <v>1</v>
      </c>
      <c r="N656">
        <v>0</v>
      </c>
      <c r="P656" s="2">
        <f t="shared" si="120"/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s="2">
        <f t="shared" si="121"/>
        <v>0</v>
      </c>
      <c r="X656">
        <v>14.3</v>
      </c>
      <c r="Z656" s="2">
        <f t="shared" si="122"/>
        <v>0</v>
      </c>
      <c r="AA656">
        <v>35.200000000000003</v>
      </c>
      <c r="AB656" s="2" t="str">
        <f>CHOOSE(MATCH(AA656,{0;11;80;111;161;191;241;281;341},1),"North","NorthEast","East","SouthEast","South","SouthWest","West","NorthWest","North")</f>
        <v>NorthEast</v>
      </c>
      <c r="AC656" s="5">
        <f>CHOOSE(MATCH(AB656,{"South";"SouthEast";"SouthWest";"North";"NorthEast";"East";"West";"NorthWest"},0),1,2,3,4,5,6,7,8)</f>
        <v>5</v>
      </c>
      <c r="AD656" s="2">
        <f t="shared" si="123"/>
        <v>1</v>
      </c>
      <c r="AE656">
        <v>1015.2</v>
      </c>
      <c r="AF656" s="4" t="s">
        <v>1152</v>
      </c>
      <c r="AG656" s="2">
        <f t="shared" si="124"/>
        <v>1</v>
      </c>
      <c r="AH656" t="s">
        <v>1153</v>
      </c>
      <c r="AI656" s="2">
        <f t="shared" si="125"/>
        <v>7</v>
      </c>
      <c r="AJ656" s="2">
        <f t="shared" si="126"/>
        <v>1</v>
      </c>
      <c r="AK656" s="3">
        <v>11440.99999999395</v>
      </c>
      <c r="AM656" s="2">
        <v>1</v>
      </c>
      <c r="AN656">
        <v>0</v>
      </c>
      <c r="AO656">
        <v>3</v>
      </c>
      <c r="AP656">
        <v>0</v>
      </c>
      <c r="AQ656" s="2">
        <f>IF((2*G656 + M656 -P656 + 3*W656 + 2*Z656+2*AD656 + AG656+2*AJ656 + 4*AM656) &gt;=8,1,0)</f>
        <v>1</v>
      </c>
    </row>
    <row r="657" spans="1:43" x14ac:dyDescent="0.25">
      <c r="A657" t="s">
        <v>27</v>
      </c>
      <c r="B657" s="1">
        <v>39277</v>
      </c>
      <c r="C657" s="7">
        <f t="shared" si="118"/>
        <v>2007</v>
      </c>
      <c r="D657">
        <v>86.8</v>
      </c>
      <c r="E657">
        <v>70</v>
      </c>
      <c r="F657">
        <v>78.8</v>
      </c>
      <c r="G657" s="2">
        <f t="shared" si="127"/>
        <v>1</v>
      </c>
      <c r="H657">
        <v>83.8</v>
      </c>
      <c r="I657">
        <v>70</v>
      </c>
      <c r="J657">
        <v>77.7</v>
      </c>
      <c r="K657">
        <v>47.8</v>
      </c>
      <c r="L657">
        <v>34.799999999999997</v>
      </c>
      <c r="M657" s="2">
        <f t="shared" si="119"/>
        <v>1</v>
      </c>
      <c r="N657">
        <v>0</v>
      </c>
      <c r="P657" s="2">
        <f t="shared" si="120"/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s="2">
        <f t="shared" si="121"/>
        <v>0</v>
      </c>
      <c r="X657">
        <v>17.2</v>
      </c>
      <c r="Z657" s="2">
        <f t="shared" si="122"/>
        <v>1</v>
      </c>
      <c r="AA657">
        <v>4.7</v>
      </c>
      <c r="AB657" s="2" t="str">
        <f>CHOOSE(MATCH(AA657,{0;11;80;111;161;191;241;281;341},1),"North","NorthEast","East","SouthEast","South","SouthWest","West","NorthWest","North")</f>
        <v>North</v>
      </c>
      <c r="AC657" s="5">
        <f>CHOOSE(MATCH(AB657,{"South";"SouthEast";"SouthWest";"North";"NorthEast";"East";"West";"NorthWest"},0),1,2,3,4,5,6,7,8)</f>
        <v>4</v>
      </c>
      <c r="AD657" s="2">
        <f t="shared" si="123"/>
        <v>1</v>
      </c>
      <c r="AE657">
        <v>1016.1</v>
      </c>
      <c r="AF657" s="4" t="s">
        <v>1154</v>
      </c>
      <c r="AG657" s="2">
        <f t="shared" si="124"/>
        <v>1</v>
      </c>
      <c r="AH657" t="s">
        <v>1155</v>
      </c>
      <c r="AI657" s="2">
        <f t="shared" si="125"/>
        <v>7</v>
      </c>
      <c r="AJ657" s="2">
        <f t="shared" si="126"/>
        <v>1</v>
      </c>
      <c r="AK657" s="3">
        <v>312.99999999348069</v>
      </c>
      <c r="AM657" s="2">
        <v>0</v>
      </c>
      <c r="AN657">
        <v>4</v>
      </c>
      <c r="AO657">
        <v>0</v>
      </c>
      <c r="AP657">
        <v>0</v>
      </c>
      <c r="AQ657" s="2">
        <f>IF((2*G657 + M657 -P657 + 3*W657 + 2*Z657+2*AD657 + AG657+2*AJ657 + 4*AM657) &gt;=8,1,0)</f>
        <v>1</v>
      </c>
    </row>
    <row r="658" spans="1:43" x14ac:dyDescent="0.25">
      <c r="A658" t="s">
        <v>27</v>
      </c>
      <c r="B658" s="1">
        <v>39278</v>
      </c>
      <c r="C658" s="7">
        <f t="shared" si="118"/>
        <v>2007</v>
      </c>
      <c r="D658">
        <v>88.9</v>
      </c>
      <c r="E658">
        <v>74.400000000000006</v>
      </c>
      <c r="F658">
        <v>81.400000000000006</v>
      </c>
      <c r="G658" s="2">
        <f t="shared" si="127"/>
        <v>1</v>
      </c>
      <c r="H658">
        <v>85.5</v>
      </c>
      <c r="I658">
        <v>74.400000000000006</v>
      </c>
      <c r="J658">
        <v>80.099999999999994</v>
      </c>
      <c r="K658">
        <v>48.4</v>
      </c>
      <c r="L658">
        <v>32.4</v>
      </c>
      <c r="M658" s="2">
        <f t="shared" si="119"/>
        <v>1</v>
      </c>
      <c r="N658">
        <v>0</v>
      </c>
      <c r="P658" s="2">
        <f t="shared" si="120"/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s="2">
        <f t="shared" si="121"/>
        <v>0</v>
      </c>
      <c r="X658">
        <v>21.6</v>
      </c>
      <c r="Z658" s="2">
        <f t="shared" si="122"/>
        <v>1</v>
      </c>
      <c r="AA658">
        <v>2.8</v>
      </c>
      <c r="AB658" s="2" t="str">
        <f>CHOOSE(MATCH(AA658,{0;11;80;111;161;191;241;281;341},1),"North","NorthEast","East","SouthEast","South","SouthWest","West","NorthWest","North")</f>
        <v>North</v>
      </c>
      <c r="AC658" s="5">
        <f>CHOOSE(MATCH(AB658,{"South";"SouthEast";"SouthWest";"North";"NorthEast";"East";"West";"NorthWest"},0),1,2,3,4,5,6,7,8)</f>
        <v>4</v>
      </c>
      <c r="AD658" s="2">
        <f t="shared" si="123"/>
        <v>1</v>
      </c>
      <c r="AE658">
        <v>1017.3</v>
      </c>
      <c r="AF658" s="4" t="s">
        <v>1156</v>
      </c>
      <c r="AG658" s="2">
        <f t="shared" si="124"/>
        <v>1</v>
      </c>
      <c r="AH658" t="s">
        <v>1157</v>
      </c>
      <c r="AI658" s="2">
        <f t="shared" si="125"/>
        <v>7</v>
      </c>
      <c r="AJ658" s="2">
        <f t="shared" si="126"/>
        <v>1</v>
      </c>
      <c r="AK658" s="3">
        <v>1543.0000000004659</v>
      </c>
      <c r="AM658" s="2">
        <v>1</v>
      </c>
      <c r="AN658">
        <v>20</v>
      </c>
      <c r="AO658">
        <v>0</v>
      </c>
      <c r="AP658">
        <v>0</v>
      </c>
      <c r="AQ658" s="2">
        <f>IF((2*G658 + M658 -P658 + 3*W658 + 2*Z658+2*AD658 + AG658+2*AJ658 + 4*AM658) &gt;=8,1,0)</f>
        <v>1</v>
      </c>
    </row>
    <row r="659" spans="1:43" x14ac:dyDescent="0.25">
      <c r="A659" t="s">
        <v>27</v>
      </c>
      <c r="B659" s="1">
        <v>39278</v>
      </c>
      <c r="C659" s="7">
        <f t="shared" si="118"/>
        <v>2007</v>
      </c>
      <c r="D659">
        <v>88.9</v>
      </c>
      <c r="E659">
        <v>74.400000000000006</v>
      </c>
      <c r="F659">
        <v>81.400000000000006</v>
      </c>
      <c r="G659" s="2">
        <f t="shared" si="127"/>
        <v>1</v>
      </c>
      <c r="H659">
        <v>85.5</v>
      </c>
      <c r="I659">
        <v>74.400000000000006</v>
      </c>
      <c r="J659">
        <v>80.099999999999994</v>
      </c>
      <c r="K659">
        <v>48.4</v>
      </c>
      <c r="L659">
        <v>32.4</v>
      </c>
      <c r="M659" s="2">
        <f t="shared" si="119"/>
        <v>1</v>
      </c>
      <c r="N659">
        <v>0</v>
      </c>
      <c r="P659" s="2">
        <f t="shared" si="120"/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s="2">
        <f t="shared" si="121"/>
        <v>0</v>
      </c>
      <c r="X659">
        <v>21.6</v>
      </c>
      <c r="Z659" s="2">
        <f t="shared" si="122"/>
        <v>1</v>
      </c>
      <c r="AA659">
        <v>2.8</v>
      </c>
      <c r="AB659" s="2" t="str">
        <f>CHOOSE(MATCH(AA659,{0;11;80;111;161;191;241;281;341},1),"North","NorthEast","East","SouthEast","South","SouthWest","West","NorthWest","North")</f>
        <v>North</v>
      </c>
      <c r="AC659" s="5">
        <f>CHOOSE(MATCH(AB659,{"South";"SouthEast";"SouthWest";"North";"NorthEast";"East";"West";"NorthWest"},0),1,2,3,4,5,6,7,8)</f>
        <v>4</v>
      </c>
      <c r="AD659" s="2">
        <f t="shared" si="123"/>
        <v>1</v>
      </c>
      <c r="AE659">
        <v>1017.3</v>
      </c>
      <c r="AF659" s="4" t="s">
        <v>1158</v>
      </c>
      <c r="AG659" s="2">
        <f t="shared" si="124"/>
        <v>1</v>
      </c>
      <c r="AH659" t="s">
        <v>1159</v>
      </c>
      <c r="AI659" s="2">
        <f t="shared" si="125"/>
        <v>7</v>
      </c>
      <c r="AJ659" s="2">
        <f t="shared" si="126"/>
        <v>1</v>
      </c>
      <c r="AK659" s="3">
        <v>225</v>
      </c>
      <c r="AM659" s="2">
        <v>0</v>
      </c>
      <c r="AN659">
        <v>0</v>
      </c>
      <c r="AO659">
        <v>1</v>
      </c>
      <c r="AP659">
        <v>0</v>
      </c>
      <c r="AQ659" s="2">
        <f>IF((2*G659 + M659 -P659 + 3*W659 + 2*Z659+2*AD659 + AG659+2*AJ659 + 4*AM659) &gt;=8,1,0)</f>
        <v>1</v>
      </c>
    </row>
    <row r="660" spans="1:43" x14ac:dyDescent="0.25">
      <c r="A660" t="s">
        <v>27</v>
      </c>
      <c r="B660" s="1">
        <v>39278</v>
      </c>
      <c r="C660" s="7">
        <f t="shared" si="118"/>
        <v>2007</v>
      </c>
      <c r="D660">
        <v>88.9</v>
      </c>
      <c r="E660">
        <v>74.400000000000006</v>
      </c>
      <c r="F660">
        <v>81.400000000000006</v>
      </c>
      <c r="G660" s="2">
        <f t="shared" si="127"/>
        <v>1</v>
      </c>
      <c r="H660">
        <v>85.5</v>
      </c>
      <c r="I660">
        <v>74.400000000000006</v>
      </c>
      <c r="J660">
        <v>80.099999999999994</v>
      </c>
      <c r="K660">
        <v>48.4</v>
      </c>
      <c r="L660">
        <v>32.4</v>
      </c>
      <c r="M660" s="2">
        <f t="shared" si="119"/>
        <v>1</v>
      </c>
      <c r="N660">
        <v>0</v>
      </c>
      <c r="P660" s="2">
        <f t="shared" si="120"/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s="2">
        <f t="shared" si="121"/>
        <v>0</v>
      </c>
      <c r="X660">
        <v>21.6</v>
      </c>
      <c r="Z660" s="2">
        <f t="shared" si="122"/>
        <v>1</v>
      </c>
      <c r="AA660">
        <v>2.8</v>
      </c>
      <c r="AB660" s="2" t="str">
        <f>CHOOSE(MATCH(AA660,{0;11;80;111;161;191;241;281;341},1),"North","NorthEast","East","SouthEast","South","SouthWest","West","NorthWest","North")</f>
        <v>North</v>
      </c>
      <c r="AC660" s="5">
        <f>CHOOSE(MATCH(AB660,{"South";"SouthEast";"SouthWest";"North";"NorthEast";"East";"West";"NorthWest"},0),1,2,3,4,5,6,7,8)</f>
        <v>4</v>
      </c>
      <c r="AD660" s="2">
        <f t="shared" si="123"/>
        <v>1</v>
      </c>
      <c r="AE660">
        <v>1017.3</v>
      </c>
      <c r="AF660" s="4" t="s">
        <v>1066</v>
      </c>
      <c r="AG660" s="2">
        <f t="shared" si="124"/>
        <v>0</v>
      </c>
      <c r="AH660" t="s">
        <v>1160</v>
      </c>
      <c r="AI660" s="2">
        <f t="shared" si="125"/>
        <v>7</v>
      </c>
      <c r="AJ660" s="2">
        <f t="shared" si="126"/>
        <v>1</v>
      </c>
      <c r="AK660" s="3">
        <v>100.0000000011642</v>
      </c>
      <c r="AM660" s="2">
        <v>0</v>
      </c>
      <c r="AN660">
        <v>0</v>
      </c>
      <c r="AO660">
        <v>0.5</v>
      </c>
      <c r="AP660">
        <v>0</v>
      </c>
      <c r="AQ660" s="2">
        <f>IF((2*G660 + M660 -P660 + 3*W660 + 2*Z660+2*AD660 + AG660+2*AJ660 + 4*AM660) &gt;=8,1,0)</f>
        <v>1</v>
      </c>
    </row>
    <row r="661" spans="1:43" x14ac:dyDescent="0.25">
      <c r="A661" t="s">
        <v>27</v>
      </c>
      <c r="B661" s="1">
        <v>39279</v>
      </c>
      <c r="C661" s="7">
        <f t="shared" si="118"/>
        <v>2007</v>
      </c>
      <c r="D661">
        <v>90.5</v>
      </c>
      <c r="E661">
        <v>77.5</v>
      </c>
      <c r="F661">
        <v>83.9</v>
      </c>
      <c r="G661" s="2">
        <f t="shared" si="127"/>
        <v>1</v>
      </c>
      <c r="H661">
        <v>88.1</v>
      </c>
      <c r="I661">
        <v>77.5</v>
      </c>
      <c r="J661">
        <v>82.6</v>
      </c>
      <c r="K661">
        <v>52.4</v>
      </c>
      <c r="L661">
        <v>34.200000000000003</v>
      </c>
      <c r="M661" s="2">
        <f t="shared" si="119"/>
        <v>1</v>
      </c>
      <c r="N661">
        <v>0</v>
      </c>
      <c r="P661" s="2">
        <f t="shared" si="120"/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s="2">
        <f t="shared" si="121"/>
        <v>0</v>
      </c>
      <c r="X661">
        <v>24.4</v>
      </c>
      <c r="Z661" s="2">
        <f t="shared" si="122"/>
        <v>1</v>
      </c>
      <c r="AA661">
        <v>8</v>
      </c>
      <c r="AB661" s="2" t="str">
        <f>CHOOSE(MATCH(AA661,{0;11;80;111;161;191;241;281;341},1),"North","NorthEast","East","SouthEast","South","SouthWest","West","NorthWest","North")</f>
        <v>North</v>
      </c>
      <c r="AC661" s="5">
        <f>CHOOSE(MATCH(AB661,{"South";"SouthEast";"SouthWest";"North";"NorthEast";"East";"West";"NorthWest"},0),1,2,3,4,5,6,7,8)</f>
        <v>4</v>
      </c>
      <c r="AD661" s="2">
        <f t="shared" si="123"/>
        <v>1</v>
      </c>
      <c r="AE661">
        <v>1017.2</v>
      </c>
      <c r="AF661" s="4" t="s">
        <v>1161</v>
      </c>
      <c r="AG661" s="2">
        <f t="shared" si="124"/>
        <v>1</v>
      </c>
      <c r="AH661" t="s">
        <v>1162</v>
      </c>
      <c r="AI661" s="2">
        <f t="shared" si="125"/>
        <v>7</v>
      </c>
      <c r="AJ661" s="2">
        <f t="shared" si="126"/>
        <v>1</v>
      </c>
      <c r="AK661" s="3">
        <v>1200.000000003492</v>
      </c>
      <c r="AM661" s="2">
        <v>1</v>
      </c>
      <c r="AN661">
        <v>150</v>
      </c>
      <c r="AO661">
        <v>0</v>
      </c>
      <c r="AP661">
        <v>0</v>
      </c>
      <c r="AQ661" s="2">
        <f>IF((2*G661 + M661 -P661 + 3*W661 + 2*Z661+2*AD661 + AG661+2*AJ661 + 4*AM661) &gt;=8,1,0)</f>
        <v>1</v>
      </c>
    </row>
    <row r="662" spans="1:43" x14ac:dyDescent="0.25">
      <c r="A662" t="s">
        <v>27</v>
      </c>
      <c r="B662" s="1">
        <v>39280</v>
      </c>
      <c r="C662" s="7">
        <f t="shared" si="118"/>
        <v>2007</v>
      </c>
      <c r="D662">
        <v>94</v>
      </c>
      <c r="E662">
        <v>78.599999999999994</v>
      </c>
      <c r="F662">
        <v>86.4</v>
      </c>
      <c r="G662" s="2">
        <f t="shared" si="127"/>
        <v>1</v>
      </c>
      <c r="H662">
        <v>90.9</v>
      </c>
      <c r="I662">
        <v>78.599999999999994</v>
      </c>
      <c r="J662">
        <v>84.4</v>
      </c>
      <c r="K662">
        <v>50.7</v>
      </c>
      <c r="L662">
        <v>29.8</v>
      </c>
      <c r="M662" s="2">
        <f t="shared" si="119"/>
        <v>1</v>
      </c>
      <c r="N662">
        <v>0</v>
      </c>
      <c r="P662" s="2">
        <f t="shared" si="120"/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s="2">
        <f t="shared" si="121"/>
        <v>0</v>
      </c>
      <c r="X662">
        <v>21.8</v>
      </c>
      <c r="Z662" s="2">
        <f t="shared" si="122"/>
        <v>1</v>
      </c>
      <c r="AA662">
        <v>353.9</v>
      </c>
      <c r="AB662" s="2" t="str">
        <f>CHOOSE(MATCH(AA662,{0;11;80;111;161;191;241;281;341},1),"North","NorthEast","East","SouthEast","South","SouthWest","West","NorthWest","North")</f>
        <v>North</v>
      </c>
      <c r="AC662" s="5">
        <f>CHOOSE(MATCH(AB662,{"South";"SouthEast";"SouthWest";"North";"NorthEast";"East";"West";"NorthWest"},0),1,2,3,4,5,6,7,8)</f>
        <v>4</v>
      </c>
      <c r="AD662" s="2">
        <f t="shared" si="123"/>
        <v>1</v>
      </c>
      <c r="AE662">
        <v>1014.6</v>
      </c>
      <c r="AF662" s="4" t="s">
        <v>1163</v>
      </c>
      <c r="AG662" s="2">
        <f t="shared" si="124"/>
        <v>1</v>
      </c>
      <c r="AH662" t="s">
        <v>1164</v>
      </c>
      <c r="AI662" s="2">
        <f t="shared" si="125"/>
        <v>7</v>
      </c>
      <c r="AJ662" s="2">
        <f t="shared" si="126"/>
        <v>1</v>
      </c>
      <c r="AK662" s="3">
        <v>2475</v>
      </c>
      <c r="AM662" s="2">
        <v>1</v>
      </c>
      <c r="AN662">
        <v>70</v>
      </c>
      <c r="AO662">
        <v>0</v>
      </c>
      <c r="AP662">
        <v>0</v>
      </c>
      <c r="AQ662" s="2">
        <f>IF((2*G662 + M662 -P662 + 3*W662 + 2*Z662+2*AD662 + AG662+2*AJ662 + 4*AM662) &gt;=8,1,0)</f>
        <v>1</v>
      </c>
    </row>
    <row r="663" spans="1:43" x14ac:dyDescent="0.25">
      <c r="A663" t="s">
        <v>27</v>
      </c>
      <c r="B663" s="1">
        <v>39280</v>
      </c>
      <c r="C663" s="7">
        <f t="shared" si="118"/>
        <v>2007</v>
      </c>
      <c r="D663">
        <v>94</v>
      </c>
      <c r="E663">
        <v>78.599999999999994</v>
      </c>
      <c r="F663">
        <v>86.4</v>
      </c>
      <c r="G663" s="2">
        <f t="shared" si="127"/>
        <v>1</v>
      </c>
      <c r="H663">
        <v>90.9</v>
      </c>
      <c r="I663">
        <v>78.599999999999994</v>
      </c>
      <c r="J663">
        <v>84.4</v>
      </c>
      <c r="K663">
        <v>50.7</v>
      </c>
      <c r="L663">
        <v>29.8</v>
      </c>
      <c r="M663" s="2">
        <f t="shared" si="119"/>
        <v>1</v>
      </c>
      <c r="N663">
        <v>0</v>
      </c>
      <c r="P663" s="2">
        <f t="shared" si="120"/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2">
        <f t="shared" si="121"/>
        <v>0</v>
      </c>
      <c r="X663">
        <v>21.8</v>
      </c>
      <c r="Z663" s="2">
        <f t="shared" si="122"/>
        <v>1</v>
      </c>
      <c r="AA663">
        <v>353.9</v>
      </c>
      <c r="AB663" s="2" t="str">
        <f>CHOOSE(MATCH(AA663,{0;11;80;111;161;191;241;281;341},1),"North","NorthEast","East","SouthEast","South","SouthWest","West","NorthWest","North")</f>
        <v>North</v>
      </c>
      <c r="AC663" s="5">
        <f>CHOOSE(MATCH(AB663,{"South";"SouthEast";"SouthWest";"North";"NorthEast";"East";"West";"NorthWest"},0),1,2,3,4,5,6,7,8)</f>
        <v>4</v>
      </c>
      <c r="AD663" s="2">
        <f t="shared" si="123"/>
        <v>1</v>
      </c>
      <c r="AE663">
        <v>1014.6</v>
      </c>
      <c r="AF663" s="4" t="s">
        <v>1071</v>
      </c>
      <c r="AG663" s="2">
        <f t="shared" si="124"/>
        <v>1</v>
      </c>
      <c r="AH663" t="s">
        <v>1165</v>
      </c>
      <c r="AI663" s="2">
        <f t="shared" si="125"/>
        <v>7</v>
      </c>
      <c r="AJ663" s="2">
        <f t="shared" si="126"/>
        <v>1</v>
      </c>
      <c r="AK663" s="3">
        <v>4765.0000000046566</v>
      </c>
      <c r="AM663" s="2">
        <v>1</v>
      </c>
      <c r="AN663">
        <v>0</v>
      </c>
      <c r="AO663">
        <v>1500</v>
      </c>
      <c r="AP663">
        <v>0</v>
      </c>
      <c r="AQ663" s="2">
        <f>IF((2*G663 + M663 -P663 + 3*W663 + 2*Z663+2*AD663 + AG663+2*AJ663 + 4*AM663) &gt;=8,1,0)</f>
        <v>1</v>
      </c>
    </row>
    <row r="664" spans="1:43" x14ac:dyDescent="0.25">
      <c r="A664" t="s">
        <v>27</v>
      </c>
      <c r="B664" s="1">
        <v>39281</v>
      </c>
      <c r="C664" s="7">
        <f t="shared" si="118"/>
        <v>2007</v>
      </c>
      <c r="D664">
        <v>98.2</v>
      </c>
      <c r="E664">
        <v>78.8</v>
      </c>
      <c r="F664">
        <v>88.3</v>
      </c>
      <c r="G664" s="2">
        <f t="shared" si="127"/>
        <v>1</v>
      </c>
      <c r="H664">
        <v>94.3</v>
      </c>
      <c r="I664">
        <v>78.8</v>
      </c>
      <c r="J664">
        <v>86.1</v>
      </c>
      <c r="K664">
        <v>51.7</v>
      </c>
      <c r="L664">
        <v>29.5</v>
      </c>
      <c r="M664" s="2">
        <f t="shared" si="119"/>
        <v>1</v>
      </c>
      <c r="N664">
        <v>0</v>
      </c>
      <c r="P664" s="2">
        <f t="shared" si="120"/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s="2">
        <f t="shared" si="121"/>
        <v>0</v>
      </c>
      <c r="X664">
        <v>24.9</v>
      </c>
      <c r="Z664" s="2">
        <f t="shared" si="122"/>
        <v>1</v>
      </c>
      <c r="AA664">
        <v>358</v>
      </c>
      <c r="AB664" s="2" t="str">
        <f>CHOOSE(MATCH(AA664,{0;11;80;111;161;191;241;281;341},1),"North","NorthEast","East","SouthEast","South","SouthWest","West","NorthWest","North")</f>
        <v>North</v>
      </c>
      <c r="AC664" s="5">
        <f>CHOOSE(MATCH(AB664,{"South";"SouthEast";"SouthWest";"North";"NorthEast";"East";"West";"NorthWest"},0),1,2,3,4,5,6,7,8)</f>
        <v>4</v>
      </c>
      <c r="AD664" s="2">
        <f t="shared" si="123"/>
        <v>1</v>
      </c>
      <c r="AE664">
        <v>1013</v>
      </c>
      <c r="AF664" s="4" t="s">
        <v>1167</v>
      </c>
      <c r="AG664" s="2">
        <f t="shared" si="124"/>
        <v>0</v>
      </c>
      <c r="AH664" t="s">
        <v>1168</v>
      </c>
      <c r="AI664" s="2">
        <f t="shared" si="125"/>
        <v>7</v>
      </c>
      <c r="AJ664" s="2">
        <f t="shared" si="126"/>
        <v>1</v>
      </c>
      <c r="AK664" s="3">
        <v>2647.0000000053551</v>
      </c>
      <c r="AM664" s="2">
        <v>1</v>
      </c>
      <c r="AN664">
        <v>0</v>
      </c>
      <c r="AO664">
        <v>25</v>
      </c>
      <c r="AP664">
        <v>0</v>
      </c>
      <c r="AQ664" s="2">
        <f>IF((2*G664 + M664 -P664 + 3*W664 + 2*Z664+2*AD664 + AG664+2*AJ664 + 4*AM664) &gt;=8,1,0)</f>
        <v>1</v>
      </c>
    </row>
    <row r="665" spans="1:43" x14ac:dyDescent="0.25">
      <c r="A665" t="s">
        <v>27</v>
      </c>
      <c r="B665" s="1">
        <v>39281</v>
      </c>
      <c r="C665" s="7">
        <f t="shared" si="118"/>
        <v>2007</v>
      </c>
      <c r="D665">
        <v>98.2</v>
      </c>
      <c r="E665">
        <v>78.8</v>
      </c>
      <c r="F665">
        <v>88.3</v>
      </c>
      <c r="G665" s="2">
        <f t="shared" si="127"/>
        <v>1</v>
      </c>
      <c r="H665">
        <v>94.3</v>
      </c>
      <c r="I665">
        <v>78.8</v>
      </c>
      <c r="J665">
        <v>86.1</v>
      </c>
      <c r="K665">
        <v>51.7</v>
      </c>
      <c r="L665">
        <v>29.5</v>
      </c>
      <c r="M665" s="2">
        <f t="shared" si="119"/>
        <v>1</v>
      </c>
      <c r="N665">
        <v>0</v>
      </c>
      <c r="P665" s="2">
        <f t="shared" si="120"/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2">
        <f t="shared" si="121"/>
        <v>0</v>
      </c>
      <c r="X665">
        <v>24.9</v>
      </c>
      <c r="Z665" s="2">
        <f t="shared" si="122"/>
        <v>1</v>
      </c>
      <c r="AA665">
        <v>358</v>
      </c>
      <c r="AB665" s="2" t="str">
        <f>CHOOSE(MATCH(AA665,{0;11;80;111;161;191;241;281;341},1),"North","NorthEast","East","SouthEast","South","SouthWest","West","NorthWest","North")</f>
        <v>North</v>
      </c>
      <c r="AC665" s="5">
        <f>CHOOSE(MATCH(AB665,{"South";"SouthEast";"SouthWest";"North";"NorthEast";"East";"West";"NorthWest"},0),1,2,3,4,5,6,7,8)</f>
        <v>4</v>
      </c>
      <c r="AD665" s="2">
        <f t="shared" si="123"/>
        <v>1</v>
      </c>
      <c r="AE665">
        <v>1013</v>
      </c>
      <c r="AF665" s="4" t="s">
        <v>1169</v>
      </c>
      <c r="AG665" s="2">
        <f t="shared" si="124"/>
        <v>0</v>
      </c>
      <c r="AH665" t="s">
        <v>1170</v>
      </c>
      <c r="AI665" s="2">
        <f t="shared" si="125"/>
        <v>7</v>
      </c>
      <c r="AJ665" s="2">
        <f t="shared" si="126"/>
        <v>1</v>
      </c>
      <c r="AK665" s="3">
        <v>2644.9999999988358</v>
      </c>
      <c r="AM665" s="2">
        <v>1</v>
      </c>
      <c r="AN665">
        <v>12</v>
      </c>
      <c r="AO665">
        <v>0</v>
      </c>
      <c r="AP665">
        <v>0</v>
      </c>
      <c r="AQ665" s="2">
        <f>IF((2*G665 + M665 -P665 + 3*W665 + 2*Z665+2*AD665 + AG665+2*AJ665 + 4*AM665) &gt;=8,1,0)</f>
        <v>1</v>
      </c>
    </row>
    <row r="666" spans="1:43" x14ac:dyDescent="0.25">
      <c r="A666" t="s">
        <v>27</v>
      </c>
      <c r="B666" s="1">
        <v>39281</v>
      </c>
      <c r="C666" s="7">
        <f t="shared" si="118"/>
        <v>2007</v>
      </c>
      <c r="D666">
        <v>98.2</v>
      </c>
      <c r="E666">
        <v>78.8</v>
      </c>
      <c r="F666">
        <v>88.3</v>
      </c>
      <c r="G666" s="2">
        <f t="shared" si="127"/>
        <v>1</v>
      </c>
      <c r="H666">
        <v>94.3</v>
      </c>
      <c r="I666">
        <v>78.8</v>
      </c>
      <c r="J666">
        <v>86.1</v>
      </c>
      <c r="K666">
        <v>51.7</v>
      </c>
      <c r="L666">
        <v>29.5</v>
      </c>
      <c r="M666" s="2">
        <f t="shared" si="119"/>
        <v>1</v>
      </c>
      <c r="N666">
        <v>0</v>
      </c>
      <c r="P666" s="2">
        <f t="shared" si="120"/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s="2">
        <f t="shared" si="121"/>
        <v>0</v>
      </c>
      <c r="X666">
        <v>24.9</v>
      </c>
      <c r="Z666" s="2">
        <f t="shared" si="122"/>
        <v>1</v>
      </c>
      <c r="AA666">
        <v>358</v>
      </c>
      <c r="AB666" s="2" t="str">
        <f>CHOOSE(MATCH(AA666,{0;11;80;111;161;191;241;281;341},1),"North","NorthEast","East","SouthEast","South","SouthWest","West","NorthWest","North")</f>
        <v>North</v>
      </c>
      <c r="AC666" s="5">
        <f>CHOOSE(MATCH(AB666,{"South";"SouthEast";"SouthWest";"North";"NorthEast";"East";"West";"NorthWest"},0),1,2,3,4,5,6,7,8)</f>
        <v>4</v>
      </c>
      <c r="AD666" s="2">
        <f t="shared" si="123"/>
        <v>1</v>
      </c>
      <c r="AE666">
        <v>1013</v>
      </c>
      <c r="AF666" s="4" t="s">
        <v>1171</v>
      </c>
      <c r="AG666" s="2">
        <f t="shared" si="124"/>
        <v>1</v>
      </c>
      <c r="AH666" t="s">
        <v>1172</v>
      </c>
      <c r="AI666" s="2">
        <f t="shared" si="125"/>
        <v>7</v>
      </c>
      <c r="AJ666" s="2">
        <f t="shared" si="126"/>
        <v>1</v>
      </c>
      <c r="AK666" s="3">
        <v>30.00000000349246</v>
      </c>
      <c r="AM666" s="2">
        <v>0</v>
      </c>
      <c r="AN666">
        <v>0.01</v>
      </c>
      <c r="AO666">
        <v>0</v>
      </c>
      <c r="AP666">
        <v>0</v>
      </c>
      <c r="AQ666" s="2">
        <f>IF((2*G666 + M666 -P666 + 3*W666 + 2*Z666+2*AD666 + AG666+2*AJ666 + 4*AM666) &gt;=8,1,0)</f>
        <v>1</v>
      </c>
    </row>
    <row r="667" spans="1:43" x14ac:dyDescent="0.25">
      <c r="A667" t="s">
        <v>27</v>
      </c>
      <c r="B667" s="1">
        <v>39283</v>
      </c>
      <c r="C667" s="7">
        <f t="shared" si="118"/>
        <v>2007</v>
      </c>
      <c r="D667">
        <v>95.6</v>
      </c>
      <c r="E667">
        <v>80.599999999999994</v>
      </c>
      <c r="F667">
        <v>88.1</v>
      </c>
      <c r="G667" s="2">
        <f t="shared" si="127"/>
        <v>1</v>
      </c>
      <c r="H667">
        <v>94.2</v>
      </c>
      <c r="I667">
        <v>80.3</v>
      </c>
      <c r="J667">
        <v>85.7</v>
      </c>
      <c r="K667">
        <v>49.6</v>
      </c>
      <c r="L667">
        <v>27.3</v>
      </c>
      <c r="M667" s="2">
        <f t="shared" si="119"/>
        <v>1</v>
      </c>
      <c r="N667">
        <v>0</v>
      </c>
      <c r="P667" s="2">
        <f t="shared" si="120"/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s="2">
        <f t="shared" si="121"/>
        <v>0</v>
      </c>
      <c r="X667">
        <v>22.5</v>
      </c>
      <c r="Z667" s="2">
        <f t="shared" si="122"/>
        <v>1</v>
      </c>
      <c r="AA667">
        <v>350.8</v>
      </c>
      <c r="AB667" s="2" t="str">
        <f>CHOOSE(MATCH(AA667,{0;11;80;111;161;191;241;281;341},1),"North","NorthEast","East","SouthEast","South","SouthWest","West","NorthWest","North")</f>
        <v>North</v>
      </c>
      <c r="AC667" s="5">
        <f>CHOOSE(MATCH(AB667,{"South";"SouthEast";"SouthWest";"North";"NorthEast";"East";"West";"NorthWest"},0),1,2,3,4,5,6,7,8)</f>
        <v>4</v>
      </c>
      <c r="AD667" s="2">
        <f t="shared" si="123"/>
        <v>1</v>
      </c>
      <c r="AE667">
        <v>1011</v>
      </c>
      <c r="AF667" s="4" t="s">
        <v>1174</v>
      </c>
      <c r="AG667" s="2">
        <f t="shared" si="124"/>
        <v>1</v>
      </c>
      <c r="AH667" t="s">
        <v>1175</v>
      </c>
      <c r="AI667" s="2">
        <f t="shared" si="125"/>
        <v>7</v>
      </c>
      <c r="AJ667" s="2">
        <f t="shared" si="126"/>
        <v>1</v>
      </c>
      <c r="AK667" s="3">
        <v>17.000000003026798</v>
      </c>
      <c r="AM667" s="2">
        <v>0</v>
      </c>
      <c r="AN667">
        <v>0</v>
      </c>
      <c r="AO667">
        <v>0</v>
      </c>
      <c r="AP667">
        <v>1</v>
      </c>
      <c r="AQ667" s="2">
        <f>IF((2*G667 + M667 -P667 + 3*W667 + 2*Z667+2*AD667 + AG667+2*AJ667 + 4*AM667) &gt;=8,1,0)</f>
        <v>1</v>
      </c>
    </row>
    <row r="668" spans="1:43" x14ac:dyDescent="0.25">
      <c r="A668" t="s">
        <v>27</v>
      </c>
      <c r="B668" s="1">
        <v>39283</v>
      </c>
      <c r="C668" s="7">
        <f t="shared" si="118"/>
        <v>2007</v>
      </c>
      <c r="D668">
        <v>95.6</v>
      </c>
      <c r="E668">
        <v>80.599999999999994</v>
      </c>
      <c r="F668">
        <v>88.1</v>
      </c>
      <c r="G668" s="2">
        <f t="shared" si="127"/>
        <v>1</v>
      </c>
      <c r="H668">
        <v>94.2</v>
      </c>
      <c r="I668">
        <v>80.3</v>
      </c>
      <c r="J668">
        <v>85.7</v>
      </c>
      <c r="K668">
        <v>49.6</v>
      </c>
      <c r="L668">
        <v>27.3</v>
      </c>
      <c r="M668" s="2">
        <f t="shared" si="119"/>
        <v>1</v>
      </c>
      <c r="N668">
        <v>0</v>
      </c>
      <c r="P668" s="2">
        <f t="shared" si="120"/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s="2">
        <f t="shared" si="121"/>
        <v>0</v>
      </c>
      <c r="X668">
        <v>22.5</v>
      </c>
      <c r="Z668" s="2">
        <f t="shared" si="122"/>
        <v>1</v>
      </c>
      <c r="AA668">
        <v>350.8</v>
      </c>
      <c r="AB668" s="2" t="str">
        <f>CHOOSE(MATCH(AA668,{0;11;80;111;161;191;241;281;341},1),"North","NorthEast","East","SouthEast","South","SouthWest","West","NorthWest","North")</f>
        <v>North</v>
      </c>
      <c r="AC668" s="5">
        <f>CHOOSE(MATCH(AB668,{"South";"SouthEast";"SouthWest";"North";"NorthEast";"East";"West";"NorthWest"},0),1,2,3,4,5,6,7,8)</f>
        <v>4</v>
      </c>
      <c r="AD668" s="2">
        <f t="shared" si="123"/>
        <v>1</v>
      </c>
      <c r="AE668">
        <v>1011</v>
      </c>
      <c r="AF668" s="4" t="s">
        <v>1176</v>
      </c>
      <c r="AG668" s="2">
        <f t="shared" si="124"/>
        <v>0</v>
      </c>
      <c r="AH668" t="s">
        <v>1177</v>
      </c>
      <c r="AI668" s="2">
        <f t="shared" si="125"/>
        <v>7</v>
      </c>
      <c r="AJ668" s="2">
        <f t="shared" si="126"/>
        <v>1</v>
      </c>
      <c r="AK668" s="3">
        <v>34.999999998835847</v>
      </c>
      <c r="AM668" s="2">
        <v>0</v>
      </c>
      <c r="AN668">
        <v>0</v>
      </c>
      <c r="AO668">
        <v>0.01</v>
      </c>
      <c r="AP668">
        <v>0</v>
      </c>
      <c r="AQ668" s="2">
        <f>IF((2*G668 + M668 -P668 + 3*W668 + 2*Z668+2*AD668 + AG668+2*AJ668 + 4*AM668) &gt;=8,1,0)</f>
        <v>1</v>
      </c>
    </row>
    <row r="669" spans="1:43" x14ac:dyDescent="0.25">
      <c r="A669" t="s">
        <v>27</v>
      </c>
      <c r="B669" s="1">
        <v>39285</v>
      </c>
      <c r="C669" s="7">
        <f t="shared" si="118"/>
        <v>2007</v>
      </c>
      <c r="D669">
        <v>100.5</v>
      </c>
      <c r="E669">
        <v>73.2</v>
      </c>
      <c r="F669">
        <v>87</v>
      </c>
      <c r="G669" s="2">
        <f t="shared" si="127"/>
        <v>1</v>
      </c>
      <c r="H669">
        <v>97.5</v>
      </c>
      <c r="I669">
        <v>73.2</v>
      </c>
      <c r="J669">
        <v>85.9</v>
      </c>
      <c r="K669">
        <v>53.9</v>
      </c>
      <c r="L669">
        <v>34.799999999999997</v>
      </c>
      <c r="M669" s="2">
        <f t="shared" si="119"/>
        <v>1</v>
      </c>
      <c r="N669">
        <v>0</v>
      </c>
      <c r="P669" s="2">
        <f t="shared" si="120"/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s="2">
        <f t="shared" si="121"/>
        <v>0</v>
      </c>
      <c r="X669">
        <v>17</v>
      </c>
      <c r="Z669" s="2">
        <f t="shared" si="122"/>
        <v>1</v>
      </c>
      <c r="AA669">
        <v>5.2</v>
      </c>
      <c r="AB669" s="2" t="str">
        <f>CHOOSE(MATCH(AA669,{0;11;80;111;161;191;241;281;341},1),"North","NorthEast","East","SouthEast","South","SouthWest","West","NorthWest","North")</f>
        <v>North</v>
      </c>
      <c r="AC669" s="5">
        <f>CHOOSE(MATCH(AB669,{"South";"SouthEast";"SouthWest";"North";"NorthEast";"East";"West";"NorthWest"},0),1,2,3,4,5,6,7,8)</f>
        <v>4</v>
      </c>
      <c r="AD669" s="2">
        <f t="shared" si="123"/>
        <v>1</v>
      </c>
      <c r="AE669">
        <v>1009.5</v>
      </c>
      <c r="AF669" s="4" t="s">
        <v>1114</v>
      </c>
      <c r="AG669" s="2">
        <f t="shared" si="124"/>
        <v>0</v>
      </c>
      <c r="AH669" t="s">
        <v>1178</v>
      </c>
      <c r="AI669" s="2">
        <f t="shared" si="125"/>
        <v>7</v>
      </c>
      <c r="AJ669" s="2">
        <f t="shared" si="126"/>
        <v>1</v>
      </c>
      <c r="AK669" s="3">
        <v>1911.99999999837</v>
      </c>
      <c r="AM669" s="2">
        <v>1</v>
      </c>
      <c r="AN669">
        <v>0</v>
      </c>
      <c r="AO669">
        <v>50</v>
      </c>
      <c r="AP669">
        <v>0</v>
      </c>
      <c r="AQ669" s="2">
        <f>IF((2*G669 + M669 -P669 + 3*W669 + 2*Z669+2*AD669 + AG669+2*AJ669 + 4*AM669) &gt;=8,1,0)</f>
        <v>1</v>
      </c>
    </row>
    <row r="670" spans="1:43" x14ac:dyDescent="0.25">
      <c r="A670" t="s">
        <v>27</v>
      </c>
      <c r="B670" s="1">
        <v>39287</v>
      </c>
      <c r="C670" s="7">
        <f t="shared" si="118"/>
        <v>2007</v>
      </c>
      <c r="D670">
        <v>105</v>
      </c>
      <c r="E670">
        <v>78.900000000000006</v>
      </c>
      <c r="F670">
        <v>91.9</v>
      </c>
      <c r="G670" s="2">
        <f t="shared" si="127"/>
        <v>1</v>
      </c>
      <c r="H670">
        <v>102.2</v>
      </c>
      <c r="I670">
        <v>78.900000000000006</v>
      </c>
      <c r="J670">
        <v>90.6</v>
      </c>
      <c r="K670">
        <v>53.1</v>
      </c>
      <c r="L670">
        <v>28.7</v>
      </c>
      <c r="M670" s="2">
        <f t="shared" si="119"/>
        <v>1</v>
      </c>
      <c r="N670">
        <v>0</v>
      </c>
      <c r="P670" s="2">
        <f t="shared" si="120"/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s="2">
        <f t="shared" si="121"/>
        <v>0</v>
      </c>
      <c r="X670">
        <v>13.1</v>
      </c>
      <c r="Z670" s="2">
        <f t="shared" si="122"/>
        <v>0</v>
      </c>
      <c r="AA670">
        <v>322.39999999999998</v>
      </c>
      <c r="AB670" s="2" t="str">
        <f>CHOOSE(MATCH(AA670,{0;11;80;111;161;191;241;281;341},1),"North","NorthEast","East","SouthEast","South","SouthWest","West","NorthWest","North")</f>
        <v>NorthWest</v>
      </c>
      <c r="AC670" s="5">
        <f>CHOOSE(MATCH(AB670,{"South";"SouthEast";"SouthWest";"North";"NorthEast";"East";"West";"NorthWest"},0),1,2,3,4,5,6,7,8)</f>
        <v>8</v>
      </c>
      <c r="AD670" s="2">
        <f t="shared" si="123"/>
        <v>1</v>
      </c>
      <c r="AE670">
        <v>1007.6</v>
      </c>
      <c r="AF670" s="4" t="s">
        <v>1179</v>
      </c>
      <c r="AG670" s="2">
        <f t="shared" si="124"/>
        <v>1</v>
      </c>
      <c r="AH670" t="s">
        <v>1180</v>
      </c>
      <c r="AI670" s="2">
        <f t="shared" si="125"/>
        <v>7</v>
      </c>
      <c r="AJ670" s="2">
        <f t="shared" si="126"/>
        <v>1</v>
      </c>
      <c r="AK670" s="3">
        <v>86.999999990221113</v>
      </c>
      <c r="AM670" s="2">
        <v>0</v>
      </c>
      <c r="AN670">
        <v>0</v>
      </c>
      <c r="AO670">
        <v>0.5</v>
      </c>
      <c r="AP670">
        <v>0</v>
      </c>
      <c r="AQ670" s="2">
        <f>IF((2*G670 + M670 -P670 + 3*W670 + 2*Z670+2*AD670 + AG670+2*AJ670 + 4*AM670) &gt;=8,1,0)</f>
        <v>0</v>
      </c>
    </row>
    <row r="671" spans="1:43" x14ac:dyDescent="0.25">
      <c r="A671" t="s">
        <v>27</v>
      </c>
      <c r="B671" s="1">
        <v>39291</v>
      </c>
      <c r="C671" s="7">
        <f t="shared" si="118"/>
        <v>2007</v>
      </c>
      <c r="D671">
        <v>95.8</v>
      </c>
      <c r="E671">
        <v>79</v>
      </c>
      <c r="F671">
        <v>86.5</v>
      </c>
      <c r="G671" s="2">
        <f t="shared" si="127"/>
        <v>1</v>
      </c>
      <c r="H671">
        <v>92</v>
      </c>
      <c r="I671">
        <v>79</v>
      </c>
      <c r="J671">
        <v>84.9</v>
      </c>
      <c r="K671">
        <v>52.6</v>
      </c>
      <c r="L671">
        <v>33.1</v>
      </c>
      <c r="M671" s="2">
        <f t="shared" si="119"/>
        <v>1</v>
      </c>
      <c r="N671">
        <v>0</v>
      </c>
      <c r="P671" s="2">
        <f t="shared" si="120"/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s="2">
        <f t="shared" si="121"/>
        <v>0</v>
      </c>
      <c r="X671">
        <v>22</v>
      </c>
      <c r="Z671" s="2">
        <f t="shared" si="122"/>
        <v>1</v>
      </c>
      <c r="AA671">
        <v>354.2</v>
      </c>
      <c r="AB671" s="2" t="str">
        <f>CHOOSE(MATCH(AA671,{0;11;80;111;161;191;241;281;341},1),"North","NorthEast","East","SouthEast","South","SouthWest","West","NorthWest","North")</f>
        <v>North</v>
      </c>
      <c r="AC671" s="5">
        <f>CHOOSE(MATCH(AB671,{"South";"SouthEast";"SouthWest";"North";"NorthEast";"East";"West";"NorthWest"},0),1,2,3,4,5,6,7,8)</f>
        <v>4</v>
      </c>
      <c r="AD671" s="2">
        <f t="shared" si="123"/>
        <v>1</v>
      </c>
      <c r="AE671">
        <v>1010.1</v>
      </c>
      <c r="AF671" s="4" t="s">
        <v>1182</v>
      </c>
      <c r="AG671" s="2">
        <f t="shared" si="124"/>
        <v>1</v>
      </c>
      <c r="AH671" t="s">
        <v>1183</v>
      </c>
      <c r="AI671" s="2">
        <f t="shared" si="125"/>
        <v>7</v>
      </c>
      <c r="AJ671" s="2">
        <f t="shared" si="126"/>
        <v>1</v>
      </c>
      <c r="AK671" s="3">
        <v>271.99999999604188</v>
      </c>
      <c r="AM671" s="2">
        <v>0</v>
      </c>
      <c r="AN671">
        <v>2</v>
      </c>
      <c r="AO671">
        <v>0</v>
      </c>
      <c r="AP671">
        <v>0</v>
      </c>
      <c r="AQ671" s="2">
        <f>IF((2*G671 + M671 -P671 + 3*W671 + 2*Z671+2*AD671 + AG671+2*AJ671 + 4*AM671) &gt;=8,1,0)</f>
        <v>1</v>
      </c>
    </row>
    <row r="672" spans="1:43" x14ac:dyDescent="0.25">
      <c r="A672" t="s">
        <v>27</v>
      </c>
      <c r="B672" s="1">
        <v>39291</v>
      </c>
      <c r="C672" s="7">
        <f t="shared" si="118"/>
        <v>2007</v>
      </c>
      <c r="D672">
        <v>95.8</v>
      </c>
      <c r="E672">
        <v>79</v>
      </c>
      <c r="F672">
        <v>86.5</v>
      </c>
      <c r="G672" s="2">
        <f t="shared" si="127"/>
        <v>1</v>
      </c>
      <c r="H672">
        <v>92</v>
      </c>
      <c r="I672">
        <v>79</v>
      </c>
      <c r="J672">
        <v>84.9</v>
      </c>
      <c r="K672">
        <v>52.6</v>
      </c>
      <c r="L672">
        <v>33.1</v>
      </c>
      <c r="M672" s="2">
        <f t="shared" si="119"/>
        <v>1</v>
      </c>
      <c r="N672">
        <v>0</v>
      </c>
      <c r="P672" s="2">
        <f t="shared" si="120"/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2">
        <f t="shared" si="121"/>
        <v>0</v>
      </c>
      <c r="X672">
        <v>22</v>
      </c>
      <c r="Z672" s="2">
        <f t="shared" si="122"/>
        <v>1</v>
      </c>
      <c r="AA672">
        <v>354.2</v>
      </c>
      <c r="AB672" s="2" t="str">
        <f>CHOOSE(MATCH(AA672,{0;11;80;111;161;191;241;281;341},1),"North","NorthEast","East","SouthEast","South","SouthWest","West","NorthWest","North")</f>
        <v>North</v>
      </c>
      <c r="AC672" s="5">
        <f>CHOOSE(MATCH(AB672,{"South";"SouthEast";"SouthWest";"North";"NorthEast";"East";"West";"NorthWest"},0),1,2,3,4,5,6,7,8)</f>
        <v>4</v>
      </c>
      <c r="AD672" s="2">
        <f t="shared" si="123"/>
        <v>1</v>
      </c>
      <c r="AE672">
        <v>1010.1</v>
      </c>
      <c r="AF672" s="4" t="s">
        <v>1184</v>
      </c>
      <c r="AG672" s="2">
        <f t="shared" si="124"/>
        <v>0</v>
      </c>
      <c r="AH672" t="s">
        <v>1185</v>
      </c>
      <c r="AI672" s="2">
        <f t="shared" si="125"/>
        <v>7</v>
      </c>
      <c r="AJ672" s="2">
        <f t="shared" si="126"/>
        <v>1</v>
      </c>
      <c r="AK672" s="3">
        <v>2030.999999998603</v>
      </c>
      <c r="AM672" s="2">
        <v>1</v>
      </c>
      <c r="AN672">
        <v>0</v>
      </c>
      <c r="AO672">
        <v>30</v>
      </c>
      <c r="AP672">
        <v>0</v>
      </c>
      <c r="AQ672" s="2">
        <f>IF((2*G672 + M672 -P672 + 3*W672 + 2*Z672+2*AD672 + AG672+2*AJ672 + 4*AM672) &gt;=8,1,0)</f>
        <v>1</v>
      </c>
    </row>
    <row r="673" spans="1:43" x14ac:dyDescent="0.25">
      <c r="A673" t="s">
        <v>27</v>
      </c>
      <c r="B673" s="1">
        <v>39291</v>
      </c>
      <c r="C673" s="7">
        <f t="shared" si="118"/>
        <v>2007</v>
      </c>
      <c r="D673">
        <v>95.8</v>
      </c>
      <c r="E673">
        <v>79</v>
      </c>
      <c r="F673">
        <v>86.5</v>
      </c>
      <c r="G673" s="2">
        <f t="shared" si="127"/>
        <v>1</v>
      </c>
      <c r="H673">
        <v>92</v>
      </c>
      <c r="I673">
        <v>79</v>
      </c>
      <c r="J673">
        <v>84.9</v>
      </c>
      <c r="K673">
        <v>52.6</v>
      </c>
      <c r="L673">
        <v>33.1</v>
      </c>
      <c r="M673" s="2">
        <f t="shared" si="119"/>
        <v>1</v>
      </c>
      <c r="N673">
        <v>0</v>
      </c>
      <c r="P673" s="2">
        <f t="shared" si="120"/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2">
        <f t="shared" si="121"/>
        <v>0</v>
      </c>
      <c r="X673">
        <v>22</v>
      </c>
      <c r="Z673" s="2">
        <f t="shared" si="122"/>
        <v>1</v>
      </c>
      <c r="AA673">
        <v>354.2</v>
      </c>
      <c r="AB673" s="2" t="str">
        <f>CHOOSE(MATCH(AA673,{0;11;80;111;161;191;241;281;341},1),"North","NorthEast","East","SouthEast","South","SouthWest","West","NorthWest","North")</f>
        <v>North</v>
      </c>
      <c r="AC673" s="5">
        <f>CHOOSE(MATCH(AB673,{"South";"SouthEast";"SouthWest";"North";"NorthEast";"East";"West";"NorthWest"},0),1,2,3,4,5,6,7,8)</f>
        <v>4</v>
      </c>
      <c r="AD673" s="2">
        <f t="shared" si="123"/>
        <v>1</v>
      </c>
      <c r="AE673">
        <v>1010.1</v>
      </c>
      <c r="AF673" s="4" t="s">
        <v>1186</v>
      </c>
      <c r="AG673" s="2">
        <f t="shared" si="124"/>
        <v>1</v>
      </c>
      <c r="AH673" t="s">
        <v>1187</v>
      </c>
      <c r="AI673" s="2">
        <f t="shared" si="125"/>
        <v>7</v>
      </c>
      <c r="AJ673" s="2">
        <f t="shared" si="126"/>
        <v>1</v>
      </c>
      <c r="AK673" s="3">
        <v>2880</v>
      </c>
      <c r="AM673" s="2">
        <v>1</v>
      </c>
      <c r="AN673">
        <v>0</v>
      </c>
      <c r="AO673">
        <v>40</v>
      </c>
      <c r="AP673">
        <v>0</v>
      </c>
      <c r="AQ673" s="2">
        <f>IF((2*G673 + M673 -P673 + 3*W673 + 2*Z673+2*AD673 + AG673+2*AJ673 + 4*AM673) &gt;=8,1,0)</f>
        <v>1</v>
      </c>
    </row>
    <row r="674" spans="1:43" x14ac:dyDescent="0.25">
      <c r="A674" t="s">
        <v>27</v>
      </c>
      <c r="B674" s="1">
        <v>39292</v>
      </c>
      <c r="C674" s="7">
        <f t="shared" si="118"/>
        <v>2007</v>
      </c>
      <c r="D674">
        <v>95.4</v>
      </c>
      <c r="E674">
        <v>78.099999999999994</v>
      </c>
      <c r="F674">
        <v>86.2</v>
      </c>
      <c r="G674" s="2">
        <f t="shared" si="127"/>
        <v>1</v>
      </c>
      <c r="H674">
        <v>92.3</v>
      </c>
      <c r="I674">
        <v>78.099999999999994</v>
      </c>
      <c r="J674">
        <v>84.4</v>
      </c>
      <c r="K674">
        <v>50.7</v>
      </c>
      <c r="L674">
        <v>30.1</v>
      </c>
      <c r="M674" s="2">
        <f t="shared" si="119"/>
        <v>1</v>
      </c>
      <c r="N674">
        <v>0</v>
      </c>
      <c r="P674" s="2">
        <f t="shared" si="120"/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s="2">
        <f t="shared" si="121"/>
        <v>0</v>
      </c>
      <c r="X674">
        <v>19.3</v>
      </c>
      <c r="Z674" s="2">
        <f t="shared" si="122"/>
        <v>1</v>
      </c>
      <c r="AA674">
        <v>4.5</v>
      </c>
      <c r="AB674" s="2" t="str">
        <f>CHOOSE(MATCH(AA674,{0;11;80;111;161;191;241;281;341},1),"North","NorthEast","East","SouthEast","South","SouthWest","West","NorthWest","North")</f>
        <v>North</v>
      </c>
      <c r="AC674" s="5">
        <f>CHOOSE(MATCH(AB674,{"South";"SouthEast";"SouthWest";"North";"NorthEast";"East";"West";"NorthWest"},0),1,2,3,4,5,6,7,8)</f>
        <v>4</v>
      </c>
      <c r="AD674" s="2">
        <f t="shared" si="123"/>
        <v>1</v>
      </c>
      <c r="AE674">
        <v>1008</v>
      </c>
      <c r="AF674" s="4" t="s">
        <v>1188</v>
      </c>
      <c r="AG674" s="2">
        <f t="shared" si="124"/>
        <v>1</v>
      </c>
      <c r="AH674" t="s">
        <v>1189</v>
      </c>
      <c r="AI674" s="2">
        <f t="shared" si="125"/>
        <v>7</v>
      </c>
      <c r="AJ674" s="2">
        <f t="shared" si="126"/>
        <v>1</v>
      </c>
      <c r="AK674" s="3">
        <v>3197.999999999302</v>
      </c>
      <c r="AM674" s="2">
        <v>1</v>
      </c>
      <c r="AN674">
        <v>25</v>
      </c>
      <c r="AO674">
        <v>0</v>
      </c>
      <c r="AP674">
        <v>0</v>
      </c>
      <c r="AQ674" s="2">
        <f>IF((2*G674 + M674 -P674 + 3*W674 + 2*Z674+2*AD674 + AG674+2*AJ674 + 4*AM674) &gt;=8,1,0)</f>
        <v>1</v>
      </c>
    </row>
    <row r="675" spans="1:43" x14ac:dyDescent="0.25">
      <c r="A675" t="s">
        <v>27</v>
      </c>
      <c r="B675" s="1">
        <v>39293</v>
      </c>
      <c r="C675" s="7">
        <f t="shared" si="118"/>
        <v>2007</v>
      </c>
      <c r="D675">
        <v>93.2</v>
      </c>
      <c r="E675">
        <v>77.599999999999994</v>
      </c>
      <c r="F675">
        <v>85</v>
      </c>
      <c r="G675" s="2">
        <f t="shared" si="127"/>
        <v>1</v>
      </c>
      <c r="H675">
        <v>93.8</v>
      </c>
      <c r="I675">
        <v>77.599999999999994</v>
      </c>
      <c r="J675">
        <v>84.3</v>
      </c>
      <c r="K675">
        <v>54.9</v>
      </c>
      <c r="L675">
        <v>36.4</v>
      </c>
      <c r="M675" s="2">
        <f t="shared" si="119"/>
        <v>1</v>
      </c>
      <c r="N675">
        <v>0</v>
      </c>
      <c r="P675" s="2">
        <f t="shared" si="120"/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s="2">
        <f t="shared" si="121"/>
        <v>0</v>
      </c>
      <c r="X675">
        <v>18.399999999999999</v>
      </c>
      <c r="Z675" s="2">
        <f t="shared" si="122"/>
        <v>1</v>
      </c>
      <c r="AA675">
        <v>19.8</v>
      </c>
      <c r="AB675" s="2" t="str">
        <f>CHOOSE(MATCH(AA675,{0;11;80;111;161;191;241;281;341},1),"North","NorthEast","East","SouthEast","South","SouthWest","West","NorthWest","North")</f>
        <v>NorthEast</v>
      </c>
      <c r="AC675" s="5">
        <f>CHOOSE(MATCH(AB675,{"South";"SouthEast";"SouthWest";"North";"NorthEast";"East";"West";"NorthWest"},0),1,2,3,4,5,6,7,8)</f>
        <v>5</v>
      </c>
      <c r="AD675" s="2">
        <f t="shared" si="123"/>
        <v>1</v>
      </c>
      <c r="AE675">
        <v>1005.2</v>
      </c>
      <c r="AF675" s="4" t="s">
        <v>1190</v>
      </c>
      <c r="AG675" s="2">
        <f t="shared" si="124"/>
        <v>0</v>
      </c>
      <c r="AH675" t="s">
        <v>1191</v>
      </c>
      <c r="AI675" s="2">
        <f t="shared" si="125"/>
        <v>7</v>
      </c>
      <c r="AJ675" s="2">
        <f t="shared" si="126"/>
        <v>1</v>
      </c>
      <c r="AK675" s="3">
        <v>323.99999999790452</v>
      </c>
      <c r="AM675" s="2">
        <v>0</v>
      </c>
      <c r="AN675">
        <v>0</v>
      </c>
      <c r="AO675">
        <v>7</v>
      </c>
      <c r="AP675">
        <v>0</v>
      </c>
      <c r="AQ675" s="2">
        <f>IF((2*G675 + M675 -P675 + 3*W675 + 2*Z675+2*AD675 + AG675+2*AJ675 + 4*AM675) &gt;=8,1,0)</f>
        <v>1</v>
      </c>
    </row>
    <row r="676" spans="1:43" x14ac:dyDescent="0.25">
      <c r="A676" t="s">
        <v>27</v>
      </c>
      <c r="B676" s="1">
        <v>39293</v>
      </c>
      <c r="C676" s="7">
        <f t="shared" si="118"/>
        <v>2007</v>
      </c>
      <c r="D676">
        <v>93.2</v>
      </c>
      <c r="E676">
        <v>77.599999999999994</v>
      </c>
      <c r="F676">
        <v>85</v>
      </c>
      <c r="G676" s="2">
        <f t="shared" si="127"/>
        <v>1</v>
      </c>
      <c r="H676">
        <v>93.8</v>
      </c>
      <c r="I676">
        <v>77.599999999999994</v>
      </c>
      <c r="J676">
        <v>84.3</v>
      </c>
      <c r="K676">
        <v>54.9</v>
      </c>
      <c r="L676">
        <v>36.4</v>
      </c>
      <c r="M676" s="2">
        <f t="shared" si="119"/>
        <v>1</v>
      </c>
      <c r="N676">
        <v>0</v>
      </c>
      <c r="P676" s="2">
        <f t="shared" si="120"/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s="2">
        <f t="shared" si="121"/>
        <v>0</v>
      </c>
      <c r="X676">
        <v>18.399999999999999</v>
      </c>
      <c r="Z676" s="2">
        <f t="shared" si="122"/>
        <v>1</v>
      </c>
      <c r="AA676">
        <v>19.8</v>
      </c>
      <c r="AB676" s="2" t="str">
        <f>CHOOSE(MATCH(AA676,{0;11;80;111;161;191;241;281;341},1),"North","NorthEast","East","SouthEast","South","SouthWest","West","NorthWest","North")</f>
        <v>NorthEast</v>
      </c>
      <c r="AC676" s="5">
        <f>CHOOSE(MATCH(AB676,{"South";"SouthEast";"SouthWest";"North";"NorthEast";"East";"West";"NorthWest"},0),1,2,3,4,5,6,7,8)</f>
        <v>5</v>
      </c>
      <c r="AD676" s="2">
        <f t="shared" si="123"/>
        <v>1</v>
      </c>
      <c r="AE676">
        <v>1005.2</v>
      </c>
      <c r="AF676" s="4" t="s">
        <v>1192</v>
      </c>
      <c r="AG676" s="2">
        <f t="shared" si="124"/>
        <v>1</v>
      </c>
      <c r="AH676" t="s">
        <v>1193</v>
      </c>
      <c r="AI676" s="2">
        <f t="shared" si="125"/>
        <v>7</v>
      </c>
      <c r="AJ676" s="2">
        <f t="shared" si="126"/>
        <v>1</v>
      </c>
      <c r="AK676" s="3">
        <v>463.99999999324791</v>
      </c>
      <c r="AM676" s="2">
        <v>1</v>
      </c>
      <c r="AN676">
        <v>0</v>
      </c>
      <c r="AO676">
        <v>1</v>
      </c>
      <c r="AP676">
        <v>0</v>
      </c>
      <c r="AQ676" s="2">
        <f>IF((2*G676 + M676 -P676 + 3*W676 + 2*Z676+2*AD676 + AG676+2*AJ676 + 4*AM676) &gt;=8,1,0)</f>
        <v>1</v>
      </c>
    </row>
    <row r="677" spans="1:43" x14ac:dyDescent="0.25">
      <c r="A677" t="s">
        <v>27</v>
      </c>
      <c r="B677" s="1">
        <v>39296</v>
      </c>
      <c r="C677" s="7">
        <f t="shared" si="118"/>
        <v>2007</v>
      </c>
      <c r="D677">
        <v>86</v>
      </c>
      <c r="E677">
        <v>74.2</v>
      </c>
      <c r="F677">
        <v>79.5</v>
      </c>
      <c r="G677" s="2">
        <f t="shared" si="127"/>
        <v>1</v>
      </c>
      <c r="H677">
        <v>84.9</v>
      </c>
      <c r="I677">
        <v>74.2</v>
      </c>
      <c r="J677">
        <v>79.400000000000006</v>
      </c>
      <c r="K677">
        <v>59.2</v>
      </c>
      <c r="L677">
        <v>50.7</v>
      </c>
      <c r="M677" s="2">
        <f t="shared" si="119"/>
        <v>0</v>
      </c>
      <c r="N677">
        <v>0</v>
      </c>
      <c r="P677" s="2">
        <f t="shared" si="120"/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s="2">
        <f t="shared" si="121"/>
        <v>0</v>
      </c>
      <c r="X677">
        <v>18.8</v>
      </c>
      <c r="Z677" s="2">
        <f t="shared" si="122"/>
        <v>1</v>
      </c>
      <c r="AA677">
        <v>14.1</v>
      </c>
      <c r="AB677" s="2" t="str">
        <f>CHOOSE(MATCH(AA677,{0;11;80;111;161;191;241;281;341},1),"North","NorthEast","East","SouthEast","South","SouthWest","West","NorthWest","North")</f>
        <v>NorthEast</v>
      </c>
      <c r="AC677" s="5">
        <f>CHOOSE(MATCH(AB677,{"South";"SouthEast";"SouthWest";"North";"NorthEast";"East";"West";"NorthWest"},0),1,2,3,4,5,6,7,8)</f>
        <v>5</v>
      </c>
      <c r="AD677" s="2">
        <f t="shared" si="123"/>
        <v>1</v>
      </c>
      <c r="AE677">
        <v>1012.6</v>
      </c>
      <c r="AF677" s="4" t="s">
        <v>1194</v>
      </c>
      <c r="AG677" s="2">
        <f t="shared" si="124"/>
        <v>1</v>
      </c>
      <c r="AH677" t="s">
        <v>1195</v>
      </c>
      <c r="AI677" s="2">
        <f t="shared" si="125"/>
        <v>8</v>
      </c>
      <c r="AJ677" s="2">
        <f t="shared" si="126"/>
        <v>1</v>
      </c>
      <c r="AK677" s="3">
        <v>159.99999999767169</v>
      </c>
      <c r="AM677" s="2">
        <v>0</v>
      </c>
      <c r="AN677">
        <v>0</v>
      </c>
      <c r="AO677">
        <v>1</v>
      </c>
      <c r="AP677">
        <v>0</v>
      </c>
      <c r="AQ677" s="2">
        <f>IF((2*G677 + M677 -P677 + 3*W677 + 2*Z677+2*AD677 + AG677+2*AJ677 + 4*AM677) &gt;=8,1,0)</f>
        <v>1</v>
      </c>
    </row>
    <row r="678" spans="1:43" x14ac:dyDescent="0.25">
      <c r="A678" t="s">
        <v>27</v>
      </c>
      <c r="B678" s="1">
        <v>39297</v>
      </c>
      <c r="C678" s="7">
        <f t="shared" si="118"/>
        <v>2007</v>
      </c>
      <c r="D678">
        <v>88.6</v>
      </c>
      <c r="E678">
        <v>71.8</v>
      </c>
      <c r="F678">
        <v>79.7</v>
      </c>
      <c r="G678" s="2">
        <f t="shared" si="127"/>
        <v>1</v>
      </c>
      <c r="H678">
        <v>88.1</v>
      </c>
      <c r="I678">
        <v>71.8</v>
      </c>
      <c r="J678">
        <v>79</v>
      </c>
      <c r="K678">
        <v>54.3</v>
      </c>
      <c r="L678">
        <v>42.6</v>
      </c>
      <c r="M678" s="2">
        <f t="shared" si="119"/>
        <v>1</v>
      </c>
      <c r="N678">
        <v>0</v>
      </c>
      <c r="P678" s="2">
        <f t="shared" si="120"/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s="2">
        <f t="shared" si="121"/>
        <v>0</v>
      </c>
      <c r="X678">
        <v>17.899999999999999</v>
      </c>
      <c r="Z678" s="2">
        <f t="shared" si="122"/>
        <v>1</v>
      </c>
      <c r="AA678">
        <v>0.2</v>
      </c>
      <c r="AB678" s="2" t="str">
        <f>CHOOSE(MATCH(AA678,{0;11;80;111;161;191;241;281;341},1),"North","NorthEast","East","SouthEast","South","SouthWest","West","NorthWest","North")</f>
        <v>North</v>
      </c>
      <c r="AC678" s="5">
        <f>CHOOSE(MATCH(AB678,{"South";"SouthEast";"SouthWest";"North";"NorthEast";"East";"West";"NorthWest"},0),1,2,3,4,5,6,7,8)</f>
        <v>4</v>
      </c>
      <c r="AD678" s="2">
        <f t="shared" si="123"/>
        <v>1</v>
      </c>
      <c r="AE678">
        <v>1013.6</v>
      </c>
      <c r="AF678" s="4" t="s">
        <v>1196</v>
      </c>
      <c r="AG678" s="2">
        <f t="shared" si="124"/>
        <v>0</v>
      </c>
      <c r="AH678" t="s">
        <v>1197</v>
      </c>
      <c r="AI678" s="2">
        <f t="shared" si="125"/>
        <v>8</v>
      </c>
      <c r="AJ678" s="2">
        <f t="shared" si="126"/>
        <v>1</v>
      </c>
      <c r="AK678" s="3">
        <v>190.00000000116421</v>
      </c>
      <c r="AM678" s="2">
        <v>0</v>
      </c>
      <c r="AN678">
        <v>0</v>
      </c>
      <c r="AO678">
        <v>10</v>
      </c>
      <c r="AP678">
        <v>0</v>
      </c>
      <c r="AQ678" s="2">
        <f>IF((2*G678 + M678 -P678 + 3*W678 + 2*Z678+2*AD678 + AG678+2*AJ678 + 4*AM678) &gt;=8,1,0)</f>
        <v>1</v>
      </c>
    </row>
    <row r="679" spans="1:43" x14ac:dyDescent="0.25">
      <c r="A679" t="s">
        <v>27</v>
      </c>
      <c r="B679" s="1">
        <v>39297</v>
      </c>
      <c r="C679" s="7">
        <f t="shared" si="118"/>
        <v>2007</v>
      </c>
      <c r="D679">
        <v>88.6</v>
      </c>
      <c r="E679">
        <v>71.8</v>
      </c>
      <c r="F679">
        <v>79.7</v>
      </c>
      <c r="G679" s="2">
        <f t="shared" si="127"/>
        <v>1</v>
      </c>
      <c r="H679">
        <v>88.1</v>
      </c>
      <c r="I679">
        <v>71.8</v>
      </c>
      <c r="J679">
        <v>79</v>
      </c>
      <c r="K679">
        <v>54.3</v>
      </c>
      <c r="L679">
        <v>42.6</v>
      </c>
      <c r="M679" s="2">
        <f t="shared" si="119"/>
        <v>1</v>
      </c>
      <c r="N679">
        <v>0</v>
      </c>
      <c r="P679" s="2">
        <f t="shared" si="120"/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s="2">
        <f t="shared" si="121"/>
        <v>0</v>
      </c>
      <c r="X679">
        <v>17.899999999999999</v>
      </c>
      <c r="Z679" s="2">
        <f t="shared" si="122"/>
        <v>1</v>
      </c>
      <c r="AA679">
        <v>0.2</v>
      </c>
      <c r="AB679" s="2" t="str">
        <f>CHOOSE(MATCH(AA679,{0;11;80;111;161;191;241;281;341},1),"North","NorthEast","East","SouthEast","South","SouthWest","West","NorthWest","North")</f>
        <v>North</v>
      </c>
      <c r="AC679" s="5">
        <f>CHOOSE(MATCH(AB679,{"South";"SouthEast";"SouthWest";"North";"NorthEast";"East";"West";"NorthWest"},0),1,2,3,4,5,6,7,8)</f>
        <v>4</v>
      </c>
      <c r="AD679" s="2">
        <f t="shared" si="123"/>
        <v>1</v>
      </c>
      <c r="AE679">
        <v>1013.6</v>
      </c>
      <c r="AF679" s="4" t="s">
        <v>1198</v>
      </c>
      <c r="AG679" s="2">
        <f t="shared" si="124"/>
        <v>0</v>
      </c>
      <c r="AH679" t="s">
        <v>1199</v>
      </c>
      <c r="AI679" s="2">
        <f t="shared" si="125"/>
        <v>8</v>
      </c>
      <c r="AJ679" s="2">
        <f t="shared" si="126"/>
        <v>1</v>
      </c>
      <c r="AK679" s="3">
        <v>239.99999999650751</v>
      </c>
      <c r="AM679" s="2">
        <v>0</v>
      </c>
      <c r="AN679">
        <v>5</v>
      </c>
      <c r="AO679">
        <v>0</v>
      </c>
      <c r="AP679">
        <v>0</v>
      </c>
      <c r="AQ679" s="2">
        <f>IF((2*G679 + M679 -P679 + 3*W679 + 2*Z679+2*AD679 + AG679+2*AJ679 + 4*AM679) &gt;=8,1,0)</f>
        <v>1</v>
      </c>
    </row>
    <row r="680" spans="1:43" x14ac:dyDescent="0.25">
      <c r="A680" t="s">
        <v>27</v>
      </c>
      <c r="B680" s="1">
        <v>39300</v>
      </c>
      <c r="C680" s="7">
        <f t="shared" si="118"/>
        <v>2007</v>
      </c>
      <c r="D680">
        <v>83.8</v>
      </c>
      <c r="E680">
        <v>67.599999999999994</v>
      </c>
      <c r="F680">
        <v>76.3</v>
      </c>
      <c r="G680" s="2">
        <f t="shared" si="127"/>
        <v>1</v>
      </c>
      <c r="H680">
        <v>82.1</v>
      </c>
      <c r="I680">
        <v>67.599999999999994</v>
      </c>
      <c r="J680">
        <v>75.8</v>
      </c>
      <c r="K680">
        <v>55.2</v>
      </c>
      <c r="L680">
        <v>50.7</v>
      </c>
      <c r="M680" s="2">
        <f t="shared" si="119"/>
        <v>0</v>
      </c>
      <c r="N680">
        <v>0</v>
      </c>
      <c r="P680" s="2">
        <f t="shared" si="120"/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s="2">
        <f t="shared" si="121"/>
        <v>0</v>
      </c>
      <c r="X680">
        <v>14</v>
      </c>
      <c r="Z680" s="2">
        <f t="shared" si="122"/>
        <v>0</v>
      </c>
      <c r="AA680">
        <v>282.5</v>
      </c>
      <c r="AB680" s="2" t="str">
        <f>CHOOSE(MATCH(AA680,{0;11;80;111;161;191;241;281;341},1),"North","NorthEast","East","SouthEast","South","SouthWest","West","NorthWest","North")</f>
        <v>NorthWest</v>
      </c>
      <c r="AC680" s="5">
        <f>CHOOSE(MATCH(AB680,{"South";"SouthEast";"SouthWest";"North";"NorthEast";"East";"West";"NorthWest"},0),1,2,3,4,5,6,7,8)</f>
        <v>8</v>
      </c>
      <c r="AD680" s="2">
        <f t="shared" si="123"/>
        <v>1</v>
      </c>
      <c r="AE680">
        <v>1004.1</v>
      </c>
      <c r="AF680" s="4" t="s">
        <v>1200</v>
      </c>
      <c r="AG680" s="2">
        <f t="shared" si="124"/>
        <v>0</v>
      </c>
      <c r="AH680" t="s">
        <v>1201</v>
      </c>
      <c r="AI680" s="2">
        <f t="shared" si="125"/>
        <v>8</v>
      </c>
      <c r="AJ680" s="2">
        <f t="shared" si="126"/>
        <v>1</v>
      </c>
      <c r="AK680" s="3">
        <v>158.00000000162979</v>
      </c>
      <c r="AM680" s="2">
        <v>0</v>
      </c>
      <c r="AN680">
        <v>1</v>
      </c>
      <c r="AO680">
        <v>0</v>
      </c>
      <c r="AP680">
        <v>0</v>
      </c>
      <c r="AQ680" s="2">
        <f>IF((2*G680 + M680 -P680 + 3*W680 + 2*Z680+2*AD680 + AG680+2*AJ680 + 4*AM680) &gt;=8,1,0)</f>
        <v>0</v>
      </c>
    </row>
    <row r="681" spans="1:43" x14ac:dyDescent="0.25">
      <c r="A681" t="s">
        <v>27</v>
      </c>
      <c r="B681" s="1">
        <v>39300</v>
      </c>
      <c r="C681" s="7">
        <f t="shared" si="118"/>
        <v>2007</v>
      </c>
      <c r="D681">
        <v>83.8</v>
      </c>
      <c r="E681">
        <v>67.599999999999994</v>
      </c>
      <c r="F681">
        <v>76.3</v>
      </c>
      <c r="G681" s="2">
        <f t="shared" si="127"/>
        <v>1</v>
      </c>
      <c r="H681">
        <v>82.1</v>
      </c>
      <c r="I681">
        <v>67.599999999999994</v>
      </c>
      <c r="J681">
        <v>75.8</v>
      </c>
      <c r="K681">
        <v>55.2</v>
      </c>
      <c r="L681">
        <v>50.7</v>
      </c>
      <c r="M681" s="2">
        <f t="shared" si="119"/>
        <v>0</v>
      </c>
      <c r="N681">
        <v>0</v>
      </c>
      <c r="P681" s="2">
        <f t="shared" si="120"/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s="2">
        <f t="shared" si="121"/>
        <v>0</v>
      </c>
      <c r="X681">
        <v>14</v>
      </c>
      <c r="Z681" s="2">
        <f t="shared" si="122"/>
        <v>0</v>
      </c>
      <c r="AA681">
        <v>282.5</v>
      </c>
      <c r="AB681" s="2" t="str">
        <f>CHOOSE(MATCH(AA681,{0;11;80;111;161;191;241;281;341},1),"North","NorthEast","East","SouthEast","South","SouthWest","West","NorthWest","North")</f>
        <v>NorthWest</v>
      </c>
      <c r="AC681" s="5">
        <f>CHOOSE(MATCH(AB681,{"South";"SouthEast";"SouthWest";"North";"NorthEast";"East";"West";"NorthWest"},0),1,2,3,4,5,6,7,8)</f>
        <v>8</v>
      </c>
      <c r="AD681" s="2">
        <f t="shared" si="123"/>
        <v>1</v>
      </c>
      <c r="AE681">
        <v>1004.1</v>
      </c>
      <c r="AF681" s="4" t="s">
        <v>1202</v>
      </c>
      <c r="AG681" s="2">
        <f t="shared" si="124"/>
        <v>1</v>
      </c>
      <c r="AH681" t="s">
        <v>1203</v>
      </c>
      <c r="AI681" s="2">
        <f t="shared" si="125"/>
        <v>8</v>
      </c>
      <c r="AJ681" s="2">
        <f t="shared" si="126"/>
        <v>1</v>
      </c>
      <c r="AK681" s="3">
        <v>53.999999997904517</v>
      </c>
      <c r="AM681" s="2">
        <v>0</v>
      </c>
      <c r="AN681">
        <v>1</v>
      </c>
      <c r="AO681">
        <v>0</v>
      </c>
      <c r="AP681">
        <v>0</v>
      </c>
      <c r="AQ681" s="2">
        <f>IF((2*G681 + M681 -P681 + 3*W681 + 2*Z681+2*AD681 + AG681+2*AJ681 + 4*AM681) &gt;=8,1,0)</f>
        <v>0</v>
      </c>
    </row>
    <row r="682" spans="1:43" x14ac:dyDescent="0.25">
      <c r="A682" t="s">
        <v>27</v>
      </c>
      <c r="B682" s="1">
        <v>39302</v>
      </c>
      <c r="C682" s="7">
        <f t="shared" si="118"/>
        <v>2007</v>
      </c>
      <c r="D682">
        <v>91.5</v>
      </c>
      <c r="E682">
        <v>71.599999999999994</v>
      </c>
      <c r="F682">
        <v>80.5</v>
      </c>
      <c r="G682" s="2">
        <f t="shared" si="127"/>
        <v>1</v>
      </c>
      <c r="H682">
        <v>92.8</v>
      </c>
      <c r="I682">
        <v>71.599999999999994</v>
      </c>
      <c r="J682">
        <v>80.7</v>
      </c>
      <c r="K682">
        <v>60.8</v>
      </c>
      <c r="L682">
        <v>52.6</v>
      </c>
      <c r="M682" s="2">
        <f t="shared" si="119"/>
        <v>0</v>
      </c>
      <c r="N682">
        <v>0</v>
      </c>
      <c r="P682" s="2">
        <f t="shared" si="120"/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s="2">
        <f t="shared" si="121"/>
        <v>0</v>
      </c>
      <c r="X682">
        <v>12.2</v>
      </c>
      <c r="Z682" s="2">
        <f t="shared" si="122"/>
        <v>0</v>
      </c>
      <c r="AA682">
        <v>155.19999999999999</v>
      </c>
      <c r="AB682" s="2" t="str">
        <f>CHOOSE(MATCH(AA682,{0;11;80;111;161;191;241;281;341},1),"North","NorthEast","East","SouthEast","South","SouthWest","West","NorthWest","North")</f>
        <v>SouthEast</v>
      </c>
      <c r="AC682" s="5">
        <f>CHOOSE(MATCH(AB682,{"South";"SouthEast";"SouthWest";"North";"NorthEast";"East";"West";"NorthWest"},0),1,2,3,4,5,6,7,8)</f>
        <v>2</v>
      </c>
      <c r="AD682" s="2">
        <f t="shared" si="123"/>
        <v>0</v>
      </c>
      <c r="AE682">
        <v>1009.5</v>
      </c>
      <c r="AF682" s="4" t="s">
        <v>1204</v>
      </c>
      <c r="AG682" s="2">
        <f t="shared" si="124"/>
        <v>1</v>
      </c>
      <c r="AH682" t="s">
        <v>1205</v>
      </c>
      <c r="AI682" s="2">
        <f t="shared" si="125"/>
        <v>8</v>
      </c>
      <c r="AJ682" s="2">
        <f t="shared" si="126"/>
        <v>1</v>
      </c>
      <c r="AK682" s="3">
        <v>55.999999993946403</v>
      </c>
      <c r="AM682" s="2">
        <v>0</v>
      </c>
      <c r="AN682">
        <v>0</v>
      </c>
      <c r="AO682">
        <v>0.5</v>
      </c>
      <c r="AP682">
        <v>0</v>
      </c>
      <c r="AQ682" s="2">
        <f>IF((2*G682 + M682 -P682 + 3*W682 + 2*Z682+2*AD682 + AG682+2*AJ682 + 4*AM682) &gt;=8,1,0)</f>
        <v>0</v>
      </c>
    </row>
    <row r="683" spans="1:43" x14ac:dyDescent="0.25">
      <c r="A683" t="s">
        <v>27</v>
      </c>
      <c r="B683" s="1">
        <v>39303</v>
      </c>
      <c r="C683" s="7">
        <f t="shared" si="118"/>
        <v>2007</v>
      </c>
      <c r="D683">
        <v>93.4</v>
      </c>
      <c r="E683">
        <v>73.3</v>
      </c>
      <c r="F683">
        <v>82.7</v>
      </c>
      <c r="G683" s="2">
        <f t="shared" si="127"/>
        <v>1</v>
      </c>
      <c r="H683">
        <v>92.7</v>
      </c>
      <c r="I683">
        <v>73.3</v>
      </c>
      <c r="J683">
        <v>82.9</v>
      </c>
      <c r="K683">
        <v>62.1</v>
      </c>
      <c r="L683">
        <v>51.8</v>
      </c>
      <c r="M683" s="2">
        <f t="shared" si="119"/>
        <v>0</v>
      </c>
      <c r="N683">
        <v>0</v>
      </c>
      <c r="P683" s="2">
        <f t="shared" si="120"/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s="2">
        <f t="shared" si="121"/>
        <v>0</v>
      </c>
      <c r="X683">
        <v>13</v>
      </c>
      <c r="Z683" s="2">
        <f t="shared" si="122"/>
        <v>0</v>
      </c>
      <c r="AA683">
        <v>150.9</v>
      </c>
      <c r="AB683" s="2" t="str">
        <f>CHOOSE(MATCH(AA683,{0;11;80;111;161;191;241;281;341},1),"North","NorthEast","East","SouthEast","South","SouthWest","West","NorthWest","North")</f>
        <v>SouthEast</v>
      </c>
      <c r="AC683" s="5">
        <f>CHOOSE(MATCH(AB683,{"South";"SouthEast";"SouthWest";"North";"NorthEast";"East";"West";"NorthWest"},0),1,2,3,4,5,6,7,8)</f>
        <v>2</v>
      </c>
      <c r="AD683" s="2">
        <f t="shared" si="123"/>
        <v>0</v>
      </c>
      <c r="AE683">
        <v>1008</v>
      </c>
      <c r="AF683" s="4" t="s">
        <v>1101</v>
      </c>
      <c r="AG683" s="2">
        <f t="shared" si="124"/>
        <v>1</v>
      </c>
      <c r="AH683" t="s">
        <v>1206</v>
      </c>
      <c r="AI683" s="2">
        <f t="shared" si="125"/>
        <v>8</v>
      </c>
      <c r="AJ683" s="2">
        <f t="shared" si="126"/>
        <v>1</v>
      </c>
      <c r="AK683" s="3">
        <v>165.99999999627471</v>
      </c>
      <c r="AM683" s="2">
        <v>0</v>
      </c>
      <c r="AN683">
        <v>0</v>
      </c>
      <c r="AO683">
        <v>50</v>
      </c>
      <c r="AP683">
        <v>0</v>
      </c>
      <c r="AQ683" s="2">
        <f>IF((2*G683 + M683 -P683 + 3*W683 + 2*Z683+2*AD683 + AG683+2*AJ683 + 4*AM683) &gt;=8,1,0)</f>
        <v>0</v>
      </c>
    </row>
    <row r="684" spans="1:43" x14ac:dyDescent="0.25">
      <c r="A684" t="s">
        <v>27</v>
      </c>
      <c r="B684" s="1">
        <v>39303</v>
      </c>
      <c r="C684" s="7">
        <f t="shared" si="118"/>
        <v>2007</v>
      </c>
      <c r="D684">
        <v>93.4</v>
      </c>
      <c r="E684">
        <v>73.3</v>
      </c>
      <c r="F684">
        <v>82.7</v>
      </c>
      <c r="G684" s="2">
        <f t="shared" si="127"/>
        <v>1</v>
      </c>
      <c r="H684">
        <v>92.7</v>
      </c>
      <c r="I684">
        <v>73.3</v>
      </c>
      <c r="J684">
        <v>82.9</v>
      </c>
      <c r="K684">
        <v>62.1</v>
      </c>
      <c r="L684">
        <v>51.8</v>
      </c>
      <c r="M684" s="2">
        <f t="shared" si="119"/>
        <v>0</v>
      </c>
      <c r="N684">
        <v>0</v>
      </c>
      <c r="P684" s="2">
        <f t="shared" si="120"/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s="2">
        <f t="shared" si="121"/>
        <v>0</v>
      </c>
      <c r="X684">
        <v>13</v>
      </c>
      <c r="Z684" s="2">
        <f t="shared" si="122"/>
        <v>0</v>
      </c>
      <c r="AA684">
        <v>150.9</v>
      </c>
      <c r="AB684" s="2" t="str">
        <f>CHOOSE(MATCH(AA684,{0;11;80;111;161;191;241;281;341},1),"North","NorthEast","East","SouthEast","South","SouthWest","West","NorthWest","North")</f>
        <v>SouthEast</v>
      </c>
      <c r="AC684" s="5">
        <f>CHOOSE(MATCH(AB684,{"South";"SouthEast";"SouthWest";"North";"NorthEast";"East";"West";"NorthWest"},0),1,2,3,4,5,6,7,8)</f>
        <v>2</v>
      </c>
      <c r="AD684" s="2">
        <f t="shared" si="123"/>
        <v>0</v>
      </c>
      <c r="AE684">
        <v>1008</v>
      </c>
      <c r="AF684" s="4" t="s">
        <v>1207</v>
      </c>
      <c r="AG684" s="2">
        <f t="shared" si="124"/>
        <v>0</v>
      </c>
      <c r="AH684" t="s">
        <v>1208</v>
      </c>
      <c r="AI684" s="2">
        <f t="shared" si="125"/>
        <v>8</v>
      </c>
      <c r="AJ684" s="2">
        <f t="shared" si="126"/>
        <v>1</v>
      </c>
      <c r="AK684" s="3">
        <v>1899.999999990687</v>
      </c>
      <c r="AM684" s="2">
        <v>1</v>
      </c>
      <c r="AN684">
        <v>0</v>
      </c>
      <c r="AO684">
        <v>30</v>
      </c>
      <c r="AP684">
        <v>0</v>
      </c>
      <c r="AQ684" s="2">
        <f>IF((2*G684 + M684 -P684 + 3*W684 + 2*Z684+2*AD684 + AG684+2*AJ684 + 4*AM684) &gt;=8,1,0)</f>
        <v>0</v>
      </c>
    </row>
    <row r="685" spans="1:43" x14ac:dyDescent="0.25">
      <c r="A685" t="s">
        <v>27</v>
      </c>
      <c r="B685" s="1">
        <v>39304</v>
      </c>
      <c r="C685" s="7">
        <f t="shared" si="118"/>
        <v>2007</v>
      </c>
      <c r="D685">
        <v>91.6</v>
      </c>
      <c r="E685">
        <v>70.2</v>
      </c>
      <c r="F685">
        <v>82.3</v>
      </c>
      <c r="G685" s="2">
        <f t="shared" si="127"/>
        <v>1</v>
      </c>
      <c r="H685">
        <v>92.9</v>
      </c>
      <c r="I685">
        <v>70.2</v>
      </c>
      <c r="J685">
        <v>82.4</v>
      </c>
      <c r="K685">
        <v>60.7</v>
      </c>
      <c r="L685">
        <v>49.9</v>
      </c>
      <c r="M685" s="2">
        <f t="shared" si="119"/>
        <v>0</v>
      </c>
      <c r="N685">
        <v>0</v>
      </c>
      <c r="P685" s="2">
        <f t="shared" si="120"/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s="2">
        <f t="shared" si="121"/>
        <v>0</v>
      </c>
      <c r="X685">
        <v>12.5</v>
      </c>
      <c r="Z685" s="2">
        <f t="shared" si="122"/>
        <v>0</v>
      </c>
      <c r="AA685">
        <v>174.2</v>
      </c>
      <c r="AB685" s="2" t="str">
        <f>CHOOSE(MATCH(AA685,{0;11;80;111;161;191;241;281;341},1),"North","NorthEast","East","SouthEast","South","SouthWest","West","NorthWest","North")</f>
        <v>South</v>
      </c>
      <c r="AC685" s="5">
        <f>CHOOSE(MATCH(AB685,{"South";"SouthEast";"SouthWest";"North";"NorthEast";"East";"West";"NorthWest"},0),1,2,3,4,5,6,7,8)</f>
        <v>1</v>
      </c>
      <c r="AD685" s="2">
        <f t="shared" si="123"/>
        <v>0</v>
      </c>
      <c r="AE685">
        <v>1006</v>
      </c>
      <c r="AF685" s="4" t="s">
        <v>1209</v>
      </c>
      <c r="AG685" s="2">
        <f t="shared" si="124"/>
        <v>1</v>
      </c>
      <c r="AH685" t="s">
        <v>1210</v>
      </c>
      <c r="AI685" s="2">
        <f t="shared" si="125"/>
        <v>8</v>
      </c>
      <c r="AJ685" s="2">
        <f t="shared" si="126"/>
        <v>1</v>
      </c>
      <c r="AK685" s="3">
        <v>150.9999999997672</v>
      </c>
      <c r="AM685" s="2">
        <v>0</v>
      </c>
      <c r="AN685">
        <v>0</v>
      </c>
      <c r="AO685">
        <v>0</v>
      </c>
      <c r="AP685">
        <v>0.3</v>
      </c>
      <c r="AQ685" s="2">
        <f>IF((2*G685 + M685 -P685 + 3*W685 + 2*Z685+2*AD685 + AG685+2*AJ685 + 4*AM685) &gt;=8,1,0)</f>
        <v>0</v>
      </c>
    </row>
    <row r="686" spans="1:43" x14ac:dyDescent="0.25">
      <c r="A686" t="s">
        <v>27</v>
      </c>
      <c r="B686" s="1">
        <v>39305</v>
      </c>
      <c r="C686" s="7">
        <f t="shared" si="118"/>
        <v>2007</v>
      </c>
      <c r="D686">
        <v>92.6</v>
      </c>
      <c r="E686">
        <v>71.7</v>
      </c>
      <c r="F686">
        <v>82.7</v>
      </c>
      <c r="G686" s="2">
        <f t="shared" si="127"/>
        <v>1</v>
      </c>
      <c r="H686">
        <v>90.6</v>
      </c>
      <c r="I686">
        <v>71.7</v>
      </c>
      <c r="J686">
        <v>82.1</v>
      </c>
      <c r="K686">
        <v>58</v>
      </c>
      <c r="L686">
        <v>46.2</v>
      </c>
      <c r="M686" s="2">
        <f t="shared" si="119"/>
        <v>1</v>
      </c>
      <c r="N686">
        <v>0</v>
      </c>
      <c r="P686" s="2">
        <f t="shared" si="120"/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s="2">
        <f t="shared" si="121"/>
        <v>0</v>
      </c>
      <c r="X686">
        <v>16.5</v>
      </c>
      <c r="Z686" s="2">
        <f t="shared" si="122"/>
        <v>1</v>
      </c>
      <c r="AA686">
        <v>309.89999999999998</v>
      </c>
      <c r="AB686" s="2" t="str">
        <f>CHOOSE(MATCH(AA686,{0;11;80;111;161;191;241;281;341},1),"North","NorthEast","East","SouthEast","South","SouthWest","West","NorthWest","North")</f>
        <v>NorthWest</v>
      </c>
      <c r="AC686" s="5">
        <f>CHOOSE(MATCH(AB686,{"South";"SouthEast";"SouthWest";"North";"NorthEast";"East";"West";"NorthWest"},0),1,2,3,4,5,6,7,8)</f>
        <v>8</v>
      </c>
      <c r="AD686" s="2">
        <f t="shared" si="123"/>
        <v>1</v>
      </c>
      <c r="AE686">
        <v>1005.1</v>
      </c>
      <c r="AF686" s="4" t="s">
        <v>1211</v>
      </c>
      <c r="AG686" s="2">
        <f t="shared" si="124"/>
        <v>1</v>
      </c>
      <c r="AH686" t="s">
        <v>1212</v>
      </c>
      <c r="AI686" s="2">
        <f t="shared" si="125"/>
        <v>8</v>
      </c>
      <c r="AJ686" s="2">
        <f t="shared" si="126"/>
        <v>1</v>
      </c>
      <c r="AK686" s="3">
        <v>2197.9999999981369</v>
      </c>
      <c r="AM686" s="2">
        <v>1</v>
      </c>
      <c r="AN686">
        <v>0</v>
      </c>
      <c r="AO686">
        <v>10</v>
      </c>
      <c r="AP686">
        <v>0</v>
      </c>
      <c r="AQ686" s="2">
        <f>IF((2*G686 + M686 -P686 + 3*W686 + 2*Z686+2*AD686 + AG686+2*AJ686 + 4*AM686) &gt;=8,1,0)</f>
        <v>1</v>
      </c>
    </row>
    <row r="687" spans="1:43" x14ac:dyDescent="0.25">
      <c r="A687" t="s">
        <v>27</v>
      </c>
      <c r="B687" s="1">
        <v>39310</v>
      </c>
      <c r="C687" s="7">
        <f t="shared" si="118"/>
        <v>2007</v>
      </c>
      <c r="D687">
        <v>93.4</v>
      </c>
      <c r="E687">
        <v>76</v>
      </c>
      <c r="F687">
        <v>84.9</v>
      </c>
      <c r="G687" s="2">
        <f t="shared" si="127"/>
        <v>1</v>
      </c>
      <c r="H687">
        <v>91.1</v>
      </c>
      <c r="I687">
        <v>76</v>
      </c>
      <c r="J687">
        <v>83.6</v>
      </c>
      <c r="K687">
        <v>53.5</v>
      </c>
      <c r="L687">
        <v>34.9</v>
      </c>
      <c r="M687" s="2">
        <f t="shared" si="119"/>
        <v>1</v>
      </c>
      <c r="N687">
        <v>0</v>
      </c>
      <c r="P687" s="2">
        <f t="shared" si="120"/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s="2">
        <f t="shared" si="121"/>
        <v>0</v>
      </c>
      <c r="X687">
        <v>18.3</v>
      </c>
      <c r="Z687" s="2">
        <f t="shared" si="122"/>
        <v>1</v>
      </c>
      <c r="AA687">
        <v>1</v>
      </c>
      <c r="AB687" s="2" t="str">
        <f>CHOOSE(MATCH(AA687,{0;11;80;111;161;191;241;281;341},1),"North","NorthEast","East","SouthEast","South","SouthWest","West","NorthWest","North")</f>
        <v>North</v>
      </c>
      <c r="AC687" s="5">
        <f>CHOOSE(MATCH(AB687,{"South";"SouthEast";"SouthWest";"North";"NorthEast";"East";"West";"NorthWest"},0),1,2,3,4,5,6,7,8)</f>
        <v>4</v>
      </c>
      <c r="AD687" s="2">
        <f t="shared" si="123"/>
        <v>1</v>
      </c>
      <c r="AE687">
        <v>1010.3</v>
      </c>
      <c r="AF687" s="4" t="s">
        <v>1213</v>
      </c>
      <c r="AG687" s="2">
        <f t="shared" si="124"/>
        <v>0</v>
      </c>
      <c r="AH687" t="s">
        <v>1214</v>
      </c>
      <c r="AI687" s="2">
        <f t="shared" si="125"/>
        <v>8</v>
      </c>
      <c r="AJ687" s="2">
        <f t="shared" si="126"/>
        <v>1</v>
      </c>
      <c r="AK687" s="3">
        <v>15750</v>
      </c>
      <c r="AM687" s="2">
        <v>1</v>
      </c>
      <c r="AN687">
        <v>5000</v>
      </c>
      <c r="AO687">
        <v>1000</v>
      </c>
      <c r="AP687">
        <v>0</v>
      </c>
      <c r="AQ687" s="2">
        <f>IF((2*G687 + M687 -P687 + 3*W687 + 2*Z687+2*AD687 + AG687+2*AJ687 + 4*AM687) &gt;=8,1,0)</f>
        <v>1</v>
      </c>
    </row>
    <row r="688" spans="1:43" x14ac:dyDescent="0.25">
      <c r="A688" t="s">
        <v>27</v>
      </c>
      <c r="B688" s="1">
        <v>39310</v>
      </c>
      <c r="C688" s="7">
        <f t="shared" si="118"/>
        <v>2007</v>
      </c>
      <c r="D688">
        <v>93.4</v>
      </c>
      <c r="E688">
        <v>76</v>
      </c>
      <c r="F688">
        <v>84.9</v>
      </c>
      <c r="G688" s="2">
        <f t="shared" si="127"/>
        <v>1</v>
      </c>
      <c r="H688">
        <v>91.1</v>
      </c>
      <c r="I688">
        <v>76</v>
      </c>
      <c r="J688">
        <v>83.6</v>
      </c>
      <c r="K688">
        <v>53.5</v>
      </c>
      <c r="L688">
        <v>34.9</v>
      </c>
      <c r="M688" s="2">
        <f t="shared" si="119"/>
        <v>1</v>
      </c>
      <c r="N688">
        <v>0</v>
      </c>
      <c r="P688" s="2">
        <f t="shared" si="120"/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s="2">
        <f t="shared" si="121"/>
        <v>0</v>
      </c>
      <c r="X688">
        <v>18.3</v>
      </c>
      <c r="Z688" s="2">
        <f t="shared" si="122"/>
        <v>1</v>
      </c>
      <c r="AA688">
        <v>1</v>
      </c>
      <c r="AB688" s="2" t="str">
        <f>CHOOSE(MATCH(AA688,{0;11;80;111;161;191;241;281;341},1),"North","NorthEast","East","SouthEast","South","SouthWest","West","NorthWest","North")</f>
        <v>North</v>
      </c>
      <c r="AC688" s="5">
        <f>CHOOSE(MATCH(AB688,{"South";"SouthEast";"SouthWest";"North";"NorthEast";"East";"West";"NorthWest"},0),1,2,3,4,5,6,7,8)</f>
        <v>4</v>
      </c>
      <c r="AD688" s="2">
        <f t="shared" si="123"/>
        <v>1</v>
      </c>
      <c r="AE688">
        <v>1010.3</v>
      </c>
      <c r="AF688" s="4" t="s">
        <v>1215</v>
      </c>
      <c r="AG688" s="2">
        <f t="shared" si="124"/>
        <v>1</v>
      </c>
      <c r="AH688" t="s">
        <v>1216</v>
      </c>
      <c r="AI688" s="2">
        <f t="shared" si="125"/>
        <v>8</v>
      </c>
      <c r="AJ688" s="2">
        <f t="shared" si="126"/>
        <v>1</v>
      </c>
      <c r="AK688" s="3">
        <v>616.00000000675209</v>
      </c>
      <c r="AM688" s="2">
        <v>1</v>
      </c>
      <c r="AN688">
        <v>0</v>
      </c>
      <c r="AO688">
        <v>10</v>
      </c>
      <c r="AP688">
        <v>0</v>
      </c>
      <c r="AQ688" s="2">
        <f>IF((2*G688 + M688 -P688 + 3*W688 + 2*Z688+2*AD688 + AG688+2*AJ688 + 4*AM688) &gt;=8,1,0)</f>
        <v>1</v>
      </c>
    </row>
    <row r="689" spans="1:43" x14ac:dyDescent="0.25">
      <c r="A689" t="s">
        <v>27</v>
      </c>
      <c r="B689" s="1">
        <v>39311</v>
      </c>
      <c r="C689" s="7">
        <f t="shared" si="118"/>
        <v>2007</v>
      </c>
      <c r="D689">
        <v>95.6</v>
      </c>
      <c r="E689">
        <v>74.7</v>
      </c>
      <c r="F689">
        <v>85.4</v>
      </c>
      <c r="G689" s="2">
        <f t="shared" si="127"/>
        <v>1</v>
      </c>
      <c r="H689">
        <v>92.7</v>
      </c>
      <c r="I689">
        <v>74.7</v>
      </c>
      <c r="J689">
        <v>83.8</v>
      </c>
      <c r="K689">
        <v>52</v>
      </c>
      <c r="L689">
        <v>33.200000000000003</v>
      </c>
      <c r="M689" s="2">
        <f t="shared" si="119"/>
        <v>1</v>
      </c>
      <c r="N689">
        <v>0</v>
      </c>
      <c r="P689" s="2">
        <f t="shared" si="120"/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s="2">
        <f t="shared" si="121"/>
        <v>0</v>
      </c>
      <c r="X689">
        <v>18.399999999999999</v>
      </c>
      <c r="Z689" s="2">
        <f t="shared" si="122"/>
        <v>1</v>
      </c>
      <c r="AA689">
        <v>357.7</v>
      </c>
      <c r="AB689" s="2" t="str">
        <f>CHOOSE(MATCH(AA689,{0;11;80;111;161;191;241;281;341},1),"North","NorthEast","East","SouthEast","South","SouthWest","West","NorthWest","North")</f>
        <v>North</v>
      </c>
      <c r="AC689" s="5">
        <f>CHOOSE(MATCH(AB689,{"South";"SouthEast";"SouthWest";"North";"NorthEast";"East";"West";"NorthWest"},0),1,2,3,4,5,6,7,8)</f>
        <v>4</v>
      </c>
      <c r="AD689" s="2">
        <f t="shared" si="123"/>
        <v>1</v>
      </c>
      <c r="AE689">
        <v>1010.9</v>
      </c>
      <c r="AF689" s="4" t="s">
        <v>1217</v>
      </c>
      <c r="AG689" s="2">
        <f t="shared" si="124"/>
        <v>0</v>
      </c>
      <c r="AH689" t="s">
        <v>1218</v>
      </c>
      <c r="AI689" s="2">
        <f t="shared" si="125"/>
        <v>8</v>
      </c>
      <c r="AJ689" s="2">
        <f t="shared" si="126"/>
        <v>1</v>
      </c>
      <c r="AK689" s="3">
        <v>200.00000000232831</v>
      </c>
      <c r="AM689" s="2">
        <v>0</v>
      </c>
      <c r="AN689">
        <v>0</v>
      </c>
      <c r="AO689">
        <v>2</v>
      </c>
      <c r="AP689">
        <v>0</v>
      </c>
      <c r="AQ689" s="2">
        <f>IF((2*G689 + M689 -P689 + 3*W689 + 2*Z689+2*AD689 + AG689+2*AJ689 + 4*AM689) &gt;=8,1,0)</f>
        <v>1</v>
      </c>
    </row>
    <row r="690" spans="1:43" x14ac:dyDescent="0.25">
      <c r="A690" t="s">
        <v>27</v>
      </c>
      <c r="B690" s="1">
        <v>39312</v>
      </c>
      <c r="C690" s="7">
        <f t="shared" si="118"/>
        <v>2007</v>
      </c>
      <c r="D690">
        <v>96</v>
      </c>
      <c r="E690">
        <v>78</v>
      </c>
      <c r="F690">
        <v>85.9</v>
      </c>
      <c r="G690" s="2">
        <f t="shared" si="127"/>
        <v>1</v>
      </c>
      <c r="H690">
        <v>92.7</v>
      </c>
      <c r="I690">
        <v>78</v>
      </c>
      <c r="J690">
        <v>84.2</v>
      </c>
      <c r="K690">
        <v>51.1</v>
      </c>
      <c r="L690">
        <v>30.9</v>
      </c>
      <c r="M690" s="2">
        <f t="shared" si="119"/>
        <v>1</v>
      </c>
      <c r="N690">
        <v>0</v>
      </c>
      <c r="P690" s="2">
        <f t="shared" si="120"/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s="2">
        <f t="shared" si="121"/>
        <v>0</v>
      </c>
      <c r="X690">
        <v>21.9</v>
      </c>
      <c r="Z690" s="2">
        <f t="shared" si="122"/>
        <v>1</v>
      </c>
      <c r="AA690">
        <v>0.3</v>
      </c>
      <c r="AB690" s="2" t="str">
        <f>CHOOSE(MATCH(AA690,{0;11;80;111;161;191;241;281;341},1),"North","NorthEast","East","SouthEast","South","SouthWest","West","NorthWest","North")</f>
        <v>North</v>
      </c>
      <c r="AC690" s="5">
        <f>CHOOSE(MATCH(AB690,{"South";"SouthEast";"SouthWest";"North";"NorthEast";"East";"West";"NorthWest"},0),1,2,3,4,5,6,7,8)</f>
        <v>4</v>
      </c>
      <c r="AD690" s="2">
        <f t="shared" si="123"/>
        <v>1</v>
      </c>
      <c r="AE690">
        <v>1008.7</v>
      </c>
      <c r="AF690" s="4" t="s">
        <v>1219</v>
      </c>
      <c r="AG690" s="2">
        <f t="shared" si="124"/>
        <v>1</v>
      </c>
      <c r="AH690" t="s">
        <v>1220</v>
      </c>
      <c r="AI690" s="2">
        <f t="shared" si="125"/>
        <v>8</v>
      </c>
      <c r="AJ690" s="2">
        <f t="shared" si="126"/>
        <v>1</v>
      </c>
      <c r="AK690" s="3">
        <v>96.999999991385266</v>
      </c>
      <c r="AM690" s="2">
        <v>0</v>
      </c>
      <c r="AN690">
        <v>0.5</v>
      </c>
      <c r="AO690">
        <v>0</v>
      </c>
      <c r="AP690">
        <v>0</v>
      </c>
      <c r="AQ690" s="2">
        <f>IF((2*G690 + M690 -P690 + 3*W690 + 2*Z690+2*AD690 + AG690+2*AJ690 + 4*AM690) &gt;=8,1,0)</f>
        <v>1</v>
      </c>
    </row>
    <row r="691" spans="1:43" x14ac:dyDescent="0.25">
      <c r="A691" t="s">
        <v>27</v>
      </c>
      <c r="B691" s="1">
        <v>39314</v>
      </c>
      <c r="C691" s="7">
        <f t="shared" si="118"/>
        <v>2007</v>
      </c>
      <c r="D691">
        <v>92.3</v>
      </c>
      <c r="E691">
        <v>73.2</v>
      </c>
      <c r="F691">
        <v>82.4</v>
      </c>
      <c r="G691" s="2">
        <f t="shared" si="127"/>
        <v>1</v>
      </c>
      <c r="H691">
        <v>93.3</v>
      </c>
      <c r="I691">
        <v>73.2</v>
      </c>
      <c r="J691">
        <v>82.7</v>
      </c>
      <c r="K691">
        <v>61.7</v>
      </c>
      <c r="L691">
        <v>51.1</v>
      </c>
      <c r="M691" s="2">
        <f t="shared" si="119"/>
        <v>0</v>
      </c>
      <c r="N691">
        <v>0</v>
      </c>
      <c r="P691" s="2">
        <f t="shared" si="120"/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s="2">
        <f t="shared" si="121"/>
        <v>0</v>
      </c>
      <c r="X691">
        <v>12.3</v>
      </c>
      <c r="Z691" s="2">
        <f t="shared" si="122"/>
        <v>0</v>
      </c>
      <c r="AA691">
        <v>153.19999999999999</v>
      </c>
      <c r="AB691" s="2" t="str">
        <f>CHOOSE(MATCH(AA691,{0;11;80;111;161;191;241;281;341},1),"North","NorthEast","East","SouthEast","South","SouthWest","West","NorthWest","North")</f>
        <v>SouthEast</v>
      </c>
      <c r="AC691" s="5">
        <f>CHOOSE(MATCH(AB691,{"South";"SouthEast";"SouthWest";"North";"NorthEast";"East";"West";"NorthWest"},0),1,2,3,4,5,6,7,8)</f>
        <v>2</v>
      </c>
      <c r="AD691" s="2">
        <f t="shared" si="123"/>
        <v>0</v>
      </c>
      <c r="AE691">
        <v>1007.8</v>
      </c>
      <c r="AF691" s="4" t="s">
        <v>1221</v>
      </c>
      <c r="AG691" s="2">
        <f t="shared" si="124"/>
        <v>1</v>
      </c>
      <c r="AH691" t="s">
        <v>1222</v>
      </c>
      <c r="AI691" s="2">
        <f t="shared" si="125"/>
        <v>8</v>
      </c>
      <c r="AJ691" s="2">
        <f t="shared" si="126"/>
        <v>1</v>
      </c>
      <c r="AK691" s="3">
        <v>94.000000002561137</v>
      </c>
      <c r="AM691" s="2">
        <v>0</v>
      </c>
      <c r="AN691">
        <v>0</v>
      </c>
      <c r="AO691">
        <v>1</v>
      </c>
      <c r="AP691">
        <v>0</v>
      </c>
      <c r="AQ691" s="2">
        <f>IF((2*G691 + M691 -P691 + 3*W691 + 2*Z691+2*AD691 + AG691+2*AJ691 + 4*AM691) &gt;=8,1,0)</f>
        <v>0</v>
      </c>
    </row>
    <row r="692" spans="1:43" x14ac:dyDescent="0.25">
      <c r="A692" t="s">
        <v>27</v>
      </c>
      <c r="B692" s="1">
        <v>39314</v>
      </c>
      <c r="C692" s="7">
        <f t="shared" si="118"/>
        <v>2007</v>
      </c>
      <c r="D692">
        <v>92.3</v>
      </c>
      <c r="E692">
        <v>73.2</v>
      </c>
      <c r="F692">
        <v>82.4</v>
      </c>
      <c r="G692" s="2">
        <f t="shared" si="127"/>
        <v>1</v>
      </c>
      <c r="H692">
        <v>93.3</v>
      </c>
      <c r="I692">
        <v>73.2</v>
      </c>
      <c r="J692">
        <v>82.7</v>
      </c>
      <c r="K692">
        <v>61.7</v>
      </c>
      <c r="L692">
        <v>51.1</v>
      </c>
      <c r="M692" s="2">
        <f t="shared" si="119"/>
        <v>0</v>
      </c>
      <c r="N692">
        <v>0</v>
      </c>
      <c r="P692" s="2">
        <f t="shared" si="120"/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s="2">
        <f t="shared" si="121"/>
        <v>0</v>
      </c>
      <c r="X692">
        <v>12.3</v>
      </c>
      <c r="Z692" s="2">
        <f t="shared" si="122"/>
        <v>0</v>
      </c>
      <c r="AA692">
        <v>153.19999999999999</v>
      </c>
      <c r="AB692" s="2" t="str">
        <f>CHOOSE(MATCH(AA692,{0;11;80;111;161;191;241;281;341},1),"North","NorthEast","East","SouthEast","South","SouthWest","West","NorthWest","North")</f>
        <v>SouthEast</v>
      </c>
      <c r="AC692" s="5">
        <f>CHOOSE(MATCH(AB692,{"South";"SouthEast";"SouthWest";"North";"NorthEast";"East";"West";"NorthWest"},0),1,2,3,4,5,6,7,8)</f>
        <v>2</v>
      </c>
      <c r="AD692" s="2">
        <f t="shared" si="123"/>
        <v>0</v>
      </c>
      <c r="AE692">
        <v>1007.8</v>
      </c>
      <c r="AF692" s="4" t="s">
        <v>1198</v>
      </c>
      <c r="AG692" s="2">
        <f t="shared" si="124"/>
        <v>0</v>
      </c>
      <c r="AH692" t="s">
        <v>1223</v>
      </c>
      <c r="AI692" s="2">
        <f t="shared" si="125"/>
        <v>8</v>
      </c>
      <c r="AJ692" s="2">
        <f t="shared" si="126"/>
        <v>1</v>
      </c>
      <c r="AK692" s="3">
        <v>156.99999999837021</v>
      </c>
      <c r="AM692" s="2">
        <v>0</v>
      </c>
      <c r="AN692">
        <v>0</v>
      </c>
      <c r="AO692">
        <v>1</v>
      </c>
      <c r="AP692">
        <v>0</v>
      </c>
      <c r="AQ692" s="2">
        <f>IF((2*G692 + M692 -P692 + 3*W692 + 2*Z692+2*AD692 + AG692+2*AJ692 + 4*AM692) &gt;=8,1,0)</f>
        <v>0</v>
      </c>
    </row>
    <row r="693" spans="1:43" x14ac:dyDescent="0.25">
      <c r="A693" t="s">
        <v>27</v>
      </c>
      <c r="B693" s="1">
        <v>39317</v>
      </c>
      <c r="C693" s="7">
        <f t="shared" ref="C693:C748" si="128">YEAR(B693)</f>
        <v>2007</v>
      </c>
      <c r="D693">
        <v>100.9</v>
      </c>
      <c r="E693">
        <v>77.099999999999994</v>
      </c>
      <c r="F693">
        <v>89.5</v>
      </c>
      <c r="G693" s="2">
        <f t="shared" si="127"/>
        <v>1</v>
      </c>
      <c r="H693">
        <v>99.3</v>
      </c>
      <c r="I693">
        <v>77.099999999999994</v>
      </c>
      <c r="J693">
        <v>88.2</v>
      </c>
      <c r="K693">
        <v>55.4</v>
      </c>
      <c r="L693">
        <v>34</v>
      </c>
      <c r="M693" s="2">
        <f t="shared" ref="M693:M748" si="129">IF(L693&lt;=49.3,1,0)</f>
        <v>1</v>
      </c>
      <c r="N693">
        <v>0</v>
      </c>
      <c r="P693" s="2">
        <f t="shared" ref="P693:P748" si="130">IF(N693&lt;=0.01,1,0)</f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s="2">
        <f t="shared" ref="W693:W748" si="131">IF(V693&lt;=10,0,1)</f>
        <v>0</v>
      </c>
      <c r="X693">
        <v>19.600000000000001</v>
      </c>
      <c r="Z693" s="2">
        <f t="shared" ref="Z693:Z748" si="132">IF(X693&gt;=16,1,0)</f>
        <v>1</v>
      </c>
      <c r="AA693">
        <v>352.6</v>
      </c>
      <c r="AB693" s="2" t="str">
        <f>CHOOSE(MATCH(AA693,{0;11;80;111;161;191;241;281;341},1),"North","NorthEast","East","SouthEast","South","SouthWest","West","NorthWest","North")</f>
        <v>North</v>
      </c>
      <c r="AC693" s="5">
        <f>CHOOSE(MATCH(AB693,{"South";"SouthEast";"SouthWest";"North";"NorthEast";"East";"West";"NorthWest"},0),1,2,3,4,5,6,7,8)</f>
        <v>4</v>
      </c>
      <c r="AD693" s="2">
        <f t="shared" ref="AD693:AD748" si="133">IF(OR(AC693=3,AC693=4,AC693=5,AC693=8),1,0)</f>
        <v>1</v>
      </c>
      <c r="AE693">
        <v>1013.1</v>
      </c>
      <c r="AF693" s="4" t="s">
        <v>1224</v>
      </c>
      <c r="AG693" s="2">
        <f t="shared" ref="AG693:AG748" si="134">IF(TIMEVALUE(AF693)&lt;=TIME(12,30,0),0,1)</f>
        <v>1</v>
      </c>
      <c r="AH693" t="s">
        <v>1225</v>
      </c>
      <c r="AI693" s="2">
        <f t="shared" ref="AI693:AI748" si="135">MONTH(AH693)</f>
        <v>8</v>
      </c>
      <c r="AJ693" s="2">
        <f t="shared" ref="AJ693:AJ748" si="136">IF(OR(AI693=6,AI693=7,AI693=8),1,0)</f>
        <v>1</v>
      </c>
      <c r="AK693" s="3">
        <v>4440.0000000034916</v>
      </c>
      <c r="AM693" s="2">
        <v>1</v>
      </c>
      <c r="AN693">
        <v>0</v>
      </c>
      <c r="AO693">
        <v>50</v>
      </c>
      <c r="AP693">
        <v>0</v>
      </c>
      <c r="AQ693" s="2">
        <f>IF((2*G693 + M693 -P693 + 3*W693 + 2*Z693+2*AD693 + AG693+2*AJ693 + 4*AM693) &gt;=8,1,0)</f>
        <v>1</v>
      </c>
    </row>
    <row r="694" spans="1:43" x14ac:dyDescent="0.25">
      <c r="A694" t="s">
        <v>27</v>
      </c>
      <c r="B694" s="1">
        <v>39318</v>
      </c>
      <c r="C694" s="7">
        <f t="shared" si="128"/>
        <v>2007</v>
      </c>
      <c r="D694">
        <v>98.6</v>
      </c>
      <c r="E694">
        <v>84.8</v>
      </c>
      <c r="F694">
        <v>90.2</v>
      </c>
      <c r="G694" s="2">
        <f t="shared" si="127"/>
        <v>1</v>
      </c>
      <c r="H694">
        <v>94.8</v>
      </c>
      <c r="I694">
        <v>83.3</v>
      </c>
      <c r="J694">
        <v>87.8</v>
      </c>
      <c r="K694">
        <v>52</v>
      </c>
      <c r="L694">
        <v>27.8</v>
      </c>
      <c r="M694" s="2">
        <f t="shared" si="129"/>
        <v>1</v>
      </c>
      <c r="N694">
        <v>0</v>
      </c>
      <c r="P694" s="2">
        <f t="shared" si="130"/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s="2">
        <f t="shared" si="131"/>
        <v>0</v>
      </c>
      <c r="X694">
        <v>22.2</v>
      </c>
      <c r="Z694" s="2">
        <f t="shared" si="132"/>
        <v>1</v>
      </c>
      <c r="AA694">
        <v>357.7</v>
      </c>
      <c r="AB694" s="2" t="str">
        <f>CHOOSE(MATCH(AA694,{0;11;80;111;161;191;241;281;341},1),"North","NorthEast","East","SouthEast","South","SouthWest","West","NorthWest","North")</f>
        <v>North</v>
      </c>
      <c r="AC694" s="5">
        <f>CHOOSE(MATCH(AB694,{"South";"SouthEast";"SouthWest";"North";"NorthEast";"East";"West";"NorthWest"},0),1,2,3,4,5,6,7,8)</f>
        <v>4</v>
      </c>
      <c r="AD694" s="2">
        <f t="shared" si="133"/>
        <v>1</v>
      </c>
      <c r="AE694">
        <v>1014.6</v>
      </c>
      <c r="AF694" s="4" t="s">
        <v>1166</v>
      </c>
      <c r="AG694" s="2">
        <f t="shared" si="134"/>
        <v>1</v>
      </c>
      <c r="AH694" t="s">
        <v>1226</v>
      </c>
      <c r="AI694" s="2">
        <f t="shared" si="135"/>
        <v>8</v>
      </c>
      <c r="AJ694" s="2">
        <f t="shared" si="136"/>
        <v>1</v>
      </c>
      <c r="AK694" s="3">
        <v>2319.9999999976721</v>
      </c>
      <c r="AM694" s="2">
        <v>1</v>
      </c>
      <c r="AN694">
        <v>20</v>
      </c>
      <c r="AO694">
        <v>20</v>
      </c>
      <c r="AP694">
        <v>0</v>
      </c>
      <c r="AQ694" s="2">
        <f>IF((2*G694 + M694 -P694 + 3*W694 + 2*Z694+2*AD694 + AG694+2*AJ694 + 4*AM694) &gt;=8,1,0)</f>
        <v>1</v>
      </c>
    </row>
    <row r="695" spans="1:43" x14ac:dyDescent="0.25">
      <c r="A695" t="s">
        <v>27</v>
      </c>
      <c r="B695" s="1">
        <v>39318</v>
      </c>
      <c r="C695" s="7">
        <f t="shared" si="128"/>
        <v>2007</v>
      </c>
      <c r="D695">
        <v>98.6</v>
      </c>
      <c r="E695">
        <v>84.8</v>
      </c>
      <c r="F695">
        <v>90.2</v>
      </c>
      <c r="G695" s="2">
        <f t="shared" si="127"/>
        <v>1</v>
      </c>
      <c r="H695">
        <v>94.8</v>
      </c>
      <c r="I695">
        <v>83.3</v>
      </c>
      <c r="J695">
        <v>87.8</v>
      </c>
      <c r="K695">
        <v>52</v>
      </c>
      <c r="L695">
        <v>27.8</v>
      </c>
      <c r="M695" s="2">
        <f t="shared" si="129"/>
        <v>1</v>
      </c>
      <c r="N695">
        <v>0</v>
      </c>
      <c r="P695" s="2">
        <f t="shared" si="130"/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s="2">
        <f t="shared" si="131"/>
        <v>0</v>
      </c>
      <c r="X695">
        <v>22.2</v>
      </c>
      <c r="Z695" s="2">
        <f t="shared" si="132"/>
        <v>1</v>
      </c>
      <c r="AA695">
        <v>357.7</v>
      </c>
      <c r="AB695" s="2" t="str">
        <f>CHOOSE(MATCH(AA695,{0;11;80;111;161;191;241;281;341},1),"North","NorthEast","East","SouthEast","South","SouthWest","West","NorthWest","North")</f>
        <v>North</v>
      </c>
      <c r="AC695" s="5">
        <f>CHOOSE(MATCH(AB695,{"South";"SouthEast";"SouthWest";"North";"NorthEast";"East";"West";"NorthWest"},0),1,2,3,4,5,6,7,8)</f>
        <v>4</v>
      </c>
      <c r="AD695" s="2">
        <f t="shared" si="133"/>
        <v>1</v>
      </c>
      <c r="AE695">
        <v>1014.6</v>
      </c>
      <c r="AF695" s="4" t="s">
        <v>1227</v>
      </c>
      <c r="AG695" s="2">
        <f t="shared" si="134"/>
        <v>1</v>
      </c>
      <c r="AH695" t="s">
        <v>1228</v>
      </c>
      <c r="AI695" s="2">
        <f t="shared" si="135"/>
        <v>8</v>
      </c>
      <c r="AJ695" s="2">
        <f t="shared" si="136"/>
        <v>1</v>
      </c>
      <c r="AK695" s="3">
        <v>4015.0000000011642</v>
      </c>
      <c r="AM695" s="2">
        <v>1</v>
      </c>
      <c r="AN695">
        <v>0</v>
      </c>
      <c r="AO695">
        <v>30</v>
      </c>
      <c r="AP695">
        <v>0</v>
      </c>
      <c r="AQ695" s="2">
        <f>IF((2*G695 + M695 -P695 + 3*W695 + 2*Z695+2*AD695 + AG695+2*AJ695 + 4*AM695) &gt;=8,1,0)</f>
        <v>1</v>
      </c>
    </row>
    <row r="696" spans="1:43" x14ac:dyDescent="0.25">
      <c r="A696" t="s">
        <v>27</v>
      </c>
      <c r="B696" s="1">
        <v>39319</v>
      </c>
      <c r="C696" s="7">
        <f t="shared" si="128"/>
        <v>2007</v>
      </c>
      <c r="D696">
        <v>96.8</v>
      </c>
      <c r="E696">
        <v>81.599999999999994</v>
      </c>
      <c r="F696">
        <v>89.4</v>
      </c>
      <c r="G696" s="2">
        <f t="shared" si="127"/>
        <v>1</v>
      </c>
      <c r="H696">
        <v>92.2</v>
      </c>
      <c r="I696">
        <v>80.8</v>
      </c>
      <c r="J696">
        <v>86.4</v>
      </c>
      <c r="K696">
        <v>45.8</v>
      </c>
      <c r="L696">
        <v>23.6</v>
      </c>
      <c r="M696" s="2">
        <f t="shared" si="129"/>
        <v>1</v>
      </c>
      <c r="N696">
        <v>0</v>
      </c>
      <c r="P696" s="2">
        <f t="shared" si="130"/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s="2">
        <f t="shared" si="131"/>
        <v>0</v>
      </c>
      <c r="X696">
        <v>24.2</v>
      </c>
      <c r="Z696" s="2">
        <f t="shared" si="132"/>
        <v>1</v>
      </c>
      <c r="AA696">
        <v>0.4</v>
      </c>
      <c r="AB696" s="2" t="str">
        <f>CHOOSE(MATCH(AA696,{0;11;80;111;161;191;241;281;341},1),"North","NorthEast","East","SouthEast","South","SouthWest","West","NorthWest","North")</f>
        <v>North</v>
      </c>
      <c r="AC696" s="5">
        <f>CHOOSE(MATCH(AB696,{"South";"SouthEast";"SouthWest";"North";"NorthEast";"East";"West";"NorthWest"},0),1,2,3,4,5,6,7,8)</f>
        <v>4</v>
      </c>
      <c r="AD696" s="2">
        <f t="shared" si="133"/>
        <v>1</v>
      </c>
      <c r="AE696">
        <v>1016.2</v>
      </c>
      <c r="AF696" s="4" t="s">
        <v>1169</v>
      </c>
      <c r="AG696" s="2">
        <f t="shared" si="134"/>
        <v>0</v>
      </c>
      <c r="AH696" t="s">
        <v>1229</v>
      </c>
      <c r="AI696" s="2">
        <f t="shared" si="135"/>
        <v>8</v>
      </c>
      <c r="AJ696" s="2">
        <f t="shared" si="136"/>
        <v>1</v>
      </c>
      <c r="AK696" s="3">
        <v>2620.0000000011642</v>
      </c>
      <c r="AM696" s="2">
        <v>1</v>
      </c>
      <c r="AN696">
        <v>400</v>
      </c>
      <c r="AO696">
        <v>0</v>
      </c>
      <c r="AP696">
        <v>0</v>
      </c>
      <c r="AQ696" s="2">
        <f>IF((2*G696 + M696 -P696 + 3*W696 + 2*Z696+2*AD696 + AG696+2*AJ696 + 4*AM696) &gt;=8,1,0)</f>
        <v>1</v>
      </c>
    </row>
    <row r="697" spans="1:43" x14ac:dyDescent="0.25">
      <c r="A697" t="s">
        <v>27</v>
      </c>
      <c r="B697" s="1">
        <v>39319</v>
      </c>
      <c r="C697" s="7">
        <f t="shared" si="128"/>
        <v>2007</v>
      </c>
      <c r="D697">
        <v>96.8</v>
      </c>
      <c r="E697">
        <v>81.599999999999994</v>
      </c>
      <c r="F697">
        <v>89.4</v>
      </c>
      <c r="G697" s="2">
        <f t="shared" si="127"/>
        <v>1</v>
      </c>
      <c r="H697">
        <v>92.2</v>
      </c>
      <c r="I697">
        <v>80.8</v>
      </c>
      <c r="J697">
        <v>86.4</v>
      </c>
      <c r="K697">
        <v>45.8</v>
      </c>
      <c r="L697">
        <v>23.6</v>
      </c>
      <c r="M697" s="2">
        <f t="shared" si="129"/>
        <v>1</v>
      </c>
      <c r="N697">
        <v>0</v>
      </c>
      <c r="P697" s="2">
        <f t="shared" si="130"/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s="2">
        <f t="shared" si="131"/>
        <v>0</v>
      </c>
      <c r="X697">
        <v>24.2</v>
      </c>
      <c r="Z697" s="2">
        <f t="shared" si="132"/>
        <v>1</v>
      </c>
      <c r="AA697">
        <v>0.4</v>
      </c>
      <c r="AB697" s="2" t="str">
        <f>CHOOSE(MATCH(AA697,{0;11;80;111;161;191;241;281;341},1),"North","NorthEast","East","SouthEast","South","SouthWest","West","NorthWest","North")</f>
        <v>North</v>
      </c>
      <c r="AC697" s="5">
        <f>CHOOSE(MATCH(AB697,{"South";"SouthEast";"SouthWest";"North";"NorthEast";"East";"West";"NorthWest"},0),1,2,3,4,5,6,7,8)</f>
        <v>4</v>
      </c>
      <c r="AD697" s="2">
        <f t="shared" si="133"/>
        <v>1</v>
      </c>
      <c r="AE697">
        <v>1016.2</v>
      </c>
      <c r="AF697" s="4" t="s">
        <v>1116</v>
      </c>
      <c r="AG697" s="2">
        <f t="shared" si="134"/>
        <v>1</v>
      </c>
      <c r="AH697" t="s">
        <v>1230</v>
      </c>
      <c r="AI697" s="2">
        <f t="shared" si="135"/>
        <v>8</v>
      </c>
      <c r="AJ697" s="2">
        <f t="shared" si="136"/>
        <v>1</v>
      </c>
      <c r="AK697" s="3">
        <v>2440.0000000011642</v>
      </c>
      <c r="AM697" s="2">
        <v>1</v>
      </c>
      <c r="AN697">
        <v>0</v>
      </c>
      <c r="AO697">
        <v>140</v>
      </c>
      <c r="AP697">
        <v>0</v>
      </c>
      <c r="AQ697" s="2">
        <f>IF((2*G697 + M697 -P697 + 3*W697 + 2*Z697+2*AD697 + AG697+2*AJ697 + 4*AM697) &gt;=8,1,0)</f>
        <v>1</v>
      </c>
    </row>
    <row r="698" spans="1:43" x14ac:dyDescent="0.25">
      <c r="A698" t="s">
        <v>27</v>
      </c>
      <c r="B698" s="1">
        <v>39319</v>
      </c>
      <c r="C698" s="7">
        <f t="shared" si="128"/>
        <v>2007</v>
      </c>
      <c r="D698">
        <v>96.8</v>
      </c>
      <c r="E698">
        <v>81.599999999999994</v>
      </c>
      <c r="F698">
        <v>89.4</v>
      </c>
      <c r="G698" s="2">
        <f t="shared" si="127"/>
        <v>1</v>
      </c>
      <c r="H698">
        <v>92.2</v>
      </c>
      <c r="I698">
        <v>80.8</v>
      </c>
      <c r="J698">
        <v>86.4</v>
      </c>
      <c r="K698">
        <v>45.8</v>
      </c>
      <c r="L698">
        <v>23.6</v>
      </c>
      <c r="M698" s="2">
        <f t="shared" si="129"/>
        <v>1</v>
      </c>
      <c r="N698">
        <v>0</v>
      </c>
      <c r="P698" s="2">
        <f t="shared" si="130"/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s="2">
        <f t="shared" si="131"/>
        <v>0</v>
      </c>
      <c r="X698">
        <v>24.2</v>
      </c>
      <c r="Z698" s="2">
        <f t="shared" si="132"/>
        <v>1</v>
      </c>
      <c r="AA698">
        <v>0.4</v>
      </c>
      <c r="AB698" s="2" t="str">
        <f>CHOOSE(MATCH(AA698,{0;11;80;111;161;191;241;281;341},1),"North","NorthEast","East","SouthEast","South","SouthWest","West","NorthWest","North")</f>
        <v>North</v>
      </c>
      <c r="AC698" s="5">
        <f>CHOOSE(MATCH(AB698,{"South";"SouthEast";"SouthWest";"North";"NorthEast";"East";"West";"NorthWest"},0),1,2,3,4,5,6,7,8)</f>
        <v>4</v>
      </c>
      <c r="AD698" s="2">
        <f t="shared" si="133"/>
        <v>1</v>
      </c>
      <c r="AE698">
        <v>1016.2</v>
      </c>
      <c r="AF698" s="4" t="s">
        <v>1231</v>
      </c>
      <c r="AG698" s="2">
        <f t="shared" si="134"/>
        <v>1</v>
      </c>
      <c r="AH698" t="s">
        <v>1232</v>
      </c>
      <c r="AI698" s="2">
        <f t="shared" si="135"/>
        <v>8</v>
      </c>
      <c r="AJ698" s="2">
        <f t="shared" si="136"/>
        <v>1</v>
      </c>
      <c r="AK698" s="3">
        <v>570.99999999627471</v>
      </c>
      <c r="AM698" s="2">
        <v>1</v>
      </c>
      <c r="AN698">
        <v>0</v>
      </c>
      <c r="AO698">
        <v>3</v>
      </c>
      <c r="AP698">
        <v>0</v>
      </c>
      <c r="AQ698" s="2">
        <f>IF((2*G698 + M698 -P698 + 3*W698 + 2*Z698+2*AD698 + AG698+2*AJ698 + 4*AM698) &gt;=8,1,0)</f>
        <v>1</v>
      </c>
    </row>
    <row r="699" spans="1:43" x14ac:dyDescent="0.25">
      <c r="A699" t="s">
        <v>27</v>
      </c>
      <c r="B699" s="1">
        <v>39319</v>
      </c>
      <c r="C699" s="7">
        <f t="shared" si="128"/>
        <v>2007</v>
      </c>
      <c r="D699">
        <v>96.8</v>
      </c>
      <c r="E699">
        <v>81.599999999999994</v>
      </c>
      <c r="F699">
        <v>89.4</v>
      </c>
      <c r="G699" s="2">
        <f t="shared" si="127"/>
        <v>1</v>
      </c>
      <c r="H699">
        <v>92.2</v>
      </c>
      <c r="I699">
        <v>80.8</v>
      </c>
      <c r="J699">
        <v>86.4</v>
      </c>
      <c r="K699">
        <v>45.8</v>
      </c>
      <c r="L699">
        <v>23.6</v>
      </c>
      <c r="M699" s="2">
        <f t="shared" si="129"/>
        <v>1</v>
      </c>
      <c r="N699">
        <v>0</v>
      </c>
      <c r="P699" s="2">
        <f t="shared" si="130"/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s="2">
        <f t="shared" si="131"/>
        <v>0</v>
      </c>
      <c r="X699">
        <v>24.2</v>
      </c>
      <c r="Z699" s="2">
        <f t="shared" si="132"/>
        <v>1</v>
      </c>
      <c r="AA699">
        <v>0.4</v>
      </c>
      <c r="AB699" s="2" t="str">
        <f>CHOOSE(MATCH(AA699,{0;11;80;111;161;191;241;281;341},1),"North","NorthEast","East","SouthEast","South","SouthWest","West","NorthWest","North")</f>
        <v>North</v>
      </c>
      <c r="AC699" s="5">
        <f>CHOOSE(MATCH(AB699,{"South";"SouthEast";"SouthWest";"North";"NorthEast";"East";"West";"NorthWest"},0),1,2,3,4,5,6,7,8)</f>
        <v>4</v>
      </c>
      <c r="AD699" s="2">
        <f t="shared" si="133"/>
        <v>1</v>
      </c>
      <c r="AE699">
        <v>1016.2</v>
      </c>
      <c r="AF699" s="4" t="s">
        <v>1233</v>
      </c>
      <c r="AG699" s="2">
        <f t="shared" si="134"/>
        <v>1</v>
      </c>
      <c r="AH699" t="s">
        <v>1234</v>
      </c>
      <c r="AI699" s="2">
        <f t="shared" si="135"/>
        <v>8</v>
      </c>
      <c r="AJ699" s="2">
        <f t="shared" si="136"/>
        <v>1</v>
      </c>
      <c r="AK699" s="3">
        <v>5888.0000000086147</v>
      </c>
      <c r="AM699" s="2">
        <v>1</v>
      </c>
      <c r="AN699">
        <v>3000</v>
      </c>
      <c r="AO699">
        <v>0</v>
      </c>
      <c r="AP699">
        <v>0</v>
      </c>
      <c r="AQ699" s="2">
        <f>IF((2*G699 + M699 -P699 + 3*W699 + 2*Z699+2*AD699 + AG699+2*AJ699 + 4*AM699) &gt;=8,1,0)</f>
        <v>1</v>
      </c>
    </row>
    <row r="700" spans="1:43" x14ac:dyDescent="0.25">
      <c r="A700" t="s">
        <v>27</v>
      </c>
      <c r="B700" s="1">
        <v>39319</v>
      </c>
      <c r="C700" s="7">
        <f t="shared" si="128"/>
        <v>2007</v>
      </c>
      <c r="D700">
        <v>96.8</v>
      </c>
      <c r="E700">
        <v>81.599999999999994</v>
      </c>
      <c r="F700">
        <v>89.4</v>
      </c>
      <c r="G700" s="2">
        <f t="shared" si="127"/>
        <v>1</v>
      </c>
      <c r="H700">
        <v>92.2</v>
      </c>
      <c r="I700">
        <v>80.8</v>
      </c>
      <c r="J700">
        <v>86.4</v>
      </c>
      <c r="K700">
        <v>45.8</v>
      </c>
      <c r="L700">
        <v>23.6</v>
      </c>
      <c r="M700" s="2">
        <f t="shared" si="129"/>
        <v>1</v>
      </c>
      <c r="N700">
        <v>0</v>
      </c>
      <c r="P700" s="2">
        <f t="shared" si="130"/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s="2">
        <f t="shared" si="131"/>
        <v>0</v>
      </c>
      <c r="X700">
        <v>24.2</v>
      </c>
      <c r="Z700" s="2">
        <f t="shared" si="132"/>
        <v>1</v>
      </c>
      <c r="AA700">
        <v>0.4</v>
      </c>
      <c r="AB700" s="2" t="str">
        <f>CHOOSE(MATCH(AA700,{0;11;80;111;161;191;241;281;341},1),"North","NorthEast","East","SouthEast","South","SouthWest","West","NorthWest","North")</f>
        <v>North</v>
      </c>
      <c r="AC700" s="5">
        <f>CHOOSE(MATCH(AB700,{"South";"SouthEast";"SouthWest";"North";"NorthEast";"East";"West";"NorthWest"},0),1,2,3,4,5,6,7,8)</f>
        <v>4</v>
      </c>
      <c r="AD700" s="2">
        <f t="shared" si="133"/>
        <v>1</v>
      </c>
      <c r="AE700">
        <v>1016.2</v>
      </c>
      <c r="AF700" s="4" t="s">
        <v>1235</v>
      </c>
      <c r="AG700" s="2">
        <f t="shared" si="134"/>
        <v>1</v>
      </c>
      <c r="AH700" t="s">
        <v>1236</v>
      </c>
      <c r="AI700" s="2">
        <f t="shared" si="135"/>
        <v>8</v>
      </c>
      <c r="AJ700" s="2">
        <f t="shared" si="136"/>
        <v>1</v>
      </c>
      <c r="AK700" s="3">
        <v>4600.9999999939464</v>
      </c>
      <c r="AM700" s="2">
        <v>1</v>
      </c>
      <c r="AN700">
        <v>40</v>
      </c>
      <c r="AO700">
        <v>0</v>
      </c>
      <c r="AP700">
        <v>0</v>
      </c>
      <c r="AQ700" s="2">
        <f>IF((2*G700 + M700 -P700 + 3*W700 + 2*Z700+2*AD700 + AG700+2*AJ700 + 4*AM700) &gt;=8,1,0)</f>
        <v>1</v>
      </c>
    </row>
    <row r="701" spans="1:43" x14ac:dyDescent="0.25">
      <c r="A701" t="s">
        <v>27</v>
      </c>
      <c r="B701" s="1">
        <v>39331</v>
      </c>
      <c r="C701" s="7">
        <f t="shared" si="128"/>
        <v>2007</v>
      </c>
      <c r="D701">
        <v>82.5</v>
      </c>
      <c r="E701">
        <v>69.400000000000006</v>
      </c>
      <c r="F701">
        <v>75.599999999999994</v>
      </c>
      <c r="G701" s="2">
        <f t="shared" si="127"/>
        <v>1</v>
      </c>
      <c r="H701">
        <v>80.2</v>
      </c>
      <c r="I701">
        <v>69.400000000000006</v>
      </c>
      <c r="J701">
        <v>75.3</v>
      </c>
      <c r="K701">
        <v>44.4</v>
      </c>
      <c r="L701">
        <v>35</v>
      </c>
      <c r="M701" s="2">
        <f t="shared" si="129"/>
        <v>1</v>
      </c>
      <c r="N701">
        <v>0</v>
      </c>
      <c r="P701" s="2">
        <f t="shared" si="130"/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s="2">
        <f t="shared" si="131"/>
        <v>0</v>
      </c>
      <c r="X701">
        <v>14.6</v>
      </c>
      <c r="Z701" s="2">
        <f t="shared" si="132"/>
        <v>0</v>
      </c>
      <c r="AA701">
        <v>284.60000000000002</v>
      </c>
      <c r="AB701" s="2" t="str">
        <f>CHOOSE(MATCH(AA701,{0;11;80;111;161;191;241;281;341},1),"North","NorthEast","East","SouthEast","South","SouthWest","West","NorthWest","North")</f>
        <v>NorthWest</v>
      </c>
      <c r="AC701" s="5">
        <f>CHOOSE(MATCH(AB701,{"South";"SouthEast";"SouthWest";"North";"NorthEast";"East";"West";"NorthWest"},0),1,2,3,4,5,6,7,8)</f>
        <v>8</v>
      </c>
      <c r="AD701" s="2">
        <f t="shared" si="133"/>
        <v>1</v>
      </c>
      <c r="AE701">
        <v>1011.8</v>
      </c>
      <c r="AF701" s="4" t="s">
        <v>1237</v>
      </c>
      <c r="AG701" s="2">
        <f t="shared" si="134"/>
        <v>1</v>
      </c>
      <c r="AH701" t="s">
        <v>1238</v>
      </c>
      <c r="AI701" s="2">
        <f t="shared" si="135"/>
        <v>9</v>
      </c>
      <c r="AJ701" s="2">
        <f t="shared" si="136"/>
        <v>0</v>
      </c>
      <c r="AK701" s="3">
        <v>1932.000000000698</v>
      </c>
      <c r="AM701" s="2">
        <v>1</v>
      </c>
      <c r="AN701">
        <v>0</v>
      </c>
      <c r="AO701">
        <v>30</v>
      </c>
      <c r="AP701">
        <v>0</v>
      </c>
      <c r="AQ701" s="2">
        <f>IF((2*G701 + M701 -P701 + 3*W701 + 2*Z701+2*AD701 + AG701+2*AJ701 + 4*AM701) &gt;=8,1,0)</f>
        <v>1</v>
      </c>
    </row>
    <row r="702" spans="1:43" x14ac:dyDescent="0.25">
      <c r="A702" t="s">
        <v>27</v>
      </c>
      <c r="B702" s="1">
        <v>39335</v>
      </c>
      <c r="C702" s="7">
        <f t="shared" si="128"/>
        <v>2007</v>
      </c>
      <c r="D702">
        <v>82.2</v>
      </c>
      <c r="E702">
        <v>58</v>
      </c>
      <c r="F702">
        <v>70.8</v>
      </c>
      <c r="G702" s="2">
        <f t="shared" si="127"/>
        <v>0</v>
      </c>
      <c r="H702">
        <v>81.099999999999994</v>
      </c>
      <c r="I702">
        <v>58</v>
      </c>
      <c r="J702">
        <v>70.7</v>
      </c>
      <c r="K702">
        <v>51.6</v>
      </c>
      <c r="L702">
        <v>53</v>
      </c>
      <c r="M702" s="2">
        <f t="shared" si="129"/>
        <v>0</v>
      </c>
      <c r="N702">
        <v>0</v>
      </c>
      <c r="P702" s="2">
        <f t="shared" si="130"/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s="2">
        <f t="shared" si="131"/>
        <v>0</v>
      </c>
      <c r="X702">
        <v>10.3</v>
      </c>
      <c r="Z702" s="2">
        <f t="shared" si="132"/>
        <v>0</v>
      </c>
      <c r="AA702">
        <v>154.30000000000001</v>
      </c>
      <c r="AB702" s="2" t="str">
        <f>CHOOSE(MATCH(AA702,{0;11;80;111;161;191;241;281;341},1),"North","NorthEast","East","SouthEast","South","SouthWest","West","NorthWest","North")</f>
        <v>SouthEast</v>
      </c>
      <c r="AC702" s="5">
        <f>CHOOSE(MATCH(AB702,{"South";"SouthEast";"SouthWest";"North";"NorthEast";"East";"West";"NorthWest"},0),1,2,3,4,5,6,7,8)</f>
        <v>2</v>
      </c>
      <c r="AD702" s="2">
        <f t="shared" si="133"/>
        <v>0</v>
      </c>
      <c r="AE702">
        <v>1014.7</v>
      </c>
      <c r="AF702" s="4" t="s">
        <v>1239</v>
      </c>
      <c r="AG702" s="2">
        <f t="shared" si="134"/>
        <v>1</v>
      </c>
      <c r="AH702" t="s">
        <v>1240</v>
      </c>
      <c r="AI702" s="2">
        <f t="shared" si="135"/>
        <v>9</v>
      </c>
      <c r="AJ702" s="2">
        <f t="shared" si="136"/>
        <v>0</v>
      </c>
      <c r="AK702" s="3">
        <v>493.00000000395812</v>
      </c>
      <c r="AM702" s="2">
        <v>1</v>
      </c>
      <c r="AN702">
        <v>0</v>
      </c>
      <c r="AO702">
        <v>2</v>
      </c>
      <c r="AP702">
        <v>0</v>
      </c>
      <c r="AQ702" s="2">
        <f>IF((2*G702 + M702 -P702 + 3*W702 + 2*Z702+2*AD702 + AG702+2*AJ702 + 4*AM702) &gt;=8,1,0)</f>
        <v>0</v>
      </c>
    </row>
    <row r="703" spans="1:43" x14ac:dyDescent="0.25">
      <c r="A703" t="s">
        <v>27</v>
      </c>
      <c r="B703" s="1">
        <v>39335</v>
      </c>
      <c r="C703" s="7">
        <f t="shared" si="128"/>
        <v>2007</v>
      </c>
      <c r="D703">
        <v>82.2</v>
      </c>
      <c r="E703">
        <v>58</v>
      </c>
      <c r="F703">
        <v>70.8</v>
      </c>
      <c r="G703" s="2">
        <f t="shared" si="127"/>
        <v>0</v>
      </c>
      <c r="H703">
        <v>81.099999999999994</v>
      </c>
      <c r="I703">
        <v>58</v>
      </c>
      <c r="J703">
        <v>70.7</v>
      </c>
      <c r="K703">
        <v>51.6</v>
      </c>
      <c r="L703">
        <v>53</v>
      </c>
      <c r="M703" s="2">
        <f t="shared" si="129"/>
        <v>0</v>
      </c>
      <c r="N703">
        <v>0</v>
      </c>
      <c r="P703" s="2">
        <f t="shared" si="130"/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s="2">
        <f t="shared" si="131"/>
        <v>0</v>
      </c>
      <c r="X703">
        <v>10.3</v>
      </c>
      <c r="Z703" s="2">
        <f t="shared" si="132"/>
        <v>0</v>
      </c>
      <c r="AA703">
        <v>154.30000000000001</v>
      </c>
      <c r="AB703" s="2" t="str">
        <f>CHOOSE(MATCH(AA703,{0;11;80;111;161;191;241;281;341},1),"North","NorthEast","East","SouthEast","South","SouthWest","West","NorthWest","North")</f>
        <v>SouthEast</v>
      </c>
      <c r="AC703" s="5">
        <f>CHOOSE(MATCH(AB703,{"South";"SouthEast";"SouthWest";"North";"NorthEast";"East";"West";"NorthWest"},0),1,2,3,4,5,6,7,8)</f>
        <v>2</v>
      </c>
      <c r="AD703" s="2">
        <f t="shared" si="133"/>
        <v>0</v>
      </c>
      <c r="AE703">
        <v>1014.7</v>
      </c>
      <c r="AF703" s="4" t="s">
        <v>1241</v>
      </c>
      <c r="AG703" s="2">
        <f t="shared" si="134"/>
        <v>1</v>
      </c>
      <c r="AH703" t="s">
        <v>1242</v>
      </c>
      <c r="AI703" s="2">
        <f t="shared" si="135"/>
        <v>9</v>
      </c>
      <c r="AJ703" s="2">
        <f t="shared" si="136"/>
        <v>0</v>
      </c>
      <c r="AK703" s="3">
        <v>1641.99999999837</v>
      </c>
      <c r="AM703" s="2">
        <v>1</v>
      </c>
      <c r="AN703">
        <v>0</v>
      </c>
      <c r="AO703">
        <v>25</v>
      </c>
      <c r="AP703">
        <v>0</v>
      </c>
      <c r="AQ703" s="2">
        <f>IF((2*G703 + M703 -P703 + 3*W703 + 2*Z703+2*AD703 + AG703+2*AJ703 + 4*AM703) &gt;=8,1,0)</f>
        <v>0</v>
      </c>
    </row>
    <row r="704" spans="1:43" x14ac:dyDescent="0.25">
      <c r="A704" t="s">
        <v>27</v>
      </c>
      <c r="B704" s="1">
        <v>39337</v>
      </c>
      <c r="C704" s="7">
        <f t="shared" si="128"/>
        <v>2007</v>
      </c>
      <c r="D704">
        <v>85.4</v>
      </c>
      <c r="E704">
        <v>69.599999999999994</v>
      </c>
      <c r="F704">
        <v>76.099999999999994</v>
      </c>
      <c r="G704" s="2">
        <f t="shared" si="127"/>
        <v>1</v>
      </c>
      <c r="H704">
        <v>85.4</v>
      </c>
      <c r="I704">
        <v>69.599999999999994</v>
      </c>
      <c r="J704">
        <v>76.2</v>
      </c>
      <c r="K704">
        <v>57.5</v>
      </c>
      <c r="L704">
        <v>53.2</v>
      </c>
      <c r="M704" s="2">
        <f t="shared" si="129"/>
        <v>0</v>
      </c>
      <c r="N704">
        <v>0</v>
      </c>
      <c r="P704" s="2">
        <f t="shared" si="130"/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s="2">
        <f t="shared" si="131"/>
        <v>0</v>
      </c>
      <c r="X704">
        <v>13.3</v>
      </c>
      <c r="Z704" s="2">
        <f t="shared" si="132"/>
        <v>0</v>
      </c>
      <c r="AA704">
        <v>66.2</v>
      </c>
      <c r="AB704" s="2" t="str">
        <f>CHOOSE(MATCH(AA704,{0;11;80;111;161;191;241;281;341},1),"North","NorthEast","East","SouthEast","South","SouthWest","West","NorthWest","North")</f>
        <v>NorthEast</v>
      </c>
      <c r="AC704" s="5">
        <f>CHOOSE(MATCH(AB704,{"South";"SouthEast";"SouthWest";"North";"NorthEast";"East";"West";"NorthWest"},0),1,2,3,4,5,6,7,8)</f>
        <v>5</v>
      </c>
      <c r="AD704" s="2">
        <f t="shared" si="133"/>
        <v>1</v>
      </c>
      <c r="AE704">
        <v>1012.6</v>
      </c>
      <c r="AF704" s="4" t="s">
        <v>1243</v>
      </c>
      <c r="AG704" s="2">
        <f t="shared" si="134"/>
        <v>0</v>
      </c>
      <c r="AH704" t="s">
        <v>1244</v>
      </c>
      <c r="AI704" s="2">
        <f t="shared" si="135"/>
        <v>9</v>
      </c>
      <c r="AJ704" s="2">
        <f t="shared" si="136"/>
        <v>0</v>
      </c>
      <c r="AK704" s="3">
        <v>663.00000000279397</v>
      </c>
      <c r="AM704" s="2">
        <v>1</v>
      </c>
      <c r="AN704">
        <v>0</v>
      </c>
      <c r="AO704">
        <v>5</v>
      </c>
      <c r="AP704">
        <v>0</v>
      </c>
      <c r="AQ704" s="2">
        <f>IF((2*G704 + M704 -P704 + 3*W704 + 2*Z704+2*AD704 + AG704+2*AJ704 + 4*AM704) &gt;=8,1,0)</f>
        <v>0</v>
      </c>
    </row>
    <row r="705" spans="1:43" x14ac:dyDescent="0.25">
      <c r="A705" t="s">
        <v>27</v>
      </c>
      <c r="B705" s="1">
        <v>39341</v>
      </c>
      <c r="C705" s="7">
        <f t="shared" si="128"/>
        <v>2007</v>
      </c>
      <c r="D705">
        <v>81.8</v>
      </c>
      <c r="E705">
        <v>63.6</v>
      </c>
      <c r="F705">
        <v>74.099999999999994</v>
      </c>
      <c r="G705" s="2">
        <f t="shared" si="127"/>
        <v>1</v>
      </c>
      <c r="H705">
        <v>81</v>
      </c>
      <c r="I705">
        <v>63.6</v>
      </c>
      <c r="J705">
        <v>74</v>
      </c>
      <c r="K705">
        <v>52.3</v>
      </c>
      <c r="L705">
        <v>47.8</v>
      </c>
      <c r="M705" s="2">
        <f t="shared" si="129"/>
        <v>1</v>
      </c>
      <c r="N705">
        <v>0</v>
      </c>
      <c r="P705" s="2">
        <f t="shared" si="130"/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s="2">
        <f t="shared" si="131"/>
        <v>0</v>
      </c>
      <c r="X705">
        <v>16.2</v>
      </c>
      <c r="Z705" s="2">
        <f t="shared" si="132"/>
        <v>1</v>
      </c>
      <c r="AA705">
        <v>5</v>
      </c>
      <c r="AB705" s="2" t="str">
        <f>CHOOSE(MATCH(AA705,{0;11;80;111;161;191;241;281;341},1),"North","NorthEast","East","SouthEast","South","SouthWest","West","NorthWest","North")</f>
        <v>North</v>
      </c>
      <c r="AC705" s="5">
        <f>CHOOSE(MATCH(AB705,{"South";"SouthEast";"SouthWest";"North";"NorthEast";"East";"West";"NorthWest"},0),1,2,3,4,5,6,7,8)</f>
        <v>4</v>
      </c>
      <c r="AD705" s="2">
        <f t="shared" si="133"/>
        <v>1</v>
      </c>
      <c r="AE705">
        <v>1019</v>
      </c>
      <c r="AF705" s="4" t="s">
        <v>1245</v>
      </c>
      <c r="AG705" s="2">
        <f t="shared" si="134"/>
        <v>0</v>
      </c>
      <c r="AH705" t="s">
        <v>1246</v>
      </c>
      <c r="AI705" s="2">
        <f t="shared" si="135"/>
        <v>9</v>
      </c>
      <c r="AJ705" s="2">
        <f t="shared" si="136"/>
        <v>0</v>
      </c>
      <c r="AK705" s="3">
        <v>10.00000000116415</v>
      </c>
      <c r="AM705" s="2">
        <v>0</v>
      </c>
      <c r="AN705">
        <v>0</v>
      </c>
      <c r="AO705">
        <v>0</v>
      </c>
      <c r="AP705">
        <v>1</v>
      </c>
      <c r="AQ705" s="2">
        <f>IF((2*G705 + M705 -P705 + 3*W705 + 2*Z705+2*AD705 + AG705+2*AJ705 + 4*AM705) &gt;=8,1,0)</f>
        <v>0</v>
      </c>
    </row>
    <row r="706" spans="1:43" x14ac:dyDescent="0.25">
      <c r="A706" t="s">
        <v>27</v>
      </c>
      <c r="B706" s="1">
        <v>39346</v>
      </c>
      <c r="C706" s="7">
        <f t="shared" si="128"/>
        <v>2007</v>
      </c>
      <c r="D706">
        <v>74</v>
      </c>
      <c r="E706">
        <v>66.2</v>
      </c>
      <c r="F706">
        <v>70.599999999999994</v>
      </c>
      <c r="G706" s="2">
        <f t="shared" ref="G706:G769" si="137">IF(F706&lt;=73.6,0,1)</f>
        <v>0</v>
      </c>
      <c r="H706">
        <v>74</v>
      </c>
      <c r="I706">
        <v>66.2</v>
      </c>
      <c r="J706">
        <v>70.599999999999994</v>
      </c>
      <c r="K706">
        <v>58</v>
      </c>
      <c r="L706">
        <v>64.7</v>
      </c>
      <c r="M706" s="2">
        <f t="shared" si="129"/>
        <v>0</v>
      </c>
      <c r="N706">
        <v>0</v>
      </c>
      <c r="P706" s="2">
        <f t="shared" si="130"/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s="2">
        <f t="shared" si="131"/>
        <v>0</v>
      </c>
      <c r="X706">
        <v>22.4</v>
      </c>
      <c r="Z706" s="2">
        <f t="shared" si="132"/>
        <v>1</v>
      </c>
      <c r="AA706">
        <v>346.9</v>
      </c>
      <c r="AB706" s="2" t="str">
        <f>CHOOSE(MATCH(AA706,{0;11;80;111;161;191;241;281;341},1),"North","NorthEast","East","SouthEast","South","SouthWest","West","NorthWest","North")</f>
        <v>North</v>
      </c>
      <c r="AC706" s="5">
        <f>CHOOSE(MATCH(AB706,{"South";"SouthEast";"SouthWest";"North";"NorthEast";"East";"West";"NorthWest"},0),1,2,3,4,5,6,7,8)</f>
        <v>4</v>
      </c>
      <c r="AD706" s="2">
        <f t="shared" si="133"/>
        <v>1</v>
      </c>
      <c r="AE706">
        <v>1017.5</v>
      </c>
      <c r="AF706" s="4" t="s">
        <v>1247</v>
      </c>
      <c r="AG706" s="2">
        <f t="shared" si="134"/>
        <v>1</v>
      </c>
      <c r="AH706" t="s">
        <v>1248</v>
      </c>
      <c r="AI706" s="2">
        <f t="shared" si="135"/>
        <v>9</v>
      </c>
      <c r="AJ706" s="2">
        <f t="shared" si="136"/>
        <v>0</v>
      </c>
      <c r="AK706" s="3">
        <v>66.999999998370185</v>
      </c>
      <c r="AM706" s="2">
        <v>0</v>
      </c>
      <c r="AN706">
        <v>0</v>
      </c>
      <c r="AO706">
        <v>5</v>
      </c>
      <c r="AP706">
        <v>0</v>
      </c>
      <c r="AQ706" s="2">
        <f>IF((2*G706 + M706 -P706 + 3*W706 + 2*Z706+2*AD706 + AG706+2*AJ706 + 4*AM706) &gt;=8,1,0)</f>
        <v>0</v>
      </c>
    </row>
    <row r="707" spans="1:43" x14ac:dyDescent="0.25">
      <c r="A707" t="s">
        <v>27</v>
      </c>
      <c r="B707" s="1">
        <v>39346</v>
      </c>
      <c r="C707" s="7">
        <f t="shared" si="128"/>
        <v>2007</v>
      </c>
      <c r="D707">
        <v>74</v>
      </c>
      <c r="E707">
        <v>66.2</v>
      </c>
      <c r="F707">
        <v>70.599999999999994</v>
      </c>
      <c r="G707" s="2">
        <f t="shared" si="137"/>
        <v>0</v>
      </c>
      <c r="H707">
        <v>74</v>
      </c>
      <c r="I707">
        <v>66.2</v>
      </c>
      <c r="J707">
        <v>70.599999999999994</v>
      </c>
      <c r="K707">
        <v>58</v>
      </c>
      <c r="L707">
        <v>64.7</v>
      </c>
      <c r="M707" s="2">
        <f t="shared" si="129"/>
        <v>0</v>
      </c>
      <c r="N707">
        <v>0</v>
      </c>
      <c r="P707" s="2">
        <f t="shared" si="130"/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s="2">
        <f t="shared" si="131"/>
        <v>0</v>
      </c>
      <c r="X707">
        <v>22.4</v>
      </c>
      <c r="Z707" s="2">
        <f t="shared" si="132"/>
        <v>1</v>
      </c>
      <c r="AA707">
        <v>346.9</v>
      </c>
      <c r="AB707" s="2" t="str">
        <f>CHOOSE(MATCH(AA707,{0;11;80;111;161;191;241;281;341},1),"North","NorthEast","East","SouthEast","South","SouthWest","West","NorthWest","North")</f>
        <v>North</v>
      </c>
      <c r="AC707" s="5">
        <f>CHOOSE(MATCH(AB707,{"South";"SouthEast";"SouthWest";"North";"NorthEast";"East";"West";"NorthWest"},0),1,2,3,4,5,6,7,8)</f>
        <v>4</v>
      </c>
      <c r="AD707" s="2">
        <f t="shared" si="133"/>
        <v>1</v>
      </c>
      <c r="AE707">
        <v>1017.5</v>
      </c>
      <c r="AF707" s="4" t="s">
        <v>1249</v>
      </c>
      <c r="AG707" s="2">
        <f t="shared" si="134"/>
        <v>1</v>
      </c>
      <c r="AH707" t="s">
        <v>1250</v>
      </c>
      <c r="AI707" s="2">
        <f t="shared" si="135"/>
        <v>9</v>
      </c>
      <c r="AJ707" s="2">
        <f t="shared" si="136"/>
        <v>0</v>
      </c>
      <c r="AK707" s="3">
        <v>180.99999999278231</v>
      </c>
      <c r="AM707" s="2">
        <v>0</v>
      </c>
      <c r="AN707">
        <v>0</v>
      </c>
      <c r="AO707">
        <v>3</v>
      </c>
      <c r="AP707">
        <v>0</v>
      </c>
      <c r="AQ707" s="2">
        <f>IF((2*G707 + M707 -P707 + 3*W707 + 2*Z707+2*AD707 + AG707+2*AJ707 + 4*AM707) &gt;=8,1,0)</f>
        <v>0</v>
      </c>
    </row>
    <row r="708" spans="1:43" x14ac:dyDescent="0.25">
      <c r="A708" t="s">
        <v>27</v>
      </c>
      <c r="B708" s="1">
        <v>39347</v>
      </c>
      <c r="C708" s="7">
        <f t="shared" si="128"/>
        <v>2007</v>
      </c>
      <c r="D708">
        <v>74</v>
      </c>
      <c r="E708">
        <v>63.4</v>
      </c>
      <c r="F708">
        <v>67.7</v>
      </c>
      <c r="G708" s="2">
        <f t="shared" si="137"/>
        <v>0</v>
      </c>
      <c r="H708">
        <v>74</v>
      </c>
      <c r="I708">
        <v>63.4</v>
      </c>
      <c r="J708">
        <v>67.7</v>
      </c>
      <c r="K708">
        <v>48.4</v>
      </c>
      <c r="L708">
        <v>51</v>
      </c>
      <c r="M708" s="2">
        <f t="shared" si="129"/>
        <v>0</v>
      </c>
      <c r="N708">
        <v>0</v>
      </c>
      <c r="P708" s="2">
        <f t="shared" si="130"/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s="2">
        <f t="shared" si="131"/>
        <v>0</v>
      </c>
      <c r="X708">
        <v>23.6</v>
      </c>
      <c r="Z708" s="2">
        <f t="shared" si="132"/>
        <v>1</v>
      </c>
      <c r="AA708">
        <v>354.1</v>
      </c>
      <c r="AB708" s="2" t="str">
        <f>CHOOSE(MATCH(AA708,{0;11;80;111;161;191;241;281;341},1),"North","NorthEast","East","SouthEast","South","SouthWest","West","NorthWest","North")</f>
        <v>North</v>
      </c>
      <c r="AC708" s="5">
        <f>CHOOSE(MATCH(AB708,{"South";"SouthEast";"SouthWest";"North";"NorthEast";"East";"West";"NorthWest"},0),1,2,3,4,5,6,7,8)</f>
        <v>4</v>
      </c>
      <c r="AD708" s="2">
        <f t="shared" si="133"/>
        <v>1</v>
      </c>
      <c r="AE708">
        <v>1020.5</v>
      </c>
      <c r="AF708" s="4" t="s">
        <v>1251</v>
      </c>
      <c r="AG708" s="2">
        <f t="shared" si="134"/>
        <v>0</v>
      </c>
      <c r="AH708" t="s">
        <v>1252</v>
      </c>
      <c r="AI708" s="2">
        <f t="shared" si="135"/>
        <v>9</v>
      </c>
      <c r="AJ708" s="2">
        <f t="shared" si="136"/>
        <v>0</v>
      </c>
      <c r="AK708" s="3">
        <v>88.000000003958121</v>
      </c>
      <c r="AM708" s="2">
        <v>0</v>
      </c>
      <c r="AN708">
        <v>0.5</v>
      </c>
      <c r="AO708">
        <v>0</v>
      </c>
      <c r="AP708">
        <v>0</v>
      </c>
      <c r="AQ708" s="2">
        <f>IF((2*G708 + M708 -P708 + 3*W708 + 2*Z708+2*AD708 + AG708+2*AJ708 + 4*AM708) &gt;=8,1,0)</f>
        <v>0</v>
      </c>
    </row>
    <row r="709" spans="1:43" x14ac:dyDescent="0.25">
      <c r="A709" t="s">
        <v>27</v>
      </c>
      <c r="B709" s="1">
        <v>39347</v>
      </c>
      <c r="C709" s="7">
        <f t="shared" si="128"/>
        <v>2007</v>
      </c>
      <c r="D709">
        <v>74</v>
      </c>
      <c r="E709">
        <v>63.4</v>
      </c>
      <c r="F709">
        <v>67.7</v>
      </c>
      <c r="G709" s="2">
        <f t="shared" si="137"/>
        <v>0</v>
      </c>
      <c r="H709">
        <v>74</v>
      </c>
      <c r="I709">
        <v>63.4</v>
      </c>
      <c r="J709">
        <v>67.7</v>
      </c>
      <c r="K709">
        <v>48.4</v>
      </c>
      <c r="L709">
        <v>51</v>
      </c>
      <c r="M709" s="2">
        <f t="shared" si="129"/>
        <v>0</v>
      </c>
      <c r="N709">
        <v>0</v>
      </c>
      <c r="P709" s="2">
        <f t="shared" si="130"/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s="2">
        <f t="shared" si="131"/>
        <v>0</v>
      </c>
      <c r="X709">
        <v>23.6</v>
      </c>
      <c r="Z709" s="2">
        <f t="shared" si="132"/>
        <v>1</v>
      </c>
      <c r="AA709">
        <v>354.1</v>
      </c>
      <c r="AB709" s="2" t="str">
        <f>CHOOSE(MATCH(AA709,{0;11;80;111;161;191;241;281;341},1),"North","NorthEast","East","SouthEast","South","SouthWest","West","NorthWest","North")</f>
        <v>North</v>
      </c>
      <c r="AC709" s="5">
        <f>CHOOSE(MATCH(AB709,{"South";"SouthEast";"SouthWest";"North";"NorthEast";"East";"West";"NorthWest"},0),1,2,3,4,5,6,7,8)</f>
        <v>4</v>
      </c>
      <c r="AD709" s="2">
        <f t="shared" si="133"/>
        <v>1</v>
      </c>
      <c r="AE709">
        <v>1020.5</v>
      </c>
      <c r="AF709" s="4" t="s">
        <v>1253</v>
      </c>
      <c r="AG709" s="2">
        <f t="shared" si="134"/>
        <v>1</v>
      </c>
      <c r="AH709" t="s">
        <v>1254</v>
      </c>
      <c r="AI709" s="2">
        <f t="shared" si="135"/>
        <v>9</v>
      </c>
      <c r="AJ709" s="2">
        <f t="shared" si="136"/>
        <v>0</v>
      </c>
      <c r="AK709" s="3">
        <v>177.00000000069849</v>
      </c>
      <c r="AM709" s="2">
        <v>0</v>
      </c>
      <c r="AN709">
        <v>0</v>
      </c>
      <c r="AO709">
        <v>2</v>
      </c>
      <c r="AP709">
        <v>0</v>
      </c>
      <c r="AQ709" s="2">
        <f>IF((2*G709 + M709 -P709 + 3*W709 + 2*Z709+2*AD709 + AG709+2*AJ709 + 4*AM709) &gt;=8,1,0)</f>
        <v>0</v>
      </c>
    </row>
    <row r="710" spans="1:43" x14ac:dyDescent="0.25">
      <c r="A710" t="s">
        <v>27</v>
      </c>
      <c r="B710" s="1">
        <v>39348</v>
      </c>
      <c r="C710" s="7">
        <f t="shared" si="128"/>
        <v>2007</v>
      </c>
      <c r="D710">
        <v>73.599999999999994</v>
      </c>
      <c r="E710">
        <v>64.2</v>
      </c>
      <c r="F710">
        <v>67.8</v>
      </c>
      <c r="G710" s="2">
        <f t="shared" si="137"/>
        <v>0</v>
      </c>
      <c r="H710">
        <v>73.599999999999994</v>
      </c>
      <c r="I710">
        <v>64.2</v>
      </c>
      <c r="J710">
        <v>67.8</v>
      </c>
      <c r="K710">
        <v>46.4</v>
      </c>
      <c r="L710">
        <v>47</v>
      </c>
      <c r="M710" s="2">
        <f t="shared" si="129"/>
        <v>1</v>
      </c>
      <c r="N710">
        <v>0</v>
      </c>
      <c r="P710" s="2">
        <f t="shared" si="130"/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s="2">
        <f t="shared" si="131"/>
        <v>0</v>
      </c>
      <c r="X710">
        <v>26</v>
      </c>
      <c r="Z710" s="2">
        <f t="shared" si="132"/>
        <v>1</v>
      </c>
      <c r="AA710">
        <v>349.9</v>
      </c>
      <c r="AB710" s="2" t="str">
        <f>CHOOSE(MATCH(AA710,{0;11;80;111;161;191;241;281;341},1),"North","NorthEast","East","SouthEast","South","SouthWest","West","NorthWest","North")</f>
        <v>North</v>
      </c>
      <c r="AC710" s="5">
        <f>CHOOSE(MATCH(AB710,{"South";"SouthEast";"SouthWest";"North";"NorthEast";"East";"West";"NorthWest"},0),1,2,3,4,5,6,7,8)</f>
        <v>4</v>
      </c>
      <c r="AD710" s="2">
        <f t="shared" si="133"/>
        <v>1</v>
      </c>
      <c r="AE710">
        <v>1020.2</v>
      </c>
      <c r="AF710" s="4" t="s">
        <v>1255</v>
      </c>
      <c r="AG710" s="2">
        <f t="shared" si="134"/>
        <v>0</v>
      </c>
      <c r="AH710" t="s">
        <v>1256</v>
      </c>
      <c r="AI710" s="2">
        <f t="shared" si="135"/>
        <v>9</v>
      </c>
      <c r="AJ710" s="2">
        <f t="shared" si="136"/>
        <v>0</v>
      </c>
      <c r="AK710" s="3">
        <v>90</v>
      </c>
      <c r="AM710" s="2">
        <v>0</v>
      </c>
      <c r="AN710">
        <v>0</v>
      </c>
      <c r="AO710">
        <v>0.3</v>
      </c>
      <c r="AP710">
        <v>0</v>
      </c>
      <c r="AQ710" s="2">
        <f>IF((2*G710 + M710 -P710 + 3*W710 + 2*Z710+2*AD710 + AG710+2*AJ710 + 4*AM710) &gt;=8,1,0)</f>
        <v>0</v>
      </c>
    </row>
    <row r="711" spans="1:43" x14ac:dyDescent="0.25">
      <c r="A711" t="s">
        <v>27</v>
      </c>
      <c r="B711" s="1">
        <v>39348</v>
      </c>
      <c r="C711" s="7">
        <f t="shared" si="128"/>
        <v>2007</v>
      </c>
      <c r="D711">
        <v>73.599999999999994</v>
      </c>
      <c r="E711">
        <v>64.2</v>
      </c>
      <c r="F711">
        <v>67.8</v>
      </c>
      <c r="G711" s="2">
        <f t="shared" si="137"/>
        <v>0</v>
      </c>
      <c r="H711">
        <v>73.599999999999994</v>
      </c>
      <c r="I711">
        <v>64.2</v>
      </c>
      <c r="J711">
        <v>67.8</v>
      </c>
      <c r="K711">
        <v>46.4</v>
      </c>
      <c r="L711">
        <v>47</v>
      </c>
      <c r="M711" s="2">
        <f t="shared" si="129"/>
        <v>1</v>
      </c>
      <c r="N711">
        <v>0</v>
      </c>
      <c r="P711" s="2">
        <f t="shared" si="130"/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s="2">
        <f t="shared" si="131"/>
        <v>0</v>
      </c>
      <c r="X711">
        <v>26</v>
      </c>
      <c r="Z711" s="2">
        <f t="shared" si="132"/>
        <v>1</v>
      </c>
      <c r="AA711">
        <v>349.9</v>
      </c>
      <c r="AB711" s="2" t="str">
        <f>CHOOSE(MATCH(AA711,{0;11;80;111;161;191;241;281;341},1),"North","NorthEast","East","SouthEast","South","SouthWest","West","NorthWest","North")</f>
        <v>North</v>
      </c>
      <c r="AC711" s="5">
        <f>CHOOSE(MATCH(AB711,{"South";"SouthEast";"SouthWest";"North";"NorthEast";"East";"West";"NorthWest"},0),1,2,3,4,5,6,7,8)</f>
        <v>4</v>
      </c>
      <c r="AD711" s="2">
        <f t="shared" si="133"/>
        <v>1</v>
      </c>
      <c r="AE711">
        <v>1020.2</v>
      </c>
      <c r="AF711" s="4" t="s">
        <v>1257</v>
      </c>
      <c r="AG711" s="2">
        <f t="shared" si="134"/>
        <v>1</v>
      </c>
      <c r="AH711" t="s">
        <v>1258</v>
      </c>
      <c r="AI711" s="2">
        <f t="shared" si="135"/>
        <v>9</v>
      </c>
      <c r="AJ711" s="2">
        <f t="shared" si="136"/>
        <v>0</v>
      </c>
      <c r="AK711" s="3">
        <v>1279.9999999918509</v>
      </c>
      <c r="AM711" s="2">
        <v>1</v>
      </c>
      <c r="AN711">
        <v>1</v>
      </c>
      <c r="AO711">
        <v>0</v>
      </c>
      <c r="AP711">
        <v>0</v>
      </c>
      <c r="AQ711" s="2">
        <f>IF((2*G711 + M711 -P711 + 3*W711 + 2*Z711+2*AD711 + AG711+2*AJ711 + 4*AM711) &gt;=8,1,0)</f>
        <v>1</v>
      </c>
    </row>
    <row r="712" spans="1:43" x14ac:dyDescent="0.25">
      <c r="A712" t="s">
        <v>27</v>
      </c>
      <c r="B712" s="1">
        <v>39349</v>
      </c>
      <c r="C712" s="7">
        <f t="shared" si="128"/>
        <v>2007</v>
      </c>
      <c r="D712">
        <v>76.599999999999994</v>
      </c>
      <c r="E712">
        <v>63.7</v>
      </c>
      <c r="F712">
        <v>68.8</v>
      </c>
      <c r="G712" s="2">
        <f t="shared" si="137"/>
        <v>0</v>
      </c>
      <c r="H712">
        <v>76.599999999999994</v>
      </c>
      <c r="I712">
        <v>63.7</v>
      </c>
      <c r="J712">
        <v>68.8</v>
      </c>
      <c r="K712">
        <v>44.4</v>
      </c>
      <c r="L712">
        <v>42.3</v>
      </c>
      <c r="M712" s="2">
        <f t="shared" si="129"/>
        <v>1</v>
      </c>
      <c r="N712">
        <v>0</v>
      </c>
      <c r="P712" s="2">
        <f t="shared" si="130"/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s="2">
        <f t="shared" si="131"/>
        <v>0</v>
      </c>
      <c r="X712">
        <v>18.899999999999999</v>
      </c>
      <c r="Z712" s="2">
        <f t="shared" si="132"/>
        <v>1</v>
      </c>
      <c r="AA712">
        <v>348.7</v>
      </c>
      <c r="AB712" s="2" t="str">
        <f>CHOOSE(MATCH(AA712,{0;11;80;111;161;191;241;281;341},1),"North","NorthEast","East","SouthEast","South","SouthWest","West","NorthWest","North")</f>
        <v>North</v>
      </c>
      <c r="AC712" s="5">
        <f>CHOOSE(MATCH(AB712,{"South";"SouthEast";"SouthWest";"North";"NorthEast";"East";"West";"NorthWest"},0),1,2,3,4,5,6,7,8)</f>
        <v>4</v>
      </c>
      <c r="AD712" s="2">
        <f t="shared" si="133"/>
        <v>1</v>
      </c>
      <c r="AE712">
        <v>1019.7</v>
      </c>
      <c r="AF712" s="4" t="s">
        <v>1259</v>
      </c>
      <c r="AG712" s="2">
        <f t="shared" si="134"/>
        <v>1</v>
      </c>
      <c r="AH712" t="s">
        <v>1260</v>
      </c>
      <c r="AI712" s="2">
        <f t="shared" si="135"/>
        <v>9</v>
      </c>
      <c r="AJ712" s="2">
        <f t="shared" si="136"/>
        <v>0</v>
      </c>
      <c r="AK712" s="3">
        <v>140.00000000582079</v>
      </c>
      <c r="AM712" s="2">
        <v>0</v>
      </c>
      <c r="AN712">
        <v>0</v>
      </c>
      <c r="AO712">
        <v>5</v>
      </c>
      <c r="AP712">
        <v>0</v>
      </c>
      <c r="AQ712" s="2">
        <f>IF((2*G712 + M712 -P712 + 3*W712 + 2*Z712+2*AD712 + AG712+2*AJ712 + 4*AM712) &gt;=8,1,0)</f>
        <v>0</v>
      </c>
    </row>
    <row r="713" spans="1:43" x14ac:dyDescent="0.25">
      <c r="A713" t="s">
        <v>27</v>
      </c>
      <c r="B713" s="1">
        <v>39349</v>
      </c>
      <c r="C713" s="7">
        <f t="shared" si="128"/>
        <v>2007</v>
      </c>
      <c r="D713">
        <v>76.599999999999994</v>
      </c>
      <c r="E713">
        <v>63.7</v>
      </c>
      <c r="F713">
        <v>68.8</v>
      </c>
      <c r="G713" s="2">
        <f t="shared" si="137"/>
        <v>0</v>
      </c>
      <c r="H713">
        <v>76.599999999999994</v>
      </c>
      <c r="I713">
        <v>63.7</v>
      </c>
      <c r="J713">
        <v>68.8</v>
      </c>
      <c r="K713">
        <v>44.4</v>
      </c>
      <c r="L713">
        <v>42.3</v>
      </c>
      <c r="M713" s="2">
        <f t="shared" si="129"/>
        <v>1</v>
      </c>
      <c r="N713">
        <v>0</v>
      </c>
      <c r="P713" s="2">
        <f t="shared" si="130"/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s="2">
        <f t="shared" si="131"/>
        <v>0</v>
      </c>
      <c r="X713">
        <v>18.899999999999999</v>
      </c>
      <c r="Z713" s="2">
        <f t="shared" si="132"/>
        <v>1</v>
      </c>
      <c r="AA713">
        <v>348.7</v>
      </c>
      <c r="AB713" s="2" t="str">
        <f>CHOOSE(MATCH(AA713,{0;11;80;111;161;191;241;281;341},1),"North","NorthEast","East","SouthEast","South","SouthWest","West","NorthWest","North")</f>
        <v>North</v>
      </c>
      <c r="AC713" s="5">
        <f>CHOOSE(MATCH(AB713,{"South";"SouthEast";"SouthWest";"North";"NorthEast";"East";"West";"NorthWest"},0),1,2,3,4,5,6,7,8)</f>
        <v>4</v>
      </c>
      <c r="AD713" s="2">
        <f t="shared" si="133"/>
        <v>1</v>
      </c>
      <c r="AE713">
        <v>1019.7</v>
      </c>
      <c r="AF713" s="4" t="s">
        <v>1069</v>
      </c>
      <c r="AG713" s="2">
        <f t="shared" si="134"/>
        <v>1</v>
      </c>
      <c r="AH713" t="s">
        <v>1261</v>
      </c>
      <c r="AI713" s="2">
        <f t="shared" si="135"/>
        <v>9</v>
      </c>
      <c r="AJ713" s="2">
        <f t="shared" si="136"/>
        <v>0</v>
      </c>
      <c r="AK713" s="3">
        <v>24.99999999767169</v>
      </c>
      <c r="AM713" s="2">
        <v>0</v>
      </c>
      <c r="AN713">
        <v>0</v>
      </c>
      <c r="AO713">
        <v>2</v>
      </c>
      <c r="AP713">
        <v>0</v>
      </c>
      <c r="AQ713" s="2">
        <f>IF((2*G713 + M713 -P713 + 3*W713 + 2*Z713+2*AD713 + AG713+2*AJ713 + 4*AM713) &gt;=8,1,0)</f>
        <v>0</v>
      </c>
    </row>
    <row r="714" spans="1:43" x14ac:dyDescent="0.25">
      <c r="A714" t="s">
        <v>27</v>
      </c>
      <c r="B714" s="1">
        <v>39358</v>
      </c>
      <c r="C714" s="7">
        <f t="shared" si="128"/>
        <v>2007</v>
      </c>
      <c r="D714">
        <v>80.5</v>
      </c>
      <c r="E714">
        <v>65.900000000000006</v>
      </c>
      <c r="F714">
        <v>71.400000000000006</v>
      </c>
      <c r="G714" s="2">
        <f t="shared" si="137"/>
        <v>0</v>
      </c>
      <c r="H714">
        <v>79.599999999999994</v>
      </c>
      <c r="I714">
        <v>65.900000000000006</v>
      </c>
      <c r="J714">
        <v>71.3</v>
      </c>
      <c r="K714">
        <v>48.2</v>
      </c>
      <c r="L714">
        <v>44.3</v>
      </c>
      <c r="M714" s="2">
        <f t="shared" si="129"/>
        <v>1</v>
      </c>
      <c r="N714">
        <v>0</v>
      </c>
      <c r="P714" s="2">
        <f t="shared" si="130"/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s="2">
        <f t="shared" si="131"/>
        <v>0</v>
      </c>
      <c r="X714">
        <v>21.3</v>
      </c>
      <c r="Z714" s="2">
        <f t="shared" si="132"/>
        <v>1</v>
      </c>
      <c r="AA714">
        <v>354.3</v>
      </c>
      <c r="AB714" s="2" t="str">
        <f>CHOOSE(MATCH(AA714,{0;11;80;111;161;191;241;281;341},1),"North","NorthEast","East","SouthEast","South","SouthWest","West","NorthWest","North")</f>
        <v>North</v>
      </c>
      <c r="AC714" s="5">
        <f>CHOOSE(MATCH(AB714,{"South";"SouthEast";"SouthWest";"North";"NorthEast";"East";"West";"NorthWest"},0),1,2,3,4,5,6,7,8)</f>
        <v>4</v>
      </c>
      <c r="AD714" s="2">
        <f t="shared" si="133"/>
        <v>1</v>
      </c>
      <c r="AE714">
        <v>1017.2</v>
      </c>
      <c r="AF714" s="4" t="s">
        <v>1262</v>
      </c>
      <c r="AG714" s="2">
        <f t="shared" si="134"/>
        <v>1</v>
      </c>
      <c r="AH714" t="s">
        <v>1263</v>
      </c>
      <c r="AI714" s="2">
        <f t="shared" si="135"/>
        <v>10</v>
      </c>
      <c r="AJ714" s="2">
        <f t="shared" si="136"/>
        <v>0</v>
      </c>
      <c r="AK714" s="3">
        <v>1561.0000000067521</v>
      </c>
      <c r="AM714" s="2">
        <v>1</v>
      </c>
      <c r="AN714">
        <v>0</v>
      </c>
      <c r="AO714">
        <v>3</v>
      </c>
      <c r="AP714">
        <v>0</v>
      </c>
      <c r="AQ714" s="2">
        <f>IF((2*G714 + M714 -P714 + 3*W714 + 2*Z714+2*AD714 + AG714+2*AJ714 + 4*AM714) &gt;=8,1,0)</f>
        <v>1</v>
      </c>
    </row>
    <row r="715" spans="1:43" x14ac:dyDescent="0.25">
      <c r="A715" t="s">
        <v>27</v>
      </c>
      <c r="B715" s="1">
        <v>39358</v>
      </c>
      <c r="C715" s="7">
        <f t="shared" si="128"/>
        <v>2007</v>
      </c>
      <c r="D715">
        <v>80.5</v>
      </c>
      <c r="E715">
        <v>65.900000000000006</v>
      </c>
      <c r="F715">
        <v>71.400000000000006</v>
      </c>
      <c r="G715" s="2">
        <f t="shared" si="137"/>
        <v>0</v>
      </c>
      <c r="H715">
        <v>79.599999999999994</v>
      </c>
      <c r="I715">
        <v>65.900000000000006</v>
      </c>
      <c r="J715">
        <v>71.3</v>
      </c>
      <c r="K715">
        <v>48.2</v>
      </c>
      <c r="L715">
        <v>44.3</v>
      </c>
      <c r="M715" s="2">
        <f t="shared" si="129"/>
        <v>1</v>
      </c>
      <c r="N715">
        <v>0</v>
      </c>
      <c r="P715" s="2">
        <f t="shared" si="130"/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s="2">
        <f t="shared" si="131"/>
        <v>0</v>
      </c>
      <c r="X715">
        <v>21.3</v>
      </c>
      <c r="Z715" s="2">
        <f t="shared" si="132"/>
        <v>1</v>
      </c>
      <c r="AA715">
        <v>354.3</v>
      </c>
      <c r="AB715" s="2" t="str">
        <f>CHOOSE(MATCH(AA715,{0;11;80;111;161;191;241;281;341},1),"North","NorthEast","East","SouthEast","South","SouthWest","West","NorthWest","North")</f>
        <v>North</v>
      </c>
      <c r="AC715" s="5">
        <f>CHOOSE(MATCH(AB715,{"South";"SouthEast";"SouthWest";"North";"NorthEast";"East";"West";"NorthWest"},0),1,2,3,4,5,6,7,8)</f>
        <v>4</v>
      </c>
      <c r="AD715" s="2">
        <f t="shared" si="133"/>
        <v>1</v>
      </c>
      <c r="AE715">
        <v>1017.2</v>
      </c>
      <c r="AF715" s="4" t="s">
        <v>1264</v>
      </c>
      <c r="AG715" s="2">
        <f t="shared" si="134"/>
        <v>1</v>
      </c>
      <c r="AH715" t="s">
        <v>1265</v>
      </c>
      <c r="AI715" s="2">
        <f t="shared" si="135"/>
        <v>10</v>
      </c>
      <c r="AJ715" s="2">
        <f t="shared" si="136"/>
        <v>0</v>
      </c>
      <c r="AK715" s="3">
        <v>1428.000000002794</v>
      </c>
      <c r="AM715" s="2">
        <v>1</v>
      </c>
      <c r="AN715">
        <v>0</v>
      </c>
      <c r="AO715">
        <v>3</v>
      </c>
      <c r="AP715">
        <v>0</v>
      </c>
      <c r="AQ715" s="2">
        <f>IF((2*G715 + M715 -P715 + 3*W715 + 2*Z715+2*AD715 + AG715+2*AJ715 + 4*AM715) &gt;=8,1,0)</f>
        <v>1</v>
      </c>
    </row>
    <row r="716" spans="1:43" x14ac:dyDescent="0.25">
      <c r="A716" t="s">
        <v>27</v>
      </c>
      <c r="B716" s="1">
        <v>39359</v>
      </c>
      <c r="C716" s="7">
        <f t="shared" si="128"/>
        <v>2007</v>
      </c>
      <c r="D716">
        <v>82.3</v>
      </c>
      <c r="E716">
        <v>65.3</v>
      </c>
      <c r="F716">
        <v>72.599999999999994</v>
      </c>
      <c r="G716" s="2">
        <f t="shared" si="137"/>
        <v>0</v>
      </c>
      <c r="H716">
        <v>80.900000000000006</v>
      </c>
      <c r="I716">
        <v>65.3</v>
      </c>
      <c r="J716">
        <v>72.5</v>
      </c>
      <c r="K716">
        <v>46</v>
      </c>
      <c r="L716">
        <v>39.5</v>
      </c>
      <c r="M716" s="2">
        <f t="shared" si="129"/>
        <v>1</v>
      </c>
      <c r="N716">
        <v>0</v>
      </c>
      <c r="P716" s="2">
        <f t="shared" si="130"/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s="2">
        <f t="shared" si="131"/>
        <v>0</v>
      </c>
      <c r="X716">
        <v>18.899999999999999</v>
      </c>
      <c r="Z716" s="2">
        <f t="shared" si="132"/>
        <v>1</v>
      </c>
      <c r="AA716">
        <v>346.9</v>
      </c>
      <c r="AB716" s="2" t="str">
        <f>CHOOSE(MATCH(AA716,{0;11;80;111;161;191;241;281;341},1),"North","NorthEast","East","SouthEast","South","SouthWest","West","NorthWest","North")</f>
        <v>North</v>
      </c>
      <c r="AC716" s="5">
        <f>CHOOSE(MATCH(AB716,{"South";"SouthEast";"SouthWest";"North";"NorthEast";"East";"West";"NorthWest"},0),1,2,3,4,5,6,7,8)</f>
        <v>4</v>
      </c>
      <c r="AD716" s="2">
        <f t="shared" si="133"/>
        <v>1</v>
      </c>
      <c r="AE716">
        <v>1017.9</v>
      </c>
      <c r="AF716" s="4" t="s">
        <v>1266</v>
      </c>
      <c r="AG716" s="2">
        <f t="shared" si="134"/>
        <v>1</v>
      </c>
      <c r="AH716" t="s">
        <v>1267</v>
      </c>
      <c r="AI716" s="2">
        <f t="shared" si="135"/>
        <v>10</v>
      </c>
      <c r="AJ716" s="2">
        <f t="shared" si="136"/>
        <v>0</v>
      </c>
      <c r="AK716" s="3">
        <v>105.00000000698491</v>
      </c>
      <c r="AM716" s="2">
        <v>0</v>
      </c>
      <c r="AN716">
        <v>1</v>
      </c>
      <c r="AO716">
        <v>0</v>
      </c>
      <c r="AP716">
        <v>0</v>
      </c>
      <c r="AQ716" s="2">
        <f>IF((2*G716 + M716 -P716 + 3*W716 + 2*Z716+2*AD716 + AG716+2*AJ716 + 4*AM716) &gt;=8,1,0)</f>
        <v>0</v>
      </c>
    </row>
    <row r="717" spans="1:43" x14ac:dyDescent="0.25">
      <c r="A717" t="s">
        <v>27</v>
      </c>
      <c r="B717" s="1">
        <v>39360</v>
      </c>
      <c r="C717" s="7">
        <f t="shared" si="128"/>
        <v>2007</v>
      </c>
      <c r="D717">
        <v>82.1</v>
      </c>
      <c r="E717">
        <v>62.1</v>
      </c>
      <c r="F717">
        <v>71.400000000000006</v>
      </c>
      <c r="G717" s="2">
        <f t="shared" si="137"/>
        <v>0</v>
      </c>
      <c r="H717">
        <v>81.400000000000006</v>
      </c>
      <c r="I717">
        <v>62.1</v>
      </c>
      <c r="J717">
        <v>71.2</v>
      </c>
      <c r="K717">
        <v>46.6</v>
      </c>
      <c r="L717">
        <v>42.4</v>
      </c>
      <c r="M717" s="2">
        <f t="shared" si="129"/>
        <v>1</v>
      </c>
      <c r="N717">
        <v>0</v>
      </c>
      <c r="P717" s="2">
        <f t="shared" si="130"/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s="2">
        <f t="shared" si="131"/>
        <v>0</v>
      </c>
      <c r="X717">
        <v>17.8</v>
      </c>
      <c r="Z717" s="2">
        <f t="shared" si="132"/>
        <v>1</v>
      </c>
      <c r="AA717">
        <v>355.9</v>
      </c>
      <c r="AB717" s="2" t="str">
        <f>CHOOSE(MATCH(AA717,{0;11;80;111;161;191;241;281;341},1),"North","NorthEast","East","SouthEast","South","SouthWest","West","NorthWest","North")</f>
        <v>North</v>
      </c>
      <c r="AC717" s="5">
        <f>CHOOSE(MATCH(AB717,{"South";"SouthEast";"SouthWest";"North";"NorthEast";"East";"West";"NorthWest"},0),1,2,3,4,5,6,7,8)</f>
        <v>4</v>
      </c>
      <c r="AD717" s="2">
        <f t="shared" si="133"/>
        <v>1</v>
      </c>
      <c r="AE717">
        <v>1018</v>
      </c>
      <c r="AF717" s="4" t="s">
        <v>1268</v>
      </c>
      <c r="AG717" s="2">
        <f t="shared" si="134"/>
        <v>0</v>
      </c>
      <c r="AH717" t="s">
        <v>1269</v>
      </c>
      <c r="AI717" s="2">
        <f t="shared" si="135"/>
        <v>10</v>
      </c>
      <c r="AJ717" s="2">
        <f t="shared" si="136"/>
        <v>0</v>
      </c>
      <c r="AK717" s="3">
        <v>464.99999999650748</v>
      </c>
      <c r="AM717" s="2">
        <v>1</v>
      </c>
      <c r="AN717">
        <v>0</v>
      </c>
      <c r="AO717">
        <v>1</v>
      </c>
      <c r="AP717">
        <v>0</v>
      </c>
      <c r="AQ717" s="2">
        <f>IF((2*G717 + M717 -P717 + 3*W717 + 2*Z717+2*AD717 + AG717+2*AJ717 + 4*AM717) &gt;=8,1,0)</f>
        <v>1</v>
      </c>
    </row>
    <row r="718" spans="1:43" x14ac:dyDescent="0.25">
      <c r="A718" t="s">
        <v>27</v>
      </c>
      <c r="B718" s="1">
        <v>39360</v>
      </c>
      <c r="C718" s="7">
        <f t="shared" si="128"/>
        <v>2007</v>
      </c>
      <c r="D718">
        <v>82.1</v>
      </c>
      <c r="E718">
        <v>62.1</v>
      </c>
      <c r="F718">
        <v>71.400000000000006</v>
      </c>
      <c r="G718" s="2">
        <f t="shared" si="137"/>
        <v>0</v>
      </c>
      <c r="H718">
        <v>81.400000000000006</v>
      </c>
      <c r="I718">
        <v>62.1</v>
      </c>
      <c r="J718">
        <v>71.2</v>
      </c>
      <c r="K718">
        <v>46.6</v>
      </c>
      <c r="L718">
        <v>42.4</v>
      </c>
      <c r="M718" s="2">
        <f t="shared" si="129"/>
        <v>1</v>
      </c>
      <c r="N718">
        <v>0</v>
      </c>
      <c r="P718" s="2">
        <f t="shared" si="130"/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s="2">
        <f t="shared" si="131"/>
        <v>0</v>
      </c>
      <c r="X718">
        <v>17.8</v>
      </c>
      <c r="Z718" s="2">
        <f t="shared" si="132"/>
        <v>1</v>
      </c>
      <c r="AA718">
        <v>355.9</v>
      </c>
      <c r="AB718" s="2" t="str">
        <f>CHOOSE(MATCH(AA718,{0;11;80;111;161;191;241;281;341},1),"North","NorthEast","East","SouthEast","South","SouthWest","West","NorthWest","North")</f>
        <v>North</v>
      </c>
      <c r="AC718" s="5">
        <f>CHOOSE(MATCH(AB718,{"South";"SouthEast";"SouthWest";"North";"NorthEast";"East";"West";"NorthWest"},0),1,2,3,4,5,6,7,8)</f>
        <v>4</v>
      </c>
      <c r="AD718" s="2">
        <f t="shared" si="133"/>
        <v>1</v>
      </c>
      <c r="AE718">
        <v>1018</v>
      </c>
      <c r="AF718" s="4" t="s">
        <v>1270</v>
      </c>
      <c r="AG718" s="2">
        <f t="shared" si="134"/>
        <v>0</v>
      </c>
      <c r="AH718" t="s">
        <v>1271</v>
      </c>
      <c r="AI718" s="2">
        <f t="shared" si="135"/>
        <v>10</v>
      </c>
      <c r="AJ718" s="2">
        <f t="shared" si="136"/>
        <v>0</v>
      </c>
      <c r="AK718" s="3">
        <v>135</v>
      </c>
      <c r="AM718" s="2">
        <v>0</v>
      </c>
      <c r="AN718">
        <v>0</v>
      </c>
      <c r="AO718">
        <v>1</v>
      </c>
      <c r="AP718">
        <v>0</v>
      </c>
      <c r="AQ718" s="2">
        <f>IF((2*G718 + M718 -P718 + 3*W718 + 2*Z718+2*AD718 + AG718+2*AJ718 + 4*AM718) &gt;=8,1,0)</f>
        <v>0</v>
      </c>
    </row>
    <row r="719" spans="1:43" x14ac:dyDescent="0.25">
      <c r="A719" t="s">
        <v>27</v>
      </c>
      <c r="B719" s="1">
        <v>39366</v>
      </c>
      <c r="C719" s="7">
        <f t="shared" si="128"/>
        <v>2007</v>
      </c>
      <c r="D719">
        <v>77.900000000000006</v>
      </c>
      <c r="E719">
        <v>63.2</v>
      </c>
      <c r="F719">
        <v>71</v>
      </c>
      <c r="G719" s="2">
        <f t="shared" si="137"/>
        <v>0</v>
      </c>
      <c r="H719">
        <v>77.900000000000006</v>
      </c>
      <c r="I719">
        <v>63.2</v>
      </c>
      <c r="J719">
        <v>71</v>
      </c>
      <c r="K719">
        <v>59.6</v>
      </c>
      <c r="L719">
        <v>67.8</v>
      </c>
      <c r="M719" s="2">
        <f t="shared" si="129"/>
        <v>0</v>
      </c>
      <c r="N719">
        <v>0</v>
      </c>
      <c r="P719" s="2">
        <f t="shared" si="130"/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s="2">
        <f t="shared" si="131"/>
        <v>0</v>
      </c>
      <c r="X719">
        <v>12.8</v>
      </c>
      <c r="Z719" s="2">
        <f t="shared" si="132"/>
        <v>0</v>
      </c>
      <c r="AA719">
        <v>62.9</v>
      </c>
      <c r="AB719" s="2" t="str">
        <f>CHOOSE(MATCH(AA719,{0;11;80;111;161;191;241;281;341},1),"North","NorthEast","East","SouthEast","South","SouthWest","West","NorthWest","North")</f>
        <v>NorthEast</v>
      </c>
      <c r="AC719" s="5">
        <f>CHOOSE(MATCH(AB719,{"South";"SouthEast";"SouthWest";"North";"NorthEast";"East";"West";"NorthWest"},0),1,2,3,4,5,6,7,8)</f>
        <v>5</v>
      </c>
      <c r="AD719" s="2">
        <f t="shared" si="133"/>
        <v>1</v>
      </c>
      <c r="AE719">
        <v>1015.2</v>
      </c>
      <c r="AF719" s="4" t="s">
        <v>1123</v>
      </c>
      <c r="AG719" s="2">
        <f t="shared" si="134"/>
        <v>1</v>
      </c>
      <c r="AH719" t="s">
        <v>1272</v>
      </c>
      <c r="AI719" s="2">
        <f t="shared" si="135"/>
        <v>10</v>
      </c>
      <c r="AJ719" s="2">
        <f t="shared" si="136"/>
        <v>0</v>
      </c>
      <c r="AK719" s="3">
        <v>30.99999999627471</v>
      </c>
      <c r="AM719" s="2">
        <v>0</v>
      </c>
      <c r="AN719">
        <v>0</v>
      </c>
      <c r="AO719">
        <v>0.2</v>
      </c>
      <c r="AP719">
        <v>0</v>
      </c>
      <c r="AQ719" s="2">
        <f>IF((2*G719 + M719 -P719 + 3*W719 + 2*Z719+2*AD719 + AG719+2*AJ719 + 4*AM719) &gt;=8,1,0)</f>
        <v>0</v>
      </c>
    </row>
    <row r="720" spans="1:43" x14ac:dyDescent="0.25">
      <c r="A720" t="s">
        <v>27</v>
      </c>
      <c r="B720" s="1">
        <v>39368</v>
      </c>
      <c r="C720" s="7">
        <f t="shared" si="128"/>
        <v>2007</v>
      </c>
      <c r="D720">
        <v>79.400000000000006</v>
      </c>
      <c r="E720">
        <v>61.4</v>
      </c>
      <c r="F720">
        <v>69.7</v>
      </c>
      <c r="G720" s="2">
        <f t="shared" si="137"/>
        <v>0</v>
      </c>
      <c r="H720">
        <v>79.400000000000006</v>
      </c>
      <c r="I720">
        <v>61.4</v>
      </c>
      <c r="J720">
        <v>69.7</v>
      </c>
      <c r="K720">
        <v>55.7</v>
      </c>
      <c r="L720">
        <v>63.9</v>
      </c>
      <c r="M720" s="2">
        <f t="shared" si="129"/>
        <v>0</v>
      </c>
      <c r="N720">
        <v>0</v>
      </c>
      <c r="P720" s="2">
        <f t="shared" si="130"/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s="2">
        <f t="shared" si="131"/>
        <v>0</v>
      </c>
      <c r="X720">
        <v>15.6</v>
      </c>
      <c r="Z720" s="2">
        <f t="shared" si="132"/>
        <v>0</v>
      </c>
      <c r="AA720">
        <v>264.5</v>
      </c>
      <c r="AB720" s="2" t="str">
        <f>CHOOSE(MATCH(AA720,{0;11;80;111;161;191;241;281;341},1),"North","NorthEast","East","SouthEast","South","SouthWest","West","NorthWest","North")</f>
        <v>West</v>
      </c>
      <c r="AC720" s="5">
        <f>CHOOSE(MATCH(AB720,{"South";"SouthEast";"SouthWest";"North";"NorthEast";"East";"West";"NorthWest"},0),1,2,3,4,5,6,7,8)</f>
        <v>7</v>
      </c>
      <c r="AD720" s="2">
        <f t="shared" si="133"/>
        <v>0</v>
      </c>
      <c r="AE720">
        <v>1012</v>
      </c>
      <c r="AF720" s="4" t="s">
        <v>1034</v>
      </c>
      <c r="AG720" s="2">
        <f t="shared" si="134"/>
        <v>1</v>
      </c>
      <c r="AH720" t="s">
        <v>1273</v>
      </c>
      <c r="AI720" s="2">
        <f t="shared" si="135"/>
        <v>10</v>
      </c>
      <c r="AJ720" s="2">
        <f t="shared" si="136"/>
        <v>0</v>
      </c>
      <c r="AK720" s="3">
        <v>59.99999999650754</v>
      </c>
      <c r="AM720" s="2">
        <v>0</v>
      </c>
      <c r="AN720">
        <v>2</v>
      </c>
      <c r="AO720">
        <v>0</v>
      </c>
      <c r="AP720">
        <v>0</v>
      </c>
      <c r="AQ720" s="2">
        <f>IF((2*G720 + M720 -P720 + 3*W720 + 2*Z720+2*AD720 + AG720+2*AJ720 + 4*AM720) &gt;=8,1,0)</f>
        <v>0</v>
      </c>
    </row>
    <row r="721" spans="1:43" x14ac:dyDescent="0.25">
      <c r="A721" t="s">
        <v>27</v>
      </c>
      <c r="B721" s="1">
        <v>39370</v>
      </c>
      <c r="C721" s="7">
        <f t="shared" si="128"/>
        <v>2007</v>
      </c>
      <c r="D721">
        <v>61.6</v>
      </c>
      <c r="E721">
        <v>52.9</v>
      </c>
      <c r="F721">
        <v>57.8</v>
      </c>
      <c r="G721" s="2">
        <f t="shared" si="137"/>
        <v>0</v>
      </c>
      <c r="H721">
        <v>61.6</v>
      </c>
      <c r="I721">
        <v>52.9</v>
      </c>
      <c r="J721">
        <v>57.8</v>
      </c>
      <c r="K721">
        <v>39.299999999999997</v>
      </c>
      <c r="L721">
        <v>50.6</v>
      </c>
      <c r="M721" s="2">
        <f t="shared" si="129"/>
        <v>0</v>
      </c>
      <c r="N721">
        <v>0</v>
      </c>
      <c r="P721" s="2">
        <f t="shared" si="130"/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s="2">
        <f t="shared" si="131"/>
        <v>0</v>
      </c>
      <c r="X721">
        <v>17.5</v>
      </c>
      <c r="Z721" s="2">
        <f t="shared" si="132"/>
        <v>1</v>
      </c>
      <c r="AA721">
        <v>19</v>
      </c>
      <c r="AB721" s="2" t="str">
        <f>CHOOSE(MATCH(AA721,{0;11;80;111;161;191;241;281;341},1),"North","NorthEast","East","SouthEast","South","SouthWest","West","NorthWest","North")</f>
        <v>NorthEast</v>
      </c>
      <c r="AC721" s="5">
        <f>CHOOSE(MATCH(AB721,{"South";"SouthEast";"SouthWest";"North";"NorthEast";"East";"West";"NorthWest"},0),1,2,3,4,5,6,7,8)</f>
        <v>5</v>
      </c>
      <c r="AD721" s="2">
        <f t="shared" si="133"/>
        <v>1</v>
      </c>
      <c r="AE721">
        <v>1024</v>
      </c>
      <c r="AF721" s="4" t="s">
        <v>1274</v>
      </c>
      <c r="AG721" s="2">
        <f t="shared" si="134"/>
        <v>1</v>
      </c>
      <c r="AH721" t="s">
        <v>1275</v>
      </c>
      <c r="AI721" s="2">
        <f t="shared" si="135"/>
        <v>10</v>
      </c>
      <c r="AJ721" s="2">
        <f t="shared" si="136"/>
        <v>0</v>
      </c>
      <c r="AK721" s="3">
        <v>2790</v>
      </c>
      <c r="AM721" s="2">
        <v>1</v>
      </c>
      <c r="AN721">
        <v>0</v>
      </c>
      <c r="AO721">
        <v>200</v>
      </c>
      <c r="AP721">
        <v>0</v>
      </c>
      <c r="AQ721" s="2">
        <f>IF((2*G721 + M721 -P721 + 3*W721 + 2*Z721+2*AD721 + AG721+2*AJ721 + 4*AM721) &gt;=8,1,0)</f>
        <v>1</v>
      </c>
    </row>
    <row r="722" spans="1:43" x14ac:dyDescent="0.25">
      <c r="A722" t="s">
        <v>27</v>
      </c>
      <c r="B722" s="1">
        <v>39378</v>
      </c>
      <c r="C722" s="7">
        <f t="shared" si="128"/>
        <v>2007</v>
      </c>
      <c r="D722">
        <v>66.900000000000006</v>
      </c>
      <c r="E722">
        <v>55.5</v>
      </c>
      <c r="F722">
        <v>60.9</v>
      </c>
      <c r="G722" s="2">
        <f t="shared" si="137"/>
        <v>0</v>
      </c>
      <c r="H722">
        <v>66.900000000000006</v>
      </c>
      <c r="I722">
        <v>55.5</v>
      </c>
      <c r="J722">
        <v>60.9</v>
      </c>
      <c r="K722">
        <v>50.2</v>
      </c>
      <c r="L722">
        <v>68.8</v>
      </c>
      <c r="M722" s="2">
        <f t="shared" si="129"/>
        <v>0</v>
      </c>
      <c r="N722">
        <v>9.2999999999999999E-2</v>
      </c>
      <c r="P722" s="2">
        <f t="shared" si="130"/>
        <v>0</v>
      </c>
      <c r="Q722">
        <v>100</v>
      </c>
      <c r="R722">
        <v>8.33</v>
      </c>
      <c r="S722" t="s">
        <v>87</v>
      </c>
      <c r="T722">
        <v>0</v>
      </c>
      <c r="U722">
        <v>0</v>
      </c>
      <c r="V722">
        <v>0</v>
      </c>
      <c r="W722" s="2">
        <f t="shared" si="131"/>
        <v>0</v>
      </c>
      <c r="X722">
        <v>10</v>
      </c>
      <c r="Z722" s="2">
        <f t="shared" si="132"/>
        <v>0</v>
      </c>
      <c r="AA722">
        <v>237.7</v>
      </c>
      <c r="AB722" s="2" t="str">
        <f>CHOOSE(MATCH(AA722,{0;11;80;111;161;191;241;281;341},1),"North","NorthEast","East","SouthEast","South","SouthWest","West","NorthWest","North")</f>
        <v>SouthWest</v>
      </c>
      <c r="AC722" s="5">
        <f>CHOOSE(MATCH(AB722,{"South";"SouthEast";"SouthWest";"North";"NorthEast";"East";"West";"NorthWest"},0),1,2,3,4,5,6,7,8)</f>
        <v>3</v>
      </c>
      <c r="AD722" s="2">
        <f t="shared" si="133"/>
        <v>1</v>
      </c>
      <c r="AE722">
        <v>1008.4</v>
      </c>
      <c r="AF722" s="4" t="s">
        <v>1118</v>
      </c>
      <c r="AG722" s="2">
        <f t="shared" si="134"/>
        <v>1</v>
      </c>
      <c r="AH722" t="s">
        <v>1276</v>
      </c>
      <c r="AI722" s="2">
        <f t="shared" si="135"/>
        <v>10</v>
      </c>
      <c r="AJ722" s="2">
        <f t="shared" si="136"/>
        <v>0</v>
      </c>
      <c r="AK722" s="3">
        <v>225</v>
      </c>
      <c r="AM722" s="2">
        <v>0</v>
      </c>
      <c r="AN722">
        <v>0</v>
      </c>
      <c r="AO722">
        <v>7</v>
      </c>
      <c r="AP722">
        <v>0</v>
      </c>
      <c r="AQ722" s="2">
        <f>IF((2*G722 + M722 -P722 + 3*W722 + 2*Z722+2*AD722 + AG722+2*AJ722 + 4*AM722) &gt;=8,1,0)</f>
        <v>0</v>
      </c>
    </row>
    <row r="723" spans="1:43" x14ac:dyDescent="0.25">
      <c r="A723" t="s">
        <v>27</v>
      </c>
      <c r="B723" s="1">
        <v>39402</v>
      </c>
      <c r="C723" s="7">
        <f t="shared" si="128"/>
        <v>2007</v>
      </c>
      <c r="D723">
        <v>70.7</v>
      </c>
      <c r="E723">
        <v>59.1</v>
      </c>
      <c r="F723">
        <v>65.599999999999994</v>
      </c>
      <c r="G723" s="2">
        <f t="shared" si="137"/>
        <v>0</v>
      </c>
      <c r="H723">
        <v>70.7</v>
      </c>
      <c r="I723">
        <v>59.1</v>
      </c>
      <c r="J723">
        <v>65.599999999999994</v>
      </c>
      <c r="K723">
        <v>57.3</v>
      </c>
      <c r="L723">
        <v>75</v>
      </c>
      <c r="M723" s="2">
        <f t="shared" si="129"/>
        <v>0</v>
      </c>
      <c r="N723">
        <v>0</v>
      </c>
      <c r="P723" s="2">
        <f t="shared" si="130"/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s="2">
        <f t="shared" si="131"/>
        <v>0</v>
      </c>
      <c r="X723">
        <v>15.6</v>
      </c>
      <c r="Z723" s="2">
        <f t="shared" si="132"/>
        <v>0</v>
      </c>
      <c r="AA723">
        <v>186.7</v>
      </c>
      <c r="AB723" s="2" t="str">
        <f>CHOOSE(MATCH(AA723,{0;11;80;111;161;191;241;281;341},1),"North","NorthEast","East","SouthEast","South","SouthWest","West","NorthWest","North")</f>
        <v>South</v>
      </c>
      <c r="AC723" s="5">
        <f>CHOOSE(MATCH(AB723,{"South";"SouthEast";"SouthWest";"North";"NorthEast";"East";"West";"NorthWest"},0),1,2,3,4,5,6,7,8)</f>
        <v>1</v>
      </c>
      <c r="AD723" s="2">
        <f t="shared" si="133"/>
        <v>0</v>
      </c>
      <c r="AE723">
        <v>1014.1</v>
      </c>
      <c r="AF723" s="4" t="s">
        <v>1255</v>
      </c>
      <c r="AG723" s="2">
        <f t="shared" si="134"/>
        <v>0</v>
      </c>
      <c r="AH723" t="s">
        <v>1277</v>
      </c>
      <c r="AI723" s="2">
        <f t="shared" si="135"/>
        <v>11</v>
      </c>
      <c r="AJ723" s="2">
        <f t="shared" si="136"/>
        <v>0</v>
      </c>
      <c r="AK723" s="3">
        <v>55.000000001164153</v>
      </c>
      <c r="AM723" s="2">
        <v>0</v>
      </c>
      <c r="AN723">
        <v>0</v>
      </c>
      <c r="AO723">
        <v>1</v>
      </c>
      <c r="AP723">
        <v>0</v>
      </c>
      <c r="AQ723" s="2">
        <f>IF((2*G723 + M723 -P723 + 3*W723 + 2*Z723+2*AD723 + AG723+2*AJ723 + 4*AM723) &gt;=8,1,0)</f>
        <v>0</v>
      </c>
    </row>
    <row r="724" spans="1:43" x14ac:dyDescent="0.25">
      <c r="A724" t="s">
        <v>27</v>
      </c>
      <c r="B724" s="1">
        <v>39411</v>
      </c>
      <c r="C724" s="7">
        <f t="shared" si="128"/>
        <v>2007</v>
      </c>
      <c r="D724">
        <v>63.9</v>
      </c>
      <c r="E724">
        <v>42.9</v>
      </c>
      <c r="F724">
        <v>53.3</v>
      </c>
      <c r="G724" s="2">
        <f t="shared" si="137"/>
        <v>0</v>
      </c>
      <c r="H724">
        <v>63.9</v>
      </c>
      <c r="I724">
        <v>39.700000000000003</v>
      </c>
      <c r="J724">
        <v>52.6</v>
      </c>
      <c r="K724">
        <v>48.7</v>
      </c>
      <c r="L724">
        <v>84.9</v>
      </c>
      <c r="M724" s="2">
        <f t="shared" si="129"/>
        <v>0</v>
      </c>
      <c r="N724">
        <v>0</v>
      </c>
      <c r="P724" s="2">
        <f t="shared" si="130"/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s="2">
        <f t="shared" si="131"/>
        <v>0</v>
      </c>
      <c r="X724">
        <v>7.3</v>
      </c>
      <c r="Z724" s="2">
        <f t="shared" si="132"/>
        <v>0</v>
      </c>
      <c r="AA724">
        <v>278.60000000000002</v>
      </c>
      <c r="AB724" s="2" t="str">
        <f>CHOOSE(MATCH(AA724,{0;11;80;111;161;191;241;281;341},1),"North","NorthEast","East","SouthEast","South","SouthWest","West","NorthWest","North")</f>
        <v>West</v>
      </c>
      <c r="AC724" s="5">
        <f>CHOOSE(MATCH(AB724,{"South";"SouthEast";"SouthWest";"North";"NorthEast";"East";"West";"NorthWest"},0),1,2,3,4,5,6,7,8)</f>
        <v>7</v>
      </c>
      <c r="AD724" s="2">
        <f t="shared" si="133"/>
        <v>0</v>
      </c>
      <c r="AE724">
        <v>1023.8</v>
      </c>
      <c r="AF724" s="4" t="s">
        <v>1278</v>
      </c>
      <c r="AG724" s="2">
        <f t="shared" si="134"/>
        <v>0</v>
      </c>
      <c r="AH724" t="s">
        <v>1279</v>
      </c>
      <c r="AI724" s="2">
        <f t="shared" si="135"/>
        <v>11</v>
      </c>
      <c r="AJ724" s="2">
        <f t="shared" si="136"/>
        <v>0</v>
      </c>
      <c r="AK724" s="3">
        <v>85.000000004656613</v>
      </c>
      <c r="AM724" s="2">
        <v>0</v>
      </c>
      <c r="AN724">
        <v>0</v>
      </c>
      <c r="AO724">
        <v>2.5</v>
      </c>
      <c r="AP724">
        <v>0</v>
      </c>
      <c r="AQ724" s="2">
        <f>IF((2*G724 + M724 -P724 + 3*W724 + 2*Z724+2*AD724 + AG724+2*AJ724 + 4*AM724) &gt;=8,1,0)</f>
        <v>0</v>
      </c>
    </row>
    <row r="725" spans="1:43" x14ac:dyDescent="0.25">
      <c r="A725" t="s">
        <v>27</v>
      </c>
      <c r="B725" s="1">
        <v>39415</v>
      </c>
      <c r="C725" s="7">
        <f t="shared" si="128"/>
        <v>2007</v>
      </c>
      <c r="D725">
        <v>55</v>
      </c>
      <c r="E725">
        <v>49.3</v>
      </c>
      <c r="F725">
        <v>51.4</v>
      </c>
      <c r="G725" s="2">
        <f t="shared" si="137"/>
        <v>0</v>
      </c>
      <c r="H725">
        <v>55</v>
      </c>
      <c r="I725">
        <v>46.3</v>
      </c>
      <c r="J725">
        <v>50.9</v>
      </c>
      <c r="K725">
        <v>37.9</v>
      </c>
      <c r="L725">
        <v>59.9</v>
      </c>
      <c r="M725" s="2">
        <f t="shared" si="129"/>
        <v>0</v>
      </c>
      <c r="N725">
        <v>0</v>
      </c>
      <c r="P725" s="2">
        <f t="shared" si="130"/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s="2">
        <f t="shared" si="131"/>
        <v>0</v>
      </c>
      <c r="X725">
        <v>11.8</v>
      </c>
      <c r="Z725" s="2">
        <f t="shared" si="132"/>
        <v>0</v>
      </c>
      <c r="AA725">
        <v>35.799999999999997</v>
      </c>
      <c r="AB725" s="2" t="str">
        <f>CHOOSE(MATCH(AA725,{0;11;80;111;161;191;241;281;341},1),"North","NorthEast","East","SouthEast","South","SouthWest","West","NorthWest","North")</f>
        <v>NorthEast</v>
      </c>
      <c r="AC725" s="5">
        <f>CHOOSE(MATCH(AB725,{"South";"SouthEast";"SouthWest";"North";"NorthEast";"East";"West";"NorthWest"},0),1,2,3,4,5,6,7,8)</f>
        <v>5</v>
      </c>
      <c r="AD725" s="2">
        <f t="shared" si="133"/>
        <v>1</v>
      </c>
      <c r="AE725">
        <v>1020.5</v>
      </c>
      <c r="AF725" s="4" t="s">
        <v>1278</v>
      </c>
      <c r="AG725" s="2">
        <f t="shared" si="134"/>
        <v>0</v>
      </c>
      <c r="AH725" t="s">
        <v>1280</v>
      </c>
      <c r="AI725" s="2">
        <f t="shared" si="135"/>
        <v>11</v>
      </c>
      <c r="AJ725" s="2">
        <f t="shared" si="136"/>
        <v>0</v>
      </c>
      <c r="AK725" s="3">
        <v>135</v>
      </c>
      <c r="AM725" s="2">
        <v>0</v>
      </c>
      <c r="AN725">
        <v>0</v>
      </c>
      <c r="AO725">
        <v>2</v>
      </c>
      <c r="AP725">
        <v>0</v>
      </c>
      <c r="AQ725" s="2">
        <f>IF((2*G725 + M725 -P725 + 3*W725 + 2*Z725+2*AD725 + AG725+2*AJ725 + 4*AM725) &gt;=8,1,0)</f>
        <v>0</v>
      </c>
    </row>
    <row r="726" spans="1:43" x14ac:dyDescent="0.25">
      <c r="A726" t="s">
        <v>27</v>
      </c>
      <c r="B726" s="1">
        <v>39438</v>
      </c>
      <c r="C726" s="7">
        <f t="shared" si="128"/>
        <v>2007</v>
      </c>
      <c r="D726">
        <v>55</v>
      </c>
      <c r="E726">
        <v>40.200000000000003</v>
      </c>
      <c r="F726">
        <v>47.2</v>
      </c>
      <c r="G726" s="2">
        <f t="shared" si="137"/>
        <v>0</v>
      </c>
      <c r="H726">
        <v>55</v>
      </c>
      <c r="I726">
        <v>36.9</v>
      </c>
      <c r="J726">
        <v>44.7</v>
      </c>
      <c r="K726">
        <v>36.700000000000003</v>
      </c>
      <c r="L726">
        <v>67.3</v>
      </c>
      <c r="M726" s="2">
        <f t="shared" si="129"/>
        <v>0</v>
      </c>
      <c r="N726">
        <v>0</v>
      </c>
      <c r="P726" s="2">
        <f t="shared" si="130"/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s="2">
        <f t="shared" si="131"/>
        <v>0</v>
      </c>
      <c r="X726">
        <v>12.9</v>
      </c>
      <c r="Z726" s="2">
        <f t="shared" si="132"/>
        <v>0</v>
      </c>
      <c r="AA726">
        <v>334.3</v>
      </c>
      <c r="AB726" s="2" t="str">
        <f>CHOOSE(MATCH(AA726,{0;11;80;111;161;191;241;281;341},1),"North","NorthEast","East","SouthEast","South","SouthWest","West","NorthWest","North")</f>
        <v>NorthWest</v>
      </c>
      <c r="AC726" s="5">
        <f>CHOOSE(MATCH(AB726,{"South";"SouthEast";"SouthWest";"North";"NorthEast";"East";"West";"NorthWest"},0),1,2,3,4,5,6,7,8)</f>
        <v>8</v>
      </c>
      <c r="AD726" s="2">
        <f t="shared" si="133"/>
        <v>1</v>
      </c>
      <c r="AE726">
        <v>1030.5999999999999</v>
      </c>
      <c r="AF726" s="4" t="s">
        <v>1281</v>
      </c>
      <c r="AG726" s="2">
        <f t="shared" si="134"/>
        <v>1</v>
      </c>
      <c r="AH726" t="s">
        <v>1282</v>
      </c>
      <c r="AI726" s="2">
        <f t="shared" si="135"/>
        <v>12</v>
      </c>
      <c r="AJ726" s="2">
        <f t="shared" si="136"/>
        <v>0</v>
      </c>
      <c r="AK726" s="3">
        <v>120.9999999962747</v>
      </c>
      <c r="AM726" s="2">
        <v>0</v>
      </c>
      <c r="AN726">
        <v>0</v>
      </c>
      <c r="AO726">
        <v>0.05</v>
      </c>
      <c r="AP726">
        <v>0</v>
      </c>
      <c r="AQ726" s="2">
        <f>IF((2*G726 + M726 -P726 + 3*W726 + 2*Z726+2*AD726 + AG726+2*AJ726 + 4*AM726) &gt;=8,1,0)</f>
        <v>0</v>
      </c>
    </row>
    <row r="727" spans="1:43" x14ac:dyDescent="0.25">
      <c r="A727" t="s">
        <v>27</v>
      </c>
      <c r="B727" s="1">
        <v>39441</v>
      </c>
      <c r="C727" s="7">
        <f t="shared" si="128"/>
        <v>2007</v>
      </c>
      <c r="D727">
        <v>54.3</v>
      </c>
      <c r="E727">
        <v>44.4</v>
      </c>
      <c r="F727">
        <v>50.1</v>
      </c>
      <c r="G727" s="2">
        <f t="shared" si="137"/>
        <v>0</v>
      </c>
      <c r="H727">
        <v>54.3</v>
      </c>
      <c r="I727">
        <v>42.2</v>
      </c>
      <c r="J727">
        <v>49.9</v>
      </c>
      <c r="K727">
        <v>43.2</v>
      </c>
      <c r="L727">
        <v>77.5</v>
      </c>
      <c r="M727" s="2">
        <f t="shared" si="129"/>
        <v>0</v>
      </c>
      <c r="N727">
        <v>0</v>
      </c>
      <c r="P727" s="2">
        <f t="shared" si="130"/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s="2">
        <f t="shared" si="131"/>
        <v>0</v>
      </c>
      <c r="X727">
        <v>7.3</v>
      </c>
      <c r="Z727" s="2">
        <f t="shared" si="132"/>
        <v>0</v>
      </c>
      <c r="AA727">
        <v>25.7</v>
      </c>
      <c r="AB727" s="2" t="str">
        <f>CHOOSE(MATCH(AA727,{0;11;80;111;161;191;241;281;341},1),"North","NorthEast","East","SouthEast","South","SouthWest","West","NorthWest","North")</f>
        <v>NorthEast</v>
      </c>
      <c r="AC727" s="5">
        <f>CHOOSE(MATCH(AB727,{"South";"SouthEast";"SouthWest";"North";"NorthEast";"East";"West";"NorthWest"},0),1,2,3,4,5,6,7,8)</f>
        <v>5</v>
      </c>
      <c r="AD727" s="2">
        <f t="shared" si="133"/>
        <v>1</v>
      </c>
      <c r="AE727">
        <v>1024.4000000000001</v>
      </c>
      <c r="AF727" s="4" t="s">
        <v>1071</v>
      </c>
      <c r="AG727" s="2">
        <f t="shared" si="134"/>
        <v>1</v>
      </c>
      <c r="AH727" t="s">
        <v>1283</v>
      </c>
      <c r="AI727" s="2">
        <f t="shared" si="135"/>
        <v>12</v>
      </c>
      <c r="AJ727" s="2">
        <f t="shared" si="136"/>
        <v>0</v>
      </c>
      <c r="AK727" s="3">
        <v>120.9999999962747</v>
      </c>
      <c r="AM727" s="2">
        <v>0</v>
      </c>
      <c r="AN727">
        <v>0</v>
      </c>
      <c r="AO727">
        <v>3</v>
      </c>
      <c r="AP727">
        <v>0</v>
      </c>
      <c r="AQ727" s="2">
        <f>IF((2*G727 + M727 -P727 + 3*W727 + 2*Z727+2*AD727 + AG727+2*AJ727 + 4*AM727) &gt;=8,1,0)</f>
        <v>0</v>
      </c>
    </row>
    <row r="728" spans="1:43" x14ac:dyDescent="0.25">
      <c r="A728" t="s">
        <v>27</v>
      </c>
      <c r="B728" s="1">
        <v>39444</v>
      </c>
      <c r="C728" s="7">
        <f t="shared" si="128"/>
        <v>2007</v>
      </c>
      <c r="D728">
        <v>54.8</v>
      </c>
      <c r="E728">
        <v>48</v>
      </c>
      <c r="F728">
        <v>50.4</v>
      </c>
      <c r="G728" s="2">
        <f t="shared" si="137"/>
        <v>0</v>
      </c>
      <c r="H728">
        <v>54.8</v>
      </c>
      <c r="I728">
        <v>42.9</v>
      </c>
      <c r="J728">
        <v>47.5</v>
      </c>
      <c r="K728">
        <v>37.200000000000003</v>
      </c>
      <c r="L728">
        <v>60.8</v>
      </c>
      <c r="M728" s="2">
        <f t="shared" si="129"/>
        <v>0</v>
      </c>
      <c r="N728">
        <v>0</v>
      </c>
      <c r="P728" s="2">
        <f t="shared" si="130"/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s="2">
        <f t="shared" si="131"/>
        <v>0</v>
      </c>
      <c r="X728">
        <v>20.9</v>
      </c>
      <c r="Z728" s="2">
        <f t="shared" si="132"/>
        <v>1</v>
      </c>
      <c r="AA728">
        <v>1.4</v>
      </c>
      <c r="AB728" s="2" t="str">
        <f>CHOOSE(MATCH(AA728,{0;11;80;111;161;191;241;281;341},1),"North","NorthEast","East","SouthEast","South","SouthWest","West","NorthWest","North")</f>
        <v>North</v>
      </c>
      <c r="AC728" s="5">
        <f>CHOOSE(MATCH(AB728,{"South";"SouthEast";"SouthWest";"North";"NorthEast";"East";"West";"NorthWest"},0),1,2,3,4,5,6,7,8)</f>
        <v>4</v>
      </c>
      <c r="AD728" s="2">
        <f t="shared" si="133"/>
        <v>1</v>
      </c>
      <c r="AE728">
        <v>1030.2</v>
      </c>
      <c r="AF728" s="4" t="s">
        <v>1284</v>
      </c>
      <c r="AG728" s="2">
        <f t="shared" si="134"/>
        <v>0</v>
      </c>
      <c r="AH728" t="s">
        <v>1285</v>
      </c>
      <c r="AI728" s="2">
        <f t="shared" si="135"/>
        <v>12</v>
      </c>
      <c r="AJ728" s="2">
        <f t="shared" si="136"/>
        <v>0</v>
      </c>
      <c r="AK728" s="3">
        <v>431.99999999371357</v>
      </c>
      <c r="AM728" s="2">
        <v>1</v>
      </c>
      <c r="AN728">
        <v>4</v>
      </c>
      <c r="AO728">
        <v>0</v>
      </c>
      <c r="AP728">
        <v>0</v>
      </c>
      <c r="AQ728" s="2">
        <f>IF((2*G728 + M728 -P728 + 3*W728 + 2*Z728+2*AD728 + AG728+2*AJ728 + 4*AM728) &gt;=8,1,0)</f>
        <v>0</v>
      </c>
    </row>
    <row r="729" spans="1:43" x14ac:dyDescent="0.25">
      <c r="A729" t="s">
        <v>27</v>
      </c>
      <c r="B729" s="1">
        <v>39446</v>
      </c>
      <c r="C729" s="7">
        <f t="shared" si="128"/>
        <v>2007</v>
      </c>
      <c r="D729">
        <v>52.9</v>
      </c>
      <c r="E729">
        <v>41.8</v>
      </c>
      <c r="F729">
        <v>46.4</v>
      </c>
      <c r="G729" s="2">
        <f t="shared" si="137"/>
        <v>0</v>
      </c>
      <c r="H729">
        <v>52.9</v>
      </c>
      <c r="I729">
        <v>36.700000000000003</v>
      </c>
      <c r="J729">
        <v>43.1</v>
      </c>
      <c r="K729">
        <v>34.5</v>
      </c>
      <c r="L729">
        <v>63.6</v>
      </c>
      <c r="M729" s="2">
        <f t="shared" si="129"/>
        <v>0</v>
      </c>
      <c r="N729">
        <v>0</v>
      </c>
      <c r="P729" s="2">
        <f t="shared" si="130"/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s="2">
        <f t="shared" si="131"/>
        <v>0</v>
      </c>
      <c r="X729">
        <v>16.100000000000001</v>
      </c>
      <c r="Z729" s="2">
        <f t="shared" si="132"/>
        <v>1</v>
      </c>
      <c r="AA729">
        <v>348.4</v>
      </c>
      <c r="AB729" s="2" t="str">
        <f>CHOOSE(MATCH(AA729,{0;11;80;111;161;191;241;281;341},1),"North","NorthEast","East","SouthEast","South","SouthWest","West","NorthWest","North")</f>
        <v>North</v>
      </c>
      <c r="AC729" s="5">
        <f>CHOOSE(MATCH(AB729,{"South";"SouthEast";"SouthWest";"North";"NorthEast";"East";"West";"NorthWest"},0),1,2,3,4,5,6,7,8)</f>
        <v>4</v>
      </c>
      <c r="AD729" s="2">
        <f t="shared" si="133"/>
        <v>1</v>
      </c>
      <c r="AE729">
        <v>1022.8</v>
      </c>
      <c r="AF729" s="4" t="s">
        <v>1286</v>
      </c>
      <c r="AG729" s="2">
        <f t="shared" si="134"/>
        <v>0</v>
      </c>
      <c r="AH729" t="s">
        <v>1287</v>
      </c>
      <c r="AI729" s="2">
        <f t="shared" si="135"/>
        <v>12</v>
      </c>
      <c r="AJ729" s="2">
        <f t="shared" si="136"/>
        <v>0</v>
      </c>
      <c r="AK729" s="3">
        <v>85.999999997438863</v>
      </c>
      <c r="AM729" s="2">
        <v>0</v>
      </c>
      <c r="AN729">
        <v>0</v>
      </c>
      <c r="AO729">
        <v>1</v>
      </c>
      <c r="AP729">
        <v>0</v>
      </c>
      <c r="AQ729" s="2">
        <f>IF((2*G729 + M729 -P729 + 3*W729 + 2*Z729+2*AD729 + AG729+2*AJ729 + 4*AM729) &gt;=8,1,0)</f>
        <v>0</v>
      </c>
    </row>
    <row r="730" spans="1:43" x14ac:dyDescent="0.25">
      <c r="A730" t="s">
        <v>27</v>
      </c>
      <c r="B730" s="1">
        <v>39472</v>
      </c>
      <c r="C730" s="7">
        <f t="shared" si="128"/>
        <v>2008</v>
      </c>
      <c r="D730">
        <v>50.5</v>
      </c>
      <c r="E730">
        <v>42.3</v>
      </c>
      <c r="F730">
        <v>45.8</v>
      </c>
      <c r="G730" s="2">
        <f t="shared" si="137"/>
        <v>0</v>
      </c>
      <c r="H730">
        <v>50.5</v>
      </c>
      <c r="I730">
        <v>34.4</v>
      </c>
      <c r="J730">
        <v>39.700000000000003</v>
      </c>
      <c r="K730">
        <v>29.2</v>
      </c>
      <c r="L730">
        <v>52.3</v>
      </c>
      <c r="M730" s="2">
        <f t="shared" si="129"/>
        <v>0</v>
      </c>
      <c r="N730">
        <v>0</v>
      </c>
      <c r="O730">
        <f>AVERAGE(N730:N830)</f>
        <v>7.7227722772277231E-4</v>
      </c>
      <c r="P730" s="2">
        <f t="shared" si="130"/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s="2">
        <f t="shared" si="131"/>
        <v>0</v>
      </c>
      <c r="X730">
        <v>21.8</v>
      </c>
      <c r="Y730">
        <f>AVERAGE(X730:X830)</f>
        <v>17.048514851485145</v>
      </c>
      <c r="Z730" s="2">
        <f t="shared" si="132"/>
        <v>1</v>
      </c>
      <c r="AA730">
        <v>356.7</v>
      </c>
      <c r="AB730" s="2" t="str">
        <f>CHOOSE(MATCH(AA730,{0;11;80;111;161;191;241;281;341},1),"North","NorthEast","East","SouthEast","South","SouthWest","West","NorthWest","North")</f>
        <v>North</v>
      </c>
      <c r="AC730" s="5">
        <f>CHOOSE(MATCH(AB730,{"South";"SouthEast";"SouthWest";"North";"NorthEast";"East";"West";"NorthWest"},0),1,2,3,4,5,6,7,8)</f>
        <v>4</v>
      </c>
      <c r="AD730" s="2">
        <f t="shared" si="133"/>
        <v>1</v>
      </c>
      <c r="AE730">
        <v>1027.5</v>
      </c>
      <c r="AF730" s="4" t="s">
        <v>1288</v>
      </c>
      <c r="AG730" s="2">
        <f t="shared" si="134"/>
        <v>0</v>
      </c>
      <c r="AH730" t="s">
        <v>1289</v>
      </c>
      <c r="AI730" s="2">
        <f t="shared" si="135"/>
        <v>1</v>
      </c>
      <c r="AJ730" s="2">
        <f t="shared" si="136"/>
        <v>0</v>
      </c>
      <c r="AK730" s="3">
        <v>69.999999997671694</v>
      </c>
      <c r="AL730" s="3">
        <f>AVERAGE(AK730:AK830)</f>
        <v>1269.5742574252079</v>
      </c>
      <c r="AM730" s="2">
        <v>0</v>
      </c>
      <c r="AN730">
        <v>0</v>
      </c>
      <c r="AO730">
        <v>1</v>
      </c>
      <c r="AP730">
        <v>0</v>
      </c>
      <c r="AQ730" s="2">
        <f>IF((2*G730 + M730 -P730 + 3*W730 + 2*Z730+2*AD730 + AG730+2*AJ730 + 4*AM730) &gt;=8,1,0)</f>
        <v>0</v>
      </c>
    </row>
    <row r="731" spans="1:43" x14ac:dyDescent="0.25">
      <c r="A731" t="s">
        <v>27</v>
      </c>
      <c r="B731" s="1">
        <v>39473</v>
      </c>
      <c r="C731" s="7">
        <f t="shared" si="128"/>
        <v>2008</v>
      </c>
      <c r="D731">
        <v>51.7</v>
      </c>
      <c r="E731">
        <v>42.2</v>
      </c>
      <c r="F731">
        <v>47.2</v>
      </c>
      <c r="G731" s="2">
        <f t="shared" si="137"/>
        <v>0</v>
      </c>
      <c r="H731">
        <v>51.7</v>
      </c>
      <c r="I731">
        <v>36.700000000000003</v>
      </c>
      <c r="J731">
        <v>42.8</v>
      </c>
      <c r="K731">
        <v>32.700000000000003</v>
      </c>
      <c r="L731">
        <v>57.1</v>
      </c>
      <c r="M731" s="2">
        <f t="shared" si="129"/>
        <v>0</v>
      </c>
      <c r="N731">
        <v>0</v>
      </c>
      <c r="P731" s="2">
        <f t="shared" si="130"/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s="2">
        <f t="shared" si="131"/>
        <v>0</v>
      </c>
      <c r="X731">
        <v>24.2</v>
      </c>
      <c r="Z731" s="2">
        <f t="shared" si="132"/>
        <v>1</v>
      </c>
      <c r="AA731">
        <v>351.7</v>
      </c>
      <c r="AB731" s="2" t="str">
        <f>CHOOSE(MATCH(AA731,{0;11;80;111;161;191;241;281;341},1),"North","NorthEast","East","SouthEast","South","SouthWest","West","NorthWest","North")</f>
        <v>North</v>
      </c>
      <c r="AC731" s="5">
        <f>CHOOSE(MATCH(AB731,{"South";"SouthEast";"SouthWest";"North";"NorthEast";"East";"West";"NorthWest"},0),1,2,3,4,5,6,7,8)</f>
        <v>4</v>
      </c>
      <c r="AD731" s="2">
        <f t="shared" si="133"/>
        <v>1</v>
      </c>
      <c r="AE731">
        <v>1027.3</v>
      </c>
      <c r="AF731" s="4" t="s">
        <v>298</v>
      </c>
      <c r="AG731" s="2">
        <f t="shared" si="134"/>
        <v>1</v>
      </c>
      <c r="AH731" t="s">
        <v>1290</v>
      </c>
      <c r="AI731" s="2">
        <f t="shared" si="135"/>
        <v>1</v>
      </c>
      <c r="AJ731" s="2">
        <f t="shared" si="136"/>
        <v>0</v>
      </c>
      <c r="AK731" s="3">
        <v>230.00000000582079</v>
      </c>
      <c r="AM731" s="2">
        <v>0</v>
      </c>
      <c r="AN731">
        <v>0</v>
      </c>
      <c r="AO731">
        <v>1</v>
      </c>
      <c r="AP731">
        <v>0</v>
      </c>
      <c r="AQ731" s="2">
        <f>IF((2*G731 + M731 -P731 + 3*W731 + 2*Z731+2*AD731 + AG731+2*AJ731 + 4*AM731) &gt;=8,1,0)</f>
        <v>0</v>
      </c>
    </row>
    <row r="732" spans="1:43" x14ac:dyDescent="0.25">
      <c r="A732" t="s">
        <v>27</v>
      </c>
      <c r="B732" s="1">
        <v>39477</v>
      </c>
      <c r="C732" s="7">
        <f t="shared" si="128"/>
        <v>2008</v>
      </c>
      <c r="D732">
        <v>50.9</v>
      </c>
      <c r="E732">
        <v>32.700000000000003</v>
      </c>
      <c r="F732">
        <v>40.9</v>
      </c>
      <c r="G732" s="2">
        <f t="shared" si="137"/>
        <v>0</v>
      </c>
      <c r="H732">
        <v>50.9</v>
      </c>
      <c r="I732">
        <v>26.7</v>
      </c>
      <c r="J732">
        <v>38.1</v>
      </c>
      <c r="K732">
        <v>26.3</v>
      </c>
      <c r="L732">
        <v>57.4</v>
      </c>
      <c r="M732" s="2">
        <f t="shared" si="129"/>
        <v>0</v>
      </c>
      <c r="N732">
        <v>8.9999999999999993E-3</v>
      </c>
      <c r="P732" s="2">
        <f t="shared" si="130"/>
        <v>1</v>
      </c>
      <c r="Q732">
        <v>100</v>
      </c>
      <c r="R732">
        <v>4.17</v>
      </c>
      <c r="S732" t="s">
        <v>923</v>
      </c>
      <c r="T732">
        <v>0</v>
      </c>
      <c r="U732">
        <v>0</v>
      </c>
      <c r="V732">
        <v>0</v>
      </c>
      <c r="W732" s="2">
        <f t="shared" si="131"/>
        <v>0</v>
      </c>
      <c r="X732">
        <v>9.4</v>
      </c>
      <c r="Z732" s="2">
        <f t="shared" si="132"/>
        <v>0</v>
      </c>
      <c r="AA732">
        <v>331.1</v>
      </c>
      <c r="AB732" s="2" t="str">
        <f>CHOOSE(MATCH(AA732,{0;11;80;111;161;191;241;281;341},1),"North","NorthEast","East","SouthEast","South","SouthWest","West","NorthWest","North")</f>
        <v>NorthWest</v>
      </c>
      <c r="AC732" s="5">
        <f>CHOOSE(MATCH(AB732,{"South";"SouthEast";"SouthWest";"North";"NorthEast";"East";"West";"NorthWest"},0),1,2,3,4,5,6,7,8)</f>
        <v>8</v>
      </c>
      <c r="AD732" s="2">
        <f t="shared" si="133"/>
        <v>1</v>
      </c>
      <c r="AE732">
        <v>1027.9000000000001</v>
      </c>
      <c r="AF732" s="4" t="s">
        <v>1291</v>
      </c>
      <c r="AG732" s="2">
        <f t="shared" si="134"/>
        <v>1</v>
      </c>
      <c r="AH732" t="s">
        <v>1292</v>
      </c>
      <c r="AI732" s="2">
        <f t="shared" si="135"/>
        <v>1</v>
      </c>
      <c r="AJ732" s="2">
        <f t="shared" si="136"/>
        <v>0</v>
      </c>
      <c r="AK732" s="3">
        <v>49.000000002561137</v>
      </c>
      <c r="AM732" s="2">
        <v>0</v>
      </c>
      <c r="AN732">
        <v>0</v>
      </c>
      <c r="AO732">
        <v>1</v>
      </c>
      <c r="AP732">
        <v>0</v>
      </c>
      <c r="AQ732" s="2">
        <f>IF((2*G732 + M732 -P732 + 3*W732 + 2*Z732+2*AD732 + AG732+2*AJ732 + 4*AM732) &gt;=8,1,0)</f>
        <v>0</v>
      </c>
    </row>
    <row r="733" spans="1:43" x14ac:dyDescent="0.25">
      <c r="A733" t="s">
        <v>27</v>
      </c>
      <c r="B733" s="1">
        <v>39500</v>
      </c>
      <c r="C733" s="7">
        <f t="shared" si="128"/>
        <v>2008</v>
      </c>
      <c r="D733">
        <v>61</v>
      </c>
      <c r="E733">
        <v>46.3</v>
      </c>
      <c r="F733">
        <v>52.6</v>
      </c>
      <c r="G733" s="2">
        <f t="shared" si="137"/>
        <v>0</v>
      </c>
      <c r="H733">
        <v>61</v>
      </c>
      <c r="I733">
        <v>44.4</v>
      </c>
      <c r="J733">
        <v>52.3</v>
      </c>
      <c r="K733">
        <v>43.7</v>
      </c>
      <c r="L733">
        <v>72.7</v>
      </c>
      <c r="M733" s="2">
        <f t="shared" si="129"/>
        <v>0</v>
      </c>
      <c r="N733">
        <v>0</v>
      </c>
      <c r="P733" s="2">
        <f t="shared" si="130"/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s="2">
        <f t="shared" si="131"/>
        <v>0</v>
      </c>
      <c r="X733">
        <v>6.3</v>
      </c>
      <c r="Z733" s="2">
        <f t="shared" si="132"/>
        <v>0</v>
      </c>
      <c r="AA733">
        <v>333.8</v>
      </c>
      <c r="AB733" s="2" t="str">
        <f>CHOOSE(MATCH(AA733,{0;11;80;111;161;191;241;281;341},1),"North","NorthEast","East","SouthEast","South","SouthWest","West","NorthWest","North")</f>
        <v>NorthWest</v>
      </c>
      <c r="AC733" s="5">
        <f>CHOOSE(MATCH(AB733,{"South";"SouthEast";"SouthWest";"North";"NorthEast";"East";"West";"NorthWest"},0),1,2,3,4,5,6,7,8)</f>
        <v>8</v>
      </c>
      <c r="AD733" s="2">
        <f t="shared" si="133"/>
        <v>1</v>
      </c>
      <c r="AE733">
        <v>1027.9000000000001</v>
      </c>
      <c r="AF733" s="4" t="s">
        <v>267</v>
      </c>
      <c r="AG733" s="2">
        <f t="shared" si="134"/>
        <v>0</v>
      </c>
      <c r="AH733" t="s">
        <v>1293</v>
      </c>
      <c r="AI733" s="2">
        <f t="shared" si="135"/>
        <v>2</v>
      </c>
      <c r="AJ733" s="2">
        <f t="shared" si="136"/>
        <v>0</v>
      </c>
      <c r="AK733" s="3">
        <v>139.99999999534339</v>
      </c>
      <c r="AM733" s="2">
        <v>0</v>
      </c>
      <c r="AN733">
        <v>0</v>
      </c>
      <c r="AO733">
        <v>1</v>
      </c>
      <c r="AP733">
        <v>0</v>
      </c>
      <c r="AQ733" s="2">
        <f>IF((2*G733 + M733 -P733 + 3*W733 + 2*Z733+2*AD733 + AG733+2*AJ733 + 4*AM733) &gt;=8,1,0)</f>
        <v>0</v>
      </c>
    </row>
    <row r="734" spans="1:43" x14ac:dyDescent="0.25">
      <c r="A734" t="s">
        <v>27</v>
      </c>
      <c r="B734" s="1">
        <v>39513</v>
      </c>
      <c r="C734" s="7">
        <f t="shared" si="128"/>
        <v>2008</v>
      </c>
      <c r="D734">
        <v>65.2</v>
      </c>
      <c r="E734">
        <v>51.4</v>
      </c>
      <c r="F734">
        <v>58</v>
      </c>
      <c r="G734" s="2">
        <f t="shared" si="137"/>
        <v>0</v>
      </c>
      <c r="H734">
        <v>65.2</v>
      </c>
      <c r="I734">
        <v>51.4</v>
      </c>
      <c r="J734">
        <v>58</v>
      </c>
      <c r="K734">
        <v>51.5</v>
      </c>
      <c r="L734">
        <v>79.8</v>
      </c>
      <c r="M734" s="2">
        <f t="shared" si="129"/>
        <v>0</v>
      </c>
      <c r="N734">
        <v>0</v>
      </c>
      <c r="P734" s="2">
        <f t="shared" si="130"/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s="2">
        <f t="shared" si="131"/>
        <v>0</v>
      </c>
      <c r="X734">
        <v>10.3</v>
      </c>
      <c r="Z734" s="2">
        <f t="shared" si="132"/>
        <v>0</v>
      </c>
      <c r="AA734">
        <v>84.9</v>
      </c>
      <c r="AB734" s="2" t="str">
        <f>CHOOSE(MATCH(AA734,{0;11;80;111;161;191;241;281;341},1),"North","NorthEast","East","SouthEast","South","SouthWest","West","NorthWest","North")</f>
        <v>East</v>
      </c>
      <c r="AC734" s="5">
        <f>CHOOSE(MATCH(AB734,{"South";"SouthEast";"SouthWest";"North";"NorthEast";"East";"West";"NorthWest"},0),1,2,3,4,5,6,7,8)</f>
        <v>6</v>
      </c>
      <c r="AD734" s="2">
        <f t="shared" si="133"/>
        <v>0</v>
      </c>
      <c r="AE734">
        <v>1015.6</v>
      </c>
      <c r="AF734" s="4" t="s">
        <v>1294</v>
      </c>
      <c r="AG734" s="2">
        <f t="shared" si="134"/>
        <v>0</v>
      </c>
      <c r="AH734" t="s">
        <v>1295</v>
      </c>
      <c r="AI734" s="2">
        <f t="shared" si="135"/>
        <v>3</v>
      </c>
      <c r="AJ734" s="2">
        <f t="shared" si="136"/>
        <v>0</v>
      </c>
      <c r="AK734" s="3">
        <v>100.0000000011642</v>
      </c>
      <c r="AM734" s="2">
        <v>0</v>
      </c>
      <c r="AN734">
        <v>0</v>
      </c>
      <c r="AO734">
        <v>0.05</v>
      </c>
      <c r="AP734">
        <v>0</v>
      </c>
      <c r="AQ734" s="2">
        <f>IF((2*G734 + M734 -P734 + 3*W734 + 2*Z734+2*AD734 + AG734+2*AJ734 + 4*AM734) &gt;=8,1,0)</f>
        <v>0</v>
      </c>
    </row>
    <row r="735" spans="1:43" x14ac:dyDescent="0.25">
      <c r="A735" t="s">
        <v>27</v>
      </c>
      <c r="B735" s="1">
        <v>39517</v>
      </c>
      <c r="C735" s="7">
        <f t="shared" si="128"/>
        <v>2008</v>
      </c>
      <c r="D735">
        <v>64.2</v>
      </c>
      <c r="E735">
        <v>45.6</v>
      </c>
      <c r="F735">
        <v>54.4</v>
      </c>
      <c r="G735" s="2">
        <f t="shared" si="137"/>
        <v>0</v>
      </c>
      <c r="H735">
        <v>64.2</v>
      </c>
      <c r="I735">
        <v>45.6</v>
      </c>
      <c r="J735">
        <v>54.4</v>
      </c>
      <c r="K735">
        <v>40.299999999999997</v>
      </c>
      <c r="L735">
        <v>60.6</v>
      </c>
      <c r="M735" s="2">
        <f t="shared" si="129"/>
        <v>0</v>
      </c>
      <c r="N735">
        <v>0</v>
      </c>
      <c r="P735" s="2">
        <f t="shared" si="130"/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s="2">
        <f t="shared" si="131"/>
        <v>0</v>
      </c>
      <c r="X735">
        <v>12.7</v>
      </c>
      <c r="Z735" s="2">
        <f t="shared" si="132"/>
        <v>0</v>
      </c>
      <c r="AA735">
        <v>268.5</v>
      </c>
      <c r="AB735" s="2" t="str">
        <f>CHOOSE(MATCH(AA735,{0;11;80;111;161;191;241;281;341},1),"North","NorthEast","East","SouthEast","South","SouthWest","West","NorthWest","North")</f>
        <v>West</v>
      </c>
      <c r="AC735" s="5">
        <f>CHOOSE(MATCH(AB735,{"South";"SouthEast";"SouthWest";"North";"NorthEast";"East";"West";"NorthWest"},0),1,2,3,4,5,6,7,8)</f>
        <v>7</v>
      </c>
      <c r="AD735" s="2">
        <f t="shared" si="133"/>
        <v>0</v>
      </c>
      <c r="AE735">
        <v>1013.7</v>
      </c>
      <c r="AF735" s="4" t="s">
        <v>550</v>
      </c>
      <c r="AG735" s="2">
        <f t="shared" si="134"/>
        <v>1</v>
      </c>
      <c r="AH735" t="s">
        <v>1296</v>
      </c>
      <c r="AI735" s="2">
        <f t="shared" si="135"/>
        <v>3</v>
      </c>
      <c r="AJ735" s="2">
        <f t="shared" si="136"/>
        <v>0</v>
      </c>
      <c r="AK735" s="3">
        <v>40.000000004656613</v>
      </c>
      <c r="AM735" s="2">
        <v>0</v>
      </c>
      <c r="AN735">
        <v>0</v>
      </c>
      <c r="AO735">
        <v>0.05</v>
      </c>
      <c r="AP735">
        <v>0</v>
      </c>
      <c r="AQ735" s="2">
        <f>IF((2*G735 + M735 -P735 + 3*W735 + 2*Z735+2*AD735 + AG735+2*AJ735 + 4*AM735) &gt;=8,1,0)</f>
        <v>0</v>
      </c>
    </row>
    <row r="736" spans="1:43" x14ac:dyDescent="0.25">
      <c r="A736" t="s">
        <v>27</v>
      </c>
      <c r="B736" s="1">
        <v>39521</v>
      </c>
      <c r="C736" s="7">
        <f t="shared" si="128"/>
        <v>2008</v>
      </c>
      <c r="D736">
        <v>65.3</v>
      </c>
      <c r="E736">
        <v>50</v>
      </c>
      <c r="F736">
        <v>57</v>
      </c>
      <c r="G736" s="2">
        <f t="shared" si="137"/>
        <v>0</v>
      </c>
      <c r="H736">
        <v>65.3</v>
      </c>
      <c r="I736">
        <v>49.1</v>
      </c>
      <c r="J736">
        <v>57</v>
      </c>
      <c r="K736">
        <v>36.6</v>
      </c>
      <c r="L736">
        <v>47.8</v>
      </c>
      <c r="M736" s="2">
        <f t="shared" si="129"/>
        <v>1</v>
      </c>
      <c r="N736">
        <v>0</v>
      </c>
      <c r="P736" s="2">
        <f t="shared" si="130"/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s="2">
        <f t="shared" si="131"/>
        <v>0</v>
      </c>
      <c r="X736">
        <v>14.1</v>
      </c>
      <c r="Z736" s="2">
        <f t="shared" si="132"/>
        <v>0</v>
      </c>
      <c r="AA736">
        <v>347.9</v>
      </c>
      <c r="AB736" s="2" t="str">
        <f>CHOOSE(MATCH(AA736,{0;11;80;111;161;191;241;281;341},1),"North","NorthEast","East","SouthEast","South","SouthWest","West","NorthWest","North")</f>
        <v>North</v>
      </c>
      <c r="AC736" s="5">
        <f>CHOOSE(MATCH(AB736,{"South";"SouthEast";"SouthWest";"North";"NorthEast";"East";"West";"NorthWest"},0),1,2,3,4,5,6,7,8)</f>
        <v>4</v>
      </c>
      <c r="AD736" s="2">
        <f t="shared" si="133"/>
        <v>1</v>
      </c>
      <c r="AE736">
        <v>1015.8</v>
      </c>
      <c r="AF736" s="4" t="s">
        <v>1297</v>
      </c>
      <c r="AG736" s="2">
        <f t="shared" si="134"/>
        <v>1</v>
      </c>
      <c r="AH736" t="s">
        <v>1298</v>
      </c>
      <c r="AI736" s="2">
        <f t="shared" si="135"/>
        <v>3</v>
      </c>
      <c r="AJ736" s="2">
        <f t="shared" si="136"/>
        <v>0</v>
      </c>
      <c r="AK736" s="3">
        <v>245.99999999511061</v>
      </c>
      <c r="AM736" s="2">
        <v>0</v>
      </c>
      <c r="AN736">
        <v>0</v>
      </c>
      <c r="AO736">
        <v>5</v>
      </c>
      <c r="AP736">
        <v>0</v>
      </c>
      <c r="AQ736" s="2">
        <f>IF((2*G736 + M736 -P736 + 3*W736 + 2*Z736+2*AD736 + AG736+2*AJ736 + 4*AM736) &gt;=8,1,0)</f>
        <v>0</v>
      </c>
    </row>
    <row r="737" spans="1:43" x14ac:dyDescent="0.25">
      <c r="A737" t="s">
        <v>27</v>
      </c>
      <c r="B737" s="1">
        <v>39530</v>
      </c>
      <c r="C737" s="7">
        <f t="shared" si="128"/>
        <v>2008</v>
      </c>
      <c r="D737">
        <v>67.099999999999994</v>
      </c>
      <c r="E737">
        <v>49.1</v>
      </c>
      <c r="F737">
        <v>57.5</v>
      </c>
      <c r="G737" s="2">
        <f t="shared" si="137"/>
        <v>0</v>
      </c>
      <c r="H737">
        <v>67.099999999999994</v>
      </c>
      <c r="I737">
        <v>49.1</v>
      </c>
      <c r="J737">
        <v>57.5</v>
      </c>
      <c r="K737">
        <v>49.7</v>
      </c>
      <c r="L737">
        <v>75.900000000000006</v>
      </c>
      <c r="M737" s="2">
        <f t="shared" si="129"/>
        <v>0</v>
      </c>
      <c r="N737">
        <v>0</v>
      </c>
      <c r="P737" s="2">
        <f t="shared" si="130"/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s="2">
        <f t="shared" si="131"/>
        <v>0</v>
      </c>
      <c r="X737">
        <v>8.1</v>
      </c>
      <c r="Z737" s="2">
        <f t="shared" si="132"/>
        <v>0</v>
      </c>
      <c r="AA737">
        <v>263.2</v>
      </c>
      <c r="AB737" s="2" t="str">
        <f>CHOOSE(MATCH(AA737,{0;11;80;111;161;191;241;281;341},1),"North","NorthEast","East","SouthEast","South","SouthWest","West","NorthWest","North")</f>
        <v>West</v>
      </c>
      <c r="AC737" s="5">
        <f>CHOOSE(MATCH(AB737,{"South";"SouthEast";"SouthWest";"North";"NorthEast";"East";"West";"NorthWest"},0),1,2,3,4,5,6,7,8)</f>
        <v>7</v>
      </c>
      <c r="AD737" s="2">
        <f t="shared" si="133"/>
        <v>0</v>
      </c>
      <c r="AE737">
        <v>1000.7</v>
      </c>
      <c r="AF737" s="4" t="s">
        <v>1299</v>
      </c>
      <c r="AG737" s="2">
        <f t="shared" si="134"/>
        <v>1</v>
      </c>
      <c r="AH737" t="s">
        <v>1300</v>
      </c>
      <c r="AI737" s="2">
        <f t="shared" si="135"/>
        <v>3</v>
      </c>
      <c r="AJ737" s="2">
        <f t="shared" si="136"/>
        <v>0</v>
      </c>
      <c r="AK737" s="3">
        <v>895.99999999743886</v>
      </c>
      <c r="AM737" s="2">
        <v>1</v>
      </c>
      <c r="AN737">
        <v>0</v>
      </c>
      <c r="AO737">
        <v>1</v>
      </c>
      <c r="AP737">
        <v>0</v>
      </c>
      <c r="AQ737" s="2">
        <f>IF((2*G737 + M737 -P737 + 3*W737 + 2*Z737+2*AD737 + AG737+2*AJ737 + 4*AM737) &gt;=8,1,0)</f>
        <v>0</v>
      </c>
    </row>
    <row r="738" spans="1:43" x14ac:dyDescent="0.25">
      <c r="A738" t="s">
        <v>27</v>
      </c>
      <c r="B738" s="1">
        <v>39546</v>
      </c>
      <c r="C738" s="7">
        <f t="shared" si="128"/>
        <v>2008</v>
      </c>
      <c r="D738">
        <v>68.900000000000006</v>
      </c>
      <c r="E738">
        <v>47.3</v>
      </c>
      <c r="F738">
        <v>58.7</v>
      </c>
      <c r="G738" s="2">
        <f t="shared" si="137"/>
        <v>0</v>
      </c>
      <c r="H738">
        <v>68.900000000000006</v>
      </c>
      <c r="I738">
        <v>47.3</v>
      </c>
      <c r="J738">
        <v>58.7</v>
      </c>
      <c r="K738">
        <v>45.3</v>
      </c>
      <c r="L738">
        <v>62.4</v>
      </c>
      <c r="M738" s="2">
        <f t="shared" si="129"/>
        <v>0</v>
      </c>
      <c r="N738">
        <v>0</v>
      </c>
      <c r="P738" s="2">
        <f t="shared" si="130"/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s="2">
        <f t="shared" si="131"/>
        <v>0</v>
      </c>
      <c r="X738">
        <v>7.9</v>
      </c>
      <c r="Z738" s="2">
        <f t="shared" si="132"/>
        <v>0</v>
      </c>
      <c r="AA738">
        <v>186.5</v>
      </c>
      <c r="AB738" s="2" t="str">
        <f>CHOOSE(MATCH(AA738,{0;11;80;111;161;191;241;281;341},1),"North","NorthEast","East","SouthEast","South","SouthWest","West","NorthWest","North")</f>
        <v>South</v>
      </c>
      <c r="AC738" s="5">
        <f>CHOOSE(MATCH(AB738,{"South";"SouthEast";"SouthWest";"North";"NorthEast";"East";"West";"NorthWest"},0),1,2,3,4,5,6,7,8)</f>
        <v>1</v>
      </c>
      <c r="AD738" s="2">
        <f t="shared" si="133"/>
        <v>0</v>
      </c>
      <c r="AE738">
        <v>1013.9</v>
      </c>
      <c r="AF738" s="4" t="s">
        <v>317</v>
      </c>
      <c r="AG738" s="2">
        <f t="shared" si="134"/>
        <v>0</v>
      </c>
      <c r="AH738" t="s">
        <v>1301</v>
      </c>
      <c r="AI738" s="2">
        <f t="shared" si="135"/>
        <v>4</v>
      </c>
      <c r="AJ738" s="2">
        <f t="shared" si="136"/>
        <v>0</v>
      </c>
      <c r="AK738" s="3">
        <v>40.999999997438863</v>
      </c>
      <c r="AM738" s="2">
        <v>0</v>
      </c>
      <c r="AN738">
        <v>0</v>
      </c>
      <c r="AO738">
        <v>0.05</v>
      </c>
      <c r="AP738">
        <v>0</v>
      </c>
      <c r="AQ738" s="2">
        <f>IF((2*G738 + M738 -P738 + 3*W738 + 2*Z738+2*AD738 + AG738+2*AJ738 + 4*AM738) &gt;=8,1,0)</f>
        <v>0</v>
      </c>
    </row>
    <row r="739" spans="1:43" x14ac:dyDescent="0.25">
      <c r="A739" t="s">
        <v>27</v>
      </c>
      <c r="B739" s="1">
        <v>39547</v>
      </c>
      <c r="C739" s="7">
        <f t="shared" si="128"/>
        <v>2008</v>
      </c>
      <c r="D739">
        <v>69.099999999999994</v>
      </c>
      <c r="E739">
        <v>56.2</v>
      </c>
      <c r="F739">
        <v>61.5</v>
      </c>
      <c r="G739" s="2">
        <f t="shared" si="137"/>
        <v>0</v>
      </c>
      <c r="H739">
        <v>69.099999999999994</v>
      </c>
      <c r="I739">
        <v>56.2</v>
      </c>
      <c r="J739">
        <v>61.5</v>
      </c>
      <c r="K739">
        <v>51.3</v>
      </c>
      <c r="L739">
        <v>70.2</v>
      </c>
      <c r="M739" s="2">
        <f t="shared" si="129"/>
        <v>0</v>
      </c>
      <c r="N739">
        <v>0</v>
      </c>
      <c r="P739" s="2">
        <f t="shared" si="130"/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s="2">
        <f t="shared" si="131"/>
        <v>0</v>
      </c>
      <c r="X739">
        <v>8.1999999999999993</v>
      </c>
      <c r="Z739" s="2">
        <f t="shared" si="132"/>
        <v>0</v>
      </c>
      <c r="AA739">
        <v>97.2</v>
      </c>
      <c r="AB739" s="2" t="str">
        <f>CHOOSE(MATCH(AA739,{0;11;80;111;161;191;241;281;341},1),"North","NorthEast","East","SouthEast","South","SouthWest","West","NorthWest","North")</f>
        <v>East</v>
      </c>
      <c r="AC739" s="5">
        <f>CHOOSE(MATCH(AB739,{"South";"SouthEast";"SouthWest";"North";"NorthEast";"East";"West";"NorthWest"},0),1,2,3,4,5,6,7,8)</f>
        <v>6</v>
      </c>
      <c r="AD739" s="2">
        <f t="shared" si="133"/>
        <v>0</v>
      </c>
      <c r="AE739">
        <v>1007.7</v>
      </c>
      <c r="AF739" s="4" t="s">
        <v>286</v>
      </c>
      <c r="AG739" s="2">
        <f t="shared" si="134"/>
        <v>1</v>
      </c>
      <c r="AH739" t="s">
        <v>1302</v>
      </c>
      <c r="AI739" s="2">
        <f t="shared" si="135"/>
        <v>4</v>
      </c>
      <c r="AJ739" s="2">
        <f t="shared" si="136"/>
        <v>0</v>
      </c>
      <c r="AK739" s="3">
        <v>342.9999999969732</v>
      </c>
      <c r="AM739" s="2">
        <v>0</v>
      </c>
      <c r="AN739">
        <v>3</v>
      </c>
      <c r="AO739">
        <v>0</v>
      </c>
      <c r="AP739">
        <v>0</v>
      </c>
      <c r="AQ739" s="2">
        <f>IF((2*G739 + M739 -P739 + 3*W739 + 2*Z739+2*AD739 + AG739+2*AJ739 + 4*AM739) &gt;=8,1,0)</f>
        <v>0</v>
      </c>
    </row>
    <row r="740" spans="1:43" x14ac:dyDescent="0.25">
      <c r="A740" t="s">
        <v>27</v>
      </c>
      <c r="B740" s="1">
        <v>39555</v>
      </c>
      <c r="C740" s="7">
        <f t="shared" si="128"/>
        <v>2008</v>
      </c>
      <c r="D740">
        <v>65.400000000000006</v>
      </c>
      <c r="E740">
        <v>49</v>
      </c>
      <c r="F740">
        <v>57.5</v>
      </c>
      <c r="G740" s="2">
        <f t="shared" si="137"/>
        <v>0</v>
      </c>
      <c r="H740">
        <v>65.400000000000006</v>
      </c>
      <c r="I740">
        <v>47.3</v>
      </c>
      <c r="J740">
        <v>57.4</v>
      </c>
      <c r="K740">
        <v>41.3</v>
      </c>
      <c r="L740">
        <v>56</v>
      </c>
      <c r="M740" s="2">
        <f t="shared" si="129"/>
        <v>0</v>
      </c>
      <c r="N740">
        <v>0</v>
      </c>
      <c r="P740" s="2">
        <f t="shared" si="130"/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s="2">
        <f t="shared" si="131"/>
        <v>0</v>
      </c>
      <c r="X740">
        <v>12.8</v>
      </c>
      <c r="Z740" s="2">
        <f t="shared" si="132"/>
        <v>0</v>
      </c>
      <c r="AA740">
        <v>229.7</v>
      </c>
      <c r="AB740" s="2" t="str">
        <f>CHOOSE(MATCH(AA740,{0;11;80;111;161;191;241;281;341},1),"North","NorthEast","East","SouthEast","South","SouthWest","West","NorthWest","North")</f>
        <v>SouthWest</v>
      </c>
      <c r="AC740" s="5">
        <f>CHOOSE(MATCH(AB740,{"South";"SouthEast";"SouthWest";"North";"NorthEast";"East";"West";"NorthWest"},0),1,2,3,4,5,6,7,8)</f>
        <v>3</v>
      </c>
      <c r="AD740" s="2">
        <f t="shared" si="133"/>
        <v>1</v>
      </c>
      <c r="AE740">
        <v>1017.4</v>
      </c>
      <c r="AF740" s="4" t="s">
        <v>1303</v>
      </c>
      <c r="AG740" s="2">
        <f t="shared" si="134"/>
        <v>1</v>
      </c>
      <c r="AH740" t="s">
        <v>1304</v>
      </c>
      <c r="AI740" s="2">
        <f t="shared" si="135"/>
        <v>4</v>
      </c>
      <c r="AJ740" s="2">
        <f t="shared" si="136"/>
        <v>0</v>
      </c>
      <c r="AK740" s="3">
        <v>13.00000000046566</v>
      </c>
      <c r="AM740" s="2">
        <v>0</v>
      </c>
      <c r="AN740">
        <v>0</v>
      </c>
      <c r="AO740">
        <v>2</v>
      </c>
      <c r="AP740">
        <v>0</v>
      </c>
      <c r="AQ740" s="2">
        <f>IF((2*G740 + M740 -P740 + 3*W740 + 2*Z740+2*AD740 + AG740+2*AJ740 + 4*AM740) &gt;=8,1,0)</f>
        <v>0</v>
      </c>
    </row>
    <row r="741" spans="1:43" x14ac:dyDescent="0.25">
      <c r="A741" t="s">
        <v>27</v>
      </c>
      <c r="B741" s="1">
        <v>39562</v>
      </c>
      <c r="C741" s="7">
        <f t="shared" si="128"/>
        <v>2008</v>
      </c>
      <c r="D741">
        <v>74</v>
      </c>
      <c r="E741">
        <v>57.2</v>
      </c>
      <c r="F741">
        <v>65.7</v>
      </c>
      <c r="G741" s="2">
        <f t="shared" si="137"/>
        <v>0</v>
      </c>
      <c r="H741">
        <v>74</v>
      </c>
      <c r="I741">
        <v>57.2</v>
      </c>
      <c r="J741">
        <v>65.7</v>
      </c>
      <c r="K741">
        <v>46.1</v>
      </c>
      <c r="L741">
        <v>50.4</v>
      </c>
      <c r="M741" s="2">
        <f t="shared" si="129"/>
        <v>0</v>
      </c>
      <c r="N741">
        <v>0</v>
      </c>
      <c r="P741" s="2">
        <f t="shared" si="130"/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s="2">
        <f t="shared" si="131"/>
        <v>0</v>
      </c>
      <c r="X741">
        <v>15.2</v>
      </c>
      <c r="Z741" s="2">
        <f t="shared" si="132"/>
        <v>0</v>
      </c>
      <c r="AA741">
        <v>357.6</v>
      </c>
      <c r="AB741" s="2" t="str">
        <f>CHOOSE(MATCH(AA741,{0;11;80;111;161;191;241;281;341},1),"North","NorthEast","East","SouthEast","South","SouthWest","West","NorthWest","North")</f>
        <v>North</v>
      </c>
      <c r="AC741" s="5">
        <f>CHOOSE(MATCH(AB741,{"South";"SouthEast";"SouthWest";"North";"NorthEast";"East";"West";"NorthWest"},0),1,2,3,4,5,6,7,8)</f>
        <v>4</v>
      </c>
      <c r="AD741" s="2">
        <f t="shared" si="133"/>
        <v>1</v>
      </c>
      <c r="AE741">
        <v>1014.3</v>
      </c>
      <c r="AF741" s="4" t="s">
        <v>1305</v>
      </c>
      <c r="AG741" s="2">
        <f t="shared" si="134"/>
        <v>0</v>
      </c>
      <c r="AH741" t="s">
        <v>1306</v>
      </c>
      <c r="AI741" s="2">
        <f t="shared" si="135"/>
        <v>4</v>
      </c>
      <c r="AJ741" s="2">
        <f t="shared" si="136"/>
        <v>0</v>
      </c>
      <c r="AK741" s="3">
        <v>349.99999999883579</v>
      </c>
      <c r="AM741" s="2">
        <v>0</v>
      </c>
      <c r="AN741">
        <v>0</v>
      </c>
      <c r="AO741">
        <v>3</v>
      </c>
      <c r="AP741">
        <v>0</v>
      </c>
      <c r="AQ741" s="2">
        <f>IF((2*G741 + M741 -P741 + 3*W741 + 2*Z741+2*AD741 + AG741+2*AJ741 + 4*AM741) &gt;=8,1,0)</f>
        <v>0</v>
      </c>
    </row>
    <row r="742" spans="1:43" x14ac:dyDescent="0.25">
      <c r="A742" t="s">
        <v>27</v>
      </c>
      <c r="B742" s="1">
        <v>39590</v>
      </c>
      <c r="C742" s="7">
        <f t="shared" si="128"/>
        <v>2008</v>
      </c>
      <c r="D742">
        <v>81.2</v>
      </c>
      <c r="E742">
        <v>64.3</v>
      </c>
      <c r="F742">
        <v>73.099999999999994</v>
      </c>
      <c r="G742" s="2">
        <f t="shared" si="137"/>
        <v>0</v>
      </c>
      <c r="H742">
        <v>79.7</v>
      </c>
      <c r="I742">
        <v>64.3</v>
      </c>
      <c r="J742">
        <v>72.900000000000006</v>
      </c>
      <c r="K742">
        <v>47.6</v>
      </c>
      <c r="L742">
        <v>41.8</v>
      </c>
      <c r="M742" s="2">
        <f t="shared" si="129"/>
        <v>1</v>
      </c>
      <c r="N742">
        <v>0</v>
      </c>
      <c r="P742" s="2">
        <f t="shared" si="130"/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s="2">
        <f t="shared" si="131"/>
        <v>0</v>
      </c>
      <c r="X742">
        <v>19.5</v>
      </c>
      <c r="Z742" s="2">
        <f t="shared" si="132"/>
        <v>1</v>
      </c>
      <c r="AA742">
        <v>272.60000000000002</v>
      </c>
      <c r="AB742" s="2" t="str">
        <f>CHOOSE(MATCH(AA742,{0;11;80;111;161;191;241;281;341},1),"North","NorthEast","East","SouthEast","South","SouthWest","West","NorthWest","North")</f>
        <v>West</v>
      </c>
      <c r="AC742" s="5">
        <f>CHOOSE(MATCH(AB742,{"South";"SouthEast";"SouthWest";"North";"NorthEast";"East";"West";"NorthWest"},0),1,2,3,4,5,6,7,8)</f>
        <v>7</v>
      </c>
      <c r="AD742" s="2">
        <f t="shared" si="133"/>
        <v>0</v>
      </c>
      <c r="AE742">
        <v>1010.4</v>
      </c>
      <c r="AF742" s="4" t="s">
        <v>1307</v>
      </c>
      <c r="AG742" s="2">
        <f t="shared" si="134"/>
        <v>1</v>
      </c>
      <c r="AH742" t="s">
        <v>1308</v>
      </c>
      <c r="AI742" s="2">
        <f t="shared" si="135"/>
        <v>5</v>
      </c>
      <c r="AJ742" s="2">
        <f t="shared" si="136"/>
        <v>0</v>
      </c>
      <c r="AK742" s="3">
        <v>102.0000000076834</v>
      </c>
      <c r="AM742" s="2">
        <v>0</v>
      </c>
      <c r="AN742">
        <v>100</v>
      </c>
      <c r="AO742">
        <v>100</v>
      </c>
      <c r="AP742">
        <v>0</v>
      </c>
      <c r="AQ742" s="2">
        <f>IF((2*G742 + M742 -P742 + 3*W742 + 2*Z742+2*AD742 + AG742+2*AJ742 + 4*AM742) &gt;=8,1,0)</f>
        <v>0</v>
      </c>
    </row>
    <row r="743" spans="1:43" x14ac:dyDescent="0.25">
      <c r="A743" t="s">
        <v>27</v>
      </c>
      <c r="B743" s="1">
        <v>39604</v>
      </c>
      <c r="C743" s="7">
        <f t="shared" si="128"/>
        <v>2008</v>
      </c>
      <c r="D743">
        <v>85</v>
      </c>
      <c r="E743">
        <v>59</v>
      </c>
      <c r="F743">
        <v>72.400000000000006</v>
      </c>
      <c r="G743" s="2">
        <f t="shared" si="137"/>
        <v>0</v>
      </c>
      <c r="H743">
        <v>83</v>
      </c>
      <c r="I743">
        <v>59</v>
      </c>
      <c r="J743">
        <v>72.099999999999994</v>
      </c>
      <c r="K743">
        <v>54.5</v>
      </c>
      <c r="L743">
        <v>55.4</v>
      </c>
      <c r="M743" s="2">
        <f t="shared" si="129"/>
        <v>0</v>
      </c>
      <c r="N743">
        <v>0</v>
      </c>
      <c r="P743" s="2">
        <f t="shared" si="130"/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s="2">
        <f t="shared" si="131"/>
        <v>0</v>
      </c>
      <c r="X743">
        <v>17.5</v>
      </c>
      <c r="Z743" s="2">
        <f t="shared" si="132"/>
        <v>1</v>
      </c>
      <c r="AA743">
        <v>198.9</v>
      </c>
      <c r="AB743" s="2" t="str">
        <f>CHOOSE(MATCH(AA743,{0;11;80;111;161;191;241;281;341},1),"North","NorthEast","East","SouthEast","South","SouthWest","West","NorthWest","North")</f>
        <v>SouthWest</v>
      </c>
      <c r="AC743" s="5">
        <f>CHOOSE(MATCH(AB743,{"South";"SouthEast";"SouthWest";"North";"NorthEast";"East";"West";"NorthWest"},0),1,2,3,4,5,6,7,8)</f>
        <v>3</v>
      </c>
      <c r="AD743" s="2">
        <f t="shared" si="133"/>
        <v>1</v>
      </c>
      <c r="AE743">
        <v>1009.8</v>
      </c>
      <c r="AF743" s="4" t="s">
        <v>1309</v>
      </c>
      <c r="AG743" s="2">
        <f t="shared" si="134"/>
        <v>1</v>
      </c>
      <c r="AH743" t="s">
        <v>1310</v>
      </c>
      <c r="AI743" s="2">
        <f t="shared" si="135"/>
        <v>6</v>
      </c>
      <c r="AJ743" s="2">
        <f t="shared" si="136"/>
        <v>1</v>
      </c>
      <c r="AK743" s="3">
        <v>1094.0000000037251</v>
      </c>
      <c r="AM743" s="2">
        <v>1</v>
      </c>
      <c r="AN743">
        <v>0</v>
      </c>
      <c r="AO743">
        <v>8</v>
      </c>
      <c r="AP743">
        <v>0</v>
      </c>
      <c r="AQ743" s="2">
        <f>IF((2*G743 + M743 -P743 + 3*W743 + 2*Z743+2*AD743 + AG743+2*AJ743 + 4*AM743) &gt;=8,1,0)</f>
        <v>1</v>
      </c>
    </row>
    <row r="744" spans="1:43" x14ac:dyDescent="0.25">
      <c r="A744" t="s">
        <v>27</v>
      </c>
      <c r="B744" s="1">
        <v>39609</v>
      </c>
      <c r="C744" s="7">
        <f t="shared" si="128"/>
        <v>2008</v>
      </c>
      <c r="D744">
        <v>82.4</v>
      </c>
      <c r="E744">
        <v>63.2</v>
      </c>
      <c r="F744">
        <v>72.7</v>
      </c>
      <c r="G744" s="2">
        <f t="shared" si="137"/>
        <v>0</v>
      </c>
      <c r="H744">
        <v>81</v>
      </c>
      <c r="I744">
        <v>63.2</v>
      </c>
      <c r="J744">
        <v>72.5</v>
      </c>
      <c r="K744">
        <v>53.6</v>
      </c>
      <c r="L744">
        <v>54</v>
      </c>
      <c r="M744" s="2">
        <f t="shared" si="129"/>
        <v>0</v>
      </c>
      <c r="N744">
        <v>0</v>
      </c>
      <c r="P744" s="2">
        <f t="shared" si="130"/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s="2">
        <f t="shared" si="131"/>
        <v>0</v>
      </c>
      <c r="X744">
        <v>16.399999999999999</v>
      </c>
      <c r="Z744" s="2">
        <f t="shared" si="132"/>
        <v>1</v>
      </c>
      <c r="AA744">
        <v>359.3</v>
      </c>
      <c r="AB744" s="2" t="str">
        <f>CHOOSE(MATCH(AA744,{0;11;80;111;161;191;241;281;341},1),"North","NorthEast","East","SouthEast","South","SouthWest","West","NorthWest","North")</f>
        <v>North</v>
      </c>
      <c r="AC744" s="5">
        <f>CHOOSE(MATCH(AB744,{"South";"SouthEast";"SouthWest";"North";"NorthEast";"East";"West";"NorthWest"},0),1,2,3,4,5,6,7,8)</f>
        <v>4</v>
      </c>
      <c r="AD744" s="2">
        <f t="shared" si="133"/>
        <v>1</v>
      </c>
      <c r="AE744">
        <v>1016.6</v>
      </c>
      <c r="AF744" s="4" t="s">
        <v>1311</v>
      </c>
      <c r="AG744" s="2">
        <f t="shared" si="134"/>
        <v>1</v>
      </c>
      <c r="AH744" t="s">
        <v>1312</v>
      </c>
      <c r="AI744" s="2">
        <f t="shared" si="135"/>
        <v>6</v>
      </c>
      <c r="AJ744" s="2">
        <f t="shared" si="136"/>
        <v>1</v>
      </c>
      <c r="AK744" s="3">
        <v>256.00000000675209</v>
      </c>
      <c r="AM744" s="2">
        <v>0</v>
      </c>
      <c r="AN744">
        <v>0</v>
      </c>
      <c r="AO744">
        <v>0.1</v>
      </c>
      <c r="AP744">
        <v>0</v>
      </c>
      <c r="AQ744" s="2">
        <f>IF((2*G744 + M744 -P744 + 3*W744 + 2*Z744+2*AD744 + AG744+2*AJ744 + 4*AM744) &gt;=8,1,0)</f>
        <v>0</v>
      </c>
    </row>
    <row r="745" spans="1:43" x14ac:dyDescent="0.25">
      <c r="A745" t="s">
        <v>27</v>
      </c>
      <c r="B745" s="1">
        <v>39610</v>
      </c>
      <c r="C745" s="7">
        <f t="shared" si="128"/>
        <v>2008</v>
      </c>
      <c r="D745">
        <v>84.9</v>
      </c>
      <c r="E745">
        <v>62.9</v>
      </c>
      <c r="F745">
        <v>75.7</v>
      </c>
      <c r="G745" s="2">
        <f t="shared" si="137"/>
        <v>1</v>
      </c>
      <c r="H745">
        <v>83.4</v>
      </c>
      <c r="I745">
        <v>62.9</v>
      </c>
      <c r="J745">
        <v>75</v>
      </c>
      <c r="K745">
        <v>48.8</v>
      </c>
      <c r="L745">
        <v>40</v>
      </c>
      <c r="M745" s="2">
        <f t="shared" si="129"/>
        <v>1</v>
      </c>
      <c r="N745">
        <v>0</v>
      </c>
      <c r="P745" s="2">
        <f t="shared" si="130"/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s="2">
        <f t="shared" si="131"/>
        <v>0</v>
      </c>
      <c r="X745">
        <v>14.1</v>
      </c>
      <c r="Z745" s="2">
        <f t="shared" si="132"/>
        <v>0</v>
      </c>
      <c r="AA745">
        <v>27</v>
      </c>
      <c r="AB745" s="2" t="str">
        <f>CHOOSE(MATCH(AA745,{0;11;80;111;161;191;241;281;341},1),"North","NorthEast","East","SouthEast","South","SouthWest","West","NorthWest","North")</f>
        <v>NorthEast</v>
      </c>
      <c r="AC745" s="5">
        <f>CHOOSE(MATCH(AB745,{"South";"SouthEast";"SouthWest";"North";"NorthEast";"East";"West";"NorthWest"},0),1,2,3,4,5,6,7,8)</f>
        <v>5</v>
      </c>
      <c r="AD745" s="2">
        <f t="shared" si="133"/>
        <v>1</v>
      </c>
      <c r="AE745">
        <v>1014.5</v>
      </c>
      <c r="AF745" s="4" t="s">
        <v>575</v>
      </c>
      <c r="AG745" s="2">
        <f t="shared" si="134"/>
        <v>1</v>
      </c>
      <c r="AH745" t="s">
        <v>1313</v>
      </c>
      <c r="AI745" s="2">
        <f t="shared" si="135"/>
        <v>6</v>
      </c>
      <c r="AJ745" s="2">
        <f t="shared" si="136"/>
        <v>1</v>
      </c>
      <c r="AK745" s="3">
        <v>160.99999999045389</v>
      </c>
      <c r="AM745" s="2">
        <v>0</v>
      </c>
      <c r="AN745">
        <v>5</v>
      </c>
      <c r="AO745">
        <v>0</v>
      </c>
      <c r="AP745">
        <v>0</v>
      </c>
      <c r="AQ745" s="2">
        <f>IF((2*G745 + M745 -P745 + 3*W745 + 2*Z745+2*AD745 + AG745+2*AJ745 + 4*AM745) &gt;=8,1,0)</f>
        <v>0</v>
      </c>
    </row>
    <row r="746" spans="1:43" x14ac:dyDescent="0.25">
      <c r="A746" t="s">
        <v>27</v>
      </c>
      <c r="B746" s="1">
        <v>39611</v>
      </c>
      <c r="C746" s="7">
        <f t="shared" si="128"/>
        <v>2008</v>
      </c>
      <c r="D746">
        <v>86.2</v>
      </c>
      <c r="E746">
        <v>62.4</v>
      </c>
      <c r="F746">
        <v>76.099999999999994</v>
      </c>
      <c r="G746" s="2">
        <f t="shared" si="137"/>
        <v>1</v>
      </c>
      <c r="H746">
        <v>84</v>
      </c>
      <c r="I746">
        <v>62.4</v>
      </c>
      <c r="J746">
        <v>75.599999999999994</v>
      </c>
      <c r="K746">
        <v>52.5</v>
      </c>
      <c r="L746">
        <v>45.6</v>
      </c>
      <c r="M746" s="2">
        <f t="shared" si="129"/>
        <v>1</v>
      </c>
      <c r="N746">
        <v>0</v>
      </c>
      <c r="P746" s="2">
        <f t="shared" si="130"/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s="2">
        <f t="shared" si="131"/>
        <v>0</v>
      </c>
      <c r="X746">
        <v>11.4</v>
      </c>
      <c r="Z746" s="2">
        <f t="shared" si="132"/>
        <v>0</v>
      </c>
      <c r="AA746">
        <v>171</v>
      </c>
      <c r="AB746" s="2" t="str">
        <f>CHOOSE(MATCH(AA746,{0;11;80;111;161;191;241;281;341},1),"North","NorthEast","East","SouthEast","South","SouthWest","West","NorthWest","North")</f>
        <v>South</v>
      </c>
      <c r="AC746" s="5">
        <f>CHOOSE(MATCH(AB746,{"South";"SouthEast";"SouthWest";"North";"NorthEast";"East";"West";"NorthWest"},0),1,2,3,4,5,6,7,8)</f>
        <v>1</v>
      </c>
      <c r="AD746" s="2">
        <f t="shared" si="133"/>
        <v>0</v>
      </c>
      <c r="AE746">
        <v>1010.2</v>
      </c>
      <c r="AF746" s="4" t="s">
        <v>402</v>
      </c>
      <c r="AG746" s="2">
        <f t="shared" si="134"/>
        <v>1</v>
      </c>
      <c r="AH746" t="s">
        <v>1314</v>
      </c>
      <c r="AI746" s="2">
        <f t="shared" si="135"/>
        <v>6</v>
      </c>
      <c r="AJ746" s="2">
        <f t="shared" si="136"/>
        <v>1</v>
      </c>
      <c r="AK746" s="3">
        <v>79.999999998835847</v>
      </c>
      <c r="AM746" s="2">
        <v>0</v>
      </c>
      <c r="AN746">
        <v>0</v>
      </c>
      <c r="AO746">
        <v>1</v>
      </c>
      <c r="AP746">
        <v>0</v>
      </c>
      <c r="AQ746" s="2">
        <f>IF((2*G746 + M746 -P746 + 3*W746 + 2*Z746+2*AD746 + AG746+2*AJ746 + 4*AM746) &gt;=8,1,0)</f>
        <v>0</v>
      </c>
    </row>
    <row r="747" spans="1:43" x14ac:dyDescent="0.25">
      <c r="A747" t="s">
        <v>27</v>
      </c>
      <c r="B747" s="1">
        <v>39614</v>
      </c>
      <c r="C747" s="7">
        <f t="shared" si="128"/>
        <v>2008</v>
      </c>
      <c r="D747">
        <v>87.8</v>
      </c>
      <c r="E747">
        <v>71.2</v>
      </c>
      <c r="F747">
        <v>78.599999999999994</v>
      </c>
      <c r="G747" s="2">
        <f t="shared" si="137"/>
        <v>1</v>
      </c>
      <c r="H747">
        <v>84.5</v>
      </c>
      <c r="I747">
        <v>71.2</v>
      </c>
      <c r="J747">
        <v>77.8</v>
      </c>
      <c r="K747">
        <v>53</v>
      </c>
      <c r="L747">
        <v>42.8</v>
      </c>
      <c r="M747" s="2">
        <f t="shared" si="129"/>
        <v>1</v>
      </c>
      <c r="N747">
        <v>0</v>
      </c>
      <c r="P747" s="2">
        <f t="shared" si="130"/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s="2">
        <f t="shared" si="131"/>
        <v>0</v>
      </c>
      <c r="X747">
        <v>13.7</v>
      </c>
      <c r="Z747" s="2">
        <f t="shared" si="132"/>
        <v>0</v>
      </c>
      <c r="AA747">
        <v>323.39999999999998</v>
      </c>
      <c r="AB747" s="2" t="str">
        <f>CHOOSE(MATCH(AA747,{0;11;80;111;161;191;241;281;341},1),"North","NorthEast","East","SouthEast","South","SouthWest","West","NorthWest","North")</f>
        <v>NorthWest</v>
      </c>
      <c r="AC747" s="5">
        <f>CHOOSE(MATCH(AB747,{"South";"SouthEast";"SouthWest";"North";"NorthEast";"East";"West";"NorthWest"},0),1,2,3,4,5,6,7,8)</f>
        <v>8</v>
      </c>
      <c r="AD747" s="2">
        <f t="shared" si="133"/>
        <v>1</v>
      </c>
      <c r="AE747">
        <v>1007.9</v>
      </c>
      <c r="AF747" s="4" t="s">
        <v>1315</v>
      </c>
      <c r="AG747" s="2">
        <f t="shared" si="134"/>
        <v>1</v>
      </c>
      <c r="AH747" t="s">
        <v>1316</v>
      </c>
      <c r="AI747" s="2">
        <f t="shared" si="135"/>
        <v>6</v>
      </c>
      <c r="AJ747" s="2">
        <f t="shared" si="136"/>
        <v>1</v>
      </c>
      <c r="AK747" s="3">
        <v>248.99999999441209</v>
      </c>
      <c r="AM747" s="2">
        <v>0</v>
      </c>
      <c r="AN747">
        <v>0</v>
      </c>
      <c r="AO747">
        <v>1</v>
      </c>
      <c r="AP747">
        <v>0</v>
      </c>
      <c r="AQ747" s="2">
        <f>IF((2*G747 + M747 -P747 + 3*W747 + 2*Z747+2*AD747 + AG747+2*AJ747 + 4*AM747) &gt;=8,1,0)</f>
        <v>0</v>
      </c>
    </row>
    <row r="748" spans="1:43" x14ac:dyDescent="0.25">
      <c r="A748" t="s">
        <v>27</v>
      </c>
      <c r="B748" s="1">
        <v>39616</v>
      </c>
      <c r="C748" s="7">
        <f t="shared" si="128"/>
        <v>2008</v>
      </c>
      <c r="D748">
        <v>90</v>
      </c>
      <c r="E748">
        <v>66.2</v>
      </c>
      <c r="F748">
        <v>78.3</v>
      </c>
      <c r="G748" s="2">
        <f t="shared" si="137"/>
        <v>1</v>
      </c>
      <c r="H748">
        <v>87.8</v>
      </c>
      <c r="I748">
        <v>66.2</v>
      </c>
      <c r="J748">
        <v>77.7</v>
      </c>
      <c r="K748">
        <v>54.9</v>
      </c>
      <c r="L748">
        <v>46.8</v>
      </c>
      <c r="M748" s="2">
        <f t="shared" si="129"/>
        <v>1</v>
      </c>
      <c r="N748">
        <v>0</v>
      </c>
      <c r="P748" s="2">
        <f t="shared" si="130"/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s="2">
        <f t="shared" si="131"/>
        <v>0</v>
      </c>
      <c r="X748">
        <v>11.3</v>
      </c>
      <c r="Z748" s="2">
        <f t="shared" si="132"/>
        <v>0</v>
      </c>
      <c r="AA748">
        <v>148.6</v>
      </c>
      <c r="AB748" s="2" t="str">
        <f>CHOOSE(MATCH(AA748,{0;11;80;111;161;191;241;281;341},1),"North","NorthEast","East","SouthEast","South","SouthWest","West","NorthWest","North")</f>
        <v>SouthEast</v>
      </c>
      <c r="AC748" s="5">
        <f>CHOOSE(MATCH(AB748,{"South";"SouthEast";"SouthWest";"North";"NorthEast";"East";"West";"NorthWest"},0),1,2,3,4,5,6,7,8)</f>
        <v>2</v>
      </c>
      <c r="AD748" s="2">
        <f t="shared" si="133"/>
        <v>0</v>
      </c>
      <c r="AE748">
        <v>1015.4</v>
      </c>
      <c r="AF748" s="4" t="s">
        <v>1317</v>
      </c>
      <c r="AG748" s="2">
        <f t="shared" si="134"/>
        <v>0</v>
      </c>
      <c r="AH748" t="s">
        <v>1318</v>
      </c>
      <c r="AI748" s="2">
        <f t="shared" si="135"/>
        <v>6</v>
      </c>
      <c r="AJ748" s="2">
        <f t="shared" si="136"/>
        <v>1</v>
      </c>
      <c r="AK748" s="3">
        <v>1172.999999999302</v>
      </c>
      <c r="AM748" s="2">
        <v>1</v>
      </c>
      <c r="AN748">
        <v>0</v>
      </c>
      <c r="AO748">
        <v>10</v>
      </c>
      <c r="AP748">
        <v>0</v>
      </c>
      <c r="AQ748" s="2">
        <f>IF((2*G748 + M748 -P748 + 3*W748 + 2*Z748+2*AD748 + AG748+2*AJ748 + 4*AM748) &gt;=8,1,0)</f>
        <v>1</v>
      </c>
    </row>
    <row r="749" spans="1:43" x14ac:dyDescent="0.25">
      <c r="A749" t="s">
        <v>27</v>
      </c>
      <c r="B749" s="1">
        <v>39617</v>
      </c>
      <c r="C749" s="7">
        <f t="shared" ref="C749:C807" si="138">YEAR(B749)</f>
        <v>2008</v>
      </c>
      <c r="D749">
        <v>93.3</v>
      </c>
      <c r="E749">
        <v>68.900000000000006</v>
      </c>
      <c r="F749">
        <v>81.900000000000006</v>
      </c>
      <c r="G749" s="2">
        <f t="shared" si="137"/>
        <v>1</v>
      </c>
      <c r="H749">
        <v>90.1</v>
      </c>
      <c r="I749">
        <v>68.900000000000006</v>
      </c>
      <c r="J749">
        <v>80.7</v>
      </c>
      <c r="K749">
        <v>53.2</v>
      </c>
      <c r="L749">
        <v>39.5</v>
      </c>
      <c r="M749" s="2">
        <f t="shared" ref="M749:M807" si="139">IF(L749&lt;=49.3,1,0)</f>
        <v>1</v>
      </c>
      <c r="N749">
        <v>0</v>
      </c>
      <c r="P749" s="2">
        <f t="shared" ref="P749:P807" si="140">IF(N749&lt;=0.01,1,0)</f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s="2">
        <f t="shared" ref="W749:W807" si="141">IF(V749&lt;=10,0,1)</f>
        <v>0</v>
      </c>
      <c r="X749">
        <v>11.5</v>
      </c>
      <c r="Z749" s="2">
        <f t="shared" ref="Z749:Z807" si="142">IF(X749&gt;=16,1,0)</f>
        <v>0</v>
      </c>
      <c r="AA749">
        <v>152.4</v>
      </c>
      <c r="AB749" s="2" t="str">
        <f>CHOOSE(MATCH(AA749,{0;11;80;111;161;191;241;281;341},1),"North","NorthEast","East","SouthEast","South","SouthWest","West","NorthWest","North")</f>
        <v>SouthEast</v>
      </c>
      <c r="AC749" s="5">
        <f>CHOOSE(MATCH(AB749,{"South";"SouthEast";"SouthWest";"North";"NorthEast";"East";"West";"NorthWest"},0),1,2,3,4,5,6,7,8)</f>
        <v>2</v>
      </c>
      <c r="AD749" s="2">
        <f t="shared" ref="AD749:AD807" si="143">IF(OR(AC749=3,AC749=4,AC749=5,AC749=8),1,0)</f>
        <v>0</v>
      </c>
      <c r="AE749">
        <v>1015</v>
      </c>
      <c r="AF749" s="4" t="s">
        <v>1319</v>
      </c>
      <c r="AG749" s="2">
        <f t="shared" ref="AG749:AG807" si="144">IF(TIMEVALUE(AF749)&lt;=TIME(12,30,0),0,1)</f>
        <v>0</v>
      </c>
      <c r="AH749" t="s">
        <v>1320</v>
      </c>
      <c r="AI749" s="2">
        <f t="shared" ref="AI749:AI807" si="145">MONTH(AH749)</f>
        <v>6</v>
      </c>
      <c r="AJ749" s="2">
        <f t="shared" ref="AJ749:AJ807" si="146">IF(OR(AI749=6,AI749=7,AI749=8),1,0)</f>
        <v>1</v>
      </c>
      <c r="AK749" s="3">
        <v>628.00000000395812</v>
      </c>
      <c r="AM749" s="2">
        <v>1</v>
      </c>
      <c r="AN749">
        <v>0</v>
      </c>
      <c r="AO749">
        <v>20</v>
      </c>
      <c r="AP749">
        <v>0</v>
      </c>
      <c r="AQ749" s="2">
        <f>IF((2*G749 + M749 -P749 + 3*W749 + 2*Z749+2*AD749 + AG749+2*AJ749 + 4*AM749) &gt;=8,1,0)</f>
        <v>1</v>
      </c>
    </row>
    <row r="750" spans="1:43" x14ac:dyDescent="0.25">
      <c r="A750" t="s">
        <v>27</v>
      </c>
      <c r="B750" s="1">
        <v>39618</v>
      </c>
      <c r="C750" s="7">
        <f t="shared" si="138"/>
        <v>2008</v>
      </c>
      <c r="D750">
        <v>100.5</v>
      </c>
      <c r="E750">
        <v>72.2</v>
      </c>
      <c r="F750">
        <v>84.9</v>
      </c>
      <c r="G750" s="2">
        <f t="shared" si="137"/>
        <v>1</v>
      </c>
      <c r="H750">
        <v>96.6</v>
      </c>
      <c r="I750">
        <v>72.2</v>
      </c>
      <c r="J750">
        <v>83.7</v>
      </c>
      <c r="K750">
        <v>53</v>
      </c>
      <c r="L750">
        <v>35.700000000000003</v>
      </c>
      <c r="M750" s="2">
        <f t="shared" si="139"/>
        <v>1</v>
      </c>
      <c r="N750">
        <v>0</v>
      </c>
      <c r="P750" s="2">
        <f t="shared" si="140"/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s="2">
        <f t="shared" si="141"/>
        <v>0</v>
      </c>
      <c r="X750">
        <v>15.5</v>
      </c>
      <c r="Z750" s="2">
        <f t="shared" si="142"/>
        <v>0</v>
      </c>
      <c r="AA750">
        <v>194.9</v>
      </c>
      <c r="AB750" s="2" t="str">
        <f>CHOOSE(MATCH(AA750,{0;11;80;111;161;191;241;281;341},1),"North","NorthEast","East","SouthEast","South","SouthWest","West","NorthWest","North")</f>
        <v>SouthWest</v>
      </c>
      <c r="AC750" s="5">
        <f>CHOOSE(MATCH(AB750,{"South";"SouthEast";"SouthWest";"North";"NorthEast";"East";"West";"NorthWest"},0),1,2,3,4,5,6,7,8)</f>
        <v>3</v>
      </c>
      <c r="AD750" s="2">
        <f t="shared" si="143"/>
        <v>1</v>
      </c>
      <c r="AE750">
        <v>1010.2</v>
      </c>
      <c r="AF750" s="4" t="s">
        <v>433</v>
      </c>
      <c r="AG750" s="2">
        <f t="shared" si="144"/>
        <v>1</v>
      </c>
      <c r="AH750" t="s">
        <v>1321</v>
      </c>
      <c r="AI750" s="2">
        <f t="shared" si="145"/>
        <v>6</v>
      </c>
      <c r="AJ750" s="2">
        <f t="shared" si="146"/>
        <v>1</v>
      </c>
      <c r="AK750" s="3">
        <v>130.00000000465661</v>
      </c>
      <c r="AM750" s="2">
        <v>0</v>
      </c>
      <c r="AN750">
        <v>5</v>
      </c>
      <c r="AO750">
        <v>0</v>
      </c>
      <c r="AP750">
        <v>0</v>
      </c>
      <c r="AQ750" s="2">
        <f>IF((2*G750 + M750 -P750 + 3*W750 + 2*Z750+2*AD750 + AG750+2*AJ750 + 4*AM750) &gt;=8,1,0)</f>
        <v>0</v>
      </c>
    </row>
    <row r="751" spans="1:43" x14ac:dyDescent="0.25">
      <c r="A751" t="s">
        <v>27</v>
      </c>
      <c r="B751" s="1">
        <v>39618</v>
      </c>
      <c r="C751" s="7">
        <f t="shared" si="138"/>
        <v>2008</v>
      </c>
      <c r="D751">
        <v>100.5</v>
      </c>
      <c r="E751">
        <v>72.2</v>
      </c>
      <c r="F751">
        <v>84.9</v>
      </c>
      <c r="G751" s="2">
        <f t="shared" si="137"/>
        <v>1</v>
      </c>
      <c r="H751">
        <v>96.6</v>
      </c>
      <c r="I751">
        <v>72.2</v>
      </c>
      <c r="J751">
        <v>83.7</v>
      </c>
      <c r="K751">
        <v>53</v>
      </c>
      <c r="L751">
        <v>35.700000000000003</v>
      </c>
      <c r="M751" s="2">
        <f t="shared" si="139"/>
        <v>1</v>
      </c>
      <c r="N751">
        <v>0</v>
      </c>
      <c r="P751" s="2">
        <f t="shared" si="140"/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s="2">
        <f t="shared" si="141"/>
        <v>0</v>
      </c>
      <c r="X751">
        <v>15.5</v>
      </c>
      <c r="Z751" s="2">
        <f t="shared" si="142"/>
        <v>0</v>
      </c>
      <c r="AA751">
        <v>194.9</v>
      </c>
      <c r="AB751" s="2" t="str">
        <f>CHOOSE(MATCH(AA751,{0;11;80;111;161;191;241;281;341},1),"North","NorthEast","East","SouthEast","South","SouthWest","West","NorthWest","North")</f>
        <v>SouthWest</v>
      </c>
      <c r="AC751" s="5">
        <f>CHOOSE(MATCH(AB751,{"South";"SouthEast";"SouthWest";"North";"NorthEast";"East";"West";"NorthWest"},0),1,2,3,4,5,6,7,8)</f>
        <v>3</v>
      </c>
      <c r="AD751" s="2">
        <f t="shared" si="143"/>
        <v>1</v>
      </c>
      <c r="AE751">
        <v>1010.2</v>
      </c>
      <c r="AF751" s="4" t="s">
        <v>1322</v>
      </c>
      <c r="AG751" s="2">
        <f t="shared" si="144"/>
        <v>1</v>
      </c>
      <c r="AH751" t="s">
        <v>1323</v>
      </c>
      <c r="AI751" s="2">
        <f t="shared" si="145"/>
        <v>6</v>
      </c>
      <c r="AJ751" s="2">
        <f t="shared" si="146"/>
        <v>1</v>
      </c>
      <c r="AK751" s="3">
        <v>396.99999999487773</v>
      </c>
      <c r="AM751" s="2">
        <v>1</v>
      </c>
      <c r="AN751">
        <v>0</v>
      </c>
      <c r="AO751">
        <v>15</v>
      </c>
      <c r="AP751">
        <v>0</v>
      </c>
      <c r="AQ751" s="2">
        <f>IF((2*G751 + M751 -P751 + 3*W751 + 2*Z751+2*AD751 + AG751+2*AJ751 + 4*AM751) &gt;=8,1,0)</f>
        <v>1</v>
      </c>
    </row>
    <row r="752" spans="1:43" x14ac:dyDescent="0.25">
      <c r="A752" t="s">
        <v>27</v>
      </c>
      <c r="B752" s="1">
        <v>39618</v>
      </c>
      <c r="C752" s="7">
        <f t="shared" si="138"/>
        <v>2008</v>
      </c>
      <c r="D752">
        <v>100.5</v>
      </c>
      <c r="E752">
        <v>72.2</v>
      </c>
      <c r="F752">
        <v>84.9</v>
      </c>
      <c r="G752" s="2">
        <f t="shared" si="137"/>
        <v>1</v>
      </c>
      <c r="H752">
        <v>96.6</v>
      </c>
      <c r="I752">
        <v>72.2</v>
      </c>
      <c r="J752">
        <v>83.7</v>
      </c>
      <c r="K752">
        <v>53</v>
      </c>
      <c r="L752">
        <v>35.700000000000003</v>
      </c>
      <c r="M752" s="2">
        <f t="shared" si="139"/>
        <v>1</v>
      </c>
      <c r="N752">
        <v>0</v>
      </c>
      <c r="P752" s="2">
        <f t="shared" si="140"/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s="2">
        <f t="shared" si="141"/>
        <v>0</v>
      </c>
      <c r="X752">
        <v>15.5</v>
      </c>
      <c r="Z752" s="2">
        <f t="shared" si="142"/>
        <v>0</v>
      </c>
      <c r="AA752">
        <v>194.9</v>
      </c>
      <c r="AB752" s="2" t="str">
        <f>CHOOSE(MATCH(AA752,{0;11;80;111;161;191;241;281;341},1),"North","NorthEast","East","SouthEast","South","SouthWest","West","NorthWest","North")</f>
        <v>SouthWest</v>
      </c>
      <c r="AC752" s="5">
        <f>CHOOSE(MATCH(AB752,{"South";"SouthEast";"SouthWest";"North";"NorthEast";"East";"West";"NorthWest"},0),1,2,3,4,5,6,7,8)</f>
        <v>3</v>
      </c>
      <c r="AD752" s="2">
        <f t="shared" si="143"/>
        <v>1</v>
      </c>
      <c r="AE752">
        <v>1010.2</v>
      </c>
      <c r="AF752" s="4" t="s">
        <v>1324</v>
      </c>
      <c r="AG752" s="2">
        <f t="shared" si="144"/>
        <v>0</v>
      </c>
      <c r="AH752" t="s">
        <v>1325</v>
      </c>
      <c r="AI752" s="2">
        <f t="shared" si="145"/>
        <v>6</v>
      </c>
      <c r="AJ752" s="2">
        <f t="shared" si="146"/>
        <v>1</v>
      </c>
      <c r="AK752" s="3">
        <v>64.999999991850927</v>
      </c>
      <c r="AM752" s="2">
        <v>0</v>
      </c>
      <c r="AN752">
        <v>0</v>
      </c>
      <c r="AO752">
        <v>3.5</v>
      </c>
      <c r="AP752">
        <v>0</v>
      </c>
      <c r="AQ752" s="2">
        <f>IF((2*G752 + M752 -P752 + 3*W752 + 2*Z752+2*AD752 + AG752+2*AJ752 + 4*AM752) &gt;=8,1,0)</f>
        <v>0</v>
      </c>
    </row>
    <row r="753" spans="1:43" x14ac:dyDescent="0.25">
      <c r="A753" t="s">
        <v>27</v>
      </c>
      <c r="B753" s="1">
        <v>39619</v>
      </c>
      <c r="C753" s="7">
        <f t="shared" si="138"/>
        <v>2008</v>
      </c>
      <c r="D753">
        <v>93.6</v>
      </c>
      <c r="E753">
        <v>71.900000000000006</v>
      </c>
      <c r="F753">
        <v>83.5</v>
      </c>
      <c r="G753" s="2">
        <f t="shared" si="137"/>
        <v>1</v>
      </c>
      <c r="H753">
        <v>92.9</v>
      </c>
      <c r="I753">
        <v>71.900000000000006</v>
      </c>
      <c r="J753">
        <v>83.1</v>
      </c>
      <c r="K753">
        <v>57.3</v>
      </c>
      <c r="L753">
        <v>41.6</v>
      </c>
      <c r="M753" s="2">
        <f t="shared" si="139"/>
        <v>1</v>
      </c>
      <c r="N753">
        <v>0</v>
      </c>
      <c r="P753" s="2">
        <f t="shared" si="140"/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s="2">
        <f t="shared" si="141"/>
        <v>0</v>
      </c>
      <c r="X753">
        <v>19.100000000000001</v>
      </c>
      <c r="Z753" s="2">
        <f t="shared" si="142"/>
        <v>1</v>
      </c>
      <c r="AA753">
        <v>20.399999999999999</v>
      </c>
      <c r="AB753" s="2" t="str">
        <f>CHOOSE(MATCH(AA753,{0;11;80;111;161;191;241;281;341},1),"North","NorthEast","East","SouthEast","South","SouthWest","West","NorthWest","North")</f>
        <v>NorthEast</v>
      </c>
      <c r="AC753" s="5">
        <f>CHOOSE(MATCH(AB753,{"South";"SouthEast";"SouthWest";"North";"NorthEast";"East";"West";"NorthWest"},0),1,2,3,4,5,6,7,8)</f>
        <v>5</v>
      </c>
      <c r="AD753" s="2">
        <f t="shared" si="143"/>
        <v>1</v>
      </c>
      <c r="AE753">
        <v>1010</v>
      </c>
      <c r="AF753" s="4" t="s">
        <v>1326</v>
      </c>
      <c r="AG753" s="2">
        <f t="shared" si="144"/>
        <v>1</v>
      </c>
      <c r="AH753" t="s">
        <v>1327</v>
      </c>
      <c r="AI753" s="2">
        <f t="shared" si="145"/>
        <v>6</v>
      </c>
      <c r="AJ753" s="2">
        <f t="shared" si="146"/>
        <v>1</v>
      </c>
      <c r="AK753" s="3">
        <v>14347.999999998139</v>
      </c>
      <c r="AM753" s="2">
        <v>1</v>
      </c>
      <c r="AN753">
        <v>290</v>
      </c>
      <c r="AO753">
        <v>0</v>
      </c>
      <c r="AP753">
        <v>0</v>
      </c>
      <c r="AQ753" s="2">
        <f>IF((2*G753 + M753 -P753 + 3*W753 + 2*Z753+2*AD753 + AG753+2*AJ753 + 4*AM753) &gt;=8,1,0)</f>
        <v>1</v>
      </c>
    </row>
    <row r="754" spans="1:43" x14ac:dyDescent="0.25">
      <c r="A754" t="s">
        <v>27</v>
      </c>
      <c r="B754" s="1">
        <v>39619</v>
      </c>
      <c r="C754" s="7">
        <f t="shared" si="138"/>
        <v>2008</v>
      </c>
      <c r="D754">
        <v>93.6</v>
      </c>
      <c r="E754">
        <v>71.900000000000006</v>
      </c>
      <c r="F754">
        <v>83.5</v>
      </c>
      <c r="G754" s="2">
        <f t="shared" si="137"/>
        <v>1</v>
      </c>
      <c r="H754">
        <v>92.9</v>
      </c>
      <c r="I754">
        <v>71.900000000000006</v>
      </c>
      <c r="J754">
        <v>83.1</v>
      </c>
      <c r="K754">
        <v>57.3</v>
      </c>
      <c r="L754">
        <v>41.6</v>
      </c>
      <c r="M754" s="2">
        <f t="shared" si="139"/>
        <v>1</v>
      </c>
      <c r="N754">
        <v>0</v>
      </c>
      <c r="P754" s="2">
        <f t="shared" si="140"/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s="2">
        <f t="shared" si="141"/>
        <v>0</v>
      </c>
      <c r="X754">
        <v>19.100000000000001</v>
      </c>
      <c r="Z754" s="2">
        <f t="shared" si="142"/>
        <v>1</v>
      </c>
      <c r="AA754">
        <v>20.399999999999999</v>
      </c>
      <c r="AB754" s="2" t="str">
        <f>CHOOSE(MATCH(AA754,{0;11;80;111;161;191;241;281;341},1),"North","NorthEast","East","SouthEast","South","SouthWest","West","NorthWest","North")</f>
        <v>NorthEast</v>
      </c>
      <c r="AC754" s="5">
        <f>CHOOSE(MATCH(AB754,{"South";"SouthEast";"SouthWest";"North";"NorthEast";"East";"West";"NorthWest"},0),1,2,3,4,5,6,7,8)</f>
        <v>5</v>
      </c>
      <c r="AD754" s="2">
        <f t="shared" si="143"/>
        <v>1</v>
      </c>
      <c r="AE754">
        <v>1010</v>
      </c>
      <c r="AF754" s="4" t="s">
        <v>1328</v>
      </c>
      <c r="AG754" s="2">
        <f t="shared" si="144"/>
        <v>1</v>
      </c>
      <c r="AH754" t="s">
        <v>1329</v>
      </c>
      <c r="AI754" s="2">
        <f t="shared" si="145"/>
        <v>6</v>
      </c>
      <c r="AJ754" s="2">
        <f t="shared" si="146"/>
        <v>1</v>
      </c>
      <c r="AK754" s="3">
        <v>3022.9999999946449</v>
      </c>
      <c r="AM754" s="2">
        <v>1</v>
      </c>
      <c r="AN754">
        <v>8</v>
      </c>
      <c r="AO754">
        <v>0</v>
      </c>
      <c r="AP754">
        <v>0</v>
      </c>
      <c r="AQ754" s="2">
        <f>IF((2*G754 + M754 -P754 + 3*W754 + 2*Z754+2*AD754 + AG754+2*AJ754 + 4*AM754) &gt;=8,1,0)</f>
        <v>1</v>
      </c>
    </row>
    <row r="755" spans="1:43" x14ac:dyDescent="0.25">
      <c r="A755" t="s">
        <v>27</v>
      </c>
      <c r="B755" s="1">
        <v>39619</v>
      </c>
      <c r="C755" s="7">
        <f t="shared" si="138"/>
        <v>2008</v>
      </c>
      <c r="D755">
        <v>93.6</v>
      </c>
      <c r="E755">
        <v>71.900000000000006</v>
      </c>
      <c r="F755">
        <v>83.5</v>
      </c>
      <c r="G755" s="2">
        <f t="shared" si="137"/>
        <v>1</v>
      </c>
      <c r="H755">
        <v>92.9</v>
      </c>
      <c r="I755">
        <v>71.900000000000006</v>
      </c>
      <c r="J755">
        <v>83.1</v>
      </c>
      <c r="K755">
        <v>57.3</v>
      </c>
      <c r="L755">
        <v>41.6</v>
      </c>
      <c r="M755" s="2">
        <f t="shared" si="139"/>
        <v>1</v>
      </c>
      <c r="N755">
        <v>0</v>
      </c>
      <c r="P755" s="2">
        <f t="shared" si="140"/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s="2">
        <f t="shared" si="141"/>
        <v>0</v>
      </c>
      <c r="X755">
        <v>19.100000000000001</v>
      </c>
      <c r="Z755" s="2">
        <f t="shared" si="142"/>
        <v>1</v>
      </c>
      <c r="AA755">
        <v>20.399999999999999</v>
      </c>
      <c r="AB755" s="2" t="str">
        <f>CHOOSE(MATCH(AA755,{0;11;80;111;161;191;241;281;341},1),"North","NorthEast","East","SouthEast","South","SouthWest","West","NorthWest","North")</f>
        <v>NorthEast</v>
      </c>
      <c r="AC755" s="5">
        <f>CHOOSE(MATCH(AB755,{"South";"SouthEast";"SouthWest";"North";"NorthEast";"East";"West";"NorthWest"},0),1,2,3,4,5,6,7,8)</f>
        <v>5</v>
      </c>
      <c r="AD755" s="2">
        <f t="shared" si="143"/>
        <v>1</v>
      </c>
      <c r="AE755">
        <v>1010</v>
      </c>
      <c r="AF755" s="4" t="s">
        <v>1330</v>
      </c>
      <c r="AG755" s="2">
        <f t="shared" si="144"/>
        <v>1</v>
      </c>
      <c r="AH755" t="s">
        <v>1331</v>
      </c>
      <c r="AI755" s="2">
        <f t="shared" si="145"/>
        <v>6</v>
      </c>
      <c r="AJ755" s="2">
        <f t="shared" si="146"/>
        <v>1</v>
      </c>
      <c r="AK755" s="3">
        <v>126.9999999948777</v>
      </c>
      <c r="AM755" s="2">
        <v>0</v>
      </c>
      <c r="AN755">
        <v>6</v>
      </c>
      <c r="AO755">
        <v>0</v>
      </c>
      <c r="AP755">
        <v>0</v>
      </c>
      <c r="AQ755" s="2">
        <f>IF((2*G755 + M755 -P755 + 3*W755 + 2*Z755+2*AD755 + AG755+2*AJ755 + 4*AM755) &gt;=8,1,0)</f>
        <v>1</v>
      </c>
    </row>
    <row r="756" spans="1:43" x14ac:dyDescent="0.25">
      <c r="A756" t="s">
        <v>27</v>
      </c>
      <c r="B756" s="1">
        <v>39622</v>
      </c>
      <c r="C756" s="7">
        <f t="shared" si="138"/>
        <v>2008</v>
      </c>
      <c r="D756">
        <v>93.3</v>
      </c>
      <c r="E756">
        <v>77.8</v>
      </c>
      <c r="F756">
        <v>85</v>
      </c>
      <c r="G756" s="2">
        <f t="shared" si="137"/>
        <v>1</v>
      </c>
      <c r="H756">
        <v>89.6</v>
      </c>
      <c r="I756">
        <v>77.8</v>
      </c>
      <c r="J756">
        <v>83.3</v>
      </c>
      <c r="K756">
        <v>51.6</v>
      </c>
      <c r="L756">
        <v>32.799999999999997</v>
      </c>
      <c r="M756" s="2">
        <f t="shared" si="139"/>
        <v>1</v>
      </c>
      <c r="N756">
        <v>0</v>
      </c>
      <c r="P756" s="2">
        <f t="shared" si="140"/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s="2">
        <f t="shared" si="141"/>
        <v>0</v>
      </c>
      <c r="X756">
        <v>21</v>
      </c>
      <c r="Z756" s="2">
        <f t="shared" si="142"/>
        <v>1</v>
      </c>
      <c r="AA756">
        <v>5.4</v>
      </c>
      <c r="AB756" s="2" t="str">
        <f>CHOOSE(MATCH(AA756,{0;11;80;111;161;191;241;281;341},1),"North","NorthEast","East","SouthEast","South","SouthWest","West","NorthWest","North")</f>
        <v>North</v>
      </c>
      <c r="AC756" s="5">
        <f>CHOOSE(MATCH(AB756,{"South";"SouthEast";"SouthWest";"North";"NorthEast";"East";"West";"NorthWest"},0),1,2,3,4,5,6,7,8)</f>
        <v>4</v>
      </c>
      <c r="AD756" s="2">
        <f t="shared" si="143"/>
        <v>1</v>
      </c>
      <c r="AE756">
        <v>1015.3</v>
      </c>
      <c r="AF756" s="4" t="s">
        <v>433</v>
      </c>
      <c r="AG756" s="2">
        <f t="shared" si="144"/>
        <v>1</v>
      </c>
      <c r="AH756" t="s">
        <v>1332</v>
      </c>
      <c r="AI756" s="2">
        <f t="shared" si="145"/>
        <v>6</v>
      </c>
      <c r="AJ756" s="2">
        <f t="shared" si="146"/>
        <v>1</v>
      </c>
      <c r="AK756" s="3">
        <v>1960.0000000081491</v>
      </c>
      <c r="AM756" s="2">
        <v>1</v>
      </c>
      <c r="AN756">
        <v>0</v>
      </c>
      <c r="AO756">
        <v>40</v>
      </c>
      <c r="AP756">
        <v>0</v>
      </c>
      <c r="AQ756" s="2">
        <f>IF((2*G756 + M756 -P756 + 3*W756 + 2*Z756+2*AD756 + AG756+2*AJ756 + 4*AM756) &gt;=8,1,0)</f>
        <v>1</v>
      </c>
    </row>
    <row r="757" spans="1:43" x14ac:dyDescent="0.25">
      <c r="A757" t="s">
        <v>27</v>
      </c>
      <c r="B757" s="1">
        <v>39622</v>
      </c>
      <c r="C757" s="7">
        <f t="shared" si="138"/>
        <v>2008</v>
      </c>
      <c r="D757">
        <v>93.3</v>
      </c>
      <c r="E757">
        <v>77.8</v>
      </c>
      <c r="F757">
        <v>85</v>
      </c>
      <c r="G757" s="2">
        <f t="shared" si="137"/>
        <v>1</v>
      </c>
      <c r="H757">
        <v>89.6</v>
      </c>
      <c r="I757">
        <v>77.8</v>
      </c>
      <c r="J757">
        <v>83.3</v>
      </c>
      <c r="K757">
        <v>51.6</v>
      </c>
      <c r="L757">
        <v>32.799999999999997</v>
      </c>
      <c r="M757" s="2">
        <f t="shared" si="139"/>
        <v>1</v>
      </c>
      <c r="N757">
        <v>0</v>
      </c>
      <c r="P757" s="2">
        <f t="shared" si="140"/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s="2">
        <f t="shared" si="141"/>
        <v>0</v>
      </c>
      <c r="X757">
        <v>21</v>
      </c>
      <c r="Z757" s="2">
        <f t="shared" si="142"/>
        <v>1</v>
      </c>
      <c r="AA757">
        <v>5.4</v>
      </c>
      <c r="AB757" s="2" t="str">
        <f>CHOOSE(MATCH(AA757,{0;11;80;111;161;191;241;281;341},1),"North","NorthEast","East","SouthEast","South","SouthWest","West","NorthWest","North")</f>
        <v>North</v>
      </c>
      <c r="AC757" s="5">
        <f>CHOOSE(MATCH(AB757,{"South";"SouthEast";"SouthWest";"North";"NorthEast";"East";"West";"NorthWest"},0),1,2,3,4,5,6,7,8)</f>
        <v>4</v>
      </c>
      <c r="AD757" s="2">
        <f t="shared" si="143"/>
        <v>1</v>
      </c>
      <c r="AE757">
        <v>1015.3</v>
      </c>
      <c r="AF757" s="4" t="s">
        <v>846</v>
      </c>
      <c r="AG757" s="2">
        <f t="shared" si="144"/>
        <v>1</v>
      </c>
      <c r="AH757" t="s">
        <v>1333</v>
      </c>
      <c r="AI757" s="2">
        <f t="shared" si="145"/>
        <v>6</v>
      </c>
      <c r="AJ757" s="2">
        <f t="shared" si="146"/>
        <v>1</v>
      </c>
      <c r="AK757" s="3">
        <v>303.00000000279402</v>
      </c>
      <c r="AM757" s="2">
        <v>0</v>
      </c>
      <c r="AN757">
        <v>20</v>
      </c>
      <c r="AO757">
        <v>0</v>
      </c>
      <c r="AP757">
        <v>0</v>
      </c>
      <c r="AQ757" s="2">
        <f>IF((2*G757 + M757 -P757 + 3*W757 + 2*Z757+2*AD757 + AG757+2*AJ757 + 4*AM757) &gt;=8,1,0)</f>
        <v>1</v>
      </c>
    </row>
    <row r="758" spans="1:43" x14ac:dyDescent="0.25">
      <c r="A758" t="s">
        <v>27</v>
      </c>
      <c r="B758" s="1">
        <v>39623</v>
      </c>
      <c r="C758" s="7">
        <f t="shared" si="138"/>
        <v>2008</v>
      </c>
      <c r="D758">
        <v>95</v>
      </c>
      <c r="E758">
        <v>78.099999999999994</v>
      </c>
      <c r="F758">
        <v>85.9</v>
      </c>
      <c r="G758" s="2">
        <f t="shared" si="137"/>
        <v>1</v>
      </c>
      <c r="H758">
        <v>91.9</v>
      </c>
      <c r="I758">
        <v>78.099999999999994</v>
      </c>
      <c r="J758">
        <v>84.3</v>
      </c>
      <c r="K758">
        <v>51.9</v>
      </c>
      <c r="L758">
        <v>31.8</v>
      </c>
      <c r="M758" s="2">
        <f t="shared" si="139"/>
        <v>1</v>
      </c>
      <c r="N758">
        <v>0</v>
      </c>
      <c r="P758" s="2">
        <f t="shared" si="140"/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s="2">
        <f t="shared" si="141"/>
        <v>0</v>
      </c>
      <c r="X758">
        <v>20.7</v>
      </c>
      <c r="Z758" s="2">
        <f t="shared" si="142"/>
        <v>1</v>
      </c>
      <c r="AA758">
        <v>5.6</v>
      </c>
      <c r="AB758" s="2" t="str">
        <f>CHOOSE(MATCH(AA758,{0;11;80;111;161;191;241;281;341},1),"North","NorthEast","East","SouthEast","South","SouthWest","West","NorthWest","North")</f>
        <v>North</v>
      </c>
      <c r="AC758" s="5">
        <f>CHOOSE(MATCH(AB758,{"South";"SouthEast";"SouthWest";"North";"NorthEast";"East";"West";"NorthWest"},0),1,2,3,4,5,6,7,8)</f>
        <v>4</v>
      </c>
      <c r="AD758" s="2">
        <f t="shared" si="143"/>
        <v>1</v>
      </c>
      <c r="AE758">
        <v>1012.9</v>
      </c>
      <c r="AF758" s="4" t="s">
        <v>359</v>
      </c>
      <c r="AG758" s="2">
        <f t="shared" si="144"/>
        <v>1</v>
      </c>
      <c r="AH758" t="s">
        <v>1334</v>
      </c>
      <c r="AI758" s="2">
        <f t="shared" si="145"/>
        <v>6</v>
      </c>
      <c r="AJ758" s="2">
        <f t="shared" si="146"/>
        <v>1</v>
      </c>
      <c r="AK758" s="3">
        <v>245.00000000232831</v>
      </c>
      <c r="AM758" s="2">
        <v>0</v>
      </c>
      <c r="AN758">
        <v>0</v>
      </c>
      <c r="AO758">
        <v>20</v>
      </c>
      <c r="AP758">
        <v>0</v>
      </c>
      <c r="AQ758" s="2">
        <f>IF((2*G758 + M758 -P758 + 3*W758 + 2*Z758+2*AD758 + AG758+2*AJ758 + 4*AM758) &gt;=8,1,0)</f>
        <v>1</v>
      </c>
    </row>
    <row r="759" spans="1:43" x14ac:dyDescent="0.25">
      <c r="A759" t="s">
        <v>27</v>
      </c>
      <c r="B759" s="1">
        <v>39624</v>
      </c>
      <c r="C759" s="7">
        <f t="shared" si="138"/>
        <v>2008</v>
      </c>
      <c r="D759">
        <v>98</v>
      </c>
      <c r="E759">
        <v>78.900000000000006</v>
      </c>
      <c r="F759">
        <v>88.5</v>
      </c>
      <c r="G759" s="2">
        <f t="shared" si="137"/>
        <v>1</v>
      </c>
      <c r="H759">
        <v>95.4</v>
      </c>
      <c r="I759">
        <v>78.900000000000006</v>
      </c>
      <c r="J759">
        <v>86.5</v>
      </c>
      <c r="K759">
        <v>51</v>
      </c>
      <c r="L759">
        <v>28.7</v>
      </c>
      <c r="M759" s="2">
        <f t="shared" si="139"/>
        <v>1</v>
      </c>
      <c r="N759">
        <v>0</v>
      </c>
      <c r="P759" s="2">
        <f t="shared" si="140"/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s="2">
        <f t="shared" si="141"/>
        <v>0</v>
      </c>
      <c r="X759">
        <v>20.5</v>
      </c>
      <c r="Z759" s="2">
        <f t="shared" si="142"/>
        <v>1</v>
      </c>
      <c r="AA759">
        <v>15.6</v>
      </c>
      <c r="AB759" s="2" t="str">
        <f>CHOOSE(MATCH(AA759,{0;11;80;111;161;191;241;281;341},1),"North","NorthEast","East","SouthEast","South","SouthWest","West","NorthWest","North")</f>
        <v>NorthEast</v>
      </c>
      <c r="AC759" s="5">
        <f>CHOOSE(MATCH(AB759,{"South";"SouthEast";"SouthWest";"North";"NorthEast";"East";"West";"NorthWest"},0),1,2,3,4,5,6,7,8)</f>
        <v>5</v>
      </c>
      <c r="AD759" s="2">
        <f t="shared" si="143"/>
        <v>1</v>
      </c>
      <c r="AE759">
        <v>1010.9</v>
      </c>
      <c r="AF759" s="4" t="s">
        <v>813</v>
      </c>
      <c r="AG759" s="2">
        <f t="shared" si="144"/>
        <v>1</v>
      </c>
      <c r="AH759" t="s">
        <v>1335</v>
      </c>
      <c r="AI759" s="2">
        <f t="shared" si="145"/>
        <v>6</v>
      </c>
      <c r="AJ759" s="2">
        <f t="shared" si="146"/>
        <v>1</v>
      </c>
      <c r="AK759" s="3">
        <v>1069.9999999988361</v>
      </c>
      <c r="AM759" s="2">
        <v>1</v>
      </c>
      <c r="AN759">
        <v>15</v>
      </c>
      <c r="AO759">
        <v>0</v>
      </c>
      <c r="AP759">
        <v>0</v>
      </c>
      <c r="AQ759" s="2">
        <f>IF((2*G759 + M759 -P759 + 3*W759 + 2*Z759+2*AD759 + AG759+2*AJ759 + 4*AM759) &gt;=8,1,0)</f>
        <v>1</v>
      </c>
    </row>
    <row r="760" spans="1:43" x14ac:dyDescent="0.25">
      <c r="A760" t="s">
        <v>27</v>
      </c>
      <c r="B760" s="1">
        <v>39625</v>
      </c>
      <c r="C760" s="7">
        <f t="shared" si="138"/>
        <v>2008</v>
      </c>
      <c r="D760">
        <v>95.5</v>
      </c>
      <c r="E760">
        <v>82.2</v>
      </c>
      <c r="F760">
        <v>88</v>
      </c>
      <c r="G760" s="2">
        <f t="shared" si="137"/>
        <v>1</v>
      </c>
      <c r="H760">
        <v>92.8</v>
      </c>
      <c r="I760">
        <v>81.3</v>
      </c>
      <c r="J760">
        <v>86.4</v>
      </c>
      <c r="K760">
        <v>54.6</v>
      </c>
      <c r="L760">
        <v>32.5</v>
      </c>
      <c r="M760" s="2">
        <f t="shared" si="139"/>
        <v>1</v>
      </c>
      <c r="N760">
        <v>0</v>
      </c>
      <c r="P760" s="2">
        <f t="shared" si="140"/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s="2">
        <f t="shared" si="141"/>
        <v>0</v>
      </c>
      <c r="X760">
        <v>22.1</v>
      </c>
      <c r="Z760" s="2">
        <f t="shared" si="142"/>
        <v>1</v>
      </c>
      <c r="AA760">
        <v>4.8</v>
      </c>
      <c r="AB760" s="2" t="str">
        <f>CHOOSE(MATCH(AA760,{0;11;80;111;161;191;241;281;341},1),"North","NorthEast","East","SouthEast","South","SouthWest","West","NorthWest","North")</f>
        <v>North</v>
      </c>
      <c r="AC760" s="5">
        <f>CHOOSE(MATCH(AB760,{"South";"SouthEast";"SouthWest";"North";"NorthEast";"East";"West";"NorthWest"},0),1,2,3,4,5,6,7,8)</f>
        <v>4</v>
      </c>
      <c r="AD760" s="2">
        <f t="shared" si="143"/>
        <v>1</v>
      </c>
      <c r="AE760">
        <v>1012</v>
      </c>
      <c r="AF760" s="4" t="s">
        <v>267</v>
      </c>
      <c r="AG760" s="2">
        <f t="shared" si="144"/>
        <v>0</v>
      </c>
      <c r="AH760" t="s">
        <v>1336</v>
      </c>
      <c r="AI760" s="2">
        <f t="shared" si="145"/>
        <v>6</v>
      </c>
      <c r="AJ760" s="2">
        <f t="shared" si="146"/>
        <v>1</v>
      </c>
      <c r="AK760" s="3">
        <v>4050</v>
      </c>
      <c r="AM760" s="2">
        <v>1</v>
      </c>
      <c r="AN760">
        <v>0</v>
      </c>
      <c r="AO760">
        <v>130</v>
      </c>
      <c r="AP760">
        <v>0</v>
      </c>
      <c r="AQ760" s="2">
        <f>IF((2*G760 + M760 -P760 + 3*W760 + 2*Z760+2*AD760 + AG760+2*AJ760 + 4*AM760) &gt;=8,1,0)</f>
        <v>1</v>
      </c>
    </row>
    <row r="761" spans="1:43" x14ac:dyDescent="0.25">
      <c r="A761" t="s">
        <v>27</v>
      </c>
      <c r="B761" s="1">
        <v>39627</v>
      </c>
      <c r="C761" s="7">
        <f t="shared" si="138"/>
        <v>2008</v>
      </c>
      <c r="D761">
        <v>94</v>
      </c>
      <c r="E761">
        <v>76.599999999999994</v>
      </c>
      <c r="F761">
        <v>85.4</v>
      </c>
      <c r="G761" s="2">
        <f t="shared" si="137"/>
        <v>1</v>
      </c>
      <c r="H761">
        <v>91.8</v>
      </c>
      <c r="I761">
        <v>76.599999999999994</v>
      </c>
      <c r="J761">
        <v>84</v>
      </c>
      <c r="K761">
        <v>52.7</v>
      </c>
      <c r="L761">
        <v>33.700000000000003</v>
      </c>
      <c r="M761" s="2">
        <f t="shared" si="139"/>
        <v>1</v>
      </c>
      <c r="N761">
        <v>0</v>
      </c>
      <c r="P761" s="2">
        <f t="shared" si="140"/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s="2">
        <f t="shared" si="141"/>
        <v>0</v>
      </c>
      <c r="X761">
        <v>20.6</v>
      </c>
      <c r="Z761" s="2">
        <f t="shared" si="142"/>
        <v>1</v>
      </c>
      <c r="AA761">
        <v>5.3</v>
      </c>
      <c r="AB761" s="2" t="str">
        <f>CHOOSE(MATCH(AA761,{0;11;80;111;161;191;241;281;341},1),"North","NorthEast","East","SouthEast","South","SouthWest","West","NorthWest","North")</f>
        <v>North</v>
      </c>
      <c r="AC761" s="5">
        <f>CHOOSE(MATCH(AB761,{"South";"SouthEast";"SouthWest";"North";"NorthEast";"East";"West";"NorthWest"},0),1,2,3,4,5,6,7,8)</f>
        <v>4</v>
      </c>
      <c r="AD761" s="2">
        <f t="shared" si="143"/>
        <v>1</v>
      </c>
      <c r="AE761">
        <v>1011.2</v>
      </c>
      <c r="AF761" s="4" t="s">
        <v>1337</v>
      </c>
      <c r="AG761" s="2">
        <f t="shared" si="144"/>
        <v>1</v>
      </c>
      <c r="AH761" t="s">
        <v>1338</v>
      </c>
      <c r="AI761" s="2">
        <f t="shared" si="145"/>
        <v>6</v>
      </c>
      <c r="AJ761" s="2">
        <f t="shared" si="146"/>
        <v>1</v>
      </c>
      <c r="AK761" s="3">
        <v>62.999999995809048</v>
      </c>
      <c r="AM761" s="2">
        <v>0</v>
      </c>
      <c r="AN761">
        <v>100</v>
      </c>
      <c r="AO761">
        <v>0</v>
      </c>
      <c r="AP761">
        <v>0</v>
      </c>
      <c r="AQ761" s="2">
        <f>IF((2*G761 + M761 -P761 + 3*W761 + 2*Z761+2*AD761 + AG761+2*AJ761 + 4*AM761) &gt;=8,1,0)</f>
        <v>1</v>
      </c>
    </row>
    <row r="762" spans="1:43" x14ac:dyDescent="0.25">
      <c r="A762" t="s">
        <v>27</v>
      </c>
      <c r="B762" s="1">
        <v>39628</v>
      </c>
      <c r="C762" s="7">
        <f t="shared" si="138"/>
        <v>2008</v>
      </c>
      <c r="D762">
        <v>93.6</v>
      </c>
      <c r="E762">
        <v>74.099999999999994</v>
      </c>
      <c r="F762">
        <v>84.7</v>
      </c>
      <c r="G762" s="2">
        <f t="shared" si="137"/>
        <v>1</v>
      </c>
      <c r="H762">
        <v>92</v>
      </c>
      <c r="I762">
        <v>74.099999999999994</v>
      </c>
      <c r="J762">
        <v>83.7</v>
      </c>
      <c r="K762">
        <v>55.1</v>
      </c>
      <c r="L762">
        <v>37.299999999999997</v>
      </c>
      <c r="M762" s="2">
        <f t="shared" si="139"/>
        <v>1</v>
      </c>
      <c r="N762">
        <v>0</v>
      </c>
      <c r="P762" s="2">
        <f t="shared" si="140"/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s="2">
        <f t="shared" si="141"/>
        <v>0</v>
      </c>
      <c r="X762">
        <v>20.100000000000001</v>
      </c>
      <c r="Z762" s="2">
        <f t="shared" si="142"/>
        <v>1</v>
      </c>
      <c r="AA762">
        <v>5.0999999999999996</v>
      </c>
      <c r="AB762" s="2" t="str">
        <f>CHOOSE(MATCH(AA762,{0;11;80;111;161;191;241;281;341},1),"North","NorthEast","East","SouthEast","South","SouthWest","West","NorthWest","North")</f>
        <v>North</v>
      </c>
      <c r="AC762" s="5">
        <f>CHOOSE(MATCH(AB762,{"South";"SouthEast";"SouthWest";"North";"NorthEast";"East";"West";"NorthWest"},0),1,2,3,4,5,6,7,8)</f>
        <v>4</v>
      </c>
      <c r="AD762" s="2">
        <f t="shared" si="143"/>
        <v>1</v>
      </c>
      <c r="AE762">
        <v>1013</v>
      </c>
      <c r="AF762" s="4" t="s">
        <v>516</v>
      </c>
      <c r="AG762" s="2">
        <f t="shared" si="144"/>
        <v>1</v>
      </c>
      <c r="AH762" t="s">
        <v>1339</v>
      </c>
      <c r="AI762" s="2">
        <f t="shared" si="145"/>
        <v>6</v>
      </c>
      <c r="AJ762" s="2">
        <f t="shared" si="146"/>
        <v>1</v>
      </c>
      <c r="AK762" s="3">
        <v>50.999999998603023</v>
      </c>
      <c r="AM762" s="2">
        <v>0</v>
      </c>
      <c r="AN762">
        <v>0</v>
      </c>
      <c r="AO762">
        <v>1</v>
      </c>
      <c r="AP762">
        <v>0</v>
      </c>
      <c r="AQ762" s="2">
        <f>IF((2*G762 + M762 -P762 + 3*W762 + 2*Z762+2*AD762 + AG762+2*AJ762 + 4*AM762) &gt;=8,1,0)</f>
        <v>1</v>
      </c>
    </row>
    <row r="763" spans="1:43" x14ac:dyDescent="0.25">
      <c r="A763" t="s">
        <v>27</v>
      </c>
      <c r="B763" s="1">
        <v>39628</v>
      </c>
      <c r="C763" s="7">
        <f t="shared" si="138"/>
        <v>2008</v>
      </c>
      <c r="D763">
        <v>93.6</v>
      </c>
      <c r="E763">
        <v>74.099999999999994</v>
      </c>
      <c r="F763">
        <v>84.7</v>
      </c>
      <c r="G763" s="2">
        <f t="shared" si="137"/>
        <v>1</v>
      </c>
      <c r="H763">
        <v>92</v>
      </c>
      <c r="I763">
        <v>74.099999999999994</v>
      </c>
      <c r="J763">
        <v>83.7</v>
      </c>
      <c r="K763">
        <v>55.1</v>
      </c>
      <c r="L763">
        <v>37.299999999999997</v>
      </c>
      <c r="M763" s="2">
        <f t="shared" si="139"/>
        <v>1</v>
      </c>
      <c r="N763">
        <v>0</v>
      </c>
      <c r="P763" s="2">
        <f t="shared" si="140"/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s="2">
        <f t="shared" si="141"/>
        <v>0</v>
      </c>
      <c r="X763">
        <v>20.100000000000001</v>
      </c>
      <c r="Z763" s="2">
        <f t="shared" si="142"/>
        <v>1</v>
      </c>
      <c r="AA763">
        <v>5.0999999999999996</v>
      </c>
      <c r="AB763" s="2" t="str">
        <f>CHOOSE(MATCH(AA763,{0;11;80;111;161;191;241;281;341},1),"North","NorthEast","East","SouthEast","South","SouthWest","West","NorthWest","North")</f>
        <v>North</v>
      </c>
      <c r="AC763" s="5">
        <f>CHOOSE(MATCH(AB763,{"South";"SouthEast";"SouthWest";"North";"NorthEast";"East";"West";"NorthWest"},0),1,2,3,4,5,6,7,8)</f>
        <v>4</v>
      </c>
      <c r="AD763" s="2">
        <f t="shared" si="143"/>
        <v>1</v>
      </c>
      <c r="AE763">
        <v>1013</v>
      </c>
      <c r="AF763" s="4" t="s">
        <v>630</v>
      </c>
      <c r="AG763" s="2">
        <f t="shared" si="144"/>
        <v>1</v>
      </c>
      <c r="AH763" t="s">
        <v>1340</v>
      </c>
      <c r="AI763" s="2">
        <f t="shared" si="145"/>
        <v>6</v>
      </c>
      <c r="AJ763" s="2">
        <f t="shared" si="146"/>
        <v>1</v>
      </c>
      <c r="AK763" s="3">
        <v>1035</v>
      </c>
      <c r="AM763" s="2">
        <v>1</v>
      </c>
      <c r="AN763">
        <v>0</v>
      </c>
      <c r="AO763">
        <v>5</v>
      </c>
      <c r="AP763">
        <v>0</v>
      </c>
      <c r="AQ763" s="2">
        <f>IF((2*G763 + M763 -P763 + 3*W763 + 2*Z763+2*AD763 + AG763+2*AJ763 + 4*AM763) &gt;=8,1,0)</f>
        <v>1</v>
      </c>
    </row>
    <row r="764" spans="1:43" x14ac:dyDescent="0.25">
      <c r="A764" t="s">
        <v>27</v>
      </c>
      <c r="B764" s="1">
        <v>39628</v>
      </c>
      <c r="C764" s="7">
        <f t="shared" si="138"/>
        <v>2008</v>
      </c>
      <c r="D764">
        <v>93.6</v>
      </c>
      <c r="E764">
        <v>74.099999999999994</v>
      </c>
      <c r="F764">
        <v>84.7</v>
      </c>
      <c r="G764" s="2">
        <f t="shared" si="137"/>
        <v>1</v>
      </c>
      <c r="H764">
        <v>92</v>
      </c>
      <c r="I764">
        <v>74.099999999999994</v>
      </c>
      <c r="J764">
        <v>83.7</v>
      </c>
      <c r="K764">
        <v>55.1</v>
      </c>
      <c r="L764">
        <v>37.299999999999997</v>
      </c>
      <c r="M764" s="2">
        <f t="shared" si="139"/>
        <v>1</v>
      </c>
      <c r="N764">
        <v>0</v>
      </c>
      <c r="P764" s="2">
        <f t="shared" si="140"/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s="2">
        <f t="shared" si="141"/>
        <v>0</v>
      </c>
      <c r="X764">
        <v>20.100000000000001</v>
      </c>
      <c r="Z764" s="2">
        <f t="shared" si="142"/>
        <v>1</v>
      </c>
      <c r="AA764">
        <v>5.0999999999999996</v>
      </c>
      <c r="AB764" s="2" t="str">
        <f>CHOOSE(MATCH(AA764,{0;11;80;111;161;191;241;281;341},1),"North","NorthEast","East","SouthEast","South","SouthWest","West","NorthWest","North")</f>
        <v>North</v>
      </c>
      <c r="AC764" s="5">
        <f>CHOOSE(MATCH(AB764,{"South";"SouthEast";"SouthWest";"North";"NorthEast";"East";"West";"NorthWest"},0),1,2,3,4,5,6,7,8)</f>
        <v>4</v>
      </c>
      <c r="AD764" s="2">
        <f t="shared" si="143"/>
        <v>1</v>
      </c>
      <c r="AE764">
        <v>1013</v>
      </c>
      <c r="AF764" s="4" t="s">
        <v>998</v>
      </c>
      <c r="AG764" s="2">
        <f t="shared" si="144"/>
        <v>1</v>
      </c>
      <c r="AH764" t="s">
        <v>1341</v>
      </c>
      <c r="AI764" s="2">
        <f t="shared" si="145"/>
        <v>6</v>
      </c>
      <c r="AJ764" s="2">
        <f t="shared" si="146"/>
        <v>1</v>
      </c>
      <c r="AK764" s="3">
        <v>460.00000000116421</v>
      </c>
      <c r="AM764" s="2">
        <v>1</v>
      </c>
      <c r="AN764">
        <v>0</v>
      </c>
      <c r="AO764">
        <v>8</v>
      </c>
      <c r="AP764">
        <v>0</v>
      </c>
      <c r="AQ764" s="2">
        <f>IF((2*G764 + M764 -P764 + 3*W764 + 2*Z764+2*AD764 + AG764+2*AJ764 + 4*AM764) &gt;=8,1,0)</f>
        <v>1</v>
      </c>
    </row>
    <row r="765" spans="1:43" x14ac:dyDescent="0.25">
      <c r="A765" t="s">
        <v>27</v>
      </c>
      <c r="B765" s="1">
        <v>39630</v>
      </c>
      <c r="C765" s="7">
        <f t="shared" si="138"/>
        <v>2008</v>
      </c>
      <c r="D765">
        <v>92.5</v>
      </c>
      <c r="E765">
        <v>76.599999999999994</v>
      </c>
      <c r="F765">
        <v>84.1</v>
      </c>
      <c r="G765" s="2">
        <f t="shared" si="137"/>
        <v>1</v>
      </c>
      <c r="H765">
        <v>88.7</v>
      </c>
      <c r="I765">
        <v>76.599999999999994</v>
      </c>
      <c r="J765">
        <v>82.2</v>
      </c>
      <c r="K765">
        <v>47</v>
      </c>
      <c r="L765">
        <v>28.4</v>
      </c>
      <c r="M765" s="2">
        <f t="shared" si="139"/>
        <v>1</v>
      </c>
      <c r="N765">
        <v>0</v>
      </c>
      <c r="P765" s="2">
        <f t="shared" si="140"/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s="2">
        <f t="shared" si="141"/>
        <v>0</v>
      </c>
      <c r="X765">
        <v>21.4</v>
      </c>
      <c r="Z765" s="2">
        <f t="shared" si="142"/>
        <v>1</v>
      </c>
      <c r="AA765">
        <v>3.6</v>
      </c>
      <c r="AB765" s="2" t="str">
        <f>CHOOSE(MATCH(AA765,{0;11;80;111;161;191;241;281;341},1),"North","NorthEast","East","SouthEast","South","SouthWest","West","NorthWest","North")</f>
        <v>North</v>
      </c>
      <c r="AC765" s="5">
        <f>CHOOSE(MATCH(AB765,{"South";"SouthEast";"SouthWest";"North";"NorthEast";"East";"West";"NorthWest"},0),1,2,3,4,5,6,7,8)</f>
        <v>4</v>
      </c>
      <c r="AD765" s="2">
        <f t="shared" si="143"/>
        <v>1</v>
      </c>
      <c r="AE765">
        <v>1011.5</v>
      </c>
      <c r="AF765" s="4" t="s">
        <v>1342</v>
      </c>
      <c r="AG765" s="2">
        <f t="shared" si="144"/>
        <v>1</v>
      </c>
      <c r="AH765" t="s">
        <v>1343</v>
      </c>
      <c r="AI765" s="2">
        <f t="shared" si="145"/>
        <v>7</v>
      </c>
      <c r="AJ765" s="2">
        <f t="shared" si="146"/>
        <v>1</v>
      </c>
      <c r="AK765" s="3">
        <v>2310.9999999997672</v>
      </c>
      <c r="AM765" s="2">
        <v>1</v>
      </c>
      <c r="AN765">
        <v>0</v>
      </c>
      <c r="AO765">
        <v>40</v>
      </c>
      <c r="AP765">
        <v>0</v>
      </c>
      <c r="AQ765" s="2">
        <f>IF((2*G765 + M765 -P765 + 3*W765 + 2*Z765+2*AD765 + AG765+2*AJ765 + 4*AM765) &gt;=8,1,0)</f>
        <v>1</v>
      </c>
    </row>
    <row r="766" spans="1:43" x14ac:dyDescent="0.25">
      <c r="A766" t="s">
        <v>27</v>
      </c>
      <c r="B766" s="1">
        <v>39630</v>
      </c>
      <c r="C766" s="7">
        <f t="shared" si="138"/>
        <v>2008</v>
      </c>
      <c r="D766">
        <v>92.5</v>
      </c>
      <c r="E766">
        <v>76.599999999999994</v>
      </c>
      <c r="F766">
        <v>84.1</v>
      </c>
      <c r="G766" s="2">
        <f t="shared" si="137"/>
        <v>1</v>
      </c>
      <c r="H766">
        <v>88.7</v>
      </c>
      <c r="I766">
        <v>76.599999999999994</v>
      </c>
      <c r="J766">
        <v>82.2</v>
      </c>
      <c r="K766">
        <v>47</v>
      </c>
      <c r="L766">
        <v>28.4</v>
      </c>
      <c r="M766" s="2">
        <f t="shared" si="139"/>
        <v>1</v>
      </c>
      <c r="N766">
        <v>0</v>
      </c>
      <c r="P766" s="2">
        <f t="shared" si="140"/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s="2">
        <f t="shared" si="141"/>
        <v>0</v>
      </c>
      <c r="X766">
        <v>21.4</v>
      </c>
      <c r="Z766" s="2">
        <f t="shared" si="142"/>
        <v>1</v>
      </c>
      <c r="AA766">
        <v>3.6</v>
      </c>
      <c r="AB766" s="2" t="str">
        <f>CHOOSE(MATCH(AA766,{0;11;80;111;161;191;241;281;341},1),"North","NorthEast","East","SouthEast","South","SouthWest","West","NorthWest","North")</f>
        <v>North</v>
      </c>
      <c r="AC766" s="5">
        <f>CHOOSE(MATCH(AB766,{"South";"SouthEast";"SouthWest";"North";"NorthEast";"East";"West";"NorthWest"},0),1,2,3,4,5,6,7,8)</f>
        <v>4</v>
      </c>
      <c r="AD766" s="2">
        <f t="shared" si="143"/>
        <v>1</v>
      </c>
      <c r="AE766">
        <v>1011.5</v>
      </c>
      <c r="AF766" s="4" t="s">
        <v>230</v>
      </c>
      <c r="AG766" s="2">
        <f t="shared" si="144"/>
        <v>0</v>
      </c>
      <c r="AH766" t="s">
        <v>1344</v>
      </c>
      <c r="AI766" s="2">
        <f t="shared" si="145"/>
        <v>7</v>
      </c>
      <c r="AJ766" s="2">
        <f t="shared" si="146"/>
        <v>1</v>
      </c>
      <c r="AK766" s="3">
        <v>2145.9999999962752</v>
      </c>
      <c r="AM766" s="2">
        <v>1</v>
      </c>
      <c r="AN766">
        <v>0</v>
      </c>
      <c r="AO766">
        <v>11</v>
      </c>
      <c r="AP766">
        <v>0</v>
      </c>
      <c r="AQ766" s="2">
        <f>IF((2*G766 + M766 -P766 + 3*W766 + 2*Z766+2*AD766 + AG766+2*AJ766 + 4*AM766) &gt;=8,1,0)</f>
        <v>1</v>
      </c>
    </row>
    <row r="767" spans="1:43" x14ac:dyDescent="0.25">
      <c r="A767" t="s">
        <v>27</v>
      </c>
      <c r="B767" s="1">
        <v>39632</v>
      </c>
      <c r="C767" s="7">
        <f t="shared" si="138"/>
        <v>2008</v>
      </c>
      <c r="D767">
        <v>93.4</v>
      </c>
      <c r="E767">
        <v>76.599999999999994</v>
      </c>
      <c r="F767">
        <v>84.6</v>
      </c>
      <c r="G767" s="2">
        <f t="shared" si="137"/>
        <v>1</v>
      </c>
      <c r="H767">
        <v>91.6</v>
      </c>
      <c r="I767">
        <v>76.599999999999994</v>
      </c>
      <c r="J767">
        <v>83.7</v>
      </c>
      <c r="K767">
        <v>55.8</v>
      </c>
      <c r="L767">
        <v>38.200000000000003</v>
      </c>
      <c r="M767" s="2">
        <f t="shared" si="139"/>
        <v>1</v>
      </c>
      <c r="N767">
        <v>0</v>
      </c>
      <c r="P767" s="2">
        <f t="shared" si="140"/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s="2">
        <f t="shared" si="141"/>
        <v>0</v>
      </c>
      <c r="X767">
        <v>13.7</v>
      </c>
      <c r="Z767" s="2">
        <f t="shared" si="142"/>
        <v>0</v>
      </c>
      <c r="AA767">
        <v>28.6</v>
      </c>
      <c r="AB767" s="2" t="str">
        <f>CHOOSE(MATCH(AA767,{0;11;80;111;161;191;241;281;341},1),"North","NorthEast","East","SouthEast","South","SouthWest","West","NorthWest","North")</f>
        <v>NorthEast</v>
      </c>
      <c r="AC767" s="5">
        <f>CHOOSE(MATCH(AB767,{"South";"SouthEast";"SouthWest";"North";"NorthEast";"East";"West";"NorthWest"},0),1,2,3,4,5,6,7,8)</f>
        <v>5</v>
      </c>
      <c r="AD767" s="2">
        <f t="shared" si="143"/>
        <v>1</v>
      </c>
      <c r="AE767">
        <v>1010.2</v>
      </c>
      <c r="AF767" s="4" t="s">
        <v>363</v>
      </c>
      <c r="AG767" s="2">
        <f t="shared" si="144"/>
        <v>1</v>
      </c>
      <c r="AH767" t="s">
        <v>1345</v>
      </c>
      <c r="AI767" s="2">
        <f t="shared" si="145"/>
        <v>7</v>
      </c>
      <c r="AJ767" s="2">
        <f t="shared" si="146"/>
        <v>1</v>
      </c>
      <c r="AK767" s="3">
        <v>397.99999999813741</v>
      </c>
      <c r="AM767" s="2">
        <v>1</v>
      </c>
      <c r="AN767">
        <v>0</v>
      </c>
      <c r="AO767">
        <v>15</v>
      </c>
      <c r="AP767">
        <v>0</v>
      </c>
      <c r="AQ767" s="2">
        <f>IF((2*G767 + M767 -P767 + 3*W767 + 2*Z767+2*AD767 + AG767+2*AJ767 + 4*AM767) &gt;=8,1,0)</f>
        <v>1</v>
      </c>
    </row>
    <row r="768" spans="1:43" x14ac:dyDescent="0.25">
      <c r="A768" t="s">
        <v>27</v>
      </c>
      <c r="B768" s="1">
        <v>39637</v>
      </c>
      <c r="C768" s="7">
        <f t="shared" si="138"/>
        <v>2008</v>
      </c>
      <c r="D768">
        <v>94.7</v>
      </c>
      <c r="E768">
        <v>71.599999999999994</v>
      </c>
      <c r="F768">
        <v>83.4</v>
      </c>
      <c r="G768" s="2">
        <f t="shared" si="137"/>
        <v>1</v>
      </c>
      <c r="H768">
        <v>93.7</v>
      </c>
      <c r="I768">
        <v>71.599999999999994</v>
      </c>
      <c r="J768">
        <v>83.1</v>
      </c>
      <c r="K768">
        <v>58</v>
      </c>
      <c r="L768">
        <v>43.5</v>
      </c>
      <c r="M768" s="2">
        <f t="shared" si="139"/>
        <v>1</v>
      </c>
      <c r="N768">
        <v>0</v>
      </c>
      <c r="P768" s="2">
        <f t="shared" si="140"/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s="2">
        <f t="shared" si="141"/>
        <v>0</v>
      </c>
      <c r="X768">
        <v>11.4</v>
      </c>
      <c r="Z768" s="2">
        <f t="shared" si="142"/>
        <v>0</v>
      </c>
      <c r="AA768">
        <v>173.3</v>
      </c>
      <c r="AB768" s="2" t="str">
        <f>CHOOSE(MATCH(AA768,{0;11;80;111;161;191;241;281;341},1),"North","NorthEast","East","SouthEast","South","SouthWest","West","NorthWest","North")</f>
        <v>South</v>
      </c>
      <c r="AC768" s="5">
        <f>CHOOSE(MATCH(AB768,{"South";"SouthEast";"SouthWest";"North";"NorthEast";"East";"West";"NorthWest"},0),1,2,3,4,5,6,7,8)</f>
        <v>1</v>
      </c>
      <c r="AD768" s="2">
        <f t="shared" si="143"/>
        <v>0</v>
      </c>
      <c r="AE768">
        <v>1010.9</v>
      </c>
      <c r="AF768" s="4" t="s">
        <v>182</v>
      </c>
      <c r="AG768" s="2">
        <f t="shared" si="144"/>
        <v>0</v>
      </c>
      <c r="AH768" t="s">
        <v>1346</v>
      </c>
      <c r="AI768" s="2">
        <f t="shared" si="145"/>
        <v>7</v>
      </c>
      <c r="AJ768" s="2">
        <f t="shared" si="146"/>
        <v>1</v>
      </c>
      <c r="AK768" s="3">
        <v>45</v>
      </c>
      <c r="AM768" s="2">
        <v>0</v>
      </c>
      <c r="AN768">
        <v>0</v>
      </c>
      <c r="AO768">
        <v>3</v>
      </c>
      <c r="AP768">
        <v>0</v>
      </c>
      <c r="AQ768" s="2">
        <f>IF((2*G768 + M768 -P768 + 3*W768 + 2*Z768+2*AD768 + AG768+2*AJ768 + 4*AM768) &gt;=8,1,0)</f>
        <v>0</v>
      </c>
    </row>
    <row r="769" spans="1:43" x14ac:dyDescent="0.25">
      <c r="A769" t="s">
        <v>27</v>
      </c>
      <c r="B769" s="1">
        <v>39637</v>
      </c>
      <c r="C769" s="7">
        <f t="shared" si="138"/>
        <v>2008</v>
      </c>
      <c r="D769">
        <v>94.7</v>
      </c>
      <c r="E769">
        <v>71.599999999999994</v>
      </c>
      <c r="F769">
        <v>83.4</v>
      </c>
      <c r="G769" s="2">
        <f t="shared" si="137"/>
        <v>1</v>
      </c>
      <c r="H769">
        <v>93.7</v>
      </c>
      <c r="I769">
        <v>71.599999999999994</v>
      </c>
      <c r="J769">
        <v>83.1</v>
      </c>
      <c r="K769">
        <v>58</v>
      </c>
      <c r="L769">
        <v>43.5</v>
      </c>
      <c r="M769" s="2">
        <f t="shared" si="139"/>
        <v>1</v>
      </c>
      <c r="N769">
        <v>0</v>
      </c>
      <c r="P769" s="2">
        <f t="shared" si="140"/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s="2">
        <f t="shared" si="141"/>
        <v>0</v>
      </c>
      <c r="X769">
        <v>11.4</v>
      </c>
      <c r="Z769" s="2">
        <f t="shared" si="142"/>
        <v>0</v>
      </c>
      <c r="AA769">
        <v>173.3</v>
      </c>
      <c r="AB769" s="2" t="str">
        <f>CHOOSE(MATCH(AA769,{0;11;80;111;161;191;241;281;341},1),"North","NorthEast","East","SouthEast","South","SouthWest","West","NorthWest","North")</f>
        <v>South</v>
      </c>
      <c r="AC769" s="5">
        <f>CHOOSE(MATCH(AB769,{"South";"SouthEast";"SouthWest";"North";"NorthEast";"East";"West";"NorthWest"},0),1,2,3,4,5,6,7,8)</f>
        <v>1</v>
      </c>
      <c r="AD769" s="2">
        <f t="shared" si="143"/>
        <v>0</v>
      </c>
      <c r="AE769">
        <v>1010.9</v>
      </c>
      <c r="AF769" s="4" t="s">
        <v>1347</v>
      </c>
      <c r="AG769" s="2">
        <f t="shared" si="144"/>
        <v>0</v>
      </c>
      <c r="AH769" t="s">
        <v>1348</v>
      </c>
      <c r="AI769" s="2">
        <f t="shared" si="145"/>
        <v>7</v>
      </c>
      <c r="AJ769" s="2">
        <f t="shared" si="146"/>
        <v>1</v>
      </c>
      <c r="AK769" s="3">
        <v>90</v>
      </c>
      <c r="AM769" s="2">
        <v>0</v>
      </c>
      <c r="AN769">
        <v>0</v>
      </c>
      <c r="AO769">
        <v>1.5</v>
      </c>
      <c r="AP769">
        <v>0</v>
      </c>
      <c r="AQ769" s="2">
        <f>IF((2*G769 + M769 -P769 + 3*W769 + 2*Z769+2*AD769 + AG769+2*AJ769 + 4*AM769) &gt;=8,1,0)</f>
        <v>0</v>
      </c>
    </row>
    <row r="770" spans="1:43" x14ac:dyDescent="0.25">
      <c r="A770" t="s">
        <v>27</v>
      </c>
      <c r="B770" s="1">
        <v>39637</v>
      </c>
      <c r="C770" s="7">
        <f t="shared" si="138"/>
        <v>2008</v>
      </c>
      <c r="D770">
        <v>94.7</v>
      </c>
      <c r="E770">
        <v>71.599999999999994</v>
      </c>
      <c r="F770">
        <v>83.4</v>
      </c>
      <c r="G770" s="2">
        <f t="shared" ref="G770:G833" si="147">IF(F770&lt;=73.6,0,1)</f>
        <v>1</v>
      </c>
      <c r="H770">
        <v>93.7</v>
      </c>
      <c r="I770">
        <v>71.599999999999994</v>
      </c>
      <c r="J770">
        <v>83.1</v>
      </c>
      <c r="K770">
        <v>58</v>
      </c>
      <c r="L770">
        <v>43.5</v>
      </c>
      <c r="M770" s="2">
        <f t="shared" si="139"/>
        <v>1</v>
      </c>
      <c r="N770">
        <v>0</v>
      </c>
      <c r="P770" s="2">
        <f t="shared" si="140"/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s="2">
        <f t="shared" si="141"/>
        <v>0</v>
      </c>
      <c r="X770">
        <v>11.4</v>
      </c>
      <c r="Z770" s="2">
        <f t="shared" si="142"/>
        <v>0</v>
      </c>
      <c r="AA770">
        <v>173.3</v>
      </c>
      <c r="AB770" s="2" t="str">
        <f>CHOOSE(MATCH(AA770,{0;11;80;111;161;191;241;281;341},1),"North","NorthEast","East","SouthEast","South","SouthWest","West","NorthWest","North")</f>
        <v>South</v>
      </c>
      <c r="AC770" s="5">
        <f>CHOOSE(MATCH(AB770,{"South";"SouthEast";"SouthWest";"North";"NorthEast";"East";"West";"NorthWest"},0),1,2,3,4,5,6,7,8)</f>
        <v>1</v>
      </c>
      <c r="AD770" s="2">
        <f t="shared" si="143"/>
        <v>0</v>
      </c>
      <c r="AE770">
        <v>1010.9</v>
      </c>
      <c r="AF770" s="4" t="s">
        <v>1349</v>
      </c>
      <c r="AG770" s="2">
        <f t="shared" si="144"/>
        <v>0</v>
      </c>
      <c r="AH770" t="s">
        <v>1350</v>
      </c>
      <c r="AI770" s="2">
        <f t="shared" si="145"/>
        <v>7</v>
      </c>
      <c r="AJ770" s="2">
        <f t="shared" si="146"/>
        <v>1</v>
      </c>
      <c r="AK770" s="3">
        <v>40.000000004656613</v>
      </c>
      <c r="AM770" s="2">
        <v>0</v>
      </c>
      <c r="AN770">
        <v>0</v>
      </c>
      <c r="AO770">
        <v>0.5</v>
      </c>
      <c r="AP770">
        <v>0</v>
      </c>
      <c r="AQ770" s="2">
        <f>IF((2*G770 + M770 -P770 + 3*W770 + 2*Z770+2*AD770 + AG770+2*AJ770 + 4*AM770) &gt;=8,1,0)</f>
        <v>0</v>
      </c>
    </row>
    <row r="771" spans="1:43" x14ac:dyDescent="0.25">
      <c r="A771" t="s">
        <v>27</v>
      </c>
      <c r="B771" s="1">
        <v>39637</v>
      </c>
      <c r="C771" s="7">
        <f t="shared" si="138"/>
        <v>2008</v>
      </c>
      <c r="D771">
        <v>94.7</v>
      </c>
      <c r="E771">
        <v>71.599999999999994</v>
      </c>
      <c r="F771">
        <v>83.4</v>
      </c>
      <c r="G771" s="2">
        <f t="shared" si="147"/>
        <v>1</v>
      </c>
      <c r="H771">
        <v>93.7</v>
      </c>
      <c r="I771">
        <v>71.599999999999994</v>
      </c>
      <c r="J771">
        <v>83.1</v>
      </c>
      <c r="K771">
        <v>58</v>
      </c>
      <c r="L771">
        <v>43.5</v>
      </c>
      <c r="M771" s="2">
        <f t="shared" si="139"/>
        <v>1</v>
      </c>
      <c r="N771">
        <v>0</v>
      </c>
      <c r="P771" s="2">
        <f t="shared" si="140"/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s="2">
        <f t="shared" si="141"/>
        <v>0</v>
      </c>
      <c r="X771">
        <v>11.4</v>
      </c>
      <c r="Z771" s="2">
        <f t="shared" si="142"/>
        <v>0</v>
      </c>
      <c r="AA771">
        <v>173.3</v>
      </c>
      <c r="AB771" s="2" t="str">
        <f>CHOOSE(MATCH(AA771,{0;11;80;111;161;191;241;281;341},1),"North","NorthEast","East","SouthEast","South","SouthWest","West","NorthWest","North")</f>
        <v>South</v>
      </c>
      <c r="AC771" s="5">
        <f>CHOOSE(MATCH(AB771,{"South";"SouthEast";"SouthWest";"North";"NorthEast";"East";"West";"NorthWest"},0),1,2,3,4,5,6,7,8)</f>
        <v>1</v>
      </c>
      <c r="AD771" s="2">
        <f t="shared" si="143"/>
        <v>0</v>
      </c>
      <c r="AE771">
        <v>1010.9</v>
      </c>
      <c r="AF771" s="4" t="s">
        <v>321</v>
      </c>
      <c r="AG771" s="2">
        <f t="shared" si="144"/>
        <v>0</v>
      </c>
      <c r="AH771" t="s">
        <v>1351</v>
      </c>
      <c r="AI771" s="2">
        <f t="shared" si="145"/>
        <v>7</v>
      </c>
      <c r="AJ771" s="2">
        <f t="shared" si="146"/>
        <v>1</v>
      </c>
      <c r="AK771" s="3">
        <v>50.000000005820773</v>
      </c>
      <c r="AM771" s="2">
        <v>0</v>
      </c>
      <c r="AN771">
        <v>0</v>
      </c>
      <c r="AO771">
        <v>0.5</v>
      </c>
      <c r="AP771">
        <v>0</v>
      </c>
      <c r="AQ771" s="2">
        <f>IF((2*G771 + M771 -P771 + 3*W771 + 2*Z771+2*AD771 + AG771+2*AJ771 + 4*AM771) &gt;=8,1,0)</f>
        <v>0</v>
      </c>
    </row>
    <row r="772" spans="1:43" x14ac:dyDescent="0.25">
      <c r="A772" t="s">
        <v>27</v>
      </c>
      <c r="B772" s="1">
        <v>39639</v>
      </c>
      <c r="C772" s="7">
        <f t="shared" si="138"/>
        <v>2008</v>
      </c>
      <c r="D772">
        <v>89.7</v>
      </c>
      <c r="E772">
        <v>76.8</v>
      </c>
      <c r="F772">
        <v>83.3</v>
      </c>
      <c r="G772" s="2">
        <f t="shared" si="147"/>
        <v>1</v>
      </c>
      <c r="H772">
        <v>87.1</v>
      </c>
      <c r="I772">
        <v>76.8</v>
      </c>
      <c r="J772">
        <v>82.4</v>
      </c>
      <c r="K772">
        <v>54.9</v>
      </c>
      <c r="L772">
        <v>38.799999999999997</v>
      </c>
      <c r="M772" s="2">
        <f t="shared" si="139"/>
        <v>1</v>
      </c>
      <c r="N772">
        <v>0</v>
      </c>
      <c r="P772" s="2">
        <f t="shared" si="140"/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s="2">
        <f t="shared" si="141"/>
        <v>0</v>
      </c>
      <c r="X772">
        <v>19.7</v>
      </c>
      <c r="Z772" s="2">
        <f t="shared" si="142"/>
        <v>1</v>
      </c>
      <c r="AA772">
        <v>20.6</v>
      </c>
      <c r="AB772" s="2" t="str">
        <f>CHOOSE(MATCH(AA772,{0;11;80;111;161;191;241;281;341},1),"North","NorthEast","East","SouthEast","South","SouthWest","West","NorthWest","North")</f>
        <v>NorthEast</v>
      </c>
      <c r="AC772" s="5">
        <f>CHOOSE(MATCH(AB772,{"South";"SouthEast";"SouthWest";"North";"NorthEast";"East";"West";"NorthWest"},0),1,2,3,4,5,6,7,8)</f>
        <v>5</v>
      </c>
      <c r="AD772" s="2">
        <f t="shared" si="143"/>
        <v>1</v>
      </c>
      <c r="AE772">
        <v>1011.2</v>
      </c>
      <c r="AF772" s="4" t="s">
        <v>882</v>
      </c>
      <c r="AG772" s="2">
        <f t="shared" si="144"/>
        <v>1</v>
      </c>
      <c r="AH772" t="s">
        <v>1352</v>
      </c>
      <c r="AI772" s="2">
        <f t="shared" si="145"/>
        <v>7</v>
      </c>
      <c r="AJ772" s="2">
        <f t="shared" si="146"/>
        <v>1</v>
      </c>
      <c r="AK772" s="3">
        <v>66.999999998370185</v>
      </c>
      <c r="AM772" s="2">
        <v>0</v>
      </c>
      <c r="AN772">
        <v>0.15</v>
      </c>
      <c r="AO772">
        <v>0</v>
      </c>
      <c r="AP772">
        <v>0</v>
      </c>
      <c r="AQ772" s="2">
        <f>IF((2*G772 + M772 -P772 + 3*W772 + 2*Z772+2*AD772 + AG772+2*AJ772 + 4*AM772) &gt;=8,1,0)</f>
        <v>1</v>
      </c>
    </row>
    <row r="773" spans="1:43" x14ac:dyDescent="0.25">
      <c r="A773" t="s">
        <v>27</v>
      </c>
      <c r="B773" s="1">
        <v>39640</v>
      </c>
      <c r="C773" s="7">
        <f t="shared" si="138"/>
        <v>2008</v>
      </c>
      <c r="D773">
        <v>90</v>
      </c>
      <c r="E773">
        <v>73</v>
      </c>
      <c r="F773">
        <v>82</v>
      </c>
      <c r="G773" s="2">
        <f t="shared" si="147"/>
        <v>1</v>
      </c>
      <c r="H773">
        <v>88.3</v>
      </c>
      <c r="I773">
        <v>73</v>
      </c>
      <c r="J773">
        <v>80.7</v>
      </c>
      <c r="K773">
        <v>49.4</v>
      </c>
      <c r="L773">
        <v>32.700000000000003</v>
      </c>
      <c r="M773" s="2">
        <f t="shared" si="139"/>
        <v>1</v>
      </c>
      <c r="N773">
        <v>0</v>
      </c>
      <c r="P773" s="2">
        <f t="shared" si="140"/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s="2">
        <f t="shared" si="141"/>
        <v>0</v>
      </c>
      <c r="X773">
        <v>22.1</v>
      </c>
      <c r="Z773" s="2">
        <f t="shared" si="142"/>
        <v>1</v>
      </c>
      <c r="AA773">
        <v>10.6</v>
      </c>
      <c r="AB773" s="2" t="str">
        <f>CHOOSE(MATCH(AA773,{0;11;80;111;161;191;241;281;341},1),"North","NorthEast","East","SouthEast","South","SouthWest","West","NorthWest","North")</f>
        <v>North</v>
      </c>
      <c r="AC773" s="5">
        <f>CHOOSE(MATCH(AB773,{"South";"SouthEast";"SouthWest";"North";"NorthEast";"East";"West";"NorthWest"},0),1,2,3,4,5,6,7,8)</f>
        <v>4</v>
      </c>
      <c r="AD773" s="2">
        <f t="shared" si="143"/>
        <v>1</v>
      </c>
      <c r="AE773">
        <v>1012.7</v>
      </c>
      <c r="AF773" s="4" t="s">
        <v>1353</v>
      </c>
      <c r="AG773" s="2">
        <f t="shared" si="144"/>
        <v>0</v>
      </c>
      <c r="AH773" t="s">
        <v>1354</v>
      </c>
      <c r="AI773" s="2">
        <f t="shared" si="145"/>
        <v>7</v>
      </c>
      <c r="AJ773" s="2">
        <f t="shared" si="146"/>
        <v>1</v>
      </c>
      <c r="AK773" s="3">
        <v>1212.000000000698</v>
      </c>
      <c r="AM773" s="2">
        <v>1</v>
      </c>
      <c r="AN773">
        <v>0</v>
      </c>
      <c r="AO773">
        <v>20</v>
      </c>
      <c r="AP773">
        <v>0</v>
      </c>
      <c r="AQ773" s="2">
        <f>IF((2*G773 + M773 -P773 + 3*W773 + 2*Z773+2*AD773 + AG773+2*AJ773 + 4*AM773) &gt;=8,1,0)</f>
        <v>1</v>
      </c>
    </row>
    <row r="774" spans="1:43" x14ac:dyDescent="0.25">
      <c r="A774" t="s">
        <v>27</v>
      </c>
      <c r="B774" s="1">
        <v>39641</v>
      </c>
      <c r="C774" s="7">
        <f t="shared" si="138"/>
        <v>2008</v>
      </c>
      <c r="D774">
        <v>89.4</v>
      </c>
      <c r="E774">
        <v>75.599999999999994</v>
      </c>
      <c r="F774">
        <v>82</v>
      </c>
      <c r="G774" s="2">
        <f t="shared" si="147"/>
        <v>1</v>
      </c>
      <c r="H774">
        <v>86.9</v>
      </c>
      <c r="I774">
        <v>75.599999999999994</v>
      </c>
      <c r="J774">
        <v>80.599999999999994</v>
      </c>
      <c r="K774">
        <v>48.6</v>
      </c>
      <c r="L774">
        <v>32.1</v>
      </c>
      <c r="M774" s="2">
        <f t="shared" si="139"/>
        <v>1</v>
      </c>
      <c r="N774">
        <v>0</v>
      </c>
      <c r="P774" s="2">
        <f t="shared" si="140"/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s="2">
        <f t="shared" si="141"/>
        <v>0</v>
      </c>
      <c r="X774">
        <v>24.3</v>
      </c>
      <c r="Z774" s="2">
        <f t="shared" si="142"/>
        <v>1</v>
      </c>
      <c r="AA774">
        <v>4.0999999999999996</v>
      </c>
      <c r="AB774" s="2" t="str">
        <f>CHOOSE(MATCH(AA774,{0;11;80;111;161;191;241;281;341},1),"North","NorthEast","East","SouthEast","South","SouthWest","West","NorthWest","North")</f>
        <v>North</v>
      </c>
      <c r="AC774" s="5">
        <f>CHOOSE(MATCH(AB774,{"South";"SouthEast";"SouthWest";"North";"NorthEast";"East";"West";"NorthWest"},0),1,2,3,4,5,6,7,8)</f>
        <v>4</v>
      </c>
      <c r="AD774" s="2">
        <f t="shared" si="143"/>
        <v>1</v>
      </c>
      <c r="AE774">
        <v>1011.5</v>
      </c>
      <c r="AF774" s="4" t="s">
        <v>1355</v>
      </c>
      <c r="AG774" s="2">
        <f t="shared" si="144"/>
        <v>0</v>
      </c>
      <c r="AH774" t="s">
        <v>1356</v>
      </c>
      <c r="AI774" s="2">
        <f t="shared" si="145"/>
        <v>7</v>
      </c>
      <c r="AJ774" s="2">
        <f t="shared" si="146"/>
        <v>1</v>
      </c>
      <c r="AK774" s="3">
        <v>219.99999999417921</v>
      </c>
      <c r="AM774" s="2">
        <v>0</v>
      </c>
      <c r="AN774">
        <v>0</v>
      </c>
      <c r="AO774">
        <v>10</v>
      </c>
      <c r="AP774">
        <v>0</v>
      </c>
      <c r="AQ774" s="2">
        <f>IF((2*G774 + M774 -P774 + 3*W774 + 2*Z774+2*AD774 + AG774+2*AJ774 + 4*AM774) &gt;=8,1,0)</f>
        <v>1</v>
      </c>
    </row>
    <row r="775" spans="1:43" x14ac:dyDescent="0.25">
      <c r="A775" t="s">
        <v>27</v>
      </c>
      <c r="B775" s="1">
        <v>39642</v>
      </c>
      <c r="C775" s="7">
        <f t="shared" si="138"/>
        <v>2008</v>
      </c>
      <c r="D775">
        <v>91.7</v>
      </c>
      <c r="E775">
        <v>74.3</v>
      </c>
      <c r="F775">
        <v>82.5</v>
      </c>
      <c r="G775" s="2">
        <f t="shared" si="147"/>
        <v>1</v>
      </c>
      <c r="H775">
        <v>88</v>
      </c>
      <c r="I775">
        <v>74.3</v>
      </c>
      <c r="J775">
        <v>80.900000000000006</v>
      </c>
      <c r="K775">
        <v>47.7</v>
      </c>
      <c r="L775">
        <v>31</v>
      </c>
      <c r="M775" s="2">
        <f t="shared" si="139"/>
        <v>1</v>
      </c>
      <c r="N775">
        <v>0</v>
      </c>
      <c r="P775" s="2">
        <f t="shared" si="140"/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s="2">
        <f t="shared" si="141"/>
        <v>0</v>
      </c>
      <c r="X775">
        <v>20.399999999999999</v>
      </c>
      <c r="Z775" s="2">
        <f t="shared" si="142"/>
        <v>1</v>
      </c>
      <c r="AA775">
        <v>5.7</v>
      </c>
      <c r="AB775" s="2" t="str">
        <f>CHOOSE(MATCH(AA775,{0;11;80;111;161;191;241;281;341},1),"North","NorthEast","East","SouthEast","South","SouthWest","West","NorthWest","North")</f>
        <v>North</v>
      </c>
      <c r="AC775" s="5">
        <f>CHOOSE(MATCH(AB775,{"South";"SouthEast";"SouthWest";"North";"NorthEast";"East";"West";"NorthWest"},0),1,2,3,4,5,6,7,8)</f>
        <v>4</v>
      </c>
      <c r="AD775" s="2">
        <f t="shared" si="143"/>
        <v>1</v>
      </c>
      <c r="AE775">
        <v>1011.8</v>
      </c>
      <c r="AF775" s="4" t="s">
        <v>296</v>
      </c>
      <c r="AG775" s="2">
        <f t="shared" si="144"/>
        <v>1</v>
      </c>
      <c r="AH775" t="s">
        <v>1357</v>
      </c>
      <c r="AI775" s="2">
        <f t="shared" si="145"/>
        <v>7</v>
      </c>
      <c r="AJ775" s="2">
        <f t="shared" si="146"/>
        <v>1</v>
      </c>
      <c r="AK775" s="3">
        <v>79.999999998835847</v>
      </c>
      <c r="AM775" s="2">
        <v>0</v>
      </c>
      <c r="AN775">
        <v>0</v>
      </c>
      <c r="AO775">
        <v>0.02</v>
      </c>
      <c r="AP775">
        <v>0</v>
      </c>
      <c r="AQ775" s="2">
        <f>IF((2*G775 + M775 -P775 + 3*W775 + 2*Z775+2*AD775 + AG775+2*AJ775 + 4*AM775) &gt;=8,1,0)</f>
        <v>1</v>
      </c>
    </row>
    <row r="776" spans="1:43" x14ac:dyDescent="0.25">
      <c r="A776" t="s">
        <v>27</v>
      </c>
      <c r="B776" s="1">
        <v>39642</v>
      </c>
      <c r="C776" s="7">
        <f t="shared" si="138"/>
        <v>2008</v>
      </c>
      <c r="D776">
        <v>91.7</v>
      </c>
      <c r="E776">
        <v>74.3</v>
      </c>
      <c r="F776">
        <v>82.5</v>
      </c>
      <c r="G776" s="2">
        <f t="shared" si="147"/>
        <v>1</v>
      </c>
      <c r="H776">
        <v>88</v>
      </c>
      <c r="I776">
        <v>74.3</v>
      </c>
      <c r="J776">
        <v>80.900000000000006</v>
      </c>
      <c r="K776">
        <v>47.7</v>
      </c>
      <c r="L776">
        <v>31</v>
      </c>
      <c r="M776" s="2">
        <f t="shared" si="139"/>
        <v>1</v>
      </c>
      <c r="N776">
        <v>0</v>
      </c>
      <c r="P776" s="2">
        <f t="shared" si="140"/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s="2">
        <f t="shared" si="141"/>
        <v>0</v>
      </c>
      <c r="X776">
        <v>20.399999999999999</v>
      </c>
      <c r="Z776" s="2">
        <f t="shared" si="142"/>
        <v>1</v>
      </c>
      <c r="AA776">
        <v>5.7</v>
      </c>
      <c r="AB776" s="2" t="str">
        <f>CHOOSE(MATCH(AA776,{0;11;80;111;161;191;241;281;341},1),"North","NorthEast","East","SouthEast","South","SouthWest","West","NorthWest","North")</f>
        <v>North</v>
      </c>
      <c r="AC776" s="5">
        <f>CHOOSE(MATCH(AB776,{"South";"SouthEast";"SouthWest";"North";"NorthEast";"East";"West";"NorthWest"},0),1,2,3,4,5,6,7,8)</f>
        <v>4</v>
      </c>
      <c r="AD776" s="2">
        <f t="shared" si="143"/>
        <v>1</v>
      </c>
      <c r="AE776">
        <v>1011.8</v>
      </c>
      <c r="AF776" s="4" t="s">
        <v>208</v>
      </c>
      <c r="AG776" s="2">
        <f t="shared" si="144"/>
        <v>1</v>
      </c>
      <c r="AH776" t="s">
        <v>1358</v>
      </c>
      <c r="AI776" s="2">
        <f t="shared" si="145"/>
        <v>7</v>
      </c>
      <c r="AJ776" s="2">
        <f t="shared" si="146"/>
        <v>1</v>
      </c>
      <c r="AK776" s="3">
        <v>2220.9999999997672</v>
      </c>
      <c r="AM776" s="2">
        <v>1</v>
      </c>
      <c r="AN776">
        <v>0</v>
      </c>
      <c r="AO776">
        <v>20</v>
      </c>
      <c r="AP776">
        <v>0</v>
      </c>
      <c r="AQ776" s="2">
        <f>IF((2*G776 + M776 -P776 + 3*W776 + 2*Z776+2*AD776 + AG776+2*AJ776 + 4*AM776) &gt;=8,1,0)</f>
        <v>1</v>
      </c>
    </row>
    <row r="777" spans="1:43" x14ac:dyDescent="0.25">
      <c r="A777" t="s">
        <v>27</v>
      </c>
      <c r="B777" s="1">
        <v>39642</v>
      </c>
      <c r="C777" s="7">
        <f t="shared" si="138"/>
        <v>2008</v>
      </c>
      <c r="D777">
        <v>91.7</v>
      </c>
      <c r="E777">
        <v>74.3</v>
      </c>
      <c r="F777">
        <v>82.5</v>
      </c>
      <c r="G777" s="2">
        <f t="shared" si="147"/>
        <v>1</v>
      </c>
      <c r="H777">
        <v>88</v>
      </c>
      <c r="I777">
        <v>74.3</v>
      </c>
      <c r="J777">
        <v>80.900000000000006</v>
      </c>
      <c r="K777">
        <v>47.7</v>
      </c>
      <c r="L777">
        <v>31</v>
      </c>
      <c r="M777" s="2">
        <f t="shared" si="139"/>
        <v>1</v>
      </c>
      <c r="N777">
        <v>0</v>
      </c>
      <c r="P777" s="2">
        <f t="shared" si="140"/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s="2">
        <f t="shared" si="141"/>
        <v>0</v>
      </c>
      <c r="X777">
        <v>20.399999999999999</v>
      </c>
      <c r="Z777" s="2">
        <f t="shared" si="142"/>
        <v>1</v>
      </c>
      <c r="AA777">
        <v>5.7</v>
      </c>
      <c r="AB777" s="2" t="str">
        <f>CHOOSE(MATCH(AA777,{0;11;80;111;161;191;241;281;341},1),"North","NorthEast","East","SouthEast","South","SouthWest","West","NorthWest","North")</f>
        <v>North</v>
      </c>
      <c r="AC777" s="5">
        <f>CHOOSE(MATCH(AB777,{"South";"SouthEast";"SouthWest";"North";"NorthEast";"East";"West";"NorthWest"},0),1,2,3,4,5,6,7,8)</f>
        <v>4</v>
      </c>
      <c r="AD777" s="2">
        <f t="shared" si="143"/>
        <v>1</v>
      </c>
      <c r="AE777">
        <v>1011.8</v>
      </c>
      <c r="AF777" s="4" t="s">
        <v>288</v>
      </c>
      <c r="AG777" s="2">
        <f t="shared" si="144"/>
        <v>0</v>
      </c>
      <c r="AH777" t="s">
        <v>1359</v>
      </c>
      <c r="AI777" s="2">
        <f t="shared" si="145"/>
        <v>7</v>
      </c>
      <c r="AJ777" s="2">
        <f t="shared" si="146"/>
        <v>1</v>
      </c>
      <c r="AK777" s="3">
        <v>25.000000008149069</v>
      </c>
      <c r="AM777" s="2">
        <v>0</v>
      </c>
      <c r="AN777">
        <v>0</v>
      </c>
      <c r="AO777">
        <v>4</v>
      </c>
      <c r="AP777">
        <v>0</v>
      </c>
      <c r="AQ777" s="2">
        <f>IF((2*G777 + M777 -P777 + 3*W777 + 2*Z777+2*AD777 + AG777+2*AJ777 + 4*AM777) &gt;=8,1,0)</f>
        <v>1</v>
      </c>
    </row>
    <row r="778" spans="1:43" x14ac:dyDescent="0.25">
      <c r="A778" t="s">
        <v>27</v>
      </c>
      <c r="B778" s="1">
        <v>39645</v>
      </c>
      <c r="C778" s="7">
        <f t="shared" si="138"/>
        <v>2008</v>
      </c>
      <c r="D778">
        <v>87.9</v>
      </c>
      <c r="E778">
        <v>76.900000000000006</v>
      </c>
      <c r="F778">
        <v>82.1</v>
      </c>
      <c r="G778" s="2">
        <f t="shared" si="147"/>
        <v>1</v>
      </c>
      <c r="H778">
        <v>85</v>
      </c>
      <c r="I778">
        <v>76.900000000000006</v>
      </c>
      <c r="J778">
        <v>81</v>
      </c>
      <c r="K778">
        <v>50.9</v>
      </c>
      <c r="L778">
        <v>34.5</v>
      </c>
      <c r="M778" s="2">
        <f t="shared" si="139"/>
        <v>1</v>
      </c>
      <c r="N778">
        <v>0</v>
      </c>
      <c r="P778" s="2">
        <f t="shared" si="140"/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s="2">
        <f t="shared" si="141"/>
        <v>0</v>
      </c>
      <c r="X778">
        <v>21.7</v>
      </c>
      <c r="Z778" s="2">
        <f t="shared" si="142"/>
        <v>1</v>
      </c>
      <c r="AA778">
        <v>2.2999999999999998</v>
      </c>
      <c r="AB778" s="2" t="str">
        <f>CHOOSE(MATCH(AA778,{0;11;80;111;161;191;241;281;341},1),"North","NorthEast","East","SouthEast","South","SouthWest","West","NorthWest","North")</f>
        <v>North</v>
      </c>
      <c r="AC778" s="5">
        <f>CHOOSE(MATCH(AB778,{"South";"SouthEast";"SouthWest";"North";"NorthEast";"East";"West";"NorthWest"},0),1,2,3,4,5,6,7,8)</f>
        <v>4</v>
      </c>
      <c r="AD778" s="2">
        <f t="shared" si="143"/>
        <v>1</v>
      </c>
      <c r="AE778">
        <v>1009.9</v>
      </c>
      <c r="AF778" s="4" t="s">
        <v>1360</v>
      </c>
      <c r="AG778" s="2">
        <f t="shared" si="144"/>
        <v>0</v>
      </c>
      <c r="AH778" t="s">
        <v>1361</v>
      </c>
      <c r="AI778" s="2">
        <f t="shared" si="145"/>
        <v>7</v>
      </c>
      <c r="AJ778" s="2">
        <f t="shared" si="146"/>
        <v>1</v>
      </c>
      <c r="AK778" s="3">
        <v>2418.9999999955762</v>
      </c>
      <c r="AM778" s="2">
        <v>1</v>
      </c>
      <c r="AN778">
        <v>0</v>
      </c>
      <c r="AO778">
        <v>20</v>
      </c>
      <c r="AP778">
        <v>0</v>
      </c>
      <c r="AQ778" s="2">
        <f>IF((2*G778 + M778 -P778 + 3*W778 + 2*Z778+2*AD778 + AG778+2*AJ778 + 4*AM778) &gt;=8,1,0)</f>
        <v>1</v>
      </c>
    </row>
    <row r="779" spans="1:43" x14ac:dyDescent="0.25">
      <c r="A779" t="s">
        <v>27</v>
      </c>
      <c r="B779" s="1">
        <v>39649</v>
      </c>
      <c r="C779" s="7">
        <f t="shared" si="138"/>
        <v>2008</v>
      </c>
      <c r="D779">
        <v>97.5</v>
      </c>
      <c r="E779">
        <v>76.599999999999994</v>
      </c>
      <c r="F779">
        <v>87.3</v>
      </c>
      <c r="G779" s="2">
        <f t="shared" si="147"/>
        <v>1</v>
      </c>
      <c r="H779">
        <v>95.4</v>
      </c>
      <c r="I779">
        <v>76.599999999999994</v>
      </c>
      <c r="J779">
        <v>86</v>
      </c>
      <c r="K779">
        <v>54.4</v>
      </c>
      <c r="L779">
        <v>33.9</v>
      </c>
      <c r="M779" s="2">
        <f t="shared" si="139"/>
        <v>1</v>
      </c>
      <c r="N779">
        <v>0</v>
      </c>
      <c r="P779" s="2">
        <f t="shared" si="140"/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s="2">
        <f t="shared" si="141"/>
        <v>0</v>
      </c>
      <c r="X779">
        <v>20.6</v>
      </c>
      <c r="Z779" s="2">
        <f t="shared" si="142"/>
        <v>1</v>
      </c>
      <c r="AA779">
        <v>11.4</v>
      </c>
      <c r="AB779" s="2" t="str">
        <f>CHOOSE(MATCH(AA779,{0;11;80;111;161;191;241;281;341},1),"North","NorthEast","East","SouthEast","South","SouthWest","West","NorthWest","North")</f>
        <v>NorthEast</v>
      </c>
      <c r="AC779" s="5">
        <f>CHOOSE(MATCH(AB779,{"South";"SouthEast";"SouthWest";"North";"NorthEast";"East";"West";"NorthWest"},0),1,2,3,4,5,6,7,8)</f>
        <v>5</v>
      </c>
      <c r="AD779" s="2">
        <f t="shared" si="143"/>
        <v>1</v>
      </c>
      <c r="AE779">
        <v>1011</v>
      </c>
      <c r="AF779" s="4" t="s">
        <v>1362</v>
      </c>
      <c r="AG779" s="2">
        <f t="shared" si="144"/>
        <v>0</v>
      </c>
      <c r="AH779" t="s">
        <v>1363</v>
      </c>
      <c r="AI779" s="2">
        <f t="shared" si="145"/>
        <v>7</v>
      </c>
      <c r="AJ779" s="2">
        <f t="shared" si="146"/>
        <v>1</v>
      </c>
      <c r="AK779" s="3">
        <v>721.00000000325963</v>
      </c>
      <c r="AM779" s="2">
        <v>1</v>
      </c>
      <c r="AN779">
        <v>0</v>
      </c>
      <c r="AO779">
        <v>12</v>
      </c>
      <c r="AP779">
        <v>0</v>
      </c>
      <c r="AQ779" s="2">
        <f>IF((2*G779 + M779 -P779 + 3*W779 + 2*Z779+2*AD779 + AG779+2*AJ779 + 4*AM779) &gt;=8,1,0)</f>
        <v>1</v>
      </c>
    </row>
    <row r="780" spans="1:43" x14ac:dyDescent="0.25">
      <c r="A780" t="s">
        <v>27</v>
      </c>
      <c r="B780" s="1">
        <v>39649</v>
      </c>
      <c r="C780" s="7">
        <f t="shared" si="138"/>
        <v>2008</v>
      </c>
      <c r="D780">
        <v>97.5</v>
      </c>
      <c r="E780">
        <v>76.599999999999994</v>
      </c>
      <c r="F780">
        <v>87.3</v>
      </c>
      <c r="G780" s="2">
        <f t="shared" si="147"/>
        <v>1</v>
      </c>
      <c r="H780">
        <v>95.4</v>
      </c>
      <c r="I780">
        <v>76.599999999999994</v>
      </c>
      <c r="J780">
        <v>86</v>
      </c>
      <c r="K780">
        <v>54.4</v>
      </c>
      <c r="L780">
        <v>33.9</v>
      </c>
      <c r="M780" s="2">
        <f t="shared" si="139"/>
        <v>1</v>
      </c>
      <c r="N780">
        <v>0</v>
      </c>
      <c r="P780" s="2">
        <f t="shared" si="140"/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s="2">
        <f t="shared" si="141"/>
        <v>0</v>
      </c>
      <c r="X780">
        <v>20.6</v>
      </c>
      <c r="Z780" s="2">
        <f t="shared" si="142"/>
        <v>1</v>
      </c>
      <c r="AA780">
        <v>11.4</v>
      </c>
      <c r="AB780" s="2" t="str">
        <f>CHOOSE(MATCH(AA780,{0;11;80;111;161;191;241;281;341},1),"North","NorthEast","East","SouthEast","South","SouthWest","West","NorthWest","North")</f>
        <v>NorthEast</v>
      </c>
      <c r="AC780" s="5">
        <f>CHOOSE(MATCH(AB780,{"South";"SouthEast";"SouthWest";"North";"NorthEast";"East";"West";"NorthWest"},0),1,2,3,4,5,6,7,8)</f>
        <v>5</v>
      </c>
      <c r="AD780" s="2">
        <f t="shared" si="143"/>
        <v>1</v>
      </c>
      <c r="AE780">
        <v>1011</v>
      </c>
      <c r="AF780" s="4" t="s">
        <v>404</v>
      </c>
      <c r="AG780" s="2">
        <f t="shared" si="144"/>
        <v>1</v>
      </c>
      <c r="AH780" t="s">
        <v>1364</v>
      </c>
      <c r="AI780" s="2">
        <f t="shared" si="145"/>
        <v>7</v>
      </c>
      <c r="AJ780" s="2">
        <f t="shared" si="146"/>
        <v>1</v>
      </c>
      <c r="AK780" s="3">
        <v>2331.000000002095</v>
      </c>
      <c r="AM780" s="2">
        <v>1</v>
      </c>
      <c r="AN780">
        <v>0</v>
      </c>
      <c r="AO780">
        <v>20</v>
      </c>
      <c r="AP780">
        <v>0</v>
      </c>
      <c r="AQ780" s="2">
        <f>IF((2*G780 + M780 -P780 + 3*W780 + 2*Z780+2*AD780 + AG780+2*AJ780 + 4*AM780) &gt;=8,1,0)</f>
        <v>1</v>
      </c>
    </row>
    <row r="781" spans="1:43" x14ac:dyDescent="0.25">
      <c r="A781" t="s">
        <v>27</v>
      </c>
      <c r="B781" s="1">
        <v>39650</v>
      </c>
      <c r="C781" s="7">
        <f t="shared" si="138"/>
        <v>2008</v>
      </c>
      <c r="D781">
        <v>96.9</v>
      </c>
      <c r="E781">
        <v>79.3</v>
      </c>
      <c r="F781">
        <v>87.9</v>
      </c>
      <c r="G781" s="2">
        <f t="shared" si="147"/>
        <v>1</v>
      </c>
      <c r="H781">
        <v>97.1</v>
      </c>
      <c r="I781">
        <v>79.3</v>
      </c>
      <c r="J781">
        <v>86.5</v>
      </c>
      <c r="K781">
        <v>54.2</v>
      </c>
      <c r="L781">
        <v>32.6</v>
      </c>
      <c r="M781" s="2">
        <f t="shared" si="139"/>
        <v>1</v>
      </c>
      <c r="N781">
        <v>0</v>
      </c>
      <c r="P781" s="2">
        <f t="shared" si="140"/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s="2">
        <f t="shared" si="141"/>
        <v>0</v>
      </c>
      <c r="X781">
        <v>17.5</v>
      </c>
      <c r="Z781" s="2">
        <f t="shared" si="142"/>
        <v>1</v>
      </c>
      <c r="AA781">
        <v>10.1</v>
      </c>
      <c r="AB781" s="2" t="str">
        <f>CHOOSE(MATCH(AA781,{0;11;80;111;161;191;241;281;341},1),"North","NorthEast","East","SouthEast","South","SouthWest","West","NorthWest","North")</f>
        <v>North</v>
      </c>
      <c r="AC781" s="5">
        <f>CHOOSE(MATCH(AB781,{"South";"SouthEast";"SouthWest";"North";"NorthEast";"East";"West";"NorthWest"},0),1,2,3,4,5,6,7,8)</f>
        <v>4</v>
      </c>
      <c r="AD781" s="2">
        <f t="shared" si="143"/>
        <v>1</v>
      </c>
      <c r="AE781">
        <v>1009.5</v>
      </c>
      <c r="AF781" s="4" t="s">
        <v>70</v>
      </c>
      <c r="AG781" s="2">
        <f t="shared" si="144"/>
        <v>0</v>
      </c>
      <c r="AH781" t="s">
        <v>1365</v>
      </c>
      <c r="AI781" s="2">
        <f t="shared" si="145"/>
        <v>7</v>
      </c>
      <c r="AJ781" s="2">
        <f t="shared" si="146"/>
        <v>1</v>
      </c>
      <c r="AK781" s="3">
        <v>644.99999999650754</v>
      </c>
      <c r="AM781" s="2">
        <v>1</v>
      </c>
      <c r="AN781">
        <v>0</v>
      </c>
      <c r="AO781">
        <v>25</v>
      </c>
      <c r="AP781">
        <v>0</v>
      </c>
      <c r="AQ781" s="2">
        <f>IF((2*G781 + M781 -P781 + 3*W781 + 2*Z781+2*AD781 + AG781+2*AJ781 + 4*AM781) &gt;=8,1,0)</f>
        <v>1</v>
      </c>
    </row>
    <row r="782" spans="1:43" x14ac:dyDescent="0.25">
      <c r="A782" t="s">
        <v>27</v>
      </c>
      <c r="B782" s="1">
        <v>39651</v>
      </c>
      <c r="C782" s="7">
        <f t="shared" si="138"/>
        <v>2008</v>
      </c>
      <c r="D782">
        <v>96.1</v>
      </c>
      <c r="E782">
        <v>72.599999999999994</v>
      </c>
      <c r="F782">
        <v>84.8</v>
      </c>
      <c r="G782" s="2">
        <f t="shared" si="147"/>
        <v>1</v>
      </c>
      <c r="H782">
        <v>95.9</v>
      </c>
      <c r="I782">
        <v>72.599999999999994</v>
      </c>
      <c r="J782">
        <v>84.7</v>
      </c>
      <c r="K782">
        <v>58.3</v>
      </c>
      <c r="L782">
        <v>41.9</v>
      </c>
      <c r="M782" s="2">
        <f t="shared" si="139"/>
        <v>1</v>
      </c>
      <c r="N782">
        <v>0</v>
      </c>
      <c r="P782" s="2">
        <f t="shared" si="140"/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s="2">
        <f t="shared" si="141"/>
        <v>0</v>
      </c>
      <c r="X782">
        <v>10.1</v>
      </c>
      <c r="Z782" s="2">
        <f t="shared" si="142"/>
        <v>0</v>
      </c>
      <c r="AA782">
        <v>154.30000000000001</v>
      </c>
      <c r="AB782" s="2" t="str">
        <f>CHOOSE(MATCH(AA782,{0;11;80;111;161;191;241;281;341},1),"North","NorthEast","East","SouthEast","South","SouthWest","West","NorthWest","North")</f>
        <v>SouthEast</v>
      </c>
      <c r="AC782" s="5">
        <f>CHOOSE(MATCH(AB782,{"South";"SouthEast";"SouthWest";"North";"NorthEast";"East";"West";"NorthWest"},0),1,2,3,4,5,6,7,8)</f>
        <v>2</v>
      </c>
      <c r="AD782" s="2">
        <f t="shared" si="143"/>
        <v>0</v>
      </c>
      <c r="AE782">
        <v>1007.6</v>
      </c>
      <c r="AF782" s="4" t="s">
        <v>1366</v>
      </c>
      <c r="AG782" s="2">
        <f t="shared" si="144"/>
        <v>0</v>
      </c>
      <c r="AH782" t="s">
        <v>1367</v>
      </c>
      <c r="AI782" s="2">
        <f t="shared" si="145"/>
        <v>7</v>
      </c>
      <c r="AJ782" s="2">
        <f t="shared" si="146"/>
        <v>1</v>
      </c>
      <c r="AK782" s="3">
        <v>107.99999999580901</v>
      </c>
      <c r="AM782" s="2">
        <v>0</v>
      </c>
      <c r="AN782">
        <v>0</v>
      </c>
      <c r="AO782">
        <v>5</v>
      </c>
      <c r="AP782">
        <v>0</v>
      </c>
      <c r="AQ782" s="2">
        <f>IF((2*G782 + M782 -P782 + 3*W782 + 2*Z782+2*AD782 + AG782+2*AJ782 + 4*AM782) &gt;=8,1,0)</f>
        <v>0</v>
      </c>
    </row>
    <row r="783" spans="1:43" x14ac:dyDescent="0.25">
      <c r="A783" t="s">
        <v>27</v>
      </c>
      <c r="B783" s="1">
        <v>39652</v>
      </c>
      <c r="C783" s="7">
        <f t="shared" si="138"/>
        <v>2008</v>
      </c>
      <c r="D783">
        <v>91.1</v>
      </c>
      <c r="E783">
        <v>73.400000000000006</v>
      </c>
      <c r="F783">
        <v>83.5</v>
      </c>
      <c r="G783" s="2">
        <f t="shared" si="147"/>
        <v>1</v>
      </c>
      <c r="H783">
        <v>89.8</v>
      </c>
      <c r="I783">
        <v>73.400000000000006</v>
      </c>
      <c r="J783">
        <v>82.7</v>
      </c>
      <c r="K783">
        <v>55.7</v>
      </c>
      <c r="L783">
        <v>40.9</v>
      </c>
      <c r="M783" s="2">
        <f t="shared" si="139"/>
        <v>1</v>
      </c>
      <c r="N783">
        <v>0</v>
      </c>
      <c r="P783" s="2">
        <f t="shared" si="140"/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s="2">
        <f t="shared" si="141"/>
        <v>0</v>
      </c>
      <c r="X783">
        <v>15.1</v>
      </c>
      <c r="Z783" s="2">
        <f t="shared" si="142"/>
        <v>0</v>
      </c>
      <c r="AA783">
        <v>332.4</v>
      </c>
      <c r="AB783" s="2" t="str">
        <f>CHOOSE(MATCH(AA783,{0;11;80;111;161;191;241;281;341},1),"North","NorthEast","East","SouthEast","South","SouthWest","West","NorthWest","North")</f>
        <v>NorthWest</v>
      </c>
      <c r="AC783" s="5">
        <f>CHOOSE(MATCH(AB783,{"South";"SouthEast";"SouthWest";"North";"NorthEast";"East";"West";"NorthWest"},0),1,2,3,4,5,6,7,8)</f>
        <v>8</v>
      </c>
      <c r="AD783" s="2">
        <f t="shared" si="143"/>
        <v>1</v>
      </c>
      <c r="AE783">
        <v>1004.2</v>
      </c>
      <c r="AF783" s="4" t="s">
        <v>119</v>
      </c>
      <c r="AG783" s="2">
        <f t="shared" si="144"/>
        <v>0</v>
      </c>
      <c r="AH783" t="s">
        <v>1368</v>
      </c>
      <c r="AI783" s="2">
        <f t="shared" si="145"/>
        <v>7</v>
      </c>
      <c r="AJ783" s="2">
        <f t="shared" si="146"/>
        <v>1</v>
      </c>
      <c r="AK783" s="3">
        <v>28685.000000002328</v>
      </c>
      <c r="AM783" s="2">
        <v>1</v>
      </c>
      <c r="AN783">
        <v>1000</v>
      </c>
      <c r="AO783">
        <v>0</v>
      </c>
      <c r="AP783">
        <v>0</v>
      </c>
      <c r="AQ783" s="2">
        <f>IF((2*G783 + M783 -P783 + 3*W783 + 2*Z783+2*AD783 + AG783+2*AJ783 + 4*AM783) &gt;=8,1,0)</f>
        <v>1</v>
      </c>
    </row>
    <row r="784" spans="1:43" x14ac:dyDescent="0.25">
      <c r="A784" t="s">
        <v>27</v>
      </c>
      <c r="B784" s="1">
        <v>39652</v>
      </c>
      <c r="C784" s="7">
        <f t="shared" si="138"/>
        <v>2008</v>
      </c>
      <c r="D784">
        <v>91.1</v>
      </c>
      <c r="E784">
        <v>73.400000000000006</v>
      </c>
      <c r="F784">
        <v>83.5</v>
      </c>
      <c r="G784" s="2">
        <f t="shared" si="147"/>
        <v>1</v>
      </c>
      <c r="H784">
        <v>89.8</v>
      </c>
      <c r="I784">
        <v>73.400000000000006</v>
      </c>
      <c r="J784">
        <v>82.7</v>
      </c>
      <c r="K784">
        <v>55.7</v>
      </c>
      <c r="L784">
        <v>40.9</v>
      </c>
      <c r="M784" s="2">
        <f t="shared" si="139"/>
        <v>1</v>
      </c>
      <c r="N784">
        <v>0</v>
      </c>
      <c r="P784" s="2">
        <f t="shared" si="140"/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s="2">
        <f t="shared" si="141"/>
        <v>0</v>
      </c>
      <c r="X784">
        <v>15.1</v>
      </c>
      <c r="Z784" s="2">
        <f t="shared" si="142"/>
        <v>0</v>
      </c>
      <c r="AA784">
        <v>332.4</v>
      </c>
      <c r="AB784" s="2" t="str">
        <f>CHOOSE(MATCH(AA784,{0;11;80;111;161;191;241;281;341},1),"North","NorthEast","East","SouthEast","South","SouthWest","West","NorthWest","North")</f>
        <v>NorthWest</v>
      </c>
      <c r="AC784" s="5">
        <f>CHOOSE(MATCH(AB784,{"South";"SouthEast";"SouthWest";"North";"NorthEast";"East";"West";"NorthWest"},0),1,2,3,4,5,6,7,8)</f>
        <v>8</v>
      </c>
      <c r="AD784" s="2">
        <f t="shared" si="143"/>
        <v>1</v>
      </c>
      <c r="AE784">
        <v>1004.2</v>
      </c>
      <c r="AF784" s="4" t="s">
        <v>428</v>
      </c>
      <c r="AG784" s="2">
        <f t="shared" si="144"/>
        <v>1</v>
      </c>
      <c r="AH784" t="s">
        <v>1369</v>
      </c>
      <c r="AI784" s="2">
        <f t="shared" si="145"/>
        <v>7</v>
      </c>
      <c r="AJ784" s="2">
        <f t="shared" si="146"/>
        <v>1</v>
      </c>
      <c r="AK784" s="3">
        <v>1143.9999999990689</v>
      </c>
      <c r="AM784" s="2">
        <v>1</v>
      </c>
      <c r="AN784">
        <v>100</v>
      </c>
      <c r="AO784">
        <v>0</v>
      </c>
      <c r="AP784">
        <v>0</v>
      </c>
      <c r="AQ784" s="2">
        <f>IF((2*G784 + M784 -P784 + 3*W784 + 2*Z784+2*AD784 + AG784+2*AJ784 + 4*AM784) &gt;=8,1,0)</f>
        <v>1</v>
      </c>
    </row>
    <row r="785" spans="1:43" x14ac:dyDescent="0.25">
      <c r="A785" t="s">
        <v>27</v>
      </c>
      <c r="B785" s="1">
        <v>39652</v>
      </c>
      <c r="C785" s="7">
        <f t="shared" si="138"/>
        <v>2008</v>
      </c>
      <c r="D785">
        <v>91.1</v>
      </c>
      <c r="E785">
        <v>73.400000000000006</v>
      </c>
      <c r="F785">
        <v>83.5</v>
      </c>
      <c r="G785" s="2">
        <f t="shared" si="147"/>
        <v>1</v>
      </c>
      <c r="H785">
        <v>89.8</v>
      </c>
      <c r="I785">
        <v>73.400000000000006</v>
      </c>
      <c r="J785">
        <v>82.7</v>
      </c>
      <c r="K785">
        <v>55.7</v>
      </c>
      <c r="L785">
        <v>40.9</v>
      </c>
      <c r="M785" s="2">
        <f t="shared" si="139"/>
        <v>1</v>
      </c>
      <c r="N785">
        <v>0</v>
      </c>
      <c r="P785" s="2">
        <f t="shared" si="140"/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s="2">
        <f t="shared" si="141"/>
        <v>0</v>
      </c>
      <c r="X785">
        <v>15.1</v>
      </c>
      <c r="Z785" s="2">
        <f t="shared" si="142"/>
        <v>0</v>
      </c>
      <c r="AA785">
        <v>332.4</v>
      </c>
      <c r="AB785" s="2" t="str">
        <f>CHOOSE(MATCH(AA785,{0;11;80;111;161;191;241;281;341},1),"North","NorthEast","East","SouthEast","South","SouthWest","West","NorthWest","North")</f>
        <v>NorthWest</v>
      </c>
      <c r="AC785" s="5">
        <f>CHOOSE(MATCH(AB785,{"South";"SouthEast";"SouthWest";"North";"NorthEast";"East";"West";"NorthWest"},0),1,2,3,4,5,6,7,8)</f>
        <v>8</v>
      </c>
      <c r="AD785" s="2">
        <f t="shared" si="143"/>
        <v>1</v>
      </c>
      <c r="AE785">
        <v>1004.2</v>
      </c>
      <c r="AF785" s="4" t="s">
        <v>1370</v>
      </c>
      <c r="AG785" s="2">
        <f t="shared" si="144"/>
        <v>0</v>
      </c>
      <c r="AH785" t="s">
        <v>1371</v>
      </c>
      <c r="AI785" s="2">
        <f t="shared" si="145"/>
        <v>7</v>
      </c>
      <c r="AJ785" s="2">
        <f t="shared" si="146"/>
        <v>1</v>
      </c>
      <c r="AK785" s="3">
        <v>392.99999999231659</v>
      </c>
      <c r="AM785" s="2">
        <v>1</v>
      </c>
      <c r="AN785">
        <v>0</v>
      </c>
      <c r="AO785">
        <v>0.5</v>
      </c>
      <c r="AP785">
        <v>0</v>
      </c>
      <c r="AQ785" s="2">
        <f>IF((2*G785 + M785 -P785 + 3*W785 + 2*Z785+2*AD785 + AG785+2*AJ785 + 4*AM785) &gt;=8,1,0)</f>
        <v>1</v>
      </c>
    </row>
    <row r="786" spans="1:43" x14ac:dyDescent="0.25">
      <c r="A786" t="s">
        <v>27</v>
      </c>
      <c r="B786" s="1">
        <v>39653</v>
      </c>
      <c r="C786" s="7">
        <f t="shared" si="138"/>
        <v>2008</v>
      </c>
      <c r="D786">
        <v>85.2</v>
      </c>
      <c r="E786">
        <v>70.099999999999994</v>
      </c>
      <c r="F786">
        <v>77.8</v>
      </c>
      <c r="G786" s="2">
        <f t="shared" si="147"/>
        <v>1</v>
      </c>
      <c r="H786">
        <v>83.1</v>
      </c>
      <c r="I786">
        <v>70.099999999999994</v>
      </c>
      <c r="J786">
        <v>77.2</v>
      </c>
      <c r="K786">
        <v>48.8</v>
      </c>
      <c r="L786">
        <v>37.200000000000003</v>
      </c>
      <c r="M786" s="2">
        <f t="shared" si="139"/>
        <v>1</v>
      </c>
      <c r="N786">
        <v>0</v>
      </c>
      <c r="P786" s="2">
        <f t="shared" si="140"/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s="2">
        <f t="shared" si="141"/>
        <v>0</v>
      </c>
      <c r="X786">
        <v>15.5</v>
      </c>
      <c r="Z786" s="2">
        <f t="shared" si="142"/>
        <v>0</v>
      </c>
      <c r="AA786">
        <v>300</v>
      </c>
      <c r="AB786" s="2" t="str">
        <f>CHOOSE(MATCH(AA786,{0;11;80;111;161;191;241;281;341},1),"North","NorthEast","East","SouthEast","South","SouthWest","West","NorthWest","North")</f>
        <v>NorthWest</v>
      </c>
      <c r="AC786" s="5">
        <f>CHOOSE(MATCH(AB786,{"South";"SouthEast";"SouthWest";"North";"NorthEast";"East";"West";"NorthWest"},0),1,2,3,4,5,6,7,8)</f>
        <v>8</v>
      </c>
      <c r="AD786" s="2">
        <f t="shared" si="143"/>
        <v>1</v>
      </c>
      <c r="AE786">
        <v>1006.9</v>
      </c>
      <c r="AF786" s="4" t="s">
        <v>253</v>
      </c>
      <c r="AG786" s="2">
        <f t="shared" si="144"/>
        <v>1</v>
      </c>
      <c r="AH786" t="s">
        <v>1372</v>
      </c>
      <c r="AI786" s="2">
        <f t="shared" si="145"/>
        <v>7</v>
      </c>
      <c r="AJ786" s="2">
        <f t="shared" si="146"/>
        <v>1</v>
      </c>
      <c r="AK786" s="3">
        <v>193.00000000046569</v>
      </c>
      <c r="AM786" s="2">
        <v>0</v>
      </c>
      <c r="AN786">
        <v>0</v>
      </c>
      <c r="AO786">
        <v>1</v>
      </c>
      <c r="AP786">
        <v>0</v>
      </c>
      <c r="AQ786" s="2">
        <f>IF((2*G786 + M786 -P786 + 3*W786 + 2*Z786+2*AD786 + AG786+2*AJ786 + 4*AM786) &gt;=8,1,0)</f>
        <v>0</v>
      </c>
    </row>
    <row r="787" spans="1:43" x14ac:dyDescent="0.25">
      <c r="A787" t="s">
        <v>27</v>
      </c>
      <c r="B787" s="1">
        <v>39654</v>
      </c>
      <c r="C787" s="7">
        <f t="shared" si="138"/>
        <v>2008</v>
      </c>
      <c r="D787">
        <v>87.9</v>
      </c>
      <c r="E787">
        <v>68.900000000000006</v>
      </c>
      <c r="F787">
        <v>78.5</v>
      </c>
      <c r="G787" s="2">
        <f t="shared" si="147"/>
        <v>1</v>
      </c>
      <c r="H787">
        <v>85.3</v>
      </c>
      <c r="I787">
        <v>68.900000000000006</v>
      </c>
      <c r="J787">
        <v>77.900000000000006</v>
      </c>
      <c r="K787">
        <v>54.3</v>
      </c>
      <c r="L787">
        <v>44.5</v>
      </c>
      <c r="M787" s="2">
        <f t="shared" si="139"/>
        <v>1</v>
      </c>
      <c r="N787">
        <v>0</v>
      </c>
      <c r="P787" s="2">
        <f t="shared" si="140"/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s="2">
        <f t="shared" si="141"/>
        <v>0</v>
      </c>
      <c r="X787">
        <v>16.899999999999999</v>
      </c>
      <c r="Z787" s="2">
        <f t="shared" si="142"/>
        <v>1</v>
      </c>
      <c r="AA787">
        <v>293.2</v>
      </c>
      <c r="AB787" s="2" t="str">
        <f>CHOOSE(MATCH(AA787,{0;11;80;111;161;191;241;281;341},1),"North","NorthEast","East","SouthEast","South","SouthWest","West","NorthWest","North")</f>
        <v>NorthWest</v>
      </c>
      <c r="AC787" s="5">
        <f>CHOOSE(MATCH(AB787,{"South";"SouthEast";"SouthWest";"North";"NorthEast";"East";"West";"NorthWest"},0),1,2,3,4,5,6,7,8)</f>
        <v>8</v>
      </c>
      <c r="AD787" s="2">
        <f t="shared" si="143"/>
        <v>1</v>
      </c>
      <c r="AE787">
        <v>1007.3</v>
      </c>
      <c r="AF787" s="4" t="s">
        <v>404</v>
      </c>
      <c r="AG787" s="2">
        <f t="shared" si="144"/>
        <v>1</v>
      </c>
      <c r="AH787" t="s">
        <v>1373</v>
      </c>
      <c r="AI787" s="2">
        <f t="shared" si="145"/>
        <v>7</v>
      </c>
      <c r="AJ787" s="2">
        <f t="shared" si="146"/>
        <v>1</v>
      </c>
      <c r="AK787" s="3">
        <v>7340.999999998603</v>
      </c>
      <c r="AM787" s="2">
        <v>1</v>
      </c>
      <c r="AN787">
        <v>0</v>
      </c>
      <c r="AO787">
        <v>880</v>
      </c>
      <c r="AP787">
        <v>0</v>
      </c>
      <c r="AQ787" s="2">
        <f>IF((2*G787 + M787 -P787 + 3*W787 + 2*Z787+2*AD787 + AG787+2*AJ787 + 4*AM787) &gt;=8,1,0)</f>
        <v>1</v>
      </c>
    </row>
    <row r="788" spans="1:43" x14ac:dyDescent="0.25">
      <c r="A788" t="s">
        <v>27</v>
      </c>
      <c r="B788" s="1">
        <v>39655</v>
      </c>
      <c r="C788" s="7">
        <f t="shared" si="138"/>
        <v>2008</v>
      </c>
      <c r="D788">
        <v>89.9</v>
      </c>
      <c r="E788">
        <v>72.900000000000006</v>
      </c>
      <c r="F788">
        <v>81.099999999999994</v>
      </c>
      <c r="G788" s="2">
        <f t="shared" si="147"/>
        <v>1</v>
      </c>
      <c r="H788">
        <v>88.8</v>
      </c>
      <c r="I788">
        <v>72.900000000000006</v>
      </c>
      <c r="J788">
        <v>80.400000000000006</v>
      </c>
      <c r="K788">
        <v>56.2</v>
      </c>
      <c r="L788">
        <v>44</v>
      </c>
      <c r="M788" s="2">
        <f t="shared" si="139"/>
        <v>1</v>
      </c>
      <c r="N788">
        <v>0</v>
      </c>
      <c r="P788" s="2">
        <f t="shared" si="140"/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s="2">
        <f t="shared" si="141"/>
        <v>0</v>
      </c>
      <c r="X788">
        <v>13.5</v>
      </c>
      <c r="Z788" s="2">
        <f t="shared" si="142"/>
        <v>0</v>
      </c>
      <c r="AA788">
        <v>294.5</v>
      </c>
      <c r="AB788" s="2" t="str">
        <f>CHOOSE(MATCH(AA788,{0;11;80;111;161;191;241;281;341},1),"North","NorthEast","East","SouthEast","South","SouthWest","West","NorthWest","North")</f>
        <v>NorthWest</v>
      </c>
      <c r="AC788" s="5">
        <f>CHOOSE(MATCH(AB788,{"South";"SouthEast";"SouthWest";"North";"NorthEast";"East";"West";"NorthWest"},0),1,2,3,4,5,6,7,8)</f>
        <v>8</v>
      </c>
      <c r="AD788" s="2">
        <f t="shared" si="143"/>
        <v>1</v>
      </c>
      <c r="AE788">
        <v>1006.5</v>
      </c>
      <c r="AF788" s="4" t="s">
        <v>44</v>
      </c>
      <c r="AG788" s="2">
        <f t="shared" si="144"/>
        <v>1</v>
      </c>
      <c r="AH788" t="s">
        <v>1374</v>
      </c>
      <c r="AI788" s="2">
        <f t="shared" si="145"/>
        <v>7</v>
      </c>
      <c r="AJ788" s="2">
        <f t="shared" si="146"/>
        <v>1</v>
      </c>
      <c r="AK788" s="3">
        <v>6124.9999999953434</v>
      </c>
      <c r="AM788" s="2">
        <v>1</v>
      </c>
      <c r="AN788">
        <v>0</v>
      </c>
      <c r="AO788">
        <v>70</v>
      </c>
      <c r="AP788">
        <v>0</v>
      </c>
      <c r="AQ788" s="2">
        <f>IF((2*G788 + M788 -P788 + 3*W788 + 2*Z788+2*AD788 + AG788+2*AJ788 + 4*AM788) &gt;=8,1,0)</f>
        <v>1</v>
      </c>
    </row>
    <row r="789" spans="1:43" x14ac:dyDescent="0.25">
      <c r="A789" t="s">
        <v>27</v>
      </c>
      <c r="B789" s="1">
        <v>39656</v>
      </c>
      <c r="C789" s="7">
        <f t="shared" si="138"/>
        <v>2008</v>
      </c>
      <c r="D789">
        <v>88.9</v>
      </c>
      <c r="E789">
        <v>72.2</v>
      </c>
      <c r="F789">
        <v>80.900000000000006</v>
      </c>
      <c r="G789" s="2">
        <f t="shared" si="147"/>
        <v>1</v>
      </c>
      <c r="H789">
        <v>89</v>
      </c>
      <c r="I789">
        <v>72.2</v>
      </c>
      <c r="J789">
        <v>80.900000000000006</v>
      </c>
      <c r="K789">
        <v>61.5</v>
      </c>
      <c r="L789">
        <v>53.3</v>
      </c>
      <c r="M789" s="2">
        <f t="shared" si="139"/>
        <v>0</v>
      </c>
      <c r="N789">
        <v>0</v>
      </c>
      <c r="P789" s="2">
        <f t="shared" si="140"/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s="2">
        <f t="shared" si="141"/>
        <v>0</v>
      </c>
      <c r="X789">
        <v>11.8</v>
      </c>
      <c r="Z789" s="2">
        <f t="shared" si="142"/>
        <v>0</v>
      </c>
      <c r="AA789">
        <v>142.6</v>
      </c>
      <c r="AB789" s="2" t="str">
        <f>CHOOSE(MATCH(AA789,{0;11;80;111;161;191;241;281;341},1),"North","NorthEast","East","SouthEast","South","SouthWest","West","NorthWest","North")</f>
        <v>SouthEast</v>
      </c>
      <c r="AC789" s="5">
        <f>CHOOSE(MATCH(AB789,{"South";"SouthEast";"SouthWest";"North";"NorthEast";"East";"West";"NorthWest"},0),1,2,3,4,5,6,7,8)</f>
        <v>2</v>
      </c>
      <c r="AD789" s="2">
        <f t="shared" si="143"/>
        <v>0</v>
      </c>
      <c r="AE789">
        <v>1007.8</v>
      </c>
      <c r="AF789" s="4" t="s">
        <v>385</v>
      </c>
      <c r="AG789" s="2">
        <f t="shared" si="144"/>
        <v>1</v>
      </c>
      <c r="AH789" t="s">
        <v>1375</v>
      </c>
      <c r="AI789" s="2">
        <f t="shared" si="145"/>
        <v>7</v>
      </c>
      <c r="AJ789" s="2">
        <f t="shared" si="146"/>
        <v>1</v>
      </c>
      <c r="AK789" s="3">
        <v>325.00000000116421</v>
      </c>
      <c r="AM789" s="2">
        <v>0</v>
      </c>
      <c r="AN789">
        <v>0</v>
      </c>
      <c r="AO789">
        <v>0.25</v>
      </c>
      <c r="AP789">
        <v>0</v>
      </c>
      <c r="AQ789" s="2">
        <f>IF((2*G789 + M789 -P789 + 3*W789 + 2*Z789+2*AD789 + AG789+2*AJ789 + 4*AM789) &gt;=8,1,0)</f>
        <v>0</v>
      </c>
    </row>
    <row r="790" spans="1:43" x14ac:dyDescent="0.25">
      <c r="A790" t="s">
        <v>27</v>
      </c>
      <c r="B790" s="1">
        <v>39657</v>
      </c>
      <c r="C790" s="7">
        <f t="shared" si="138"/>
        <v>2008</v>
      </c>
      <c r="D790">
        <v>88</v>
      </c>
      <c r="E790">
        <v>71.400000000000006</v>
      </c>
      <c r="F790">
        <v>80.099999999999994</v>
      </c>
      <c r="G790" s="2">
        <f t="shared" si="147"/>
        <v>1</v>
      </c>
      <c r="H790">
        <v>89.1</v>
      </c>
      <c r="I790">
        <v>71.400000000000006</v>
      </c>
      <c r="J790">
        <v>80.099999999999994</v>
      </c>
      <c r="K790">
        <v>59.7</v>
      </c>
      <c r="L790">
        <v>50.8</v>
      </c>
      <c r="M790" s="2">
        <f t="shared" si="139"/>
        <v>0</v>
      </c>
      <c r="N790">
        <v>0</v>
      </c>
      <c r="P790" s="2">
        <f t="shared" si="140"/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s="2">
        <f t="shared" si="141"/>
        <v>0</v>
      </c>
      <c r="X790">
        <v>15.4</v>
      </c>
      <c r="Z790" s="2">
        <f t="shared" si="142"/>
        <v>0</v>
      </c>
      <c r="AA790">
        <v>57.6</v>
      </c>
      <c r="AB790" s="2" t="str">
        <f>CHOOSE(MATCH(AA790,{0;11;80;111;161;191;241;281;341},1),"North","NorthEast","East","SouthEast","South","SouthWest","West","NorthWest","North")</f>
        <v>NorthEast</v>
      </c>
      <c r="AC790" s="5">
        <f>CHOOSE(MATCH(AB790,{"South";"SouthEast";"SouthWest";"North";"NorthEast";"East";"West";"NorthWest"},0),1,2,3,4,5,6,7,8)</f>
        <v>5</v>
      </c>
      <c r="AD790" s="2">
        <f t="shared" si="143"/>
        <v>1</v>
      </c>
      <c r="AE790">
        <v>1009.9</v>
      </c>
      <c r="AF790" s="4" t="s">
        <v>469</v>
      </c>
      <c r="AG790" s="2">
        <f t="shared" si="144"/>
        <v>1</v>
      </c>
      <c r="AH790" t="s">
        <v>1376</v>
      </c>
      <c r="AI790" s="2">
        <f t="shared" si="145"/>
        <v>7</v>
      </c>
      <c r="AJ790" s="2">
        <f t="shared" si="146"/>
        <v>1</v>
      </c>
      <c r="AK790" s="3">
        <v>3311.999999993714</v>
      </c>
      <c r="AM790" s="2">
        <v>1</v>
      </c>
      <c r="AN790">
        <v>0</v>
      </c>
      <c r="AO790">
        <v>118</v>
      </c>
      <c r="AP790">
        <v>0</v>
      </c>
      <c r="AQ790" s="2">
        <f>IF((2*G790 + M790 -P790 + 3*W790 + 2*Z790+2*AD790 + AG790+2*AJ790 + 4*AM790) &gt;=8,1,0)</f>
        <v>1</v>
      </c>
    </row>
    <row r="791" spans="1:43" x14ac:dyDescent="0.25">
      <c r="A791" t="s">
        <v>27</v>
      </c>
      <c r="B791" s="1">
        <v>39660</v>
      </c>
      <c r="C791" s="7">
        <f t="shared" si="138"/>
        <v>2008</v>
      </c>
      <c r="D791">
        <v>90.8</v>
      </c>
      <c r="E791">
        <v>77.5</v>
      </c>
      <c r="F791">
        <v>83.4</v>
      </c>
      <c r="G791" s="2">
        <f t="shared" si="147"/>
        <v>1</v>
      </c>
      <c r="H791">
        <v>87.7</v>
      </c>
      <c r="I791">
        <v>77.5</v>
      </c>
      <c r="J791">
        <v>82.1</v>
      </c>
      <c r="K791">
        <v>51.8</v>
      </c>
      <c r="L791">
        <v>34.200000000000003</v>
      </c>
      <c r="M791" s="2">
        <f t="shared" si="139"/>
        <v>1</v>
      </c>
      <c r="N791">
        <v>0</v>
      </c>
      <c r="P791" s="2">
        <f t="shared" si="140"/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s="2">
        <f t="shared" si="141"/>
        <v>0</v>
      </c>
      <c r="X791">
        <v>25.2</v>
      </c>
      <c r="Z791" s="2">
        <f t="shared" si="142"/>
        <v>1</v>
      </c>
      <c r="AA791">
        <v>359.3</v>
      </c>
      <c r="AB791" s="2" t="str">
        <f>CHOOSE(MATCH(AA791,{0;11;80;111;161;191;241;281;341},1),"North","NorthEast","East","SouthEast","South","SouthWest","West","NorthWest","North")</f>
        <v>North</v>
      </c>
      <c r="AC791" s="5">
        <f>CHOOSE(MATCH(AB791,{"South";"SouthEast";"SouthWest";"North";"NorthEast";"East";"West";"NorthWest"},0),1,2,3,4,5,6,7,8)</f>
        <v>4</v>
      </c>
      <c r="AD791" s="2">
        <f t="shared" si="143"/>
        <v>1</v>
      </c>
      <c r="AE791">
        <v>1012.5</v>
      </c>
      <c r="AF791" s="4" t="s">
        <v>1377</v>
      </c>
      <c r="AG791" s="2">
        <f t="shared" si="144"/>
        <v>0</v>
      </c>
      <c r="AH791" t="s">
        <v>1378</v>
      </c>
      <c r="AI791" s="2">
        <f t="shared" si="145"/>
        <v>7</v>
      </c>
      <c r="AJ791" s="2">
        <f t="shared" si="146"/>
        <v>1</v>
      </c>
      <c r="AK791" s="3">
        <v>449.00000000721769</v>
      </c>
      <c r="AM791" s="2">
        <v>1</v>
      </c>
      <c r="AN791">
        <v>0</v>
      </c>
      <c r="AO791">
        <v>0.5</v>
      </c>
      <c r="AP791">
        <v>0</v>
      </c>
      <c r="AQ791" s="2">
        <f>IF((2*G791 + M791 -P791 + 3*W791 + 2*Z791+2*AD791 + AG791+2*AJ791 + 4*AM791) &gt;=8,1,0)</f>
        <v>1</v>
      </c>
    </row>
    <row r="792" spans="1:43" x14ac:dyDescent="0.25">
      <c r="A792" t="s">
        <v>27</v>
      </c>
      <c r="B792" s="1">
        <v>39660</v>
      </c>
      <c r="C792" s="7">
        <f t="shared" si="138"/>
        <v>2008</v>
      </c>
      <c r="D792">
        <v>90.8</v>
      </c>
      <c r="E792">
        <v>77.5</v>
      </c>
      <c r="F792">
        <v>83.4</v>
      </c>
      <c r="G792" s="2">
        <f t="shared" si="147"/>
        <v>1</v>
      </c>
      <c r="H792">
        <v>87.7</v>
      </c>
      <c r="I792">
        <v>77.5</v>
      </c>
      <c r="J792">
        <v>82.1</v>
      </c>
      <c r="K792">
        <v>51.8</v>
      </c>
      <c r="L792">
        <v>34.200000000000003</v>
      </c>
      <c r="M792" s="2">
        <f t="shared" si="139"/>
        <v>1</v>
      </c>
      <c r="N792">
        <v>0</v>
      </c>
      <c r="P792" s="2">
        <f t="shared" si="140"/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s="2">
        <f t="shared" si="141"/>
        <v>0</v>
      </c>
      <c r="X792">
        <v>25.2</v>
      </c>
      <c r="Z792" s="2">
        <f t="shared" si="142"/>
        <v>1</v>
      </c>
      <c r="AA792">
        <v>359.3</v>
      </c>
      <c r="AB792" s="2" t="str">
        <f>CHOOSE(MATCH(AA792,{0;11;80;111;161;191;241;281;341},1),"North","NorthEast","East","SouthEast","South","SouthWest","West","NorthWest","North")</f>
        <v>North</v>
      </c>
      <c r="AC792" s="5">
        <f>CHOOSE(MATCH(AB792,{"South";"SouthEast";"SouthWest";"North";"NorthEast";"East";"West";"NorthWest"},0),1,2,3,4,5,6,7,8)</f>
        <v>4</v>
      </c>
      <c r="AD792" s="2">
        <f t="shared" si="143"/>
        <v>1</v>
      </c>
      <c r="AE792">
        <v>1012.5</v>
      </c>
      <c r="AF792" s="4" t="s">
        <v>440</v>
      </c>
      <c r="AG792" s="2">
        <f t="shared" si="144"/>
        <v>1</v>
      </c>
      <c r="AH792" t="s">
        <v>1379</v>
      </c>
      <c r="AI792" s="2">
        <f t="shared" si="145"/>
        <v>7</v>
      </c>
      <c r="AJ792" s="2">
        <f t="shared" si="146"/>
        <v>1</v>
      </c>
      <c r="AK792" s="3">
        <v>180</v>
      </c>
      <c r="AM792" s="2">
        <v>0</v>
      </c>
      <c r="AN792">
        <v>1</v>
      </c>
      <c r="AO792">
        <v>0</v>
      </c>
      <c r="AP792">
        <v>0</v>
      </c>
      <c r="AQ792" s="2">
        <f>IF((2*G792 + M792 -P792 + 3*W792 + 2*Z792+2*AD792 + AG792+2*AJ792 + 4*AM792) &gt;=8,1,0)</f>
        <v>1</v>
      </c>
    </row>
    <row r="793" spans="1:43" x14ac:dyDescent="0.25">
      <c r="A793" t="s">
        <v>27</v>
      </c>
      <c r="B793" s="1">
        <v>39660</v>
      </c>
      <c r="C793" s="7">
        <f t="shared" si="138"/>
        <v>2008</v>
      </c>
      <c r="D793">
        <v>90.8</v>
      </c>
      <c r="E793">
        <v>77.5</v>
      </c>
      <c r="F793">
        <v>83.4</v>
      </c>
      <c r="G793" s="2">
        <f t="shared" si="147"/>
        <v>1</v>
      </c>
      <c r="H793">
        <v>87.7</v>
      </c>
      <c r="I793">
        <v>77.5</v>
      </c>
      <c r="J793">
        <v>82.1</v>
      </c>
      <c r="K793">
        <v>51.8</v>
      </c>
      <c r="L793">
        <v>34.200000000000003</v>
      </c>
      <c r="M793" s="2">
        <f t="shared" si="139"/>
        <v>1</v>
      </c>
      <c r="N793">
        <v>0</v>
      </c>
      <c r="P793" s="2">
        <f t="shared" si="140"/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s="2">
        <f t="shared" si="141"/>
        <v>0</v>
      </c>
      <c r="X793">
        <v>25.2</v>
      </c>
      <c r="Z793" s="2">
        <f t="shared" si="142"/>
        <v>1</v>
      </c>
      <c r="AA793">
        <v>359.3</v>
      </c>
      <c r="AB793" s="2" t="str">
        <f>CHOOSE(MATCH(AA793,{0;11;80;111;161;191;241;281;341},1),"North","NorthEast","East","SouthEast","South","SouthWest","West","NorthWest","North")</f>
        <v>North</v>
      </c>
      <c r="AC793" s="5">
        <f>CHOOSE(MATCH(AB793,{"South";"SouthEast";"SouthWest";"North";"NorthEast";"East";"West";"NorthWest"},0),1,2,3,4,5,6,7,8)</f>
        <v>4</v>
      </c>
      <c r="AD793" s="2">
        <f t="shared" si="143"/>
        <v>1</v>
      </c>
      <c r="AE793">
        <v>1012.5</v>
      </c>
      <c r="AF793" s="4" t="s">
        <v>1380</v>
      </c>
      <c r="AG793" s="2">
        <f t="shared" si="144"/>
        <v>0</v>
      </c>
      <c r="AH793" t="s">
        <v>1381</v>
      </c>
      <c r="AI793" s="2">
        <f t="shared" si="145"/>
        <v>7</v>
      </c>
      <c r="AJ793" s="2">
        <f t="shared" si="146"/>
        <v>1</v>
      </c>
      <c r="AK793" s="3">
        <v>603.99999999906868</v>
      </c>
      <c r="AM793" s="2">
        <v>1</v>
      </c>
      <c r="AN793">
        <v>1</v>
      </c>
      <c r="AO793">
        <v>0</v>
      </c>
      <c r="AP793">
        <v>0</v>
      </c>
      <c r="AQ793" s="2">
        <f>IF((2*G793 + M793 -P793 + 3*W793 + 2*Z793+2*AD793 + AG793+2*AJ793 + 4*AM793) &gt;=8,1,0)</f>
        <v>1</v>
      </c>
    </row>
    <row r="794" spans="1:43" x14ac:dyDescent="0.25">
      <c r="A794" t="s">
        <v>27</v>
      </c>
      <c r="B794" s="1">
        <v>39661</v>
      </c>
      <c r="C794" s="7">
        <f t="shared" si="138"/>
        <v>2008</v>
      </c>
      <c r="D794">
        <v>89.4</v>
      </c>
      <c r="E794">
        <v>75</v>
      </c>
      <c r="F794">
        <v>81.400000000000006</v>
      </c>
      <c r="G794" s="2">
        <f t="shared" si="147"/>
        <v>1</v>
      </c>
      <c r="H794">
        <v>86.2</v>
      </c>
      <c r="I794">
        <v>75</v>
      </c>
      <c r="J794">
        <v>80.599999999999994</v>
      </c>
      <c r="K794">
        <v>53.8</v>
      </c>
      <c r="L794">
        <v>39.4</v>
      </c>
      <c r="M794" s="2">
        <f t="shared" si="139"/>
        <v>1</v>
      </c>
      <c r="N794">
        <v>0</v>
      </c>
      <c r="P794" s="2">
        <f t="shared" si="140"/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s="2">
        <f t="shared" si="141"/>
        <v>0</v>
      </c>
      <c r="X794">
        <v>22.6</v>
      </c>
      <c r="Z794" s="2">
        <f t="shared" si="142"/>
        <v>1</v>
      </c>
      <c r="AA794">
        <v>358.4</v>
      </c>
      <c r="AB794" s="2" t="str">
        <f>CHOOSE(MATCH(AA794,{0;11;80;111;161;191;241;281;341},1),"North","NorthEast","East","SouthEast","South","SouthWest","West","NorthWest","North")</f>
        <v>North</v>
      </c>
      <c r="AC794" s="5">
        <f>CHOOSE(MATCH(AB794,{"South";"SouthEast";"SouthWest";"North";"NorthEast";"East";"West";"NorthWest"},0),1,2,3,4,5,6,7,8)</f>
        <v>4</v>
      </c>
      <c r="AD794" s="2">
        <f t="shared" si="143"/>
        <v>1</v>
      </c>
      <c r="AE794">
        <v>1013.7</v>
      </c>
      <c r="AF794" s="4" t="s">
        <v>998</v>
      </c>
      <c r="AG794" s="2">
        <f t="shared" si="144"/>
        <v>1</v>
      </c>
      <c r="AH794" t="s">
        <v>1382</v>
      </c>
      <c r="AI794" s="2">
        <f t="shared" si="145"/>
        <v>8</v>
      </c>
      <c r="AJ794" s="2">
        <f t="shared" si="146"/>
        <v>1</v>
      </c>
      <c r="AK794" s="3">
        <v>5559.9999999976717</v>
      </c>
      <c r="AM794" s="2">
        <v>1</v>
      </c>
      <c r="AN794">
        <v>0</v>
      </c>
      <c r="AO794">
        <v>100</v>
      </c>
      <c r="AP794">
        <v>0</v>
      </c>
      <c r="AQ794" s="2">
        <f>IF((2*G794 + M794 -P794 + 3*W794 + 2*Z794+2*AD794 + AG794+2*AJ794 + 4*AM794) &gt;=8,1,0)</f>
        <v>1</v>
      </c>
    </row>
    <row r="795" spans="1:43" x14ac:dyDescent="0.25">
      <c r="A795" t="s">
        <v>27</v>
      </c>
      <c r="B795" s="1">
        <v>39661</v>
      </c>
      <c r="C795" s="7">
        <f t="shared" si="138"/>
        <v>2008</v>
      </c>
      <c r="D795">
        <v>89.4</v>
      </c>
      <c r="E795">
        <v>75</v>
      </c>
      <c r="F795">
        <v>81.400000000000006</v>
      </c>
      <c r="G795" s="2">
        <f t="shared" si="147"/>
        <v>1</v>
      </c>
      <c r="H795">
        <v>86.2</v>
      </c>
      <c r="I795">
        <v>75</v>
      </c>
      <c r="J795">
        <v>80.599999999999994</v>
      </c>
      <c r="K795">
        <v>53.8</v>
      </c>
      <c r="L795">
        <v>39.4</v>
      </c>
      <c r="M795" s="2">
        <f t="shared" si="139"/>
        <v>1</v>
      </c>
      <c r="N795">
        <v>0</v>
      </c>
      <c r="P795" s="2">
        <f t="shared" si="140"/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s="2">
        <f t="shared" si="141"/>
        <v>0</v>
      </c>
      <c r="X795">
        <v>22.6</v>
      </c>
      <c r="Z795" s="2">
        <f t="shared" si="142"/>
        <v>1</v>
      </c>
      <c r="AA795">
        <v>358.4</v>
      </c>
      <c r="AB795" s="2" t="str">
        <f>CHOOSE(MATCH(AA795,{0;11;80;111;161;191;241;281;341},1),"North","NorthEast","East","SouthEast","South","SouthWest","West","NorthWest","North")</f>
        <v>North</v>
      </c>
      <c r="AC795" s="5">
        <f>CHOOSE(MATCH(AB795,{"South";"SouthEast";"SouthWest";"North";"NorthEast";"East";"West";"NorthWest"},0),1,2,3,4,5,6,7,8)</f>
        <v>4</v>
      </c>
      <c r="AD795" s="2">
        <f t="shared" si="143"/>
        <v>1</v>
      </c>
      <c r="AE795">
        <v>1013.7</v>
      </c>
      <c r="AF795" s="4" t="s">
        <v>361</v>
      </c>
      <c r="AG795" s="2">
        <f t="shared" si="144"/>
        <v>1</v>
      </c>
      <c r="AH795" t="s">
        <v>1383</v>
      </c>
      <c r="AI795" s="2">
        <f t="shared" si="145"/>
        <v>8</v>
      </c>
      <c r="AJ795" s="2">
        <f t="shared" si="146"/>
        <v>1</v>
      </c>
      <c r="AK795" s="3">
        <v>5220</v>
      </c>
      <c r="AM795" s="2">
        <v>1</v>
      </c>
      <c r="AN795">
        <v>0</v>
      </c>
      <c r="AO795">
        <v>200</v>
      </c>
      <c r="AP795">
        <v>0</v>
      </c>
      <c r="AQ795" s="2">
        <f>IF((2*G795 + M795 -P795 + 3*W795 + 2*Z795+2*AD795 + AG795+2*AJ795 + 4*AM795) &gt;=8,1,0)</f>
        <v>1</v>
      </c>
    </row>
    <row r="796" spans="1:43" x14ac:dyDescent="0.25">
      <c r="A796" t="s">
        <v>27</v>
      </c>
      <c r="B796" s="1">
        <v>39662</v>
      </c>
      <c r="C796" s="7">
        <f t="shared" si="138"/>
        <v>2008</v>
      </c>
      <c r="D796">
        <v>87.6</v>
      </c>
      <c r="E796">
        <v>74.8</v>
      </c>
      <c r="F796">
        <v>80.5</v>
      </c>
      <c r="G796" s="2">
        <f t="shared" si="147"/>
        <v>1</v>
      </c>
      <c r="H796">
        <v>85.7</v>
      </c>
      <c r="I796">
        <v>74.8</v>
      </c>
      <c r="J796">
        <v>79.900000000000006</v>
      </c>
      <c r="K796">
        <v>55.3</v>
      </c>
      <c r="L796">
        <v>42.5</v>
      </c>
      <c r="M796" s="2">
        <f t="shared" si="139"/>
        <v>1</v>
      </c>
      <c r="N796">
        <v>0</v>
      </c>
      <c r="P796" s="2">
        <f t="shared" si="140"/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s="2">
        <f t="shared" si="141"/>
        <v>0</v>
      </c>
      <c r="X796">
        <v>21.5</v>
      </c>
      <c r="Z796" s="2">
        <f t="shared" si="142"/>
        <v>1</v>
      </c>
      <c r="AA796">
        <v>0.3</v>
      </c>
      <c r="AB796" s="2" t="str">
        <f>CHOOSE(MATCH(AA796,{0;11;80;111;161;191;241;281;341},1),"North","NorthEast","East","SouthEast","South","SouthWest","West","NorthWest","North")</f>
        <v>North</v>
      </c>
      <c r="AC796" s="5">
        <f>CHOOSE(MATCH(AB796,{"South";"SouthEast";"SouthWest";"North";"NorthEast";"East";"West";"NorthWest"},0),1,2,3,4,5,6,7,8)</f>
        <v>4</v>
      </c>
      <c r="AD796" s="2">
        <f t="shared" si="143"/>
        <v>1</v>
      </c>
      <c r="AE796">
        <v>1013.8</v>
      </c>
      <c r="AF796" s="4" t="s">
        <v>1384</v>
      </c>
      <c r="AG796" s="2">
        <f t="shared" si="144"/>
        <v>1</v>
      </c>
      <c r="AH796" t="s">
        <v>1385</v>
      </c>
      <c r="AI796" s="2">
        <f t="shared" si="145"/>
        <v>8</v>
      </c>
      <c r="AJ796" s="2">
        <f t="shared" si="146"/>
        <v>1</v>
      </c>
      <c r="AK796" s="3">
        <v>222.00000000069849</v>
      </c>
      <c r="AM796" s="2">
        <v>0</v>
      </c>
      <c r="AN796">
        <v>0</v>
      </c>
      <c r="AO796">
        <v>2</v>
      </c>
      <c r="AP796">
        <v>0</v>
      </c>
      <c r="AQ796" s="2">
        <f>IF((2*G796 + M796 -P796 + 3*W796 + 2*Z796+2*AD796 + AG796+2*AJ796 + 4*AM796) &gt;=8,1,0)</f>
        <v>1</v>
      </c>
    </row>
    <row r="797" spans="1:43" x14ac:dyDescent="0.25">
      <c r="A797" t="s">
        <v>27</v>
      </c>
      <c r="B797" s="1">
        <v>39664</v>
      </c>
      <c r="C797" s="7">
        <f t="shared" si="138"/>
        <v>2008</v>
      </c>
      <c r="D797">
        <v>91</v>
      </c>
      <c r="E797">
        <v>71.099999999999994</v>
      </c>
      <c r="F797">
        <v>81.5</v>
      </c>
      <c r="G797" s="2">
        <f t="shared" si="147"/>
        <v>1</v>
      </c>
      <c r="H797">
        <v>87.4</v>
      </c>
      <c r="I797">
        <v>71.099999999999994</v>
      </c>
      <c r="J797">
        <v>79.8</v>
      </c>
      <c r="K797">
        <v>46.6</v>
      </c>
      <c r="L797">
        <v>31.1</v>
      </c>
      <c r="M797" s="2">
        <f t="shared" si="139"/>
        <v>1</v>
      </c>
      <c r="N797">
        <v>0</v>
      </c>
      <c r="P797" s="2">
        <f t="shared" si="140"/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s="2">
        <f t="shared" si="141"/>
        <v>0</v>
      </c>
      <c r="X797">
        <v>23.6</v>
      </c>
      <c r="Z797" s="2">
        <f t="shared" si="142"/>
        <v>1</v>
      </c>
      <c r="AA797">
        <v>0.8</v>
      </c>
      <c r="AB797" s="2" t="str">
        <f>CHOOSE(MATCH(AA797,{0;11;80;111;161;191;241;281;341},1),"North","NorthEast","East","SouthEast","South","SouthWest","West","NorthWest","North")</f>
        <v>North</v>
      </c>
      <c r="AC797" s="5">
        <f>CHOOSE(MATCH(AB797,{"South";"SouthEast";"SouthWest";"North";"NorthEast";"East";"West";"NorthWest"},0),1,2,3,4,5,6,7,8)</f>
        <v>4</v>
      </c>
      <c r="AD797" s="2">
        <f t="shared" si="143"/>
        <v>1</v>
      </c>
      <c r="AE797">
        <v>1010.8</v>
      </c>
      <c r="AF797" s="4" t="s">
        <v>244</v>
      </c>
      <c r="AG797" s="2">
        <f t="shared" si="144"/>
        <v>1</v>
      </c>
      <c r="AH797" t="s">
        <v>1386</v>
      </c>
      <c r="AI797" s="2">
        <f t="shared" si="145"/>
        <v>8</v>
      </c>
      <c r="AJ797" s="2">
        <f t="shared" si="146"/>
        <v>1</v>
      </c>
      <c r="AK797" s="3">
        <v>5575.0000000046566</v>
      </c>
      <c r="AM797" s="2">
        <v>1</v>
      </c>
      <c r="AN797">
        <v>40</v>
      </c>
      <c r="AO797">
        <v>0</v>
      </c>
      <c r="AP797">
        <v>0</v>
      </c>
      <c r="AQ797" s="2">
        <f>IF((2*G797 + M797 -P797 + 3*W797 + 2*Z797+2*AD797 + AG797+2*AJ797 + 4*AM797) &gt;=8,1,0)</f>
        <v>1</v>
      </c>
    </row>
    <row r="798" spans="1:43" x14ac:dyDescent="0.25">
      <c r="A798" t="s">
        <v>27</v>
      </c>
      <c r="B798" s="1">
        <v>39665</v>
      </c>
      <c r="C798" s="7">
        <f t="shared" si="138"/>
        <v>2008</v>
      </c>
      <c r="D798">
        <v>95.5</v>
      </c>
      <c r="E798">
        <v>73</v>
      </c>
      <c r="F798">
        <v>84.4</v>
      </c>
      <c r="G798" s="2">
        <f t="shared" si="147"/>
        <v>1</v>
      </c>
      <c r="H798">
        <v>92.7</v>
      </c>
      <c r="I798">
        <v>73</v>
      </c>
      <c r="J798">
        <v>83</v>
      </c>
      <c r="K798">
        <v>50.2</v>
      </c>
      <c r="L798">
        <v>31.3</v>
      </c>
      <c r="M798" s="2">
        <f t="shared" si="139"/>
        <v>1</v>
      </c>
      <c r="N798">
        <v>0</v>
      </c>
      <c r="P798" s="2">
        <f t="shared" si="140"/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s="2">
        <f t="shared" si="141"/>
        <v>0</v>
      </c>
      <c r="X798">
        <v>15.9</v>
      </c>
      <c r="Z798" s="2">
        <f t="shared" si="142"/>
        <v>0</v>
      </c>
      <c r="AA798">
        <v>18.600000000000001</v>
      </c>
      <c r="AB798" s="2" t="str">
        <f>CHOOSE(MATCH(AA798,{0;11;80;111;161;191;241;281;341},1),"North","NorthEast","East","SouthEast","South","SouthWest","West","NorthWest","North")</f>
        <v>NorthEast</v>
      </c>
      <c r="AC798" s="5">
        <f>CHOOSE(MATCH(AB798,{"South";"SouthEast";"SouthWest";"North";"NorthEast";"East";"West";"NorthWest"},0),1,2,3,4,5,6,7,8)</f>
        <v>5</v>
      </c>
      <c r="AD798" s="2">
        <f t="shared" si="143"/>
        <v>1</v>
      </c>
      <c r="AE798">
        <v>1009.4</v>
      </c>
      <c r="AF798" s="4" t="s">
        <v>61</v>
      </c>
      <c r="AG798" s="2">
        <f t="shared" si="144"/>
        <v>1</v>
      </c>
      <c r="AH798" t="s">
        <v>1387</v>
      </c>
      <c r="AI798" s="2">
        <f t="shared" si="145"/>
        <v>8</v>
      </c>
      <c r="AJ798" s="2">
        <f t="shared" si="146"/>
        <v>1</v>
      </c>
      <c r="AK798" s="3">
        <v>245.00000000232831</v>
      </c>
      <c r="AM798" s="2">
        <v>0</v>
      </c>
      <c r="AN798">
        <v>0</v>
      </c>
      <c r="AO798">
        <v>10</v>
      </c>
      <c r="AP798">
        <v>0</v>
      </c>
      <c r="AQ798" s="2">
        <f>IF((2*G798 + M798 -P798 + 3*W798 + 2*Z798+2*AD798 + AG798+2*AJ798 + 4*AM798) &gt;=8,1,0)</f>
        <v>0</v>
      </c>
    </row>
    <row r="799" spans="1:43" x14ac:dyDescent="0.25">
      <c r="A799" t="s">
        <v>27</v>
      </c>
      <c r="B799" s="1">
        <v>39666</v>
      </c>
      <c r="C799" s="7">
        <f t="shared" si="138"/>
        <v>2008</v>
      </c>
      <c r="D799">
        <v>98.9</v>
      </c>
      <c r="E799">
        <v>76.400000000000006</v>
      </c>
      <c r="F799">
        <v>87.8</v>
      </c>
      <c r="G799" s="2">
        <f t="shared" si="147"/>
        <v>1</v>
      </c>
      <c r="H799">
        <v>96.2</v>
      </c>
      <c r="I799">
        <v>76.400000000000006</v>
      </c>
      <c r="J799">
        <v>86.4</v>
      </c>
      <c r="K799">
        <v>52.9</v>
      </c>
      <c r="L799">
        <v>31.3</v>
      </c>
      <c r="M799" s="2">
        <f t="shared" si="139"/>
        <v>1</v>
      </c>
      <c r="N799">
        <v>0</v>
      </c>
      <c r="P799" s="2">
        <f t="shared" si="140"/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s="2">
        <f t="shared" si="141"/>
        <v>0</v>
      </c>
      <c r="X799">
        <v>17.899999999999999</v>
      </c>
      <c r="Z799" s="2">
        <f t="shared" si="142"/>
        <v>1</v>
      </c>
      <c r="AA799">
        <v>9.3000000000000007</v>
      </c>
      <c r="AB799" s="2" t="str">
        <f>CHOOSE(MATCH(AA799,{0;11;80;111;161;191;241;281;341},1),"North","NorthEast","East","SouthEast","South","SouthWest","West","NorthWest","North")</f>
        <v>North</v>
      </c>
      <c r="AC799" s="5">
        <f>CHOOSE(MATCH(AB799,{"South";"SouthEast";"SouthWest";"North";"NorthEast";"East";"West";"NorthWest"},0),1,2,3,4,5,6,7,8)</f>
        <v>4</v>
      </c>
      <c r="AD799" s="2">
        <f t="shared" si="143"/>
        <v>1</v>
      </c>
      <c r="AE799">
        <v>1008.6</v>
      </c>
      <c r="AF799" s="4" t="s">
        <v>1388</v>
      </c>
      <c r="AG799" s="2">
        <f t="shared" si="144"/>
        <v>1</v>
      </c>
      <c r="AH799" t="s">
        <v>1389</v>
      </c>
      <c r="AI799" s="2">
        <f t="shared" si="145"/>
        <v>8</v>
      </c>
      <c r="AJ799" s="2">
        <f t="shared" si="146"/>
        <v>1</v>
      </c>
      <c r="AK799" s="3">
        <v>201.99999999837021</v>
      </c>
      <c r="AM799" s="2">
        <v>0</v>
      </c>
      <c r="AN799">
        <v>0</v>
      </c>
      <c r="AO799">
        <v>0.5</v>
      </c>
      <c r="AP799">
        <v>0</v>
      </c>
      <c r="AQ799" s="2">
        <f>IF((2*G799 + M799 -P799 + 3*W799 + 2*Z799+2*AD799 + AG799+2*AJ799 + 4*AM799) &gt;=8,1,0)</f>
        <v>1</v>
      </c>
    </row>
    <row r="800" spans="1:43" x14ac:dyDescent="0.25">
      <c r="A800" t="s">
        <v>27</v>
      </c>
      <c r="B800" s="1">
        <v>39666</v>
      </c>
      <c r="C800" s="7">
        <f t="shared" si="138"/>
        <v>2008</v>
      </c>
      <c r="D800">
        <v>98.9</v>
      </c>
      <c r="E800">
        <v>76.400000000000006</v>
      </c>
      <c r="F800">
        <v>87.8</v>
      </c>
      <c r="G800" s="2">
        <f t="shared" si="147"/>
        <v>1</v>
      </c>
      <c r="H800">
        <v>96.2</v>
      </c>
      <c r="I800">
        <v>76.400000000000006</v>
      </c>
      <c r="J800">
        <v>86.4</v>
      </c>
      <c r="K800">
        <v>52.9</v>
      </c>
      <c r="L800">
        <v>31.3</v>
      </c>
      <c r="M800" s="2">
        <f t="shared" si="139"/>
        <v>1</v>
      </c>
      <c r="N800">
        <v>0</v>
      </c>
      <c r="P800" s="2">
        <f t="shared" si="140"/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s="2">
        <f t="shared" si="141"/>
        <v>0</v>
      </c>
      <c r="X800">
        <v>17.899999999999999</v>
      </c>
      <c r="Z800" s="2">
        <f t="shared" si="142"/>
        <v>1</v>
      </c>
      <c r="AA800">
        <v>9.3000000000000007</v>
      </c>
      <c r="AB800" s="2" t="str">
        <f>CHOOSE(MATCH(AA800,{0;11;80;111;161;191;241;281;341},1),"North","NorthEast","East","SouthEast","South","SouthWest","West","NorthWest","North")</f>
        <v>North</v>
      </c>
      <c r="AC800" s="5">
        <f>CHOOSE(MATCH(AB800,{"South";"SouthEast";"SouthWest";"North";"NorthEast";"East";"West";"NorthWest"},0),1,2,3,4,5,6,7,8)</f>
        <v>4</v>
      </c>
      <c r="AD800" s="2">
        <f t="shared" si="143"/>
        <v>1</v>
      </c>
      <c r="AE800">
        <v>1008.6</v>
      </c>
      <c r="AF800" s="4" t="s">
        <v>123</v>
      </c>
      <c r="AG800" s="2">
        <f t="shared" si="144"/>
        <v>1</v>
      </c>
      <c r="AH800" t="s">
        <v>1390</v>
      </c>
      <c r="AI800" s="2">
        <f t="shared" si="145"/>
        <v>8</v>
      </c>
      <c r="AJ800" s="2">
        <f t="shared" si="146"/>
        <v>1</v>
      </c>
      <c r="AK800" s="3">
        <v>119.99999999301509</v>
      </c>
      <c r="AM800" s="2">
        <v>0</v>
      </c>
      <c r="AN800">
        <v>0</v>
      </c>
      <c r="AO800">
        <v>0</v>
      </c>
      <c r="AP800">
        <v>4</v>
      </c>
      <c r="AQ800" s="2">
        <f>IF((2*G800 + M800 -P800 + 3*W800 + 2*Z800+2*AD800 + AG800+2*AJ800 + 4*AM800) &gt;=8,1,0)</f>
        <v>1</v>
      </c>
    </row>
    <row r="801" spans="1:43" x14ac:dyDescent="0.25">
      <c r="A801" t="s">
        <v>27</v>
      </c>
      <c r="B801" s="1">
        <v>39670</v>
      </c>
      <c r="C801" s="7">
        <f t="shared" si="138"/>
        <v>2008</v>
      </c>
      <c r="D801">
        <v>93.7</v>
      </c>
      <c r="E801">
        <v>71.900000000000006</v>
      </c>
      <c r="F801">
        <v>81</v>
      </c>
      <c r="G801" s="2">
        <f t="shared" si="147"/>
        <v>1</v>
      </c>
      <c r="H801">
        <v>93.6</v>
      </c>
      <c r="I801">
        <v>71.900000000000006</v>
      </c>
      <c r="J801">
        <v>81.3</v>
      </c>
      <c r="K801">
        <v>61.9</v>
      </c>
      <c r="L801">
        <v>54.3</v>
      </c>
      <c r="M801" s="2">
        <f t="shared" si="139"/>
        <v>0</v>
      </c>
      <c r="N801">
        <v>0</v>
      </c>
      <c r="P801" s="2">
        <f t="shared" si="140"/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s="2">
        <f t="shared" si="141"/>
        <v>0</v>
      </c>
      <c r="X801">
        <v>18.100000000000001</v>
      </c>
      <c r="Z801" s="2">
        <f t="shared" si="142"/>
        <v>1</v>
      </c>
      <c r="AA801">
        <v>39.4</v>
      </c>
      <c r="AB801" s="2" t="str">
        <f>CHOOSE(MATCH(AA801,{0;11;80;111;161;191;241;281;341},1),"North","NorthEast","East","SouthEast","South","SouthWest","West","NorthWest","North")</f>
        <v>NorthEast</v>
      </c>
      <c r="AC801" s="5">
        <f>CHOOSE(MATCH(AB801,{"South";"SouthEast";"SouthWest";"North";"NorthEast";"East";"West";"NorthWest"},0),1,2,3,4,5,6,7,8)</f>
        <v>5</v>
      </c>
      <c r="AD801" s="2">
        <f t="shared" si="143"/>
        <v>1</v>
      </c>
      <c r="AE801">
        <v>1005.3</v>
      </c>
      <c r="AF801" s="4" t="s">
        <v>54</v>
      </c>
      <c r="AG801" s="2">
        <f t="shared" si="144"/>
        <v>1</v>
      </c>
      <c r="AH801" t="s">
        <v>1391</v>
      </c>
      <c r="AI801" s="2">
        <f t="shared" si="145"/>
        <v>8</v>
      </c>
      <c r="AJ801" s="2">
        <f t="shared" si="146"/>
        <v>1</v>
      </c>
      <c r="AK801" s="3">
        <v>149.99999999650751</v>
      </c>
      <c r="AM801" s="2">
        <v>0</v>
      </c>
      <c r="AN801">
        <v>0.01</v>
      </c>
      <c r="AO801">
        <v>0</v>
      </c>
      <c r="AP801">
        <v>0</v>
      </c>
      <c r="AQ801" s="2">
        <f>IF((2*G801 + M801 -P801 + 3*W801 + 2*Z801+2*AD801 + AG801+2*AJ801 + 4*AM801) &gt;=8,1,0)</f>
        <v>1</v>
      </c>
    </row>
    <row r="802" spans="1:43" x14ac:dyDescent="0.25">
      <c r="A802" t="s">
        <v>27</v>
      </c>
      <c r="B802" s="1">
        <v>39670</v>
      </c>
      <c r="C802" s="7">
        <f t="shared" si="138"/>
        <v>2008</v>
      </c>
      <c r="D802">
        <v>93.7</v>
      </c>
      <c r="E802">
        <v>71.900000000000006</v>
      </c>
      <c r="F802">
        <v>81</v>
      </c>
      <c r="G802" s="2">
        <f t="shared" si="147"/>
        <v>1</v>
      </c>
      <c r="H802">
        <v>93.6</v>
      </c>
      <c r="I802">
        <v>71.900000000000006</v>
      </c>
      <c r="J802">
        <v>81.3</v>
      </c>
      <c r="K802">
        <v>61.9</v>
      </c>
      <c r="L802">
        <v>54.3</v>
      </c>
      <c r="M802" s="2">
        <f t="shared" si="139"/>
        <v>0</v>
      </c>
      <c r="N802">
        <v>0</v>
      </c>
      <c r="P802" s="2">
        <f t="shared" si="140"/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s="2">
        <f t="shared" si="141"/>
        <v>0</v>
      </c>
      <c r="X802">
        <v>18.100000000000001</v>
      </c>
      <c r="Z802" s="2">
        <f t="shared" si="142"/>
        <v>1</v>
      </c>
      <c r="AA802">
        <v>39.4</v>
      </c>
      <c r="AB802" s="2" t="str">
        <f>CHOOSE(MATCH(AA802,{0;11;80;111;161;191;241;281;341},1),"North","NorthEast","East","SouthEast","South","SouthWest","West","NorthWest","North")</f>
        <v>NorthEast</v>
      </c>
      <c r="AC802" s="5">
        <f>CHOOSE(MATCH(AB802,{"South";"SouthEast";"SouthWest";"North";"NorthEast";"East";"West";"NorthWest"},0),1,2,3,4,5,6,7,8)</f>
        <v>5</v>
      </c>
      <c r="AD802" s="2">
        <f t="shared" si="143"/>
        <v>1</v>
      </c>
      <c r="AE802">
        <v>1005.3</v>
      </c>
      <c r="AF802" s="4" t="s">
        <v>420</v>
      </c>
      <c r="AG802" s="2">
        <f t="shared" si="144"/>
        <v>1</v>
      </c>
      <c r="AH802" t="s">
        <v>1392</v>
      </c>
      <c r="AI802" s="2">
        <f t="shared" si="145"/>
        <v>8</v>
      </c>
      <c r="AJ802" s="2">
        <f t="shared" si="146"/>
        <v>1</v>
      </c>
      <c r="AK802" s="3">
        <v>31.000000006752089</v>
      </c>
      <c r="AM802" s="2">
        <v>0</v>
      </c>
      <c r="AN802">
        <v>0</v>
      </c>
      <c r="AO802">
        <v>0.01</v>
      </c>
      <c r="AP802">
        <v>0</v>
      </c>
      <c r="AQ802" s="2">
        <f>IF((2*G802 + M802 -P802 + 3*W802 + 2*Z802+2*AD802 + AG802+2*AJ802 + 4*AM802) &gt;=8,1,0)</f>
        <v>1</v>
      </c>
    </row>
    <row r="803" spans="1:43" x14ac:dyDescent="0.25">
      <c r="A803" t="s">
        <v>27</v>
      </c>
      <c r="B803" s="1">
        <v>39670</v>
      </c>
      <c r="C803" s="7">
        <f t="shared" si="138"/>
        <v>2008</v>
      </c>
      <c r="D803">
        <v>93.7</v>
      </c>
      <c r="E803">
        <v>71.900000000000006</v>
      </c>
      <c r="F803">
        <v>81</v>
      </c>
      <c r="G803" s="2">
        <f t="shared" si="147"/>
        <v>1</v>
      </c>
      <c r="H803">
        <v>93.6</v>
      </c>
      <c r="I803">
        <v>71.900000000000006</v>
      </c>
      <c r="J803">
        <v>81.3</v>
      </c>
      <c r="K803">
        <v>61.9</v>
      </c>
      <c r="L803">
        <v>54.3</v>
      </c>
      <c r="M803" s="2">
        <f t="shared" si="139"/>
        <v>0</v>
      </c>
      <c r="N803">
        <v>0</v>
      </c>
      <c r="P803" s="2">
        <f t="shared" si="140"/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s="2">
        <f t="shared" si="141"/>
        <v>0</v>
      </c>
      <c r="X803">
        <v>18.100000000000001</v>
      </c>
      <c r="Z803" s="2">
        <f t="shared" si="142"/>
        <v>1</v>
      </c>
      <c r="AA803">
        <v>39.4</v>
      </c>
      <c r="AB803" s="2" t="str">
        <f>CHOOSE(MATCH(AA803,{0;11;80;111;161;191;241;281;341},1),"North","NorthEast","East","SouthEast","South","SouthWest","West","NorthWest","North")</f>
        <v>NorthEast</v>
      </c>
      <c r="AC803" s="5">
        <f>CHOOSE(MATCH(AB803,{"South";"SouthEast";"SouthWest";"North";"NorthEast";"East";"West";"NorthWest"},0),1,2,3,4,5,6,7,8)</f>
        <v>5</v>
      </c>
      <c r="AD803" s="2">
        <f t="shared" si="143"/>
        <v>1</v>
      </c>
      <c r="AE803">
        <v>1005.3</v>
      </c>
      <c r="AF803" s="4" t="s">
        <v>242</v>
      </c>
      <c r="AG803" s="2">
        <f t="shared" si="144"/>
        <v>1</v>
      </c>
      <c r="AH803" t="s">
        <v>1393</v>
      </c>
      <c r="AI803" s="2">
        <f t="shared" si="145"/>
        <v>8</v>
      </c>
      <c r="AJ803" s="2">
        <f t="shared" si="146"/>
        <v>1</v>
      </c>
      <c r="AK803" s="3">
        <v>1364.999999996508</v>
      </c>
      <c r="AM803" s="2">
        <v>1</v>
      </c>
      <c r="AN803">
        <v>1</v>
      </c>
      <c r="AO803">
        <v>0</v>
      </c>
      <c r="AP803">
        <v>0</v>
      </c>
      <c r="AQ803" s="2">
        <f>IF((2*G803 + M803 -P803 + 3*W803 + 2*Z803+2*AD803 + AG803+2*AJ803 + 4*AM803) &gt;=8,1,0)</f>
        <v>1</v>
      </c>
    </row>
    <row r="804" spans="1:43" x14ac:dyDescent="0.25">
      <c r="A804" t="s">
        <v>27</v>
      </c>
      <c r="B804" s="1">
        <v>39671</v>
      </c>
      <c r="C804" s="7">
        <f t="shared" si="138"/>
        <v>2008</v>
      </c>
      <c r="D804">
        <v>86.7</v>
      </c>
      <c r="E804">
        <v>71.099999999999994</v>
      </c>
      <c r="F804">
        <v>78.5</v>
      </c>
      <c r="G804" s="2">
        <f t="shared" si="147"/>
        <v>1</v>
      </c>
      <c r="H804">
        <v>85.9</v>
      </c>
      <c r="I804">
        <v>71.099999999999994</v>
      </c>
      <c r="J804">
        <v>78.2</v>
      </c>
      <c r="K804">
        <v>57.8</v>
      </c>
      <c r="L804">
        <v>50.3</v>
      </c>
      <c r="M804" s="2">
        <f t="shared" si="139"/>
        <v>0</v>
      </c>
      <c r="N804">
        <v>6.9000000000000006E-2</v>
      </c>
      <c r="P804" s="2">
        <f t="shared" si="140"/>
        <v>0</v>
      </c>
      <c r="Q804">
        <v>100</v>
      </c>
      <c r="R804">
        <v>4.17</v>
      </c>
      <c r="S804" t="s">
        <v>87</v>
      </c>
      <c r="T804">
        <v>0</v>
      </c>
      <c r="U804">
        <v>0</v>
      </c>
      <c r="V804">
        <v>0</v>
      </c>
      <c r="W804" s="2">
        <f t="shared" si="141"/>
        <v>0</v>
      </c>
      <c r="X804">
        <v>18.899999999999999</v>
      </c>
      <c r="Z804" s="2">
        <f t="shared" si="142"/>
        <v>1</v>
      </c>
      <c r="AA804">
        <v>0.3</v>
      </c>
      <c r="AB804" s="2" t="str">
        <f>CHOOSE(MATCH(AA804,{0;11;80;111;161;191;241;281;341},1),"North","NorthEast","East","SouthEast","South","SouthWest","West","NorthWest","North")</f>
        <v>North</v>
      </c>
      <c r="AC804" s="5">
        <f>CHOOSE(MATCH(AB804,{"South";"SouthEast";"SouthWest";"North";"NorthEast";"East";"West";"NorthWest"},0),1,2,3,4,5,6,7,8)</f>
        <v>4</v>
      </c>
      <c r="AD804" s="2">
        <f t="shared" si="143"/>
        <v>1</v>
      </c>
      <c r="AE804">
        <v>1007.8</v>
      </c>
      <c r="AF804" s="4" t="s">
        <v>1394</v>
      </c>
      <c r="AG804" s="2">
        <f t="shared" si="144"/>
        <v>1</v>
      </c>
      <c r="AH804" t="s">
        <v>1395</v>
      </c>
      <c r="AI804" s="2">
        <f t="shared" si="145"/>
        <v>8</v>
      </c>
      <c r="AJ804" s="2">
        <f t="shared" si="146"/>
        <v>1</v>
      </c>
      <c r="AK804" s="3">
        <v>487.0000000053551</v>
      </c>
      <c r="AM804" s="2">
        <v>1</v>
      </c>
      <c r="AN804">
        <v>0</v>
      </c>
      <c r="AO804">
        <v>1</v>
      </c>
      <c r="AP804">
        <v>0</v>
      </c>
      <c r="AQ804" s="2">
        <f>IF((2*G804 + M804 -P804 + 3*W804 + 2*Z804+2*AD804 + AG804+2*AJ804 + 4*AM804) &gt;=8,1,0)</f>
        <v>1</v>
      </c>
    </row>
    <row r="805" spans="1:43" x14ac:dyDescent="0.25">
      <c r="A805" t="s">
        <v>27</v>
      </c>
      <c r="B805" s="1">
        <v>39673</v>
      </c>
      <c r="C805" s="7">
        <f t="shared" si="138"/>
        <v>2008</v>
      </c>
      <c r="D805">
        <v>95.2</v>
      </c>
      <c r="E805">
        <v>74.7</v>
      </c>
      <c r="F805">
        <v>85.1</v>
      </c>
      <c r="G805" s="2">
        <f t="shared" si="147"/>
        <v>1</v>
      </c>
      <c r="H805">
        <v>93.2</v>
      </c>
      <c r="I805">
        <v>74.7</v>
      </c>
      <c r="J805">
        <v>83.8</v>
      </c>
      <c r="K805">
        <v>54.2</v>
      </c>
      <c r="L805">
        <v>36</v>
      </c>
      <c r="M805" s="2">
        <f t="shared" si="139"/>
        <v>1</v>
      </c>
      <c r="N805">
        <v>0</v>
      </c>
      <c r="P805" s="2">
        <f t="shared" si="140"/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s="2">
        <f t="shared" si="141"/>
        <v>0</v>
      </c>
      <c r="X805">
        <v>19.600000000000001</v>
      </c>
      <c r="Z805" s="2">
        <f t="shared" si="142"/>
        <v>1</v>
      </c>
      <c r="AA805">
        <v>357.8</v>
      </c>
      <c r="AB805" s="2" t="str">
        <f>CHOOSE(MATCH(AA805,{0;11;80;111;161;191;241;281;341},1),"North","NorthEast","East","SouthEast","South","SouthWest","West","NorthWest","North")</f>
        <v>North</v>
      </c>
      <c r="AC805" s="5">
        <f>CHOOSE(MATCH(AB805,{"South";"SouthEast";"SouthWest";"North";"NorthEast";"East";"West";"NorthWest"},0),1,2,3,4,5,6,7,8)</f>
        <v>4</v>
      </c>
      <c r="AD805" s="2">
        <f t="shared" si="143"/>
        <v>1</v>
      </c>
      <c r="AE805">
        <v>1010.1</v>
      </c>
      <c r="AF805" s="4" t="s">
        <v>891</v>
      </c>
      <c r="AG805" s="2">
        <f t="shared" si="144"/>
        <v>1</v>
      </c>
      <c r="AH805" t="s">
        <v>1396</v>
      </c>
      <c r="AI805" s="2">
        <f t="shared" si="145"/>
        <v>8</v>
      </c>
      <c r="AJ805" s="2">
        <f t="shared" si="146"/>
        <v>1</v>
      </c>
      <c r="AK805" s="3">
        <v>1129.9999999953429</v>
      </c>
      <c r="AM805" s="2">
        <v>1</v>
      </c>
      <c r="AN805">
        <v>1</v>
      </c>
      <c r="AO805">
        <v>0</v>
      </c>
      <c r="AP805">
        <v>0</v>
      </c>
      <c r="AQ805" s="2">
        <f>IF((2*G805 + M805 -P805 + 3*W805 + 2*Z805+2*AD805 + AG805+2*AJ805 + 4*AM805) &gt;=8,1,0)</f>
        <v>1</v>
      </c>
    </row>
    <row r="806" spans="1:43" x14ac:dyDescent="0.25">
      <c r="A806" t="s">
        <v>27</v>
      </c>
      <c r="B806" s="1">
        <v>39673</v>
      </c>
      <c r="C806" s="7">
        <f t="shared" si="138"/>
        <v>2008</v>
      </c>
      <c r="D806">
        <v>95.2</v>
      </c>
      <c r="E806">
        <v>74.7</v>
      </c>
      <c r="F806">
        <v>85.1</v>
      </c>
      <c r="G806" s="2">
        <f t="shared" si="147"/>
        <v>1</v>
      </c>
      <c r="H806">
        <v>93.2</v>
      </c>
      <c r="I806">
        <v>74.7</v>
      </c>
      <c r="J806">
        <v>83.8</v>
      </c>
      <c r="K806">
        <v>54.2</v>
      </c>
      <c r="L806">
        <v>36</v>
      </c>
      <c r="M806" s="2">
        <f t="shared" si="139"/>
        <v>1</v>
      </c>
      <c r="N806">
        <v>0</v>
      </c>
      <c r="P806" s="2">
        <f t="shared" si="140"/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s="2">
        <f t="shared" si="141"/>
        <v>0</v>
      </c>
      <c r="X806">
        <v>19.600000000000001</v>
      </c>
      <c r="Z806" s="2">
        <f t="shared" si="142"/>
        <v>1</v>
      </c>
      <c r="AA806">
        <v>357.8</v>
      </c>
      <c r="AB806" s="2" t="str">
        <f>CHOOSE(MATCH(AA806,{0;11;80;111;161;191;241;281;341},1),"North","NorthEast","East","SouthEast","South","SouthWest","West","NorthWest","North")</f>
        <v>North</v>
      </c>
      <c r="AC806" s="5">
        <f>CHOOSE(MATCH(AB806,{"South";"SouthEast";"SouthWest";"North";"NorthEast";"East";"West";"NorthWest"},0),1,2,3,4,5,6,7,8)</f>
        <v>4</v>
      </c>
      <c r="AD806" s="2">
        <f t="shared" si="143"/>
        <v>1</v>
      </c>
      <c r="AE806">
        <v>1010.1</v>
      </c>
      <c r="AF806" s="4" t="s">
        <v>836</v>
      </c>
      <c r="AG806" s="2">
        <f t="shared" si="144"/>
        <v>1</v>
      </c>
      <c r="AH806" t="s">
        <v>1397</v>
      </c>
      <c r="AI806" s="2">
        <f t="shared" si="145"/>
        <v>8</v>
      </c>
      <c r="AJ806" s="2">
        <f t="shared" si="146"/>
        <v>1</v>
      </c>
      <c r="AK806" s="3">
        <v>206.00000000093129</v>
      </c>
      <c r="AM806" s="2">
        <v>0</v>
      </c>
      <c r="AN806">
        <v>0</v>
      </c>
      <c r="AO806">
        <v>5</v>
      </c>
      <c r="AP806">
        <v>0</v>
      </c>
      <c r="AQ806" s="2">
        <f>IF((2*G806 + M806 -P806 + 3*W806 + 2*Z806+2*AD806 + AG806+2*AJ806 + 4*AM806) &gt;=8,1,0)</f>
        <v>1</v>
      </c>
    </row>
    <row r="807" spans="1:43" x14ac:dyDescent="0.25">
      <c r="A807" t="s">
        <v>27</v>
      </c>
      <c r="B807" s="1">
        <v>39674</v>
      </c>
      <c r="C807" s="7">
        <f t="shared" si="138"/>
        <v>2008</v>
      </c>
      <c r="D807">
        <v>95.6</v>
      </c>
      <c r="E807">
        <v>81.400000000000006</v>
      </c>
      <c r="F807">
        <v>87.3</v>
      </c>
      <c r="G807" s="2">
        <f t="shared" si="147"/>
        <v>1</v>
      </c>
      <c r="H807">
        <v>92.8</v>
      </c>
      <c r="I807">
        <v>81.3</v>
      </c>
      <c r="J807">
        <v>85.8</v>
      </c>
      <c r="K807">
        <v>54.7</v>
      </c>
      <c r="L807">
        <v>33.6</v>
      </c>
      <c r="M807" s="2">
        <f t="shared" si="139"/>
        <v>1</v>
      </c>
      <c r="N807">
        <v>0</v>
      </c>
      <c r="P807" s="2">
        <f t="shared" si="140"/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s="2">
        <f t="shared" si="141"/>
        <v>0</v>
      </c>
      <c r="X807">
        <v>24.4</v>
      </c>
      <c r="Z807" s="2">
        <f t="shared" si="142"/>
        <v>1</v>
      </c>
      <c r="AA807">
        <v>359.8</v>
      </c>
      <c r="AB807" s="2" t="str">
        <f>CHOOSE(MATCH(AA807,{0;11;80;111;161;191;241;281;341},1),"North","NorthEast","East","SouthEast","South","SouthWest","West","NorthWest","North")</f>
        <v>North</v>
      </c>
      <c r="AC807" s="5">
        <f>CHOOSE(MATCH(AB807,{"South";"SouthEast";"SouthWest";"North";"NorthEast";"East";"West";"NorthWest"},0),1,2,3,4,5,6,7,8)</f>
        <v>4</v>
      </c>
      <c r="AD807" s="2">
        <f t="shared" si="143"/>
        <v>1</v>
      </c>
      <c r="AE807">
        <v>1010</v>
      </c>
      <c r="AF807" s="4" t="s">
        <v>67</v>
      </c>
      <c r="AG807" s="2">
        <f t="shared" si="144"/>
        <v>1</v>
      </c>
      <c r="AH807" t="s">
        <v>1398</v>
      </c>
      <c r="AI807" s="2">
        <f t="shared" si="145"/>
        <v>8</v>
      </c>
      <c r="AJ807" s="2">
        <f t="shared" si="146"/>
        <v>1</v>
      </c>
      <c r="AK807" s="3">
        <v>450</v>
      </c>
      <c r="AM807" s="2">
        <v>1</v>
      </c>
      <c r="AN807">
        <v>1</v>
      </c>
      <c r="AO807">
        <v>0</v>
      </c>
      <c r="AP807">
        <v>0</v>
      </c>
      <c r="AQ807" s="2">
        <f>IF((2*G807 + M807 -P807 + 3*W807 + 2*Z807+2*AD807 + AG807+2*AJ807 + 4*AM807) &gt;=8,1,0)</f>
        <v>1</v>
      </c>
    </row>
    <row r="808" spans="1:43" x14ac:dyDescent="0.25">
      <c r="A808" t="s">
        <v>27</v>
      </c>
      <c r="B808" s="1">
        <v>39678</v>
      </c>
      <c r="C808" s="7">
        <f t="shared" ref="C808:C862" si="148">YEAR(B808)</f>
        <v>2008</v>
      </c>
      <c r="D808">
        <v>93.3</v>
      </c>
      <c r="E808">
        <v>71.599999999999994</v>
      </c>
      <c r="F808">
        <v>82.6</v>
      </c>
      <c r="G808" s="2">
        <f t="shared" si="147"/>
        <v>1</v>
      </c>
      <c r="H808">
        <v>95.3</v>
      </c>
      <c r="I808">
        <v>71.599999999999994</v>
      </c>
      <c r="J808">
        <v>83.5</v>
      </c>
      <c r="K808">
        <v>62.8</v>
      </c>
      <c r="L808">
        <v>52.8</v>
      </c>
      <c r="M808" s="2">
        <f t="shared" ref="M808:M862" si="149">IF(L808&lt;=49.3,1,0)</f>
        <v>0</v>
      </c>
      <c r="N808">
        <v>0</v>
      </c>
      <c r="P808" s="2">
        <f t="shared" ref="P808:P862" si="150">IF(N808&lt;=0.01,1,0)</f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s="2">
        <f t="shared" ref="W808:W862" si="151">IF(V808&lt;=10,0,1)</f>
        <v>0</v>
      </c>
      <c r="X808">
        <v>13.4</v>
      </c>
      <c r="Z808" s="2">
        <f t="shared" ref="Z808:Z862" si="152">IF(X808&gt;=16,1,0)</f>
        <v>0</v>
      </c>
      <c r="AA808">
        <v>43.1</v>
      </c>
      <c r="AB808" s="2" t="str">
        <f>CHOOSE(MATCH(AA808,{0;11;80;111;161;191;241;281;341},1),"North","NorthEast","East","SouthEast","South","SouthWest","West","NorthWest","North")</f>
        <v>NorthEast</v>
      </c>
      <c r="AC808" s="5">
        <f>CHOOSE(MATCH(AB808,{"South";"SouthEast";"SouthWest";"North";"NorthEast";"East";"West";"NorthWest"},0),1,2,3,4,5,6,7,8)</f>
        <v>5</v>
      </c>
      <c r="AD808" s="2">
        <f t="shared" ref="AD808:AD862" si="153">IF(OR(AC808=3,AC808=4,AC808=5,AC808=8),1,0)</f>
        <v>1</v>
      </c>
      <c r="AE808">
        <v>1007.5</v>
      </c>
      <c r="AF808" s="4" t="s">
        <v>103</v>
      </c>
      <c r="AG808" s="2">
        <f t="shared" ref="AG808:AG862" si="154">IF(TIMEVALUE(AF808)&lt;=TIME(12,30,0),0,1)</f>
        <v>1</v>
      </c>
      <c r="AH808" t="s">
        <v>1399</v>
      </c>
      <c r="AI808" s="2">
        <f t="shared" ref="AI808:AI862" si="155">MONTH(AH808)</f>
        <v>8</v>
      </c>
      <c r="AJ808" s="2">
        <f t="shared" ref="AJ808:AJ862" si="156">IF(OR(AI808=6,AI808=7,AI808=8),1,0)</f>
        <v>1</v>
      </c>
      <c r="AK808" s="3">
        <v>116.00000000093129</v>
      </c>
      <c r="AM808" s="2">
        <v>0</v>
      </c>
      <c r="AN808">
        <v>1</v>
      </c>
      <c r="AO808">
        <v>0</v>
      </c>
      <c r="AP808">
        <v>0</v>
      </c>
      <c r="AQ808" s="2">
        <f>IF((2*G808 + M808 -P808 + 3*W808 + 2*Z808+2*AD808 + AG808+2*AJ808 + 4*AM808) &gt;=8,1,0)</f>
        <v>0</v>
      </c>
    </row>
    <row r="809" spans="1:43" x14ac:dyDescent="0.25">
      <c r="A809" t="s">
        <v>27</v>
      </c>
      <c r="B809" s="1">
        <v>39680</v>
      </c>
      <c r="C809" s="7">
        <f t="shared" si="148"/>
        <v>2008</v>
      </c>
      <c r="D809">
        <v>95.9</v>
      </c>
      <c r="E809">
        <v>79.3</v>
      </c>
      <c r="F809">
        <v>86.4</v>
      </c>
      <c r="G809" s="2">
        <f t="shared" si="147"/>
        <v>1</v>
      </c>
      <c r="H809">
        <v>93</v>
      </c>
      <c r="I809">
        <v>79.3</v>
      </c>
      <c r="J809">
        <v>85</v>
      </c>
      <c r="K809">
        <v>54.2</v>
      </c>
      <c r="L809">
        <v>34.799999999999997</v>
      </c>
      <c r="M809" s="2">
        <f t="shared" si="149"/>
        <v>1</v>
      </c>
      <c r="N809">
        <v>0</v>
      </c>
      <c r="P809" s="2">
        <f t="shared" si="150"/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s="2">
        <f t="shared" si="151"/>
        <v>0</v>
      </c>
      <c r="X809">
        <v>21.9</v>
      </c>
      <c r="Z809" s="2">
        <f t="shared" si="152"/>
        <v>1</v>
      </c>
      <c r="AA809">
        <v>0.9</v>
      </c>
      <c r="AB809" s="2" t="str">
        <f>CHOOSE(MATCH(AA809,{0;11;80;111;161;191;241;281;341},1),"North","NorthEast","East","SouthEast","South","SouthWest","West","NorthWest","North")</f>
        <v>North</v>
      </c>
      <c r="AC809" s="5">
        <f>CHOOSE(MATCH(AB809,{"South";"SouthEast";"SouthWest";"North";"NorthEast";"East";"West";"NorthWest"},0),1,2,3,4,5,6,7,8)</f>
        <v>4</v>
      </c>
      <c r="AD809" s="2">
        <f t="shared" si="153"/>
        <v>1</v>
      </c>
      <c r="AE809">
        <v>1009.9</v>
      </c>
      <c r="AF809" s="4" t="s">
        <v>862</v>
      </c>
      <c r="AG809" s="2">
        <f t="shared" si="154"/>
        <v>1</v>
      </c>
      <c r="AH809" t="s">
        <v>1400</v>
      </c>
      <c r="AI809" s="2">
        <f t="shared" si="155"/>
        <v>8</v>
      </c>
      <c r="AJ809" s="2">
        <f t="shared" si="156"/>
        <v>1</v>
      </c>
      <c r="AK809" s="3">
        <v>1755</v>
      </c>
      <c r="AM809" s="2">
        <v>1</v>
      </c>
      <c r="AN809">
        <v>0</v>
      </c>
      <c r="AO809">
        <v>100</v>
      </c>
      <c r="AP809">
        <v>0</v>
      </c>
      <c r="AQ809" s="2">
        <f>IF((2*G809 + M809 -P809 + 3*W809 + 2*Z809+2*AD809 + AG809+2*AJ809 + 4*AM809) &gt;=8,1,0)</f>
        <v>1</v>
      </c>
    </row>
    <row r="810" spans="1:43" x14ac:dyDescent="0.25">
      <c r="A810" t="s">
        <v>27</v>
      </c>
      <c r="B810" s="1">
        <v>39685</v>
      </c>
      <c r="C810" s="7">
        <f t="shared" si="148"/>
        <v>2008</v>
      </c>
      <c r="D810">
        <v>96.6</v>
      </c>
      <c r="E810">
        <v>75.400000000000006</v>
      </c>
      <c r="F810">
        <v>85</v>
      </c>
      <c r="G810" s="2">
        <f t="shared" si="147"/>
        <v>1</v>
      </c>
      <c r="H810">
        <v>94.9</v>
      </c>
      <c r="I810">
        <v>75.400000000000006</v>
      </c>
      <c r="J810">
        <v>85.1</v>
      </c>
      <c r="K810">
        <v>59.1</v>
      </c>
      <c r="L810">
        <v>44.2</v>
      </c>
      <c r="M810" s="2">
        <f t="shared" si="149"/>
        <v>1</v>
      </c>
      <c r="N810">
        <v>0</v>
      </c>
      <c r="P810" s="2">
        <f t="shared" si="150"/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s="2">
        <f t="shared" si="151"/>
        <v>0</v>
      </c>
      <c r="X810">
        <v>14</v>
      </c>
      <c r="Z810" s="2">
        <f t="shared" si="152"/>
        <v>0</v>
      </c>
      <c r="AA810">
        <v>44.9</v>
      </c>
      <c r="AB810" s="2" t="str">
        <f>CHOOSE(MATCH(AA810,{0;11;80;111;161;191;241;281;341},1),"North","NorthEast","East","SouthEast","South","SouthWest","West","NorthWest","North")</f>
        <v>NorthEast</v>
      </c>
      <c r="AC810" s="5">
        <f>CHOOSE(MATCH(AB810,{"South";"SouthEast";"SouthWest";"North";"NorthEast";"East";"West";"NorthWest"},0),1,2,3,4,5,6,7,8)</f>
        <v>5</v>
      </c>
      <c r="AD810" s="2">
        <f t="shared" si="153"/>
        <v>1</v>
      </c>
      <c r="AE810">
        <v>1009.2</v>
      </c>
      <c r="AF810" s="4" t="s">
        <v>282</v>
      </c>
      <c r="AG810" s="2">
        <f t="shared" si="154"/>
        <v>1</v>
      </c>
      <c r="AH810" t="s">
        <v>1401</v>
      </c>
      <c r="AI810" s="2">
        <f t="shared" si="155"/>
        <v>8</v>
      </c>
      <c r="AJ810" s="2">
        <f t="shared" si="156"/>
        <v>1</v>
      </c>
      <c r="AK810" s="3">
        <v>675</v>
      </c>
      <c r="AM810" s="2">
        <v>1</v>
      </c>
      <c r="AN810">
        <v>1</v>
      </c>
      <c r="AO810">
        <v>0</v>
      </c>
      <c r="AP810">
        <v>0</v>
      </c>
      <c r="AQ810" s="2">
        <f>IF((2*G810 + M810 -P810 + 3*W810 + 2*Z810+2*AD810 + AG810+2*AJ810 + 4*AM810) &gt;=8,1,0)</f>
        <v>1</v>
      </c>
    </row>
    <row r="811" spans="1:43" x14ac:dyDescent="0.25">
      <c r="A811" t="s">
        <v>27</v>
      </c>
      <c r="B811" s="1">
        <v>39686</v>
      </c>
      <c r="C811" s="7">
        <f t="shared" si="148"/>
        <v>2008</v>
      </c>
      <c r="D811">
        <v>91.2</v>
      </c>
      <c r="E811">
        <v>74.8</v>
      </c>
      <c r="F811">
        <v>82.7</v>
      </c>
      <c r="G811" s="2">
        <f t="shared" si="147"/>
        <v>1</v>
      </c>
      <c r="H811">
        <v>97</v>
      </c>
      <c r="I811">
        <v>74.8</v>
      </c>
      <c r="J811">
        <v>84.1</v>
      </c>
      <c r="K811">
        <v>64.599999999999994</v>
      </c>
      <c r="L811">
        <v>55.1</v>
      </c>
      <c r="M811" s="2">
        <f t="shared" si="149"/>
        <v>0</v>
      </c>
      <c r="N811">
        <v>0</v>
      </c>
      <c r="P811" s="2">
        <f t="shared" si="150"/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s="2">
        <f t="shared" si="151"/>
        <v>0</v>
      </c>
      <c r="X811">
        <v>19.100000000000001</v>
      </c>
      <c r="Z811" s="2">
        <f t="shared" si="152"/>
        <v>1</v>
      </c>
      <c r="AA811">
        <v>15.1</v>
      </c>
      <c r="AB811" s="2" t="str">
        <f>CHOOSE(MATCH(AA811,{0;11;80;111;161;191;241;281;341},1),"North","NorthEast","East","SouthEast","South","SouthWest","West","NorthWest","North")</f>
        <v>NorthEast</v>
      </c>
      <c r="AC811" s="5">
        <f>CHOOSE(MATCH(AB811,{"South";"SouthEast";"SouthWest";"North";"NorthEast";"East";"West";"NorthWest"},0),1,2,3,4,5,6,7,8)</f>
        <v>5</v>
      </c>
      <c r="AD811" s="2">
        <f t="shared" si="153"/>
        <v>1</v>
      </c>
      <c r="AE811">
        <v>1013.2</v>
      </c>
      <c r="AF811" s="4" t="s">
        <v>489</v>
      </c>
      <c r="AG811" s="2">
        <f t="shared" si="154"/>
        <v>0</v>
      </c>
      <c r="AH811" t="s">
        <v>1402</v>
      </c>
      <c r="AI811" s="2">
        <f t="shared" si="155"/>
        <v>8</v>
      </c>
      <c r="AJ811" s="2">
        <f t="shared" si="156"/>
        <v>1</v>
      </c>
      <c r="AK811" s="3">
        <v>2160</v>
      </c>
      <c r="AM811" s="2">
        <v>1</v>
      </c>
      <c r="AN811">
        <v>0</v>
      </c>
      <c r="AO811">
        <v>10</v>
      </c>
      <c r="AP811">
        <v>0</v>
      </c>
      <c r="AQ811" s="2">
        <f>IF((2*G811 + M811 -P811 + 3*W811 + 2*Z811+2*AD811 + AG811+2*AJ811 + 4*AM811) &gt;=8,1,0)</f>
        <v>1</v>
      </c>
    </row>
    <row r="812" spans="1:43" x14ac:dyDescent="0.25">
      <c r="A812" t="s">
        <v>27</v>
      </c>
      <c r="B812" s="1">
        <v>39689</v>
      </c>
      <c r="C812" s="7">
        <f t="shared" si="148"/>
        <v>2008</v>
      </c>
      <c r="D812">
        <v>87.8</v>
      </c>
      <c r="E812">
        <v>69.5</v>
      </c>
      <c r="F812">
        <v>78.8</v>
      </c>
      <c r="G812" s="2">
        <f t="shared" si="147"/>
        <v>1</v>
      </c>
      <c r="H812">
        <v>88</v>
      </c>
      <c r="I812">
        <v>69.5</v>
      </c>
      <c r="J812">
        <v>78.900000000000006</v>
      </c>
      <c r="K812">
        <v>58.1</v>
      </c>
      <c r="L812">
        <v>49.8</v>
      </c>
      <c r="M812" s="2">
        <f t="shared" si="149"/>
        <v>0</v>
      </c>
      <c r="N812">
        <v>0</v>
      </c>
      <c r="P812" s="2">
        <f t="shared" si="150"/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s="2">
        <f t="shared" si="151"/>
        <v>0</v>
      </c>
      <c r="X812">
        <v>12</v>
      </c>
      <c r="Z812" s="2">
        <f t="shared" si="152"/>
        <v>0</v>
      </c>
      <c r="AA812">
        <v>130.30000000000001</v>
      </c>
      <c r="AB812" s="2" t="str">
        <f>CHOOSE(MATCH(AA812,{0;11;80;111;161;191;241;281;341},1),"North","NorthEast","East","SouthEast","South","SouthWest","West","NorthWest","North")</f>
        <v>SouthEast</v>
      </c>
      <c r="AC812" s="5">
        <f>CHOOSE(MATCH(AB812,{"South";"SouthEast";"SouthWest";"North";"NorthEast";"East";"West";"NorthWest"},0),1,2,3,4,5,6,7,8)</f>
        <v>2</v>
      </c>
      <c r="AD812" s="2">
        <f t="shared" si="153"/>
        <v>0</v>
      </c>
      <c r="AE812">
        <v>1011.1</v>
      </c>
      <c r="AF812" s="4" t="s">
        <v>1403</v>
      </c>
      <c r="AG812" s="2">
        <f t="shared" si="154"/>
        <v>1</v>
      </c>
      <c r="AH812" t="s">
        <v>1404</v>
      </c>
      <c r="AI812" s="2">
        <f t="shared" si="155"/>
        <v>8</v>
      </c>
      <c r="AJ812" s="2">
        <f t="shared" si="156"/>
        <v>1</v>
      </c>
      <c r="AK812" s="3">
        <v>303.00000000279402</v>
      </c>
      <c r="AM812" s="2">
        <v>0</v>
      </c>
      <c r="AN812">
        <v>6</v>
      </c>
      <c r="AO812">
        <v>0</v>
      </c>
      <c r="AP812">
        <v>0</v>
      </c>
      <c r="AQ812" s="2">
        <f>IF((2*G812 + M812 -P812 + 3*W812 + 2*Z812+2*AD812 + AG812+2*AJ812 + 4*AM812) &gt;=8,1,0)</f>
        <v>0</v>
      </c>
    </row>
    <row r="813" spans="1:43" x14ac:dyDescent="0.25">
      <c r="A813" t="s">
        <v>27</v>
      </c>
      <c r="B813" s="1">
        <v>39690</v>
      </c>
      <c r="C813" s="7">
        <f t="shared" si="148"/>
        <v>2008</v>
      </c>
      <c r="D813">
        <v>88.7</v>
      </c>
      <c r="E813">
        <v>68.099999999999994</v>
      </c>
      <c r="F813">
        <v>78</v>
      </c>
      <c r="G813" s="2">
        <f t="shared" si="147"/>
        <v>1</v>
      </c>
      <c r="H813">
        <v>90.4</v>
      </c>
      <c r="I813">
        <v>68.099999999999994</v>
      </c>
      <c r="J813">
        <v>78.3</v>
      </c>
      <c r="K813">
        <v>62.7</v>
      </c>
      <c r="L813">
        <v>60.7</v>
      </c>
      <c r="M813" s="2">
        <f t="shared" si="149"/>
        <v>0</v>
      </c>
      <c r="N813">
        <v>0</v>
      </c>
      <c r="P813" s="2">
        <f t="shared" si="150"/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s="2">
        <f t="shared" si="151"/>
        <v>0</v>
      </c>
      <c r="X813">
        <v>10.1</v>
      </c>
      <c r="Z813" s="2">
        <f t="shared" si="152"/>
        <v>0</v>
      </c>
      <c r="AA813">
        <v>52.5</v>
      </c>
      <c r="AB813" s="2" t="str">
        <f>CHOOSE(MATCH(AA813,{0;11;80;111;161;191;241;281;341},1),"North","NorthEast","East","SouthEast","South","SouthWest","West","NorthWest","North")</f>
        <v>NorthEast</v>
      </c>
      <c r="AC813" s="5">
        <f>CHOOSE(MATCH(AB813,{"South";"SouthEast";"SouthWest";"North";"NorthEast";"East";"West";"NorthWest"},0),1,2,3,4,5,6,7,8)</f>
        <v>5</v>
      </c>
      <c r="AD813" s="2">
        <f t="shared" si="153"/>
        <v>1</v>
      </c>
      <c r="AE813">
        <v>1010.6</v>
      </c>
      <c r="AF813" s="4" t="s">
        <v>92</v>
      </c>
      <c r="AG813" s="2">
        <f t="shared" si="154"/>
        <v>1</v>
      </c>
      <c r="AH813" t="s">
        <v>1405</v>
      </c>
      <c r="AI813" s="2">
        <f t="shared" si="155"/>
        <v>8</v>
      </c>
      <c r="AJ813" s="2">
        <f t="shared" si="156"/>
        <v>1</v>
      </c>
      <c r="AK813" s="3">
        <v>74.999999993015081</v>
      </c>
      <c r="AM813" s="2">
        <v>0</v>
      </c>
      <c r="AN813">
        <v>1</v>
      </c>
      <c r="AO813">
        <v>0</v>
      </c>
      <c r="AP813">
        <v>0</v>
      </c>
      <c r="AQ813" s="2">
        <f>IF((2*G813 + M813 -P813 + 3*W813 + 2*Z813+2*AD813 + AG813+2*AJ813 + 4*AM813) &gt;=8,1,0)</f>
        <v>0</v>
      </c>
    </row>
    <row r="814" spans="1:43" x14ac:dyDescent="0.25">
      <c r="A814" t="s">
        <v>27</v>
      </c>
      <c r="B814" s="1">
        <v>39691</v>
      </c>
      <c r="C814" s="7">
        <f t="shared" si="148"/>
        <v>2008</v>
      </c>
      <c r="D814">
        <v>81.8</v>
      </c>
      <c r="E814">
        <v>73</v>
      </c>
      <c r="F814">
        <v>76.400000000000006</v>
      </c>
      <c r="G814" s="2">
        <f t="shared" si="147"/>
        <v>1</v>
      </c>
      <c r="H814">
        <v>82.6</v>
      </c>
      <c r="I814">
        <v>73</v>
      </c>
      <c r="J814">
        <v>76.400000000000006</v>
      </c>
      <c r="K814">
        <v>59</v>
      </c>
      <c r="L814">
        <v>55.1</v>
      </c>
      <c r="M814" s="2">
        <f t="shared" si="149"/>
        <v>0</v>
      </c>
      <c r="N814">
        <v>0</v>
      </c>
      <c r="P814" s="2">
        <f t="shared" si="150"/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s="2">
        <f t="shared" si="151"/>
        <v>0</v>
      </c>
      <c r="X814">
        <v>17.5</v>
      </c>
      <c r="Z814" s="2">
        <f t="shared" si="152"/>
        <v>1</v>
      </c>
      <c r="AA814">
        <v>346.8</v>
      </c>
      <c r="AB814" s="2" t="str">
        <f>CHOOSE(MATCH(AA814,{0;11;80;111;161;191;241;281;341},1),"North","NorthEast","East","SouthEast","South","SouthWest","West","NorthWest","North")</f>
        <v>North</v>
      </c>
      <c r="AC814" s="5">
        <f>CHOOSE(MATCH(AB814,{"South";"SouthEast";"SouthWest";"North";"NorthEast";"East";"West";"NorthWest"},0),1,2,3,4,5,6,7,8)</f>
        <v>4</v>
      </c>
      <c r="AD814" s="2">
        <f t="shared" si="153"/>
        <v>1</v>
      </c>
      <c r="AE814">
        <v>1012.7</v>
      </c>
      <c r="AF814" s="4" t="s">
        <v>76</v>
      </c>
      <c r="AG814" s="2">
        <f t="shared" si="154"/>
        <v>0</v>
      </c>
      <c r="AH814" t="s">
        <v>1406</v>
      </c>
      <c r="AI814" s="2">
        <f t="shared" si="155"/>
        <v>8</v>
      </c>
      <c r="AJ814" s="2">
        <f t="shared" si="156"/>
        <v>1</v>
      </c>
      <c r="AK814" s="3">
        <v>120.9999999962747</v>
      </c>
      <c r="AM814" s="2">
        <v>0</v>
      </c>
      <c r="AN814">
        <v>0</v>
      </c>
      <c r="AO814">
        <v>1</v>
      </c>
      <c r="AP814">
        <v>0</v>
      </c>
      <c r="AQ814" s="2">
        <f>IF((2*G814 + M814 -P814 + 3*W814 + 2*Z814+2*AD814 + AG814+2*AJ814 + 4*AM814) &gt;=8,1,0)</f>
        <v>0</v>
      </c>
    </row>
    <row r="815" spans="1:43" x14ac:dyDescent="0.25">
      <c r="A815" t="s">
        <v>27</v>
      </c>
      <c r="B815" s="1">
        <v>39691</v>
      </c>
      <c r="C815" s="7">
        <f t="shared" si="148"/>
        <v>2008</v>
      </c>
      <c r="D815">
        <v>81.8</v>
      </c>
      <c r="E815">
        <v>73</v>
      </c>
      <c r="F815">
        <v>76.400000000000006</v>
      </c>
      <c r="G815" s="2">
        <f t="shared" si="147"/>
        <v>1</v>
      </c>
      <c r="H815">
        <v>82.6</v>
      </c>
      <c r="I815">
        <v>73</v>
      </c>
      <c r="J815">
        <v>76.400000000000006</v>
      </c>
      <c r="K815">
        <v>59</v>
      </c>
      <c r="L815">
        <v>55.1</v>
      </c>
      <c r="M815" s="2">
        <f t="shared" si="149"/>
        <v>0</v>
      </c>
      <c r="N815">
        <v>0</v>
      </c>
      <c r="P815" s="2">
        <f t="shared" si="150"/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s="2">
        <f t="shared" si="151"/>
        <v>0</v>
      </c>
      <c r="X815">
        <v>17.5</v>
      </c>
      <c r="Z815" s="2">
        <f t="shared" si="152"/>
        <v>1</v>
      </c>
      <c r="AA815">
        <v>346.8</v>
      </c>
      <c r="AB815" s="2" t="str">
        <f>CHOOSE(MATCH(AA815,{0;11;80;111;161;191;241;281;341},1),"North","NorthEast","East","SouthEast","South","SouthWest","West","NorthWest","North")</f>
        <v>North</v>
      </c>
      <c r="AC815" s="5">
        <f>CHOOSE(MATCH(AB815,{"South";"SouthEast";"SouthWest";"North";"NorthEast";"East";"West";"NorthWest"},0),1,2,3,4,5,6,7,8)</f>
        <v>4</v>
      </c>
      <c r="AD815" s="2">
        <f t="shared" si="153"/>
        <v>1</v>
      </c>
      <c r="AE815">
        <v>1012.7</v>
      </c>
      <c r="AF815" s="4" t="s">
        <v>193</v>
      </c>
      <c r="AG815" s="2">
        <f t="shared" si="154"/>
        <v>1</v>
      </c>
      <c r="AH815" t="s">
        <v>1407</v>
      </c>
      <c r="AI815" s="2">
        <f t="shared" si="155"/>
        <v>8</v>
      </c>
      <c r="AJ815" s="2">
        <f t="shared" si="156"/>
        <v>1</v>
      </c>
      <c r="AK815" s="3">
        <v>284.99999999650748</v>
      </c>
      <c r="AM815" s="2">
        <v>0</v>
      </c>
      <c r="AN815">
        <v>1</v>
      </c>
      <c r="AO815">
        <v>0</v>
      </c>
      <c r="AP815">
        <v>0</v>
      </c>
      <c r="AQ815" s="2">
        <f>IF((2*G815 + M815 -P815 + 3*W815 + 2*Z815+2*AD815 + AG815+2*AJ815 + 4*AM815) &gt;=8,1,0)</f>
        <v>1</v>
      </c>
    </row>
    <row r="816" spans="1:43" x14ac:dyDescent="0.25">
      <c r="A816" t="s">
        <v>27</v>
      </c>
      <c r="B816" s="1">
        <v>39691</v>
      </c>
      <c r="C816" s="7">
        <f t="shared" si="148"/>
        <v>2008</v>
      </c>
      <c r="D816">
        <v>81.8</v>
      </c>
      <c r="E816">
        <v>73</v>
      </c>
      <c r="F816">
        <v>76.400000000000006</v>
      </c>
      <c r="G816" s="2">
        <f t="shared" si="147"/>
        <v>1</v>
      </c>
      <c r="H816">
        <v>82.6</v>
      </c>
      <c r="I816">
        <v>73</v>
      </c>
      <c r="J816">
        <v>76.400000000000006</v>
      </c>
      <c r="K816">
        <v>59</v>
      </c>
      <c r="L816">
        <v>55.1</v>
      </c>
      <c r="M816" s="2">
        <f t="shared" si="149"/>
        <v>0</v>
      </c>
      <c r="N816">
        <v>0</v>
      </c>
      <c r="P816" s="2">
        <f t="shared" si="150"/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s="2">
        <f t="shared" si="151"/>
        <v>0</v>
      </c>
      <c r="X816">
        <v>17.5</v>
      </c>
      <c r="Z816" s="2">
        <f t="shared" si="152"/>
        <v>1</v>
      </c>
      <c r="AA816">
        <v>346.8</v>
      </c>
      <c r="AB816" s="2" t="str">
        <f>CHOOSE(MATCH(AA816,{0;11;80;111;161;191;241;281;341},1),"North","NorthEast","East","SouthEast","South","SouthWest","West","NorthWest","North")</f>
        <v>North</v>
      </c>
      <c r="AC816" s="5">
        <f>CHOOSE(MATCH(AB816,{"South";"SouthEast";"SouthWest";"North";"NorthEast";"East";"West";"NorthWest"},0),1,2,3,4,5,6,7,8)</f>
        <v>4</v>
      </c>
      <c r="AD816" s="2">
        <f t="shared" si="153"/>
        <v>1</v>
      </c>
      <c r="AE816">
        <v>1012.7</v>
      </c>
      <c r="AF816" s="4" t="s">
        <v>1315</v>
      </c>
      <c r="AG816" s="2">
        <f t="shared" si="154"/>
        <v>1</v>
      </c>
      <c r="AH816" t="s">
        <v>1408</v>
      </c>
      <c r="AI816" s="2">
        <f t="shared" si="155"/>
        <v>8</v>
      </c>
      <c r="AJ816" s="2">
        <f t="shared" si="156"/>
        <v>1</v>
      </c>
      <c r="AK816" s="3">
        <v>33.999999995576218</v>
      </c>
      <c r="AM816" s="2">
        <v>0</v>
      </c>
      <c r="AN816">
        <v>0</v>
      </c>
      <c r="AO816">
        <v>0.01</v>
      </c>
      <c r="AP816">
        <v>0</v>
      </c>
      <c r="AQ816" s="2">
        <f>IF((2*G816 + M816 -P816 + 3*W816 + 2*Z816+2*AD816 + AG816+2*AJ816 + 4*AM816) &gt;=8,1,0)</f>
        <v>1</v>
      </c>
    </row>
    <row r="817" spans="1:43" x14ac:dyDescent="0.25">
      <c r="A817" t="s">
        <v>27</v>
      </c>
      <c r="B817" s="1">
        <v>39692</v>
      </c>
      <c r="C817" s="7">
        <f t="shared" si="148"/>
        <v>2008</v>
      </c>
      <c r="D817">
        <v>83.2</v>
      </c>
      <c r="E817">
        <v>71.2</v>
      </c>
      <c r="F817">
        <v>76.3</v>
      </c>
      <c r="G817" s="2">
        <f t="shared" si="147"/>
        <v>1</v>
      </c>
      <c r="H817">
        <v>81.599999999999994</v>
      </c>
      <c r="I817">
        <v>71.2</v>
      </c>
      <c r="J817">
        <v>76.099999999999994</v>
      </c>
      <c r="K817">
        <v>52.8</v>
      </c>
      <c r="L817">
        <v>45</v>
      </c>
      <c r="M817" s="2">
        <f t="shared" si="149"/>
        <v>1</v>
      </c>
      <c r="N817">
        <v>0</v>
      </c>
      <c r="P817" s="2">
        <f t="shared" si="150"/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s="2">
        <f t="shared" si="151"/>
        <v>0</v>
      </c>
      <c r="X817">
        <v>24</v>
      </c>
      <c r="Z817" s="2">
        <f t="shared" si="152"/>
        <v>1</v>
      </c>
      <c r="AA817">
        <v>0.3</v>
      </c>
      <c r="AB817" s="2" t="str">
        <f>CHOOSE(MATCH(AA817,{0;11;80;111;161;191;241;281;341},1),"North","NorthEast","East","SouthEast","South","SouthWest","West","NorthWest","North")</f>
        <v>North</v>
      </c>
      <c r="AC817" s="5">
        <f>CHOOSE(MATCH(AB817,{"South";"SouthEast";"SouthWest";"North";"NorthEast";"East";"West";"NorthWest"},0),1,2,3,4,5,6,7,8)</f>
        <v>4</v>
      </c>
      <c r="AD817" s="2">
        <f t="shared" si="153"/>
        <v>1</v>
      </c>
      <c r="AE817">
        <v>1015.2</v>
      </c>
      <c r="AF817" s="4" t="s">
        <v>575</v>
      </c>
      <c r="AG817" s="2">
        <f t="shared" si="154"/>
        <v>1</v>
      </c>
      <c r="AH817" t="s">
        <v>1409</v>
      </c>
      <c r="AI817" s="2">
        <f t="shared" si="155"/>
        <v>9</v>
      </c>
      <c r="AJ817" s="2">
        <f t="shared" si="156"/>
        <v>0</v>
      </c>
      <c r="AK817" s="3">
        <v>185.99999999860299</v>
      </c>
      <c r="AM817" s="2">
        <v>0</v>
      </c>
      <c r="AN817">
        <v>1</v>
      </c>
      <c r="AO817">
        <v>0</v>
      </c>
      <c r="AP817">
        <v>0</v>
      </c>
      <c r="AQ817" s="2">
        <f>IF((2*G817 + M817 -P817 + 3*W817 + 2*Z817+2*AD817 + AG817+2*AJ817 + 4*AM817) &gt;=8,1,0)</f>
        <v>0</v>
      </c>
    </row>
    <row r="818" spans="1:43" x14ac:dyDescent="0.25">
      <c r="A818" t="s">
        <v>27</v>
      </c>
      <c r="B818" s="1">
        <v>39704</v>
      </c>
      <c r="C818" s="7">
        <f t="shared" si="148"/>
        <v>2008</v>
      </c>
      <c r="D818">
        <v>90.8</v>
      </c>
      <c r="E818">
        <v>69.900000000000006</v>
      </c>
      <c r="F818">
        <v>80.3</v>
      </c>
      <c r="G818" s="2">
        <f t="shared" si="147"/>
        <v>1</v>
      </c>
      <c r="H818">
        <v>92.7</v>
      </c>
      <c r="I818">
        <v>69.900000000000006</v>
      </c>
      <c r="J818">
        <v>81</v>
      </c>
      <c r="K818">
        <v>61.3</v>
      </c>
      <c r="L818">
        <v>53.1</v>
      </c>
      <c r="M818" s="2">
        <f t="shared" si="149"/>
        <v>0</v>
      </c>
      <c r="N818">
        <v>0</v>
      </c>
      <c r="P818" s="2">
        <f t="shared" si="150"/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s="2">
        <f t="shared" si="151"/>
        <v>0</v>
      </c>
      <c r="X818">
        <v>8.6</v>
      </c>
      <c r="Z818" s="2">
        <f t="shared" si="152"/>
        <v>0</v>
      </c>
      <c r="AA818">
        <v>171.9</v>
      </c>
      <c r="AB818" s="2" t="str">
        <f>CHOOSE(MATCH(AA818,{0;11;80;111;161;191;241;281;341},1),"North","NorthEast","East","SouthEast","South","SouthWest","West","NorthWest","North")</f>
        <v>South</v>
      </c>
      <c r="AC818" s="5">
        <f>CHOOSE(MATCH(AB818,{"South";"SouthEast";"SouthWest";"North";"NorthEast";"East";"West";"NorthWest"},0),1,2,3,4,5,6,7,8)</f>
        <v>1</v>
      </c>
      <c r="AD818" s="2">
        <f t="shared" si="153"/>
        <v>0</v>
      </c>
      <c r="AE818">
        <v>1009.1</v>
      </c>
      <c r="AF818" s="4" t="s">
        <v>1410</v>
      </c>
      <c r="AG818" s="2">
        <f t="shared" si="154"/>
        <v>0</v>
      </c>
      <c r="AH818" t="s">
        <v>1411</v>
      </c>
      <c r="AI818" s="2">
        <f t="shared" si="155"/>
        <v>9</v>
      </c>
      <c r="AJ818" s="2">
        <f t="shared" si="156"/>
        <v>0</v>
      </c>
      <c r="AK818" s="3">
        <v>49.000000002561137</v>
      </c>
      <c r="AM818" s="2">
        <v>0</v>
      </c>
      <c r="AN818">
        <v>0</v>
      </c>
      <c r="AO818">
        <v>1</v>
      </c>
      <c r="AP818">
        <v>0</v>
      </c>
      <c r="AQ818" s="2">
        <f>IF((2*G818 + M818 -P818 + 3*W818 + 2*Z818+2*AD818 + AG818+2*AJ818 + 4*AM818) &gt;=8,1,0)</f>
        <v>0</v>
      </c>
    </row>
    <row r="819" spans="1:43" x14ac:dyDescent="0.25">
      <c r="A819" t="s">
        <v>27</v>
      </c>
      <c r="B819" s="1">
        <v>39706</v>
      </c>
      <c r="C819" s="7">
        <f t="shared" si="148"/>
        <v>2008</v>
      </c>
      <c r="D819">
        <v>87.4</v>
      </c>
      <c r="E819">
        <v>70.599999999999994</v>
      </c>
      <c r="F819">
        <v>78.2</v>
      </c>
      <c r="G819" s="2">
        <f t="shared" si="147"/>
        <v>1</v>
      </c>
      <c r="H819">
        <v>90.8</v>
      </c>
      <c r="I819">
        <v>70.599999999999994</v>
      </c>
      <c r="J819">
        <v>79.3</v>
      </c>
      <c r="K819">
        <v>65.099999999999994</v>
      </c>
      <c r="L819">
        <v>64.7</v>
      </c>
      <c r="M819" s="2">
        <f t="shared" si="149"/>
        <v>0</v>
      </c>
      <c r="N819">
        <v>0</v>
      </c>
      <c r="P819" s="2">
        <f t="shared" si="150"/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s="2">
        <f t="shared" si="151"/>
        <v>0</v>
      </c>
      <c r="X819">
        <v>14.8</v>
      </c>
      <c r="Z819" s="2">
        <f t="shared" si="152"/>
        <v>0</v>
      </c>
      <c r="AA819">
        <v>195.5</v>
      </c>
      <c r="AB819" s="2" t="str">
        <f>CHOOSE(MATCH(AA819,{0;11;80;111;161;191;241;281;341},1),"North","NorthEast","East","SouthEast","South","SouthWest","West","NorthWest","North")</f>
        <v>SouthWest</v>
      </c>
      <c r="AC819" s="5">
        <f>CHOOSE(MATCH(AB819,{"South";"SouthEast";"SouthWest";"North";"NorthEast";"East";"West";"NorthWest"},0),1,2,3,4,5,6,7,8)</f>
        <v>3</v>
      </c>
      <c r="AD819" s="2">
        <f t="shared" si="153"/>
        <v>1</v>
      </c>
      <c r="AE819">
        <v>1009.2</v>
      </c>
      <c r="AF819" s="4" t="s">
        <v>107</v>
      </c>
      <c r="AG819" s="2">
        <f t="shared" si="154"/>
        <v>1</v>
      </c>
      <c r="AH819" t="s">
        <v>1412</v>
      </c>
      <c r="AI819" s="2">
        <f t="shared" si="155"/>
        <v>9</v>
      </c>
      <c r="AJ819" s="2">
        <f t="shared" si="156"/>
        <v>0</v>
      </c>
      <c r="AK819" s="3">
        <v>199.9999999918509</v>
      </c>
      <c r="AM819" s="2">
        <v>0</v>
      </c>
      <c r="AN819">
        <v>1</v>
      </c>
      <c r="AO819">
        <v>0</v>
      </c>
      <c r="AP819">
        <v>0</v>
      </c>
      <c r="AQ819" s="2">
        <f>IF((2*G819 + M819 -P819 + 3*W819 + 2*Z819+2*AD819 + AG819+2*AJ819 + 4*AM819) &gt;=8,1,0)</f>
        <v>0</v>
      </c>
    </row>
    <row r="820" spans="1:43" x14ac:dyDescent="0.25">
      <c r="A820" t="s">
        <v>27</v>
      </c>
      <c r="B820" s="1">
        <v>39720</v>
      </c>
      <c r="C820" s="7">
        <f t="shared" si="148"/>
        <v>2008</v>
      </c>
      <c r="D820">
        <v>70.099999999999994</v>
      </c>
      <c r="E820">
        <v>58.6</v>
      </c>
      <c r="F820">
        <v>63</v>
      </c>
      <c r="G820" s="2">
        <f t="shared" si="147"/>
        <v>0</v>
      </c>
      <c r="H820">
        <v>70.099999999999994</v>
      </c>
      <c r="I820">
        <v>58.6</v>
      </c>
      <c r="J820">
        <v>63</v>
      </c>
      <c r="K820">
        <v>50.1</v>
      </c>
      <c r="L820">
        <v>63.5</v>
      </c>
      <c r="M820" s="2">
        <f t="shared" si="149"/>
        <v>0</v>
      </c>
      <c r="N820">
        <v>0</v>
      </c>
      <c r="P820" s="2">
        <f t="shared" si="150"/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s="2">
        <f t="shared" si="151"/>
        <v>0</v>
      </c>
      <c r="X820">
        <v>17.3</v>
      </c>
      <c r="Z820" s="2">
        <f t="shared" si="152"/>
        <v>1</v>
      </c>
      <c r="AA820">
        <v>342.7</v>
      </c>
      <c r="AB820" s="2" t="str">
        <f>CHOOSE(MATCH(AA820,{0;11;80;111;161;191;241;281;341},1),"North","NorthEast","East","SouthEast","South","SouthWest","West","NorthWest","North")</f>
        <v>North</v>
      </c>
      <c r="AC820" s="5">
        <f>CHOOSE(MATCH(AB820,{"South";"SouthEast";"SouthWest";"North";"NorthEast";"East";"West";"NorthWest"},0),1,2,3,4,5,6,7,8)</f>
        <v>4</v>
      </c>
      <c r="AD820" s="2">
        <f t="shared" si="153"/>
        <v>1</v>
      </c>
      <c r="AE820">
        <v>1016.7</v>
      </c>
      <c r="AF820" s="4" t="s">
        <v>611</v>
      </c>
      <c r="AG820" s="2">
        <f t="shared" si="154"/>
        <v>1</v>
      </c>
      <c r="AH820" t="s">
        <v>1413</v>
      </c>
      <c r="AI820" s="2">
        <f t="shared" si="155"/>
        <v>9</v>
      </c>
      <c r="AJ820" s="2">
        <f t="shared" si="156"/>
        <v>0</v>
      </c>
      <c r="AK820" s="3">
        <v>20.00000000232831</v>
      </c>
      <c r="AM820" s="2">
        <v>0</v>
      </c>
      <c r="AN820">
        <v>0</v>
      </c>
      <c r="AO820">
        <v>1</v>
      </c>
      <c r="AP820">
        <v>0</v>
      </c>
      <c r="AQ820" s="2">
        <f>IF((2*G820 + M820 -P820 + 3*W820 + 2*Z820+2*AD820 + AG820+2*AJ820 + 4*AM820) &gt;=8,1,0)</f>
        <v>0</v>
      </c>
    </row>
    <row r="821" spans="1:43" x14ac:dyDescent="0.25">
      <c r="A821" t="s">
        <v>27</v>
      </c>
      <c r="B821" s="1">
        <v>39726</v>
      </c>
      <c r="C821" s="7">
        <f t="shared" si="148"/>
        <v>2008</v>
      </c>
      <c r="D821">
        <v>74.400000000000006</v>
      </c>
      <c r="E821">
        <v>65.400000000000006</v>
      </c>
      <c r="F821">
        <v>70.7</v>
      </c>
      <c r="G821" s="2">
        <f t="shared" si="147"/>
        <v>0</v>
      </c>
      <c r="H821">
        <v>74.400000000000006</v>
      </c>
      <c r="I821">
        <v>65.400000000000006</v>
      </c>
      <c r="J821">
        <v>70.7</v>
      </c>
      <c r="K821">
        <v>47.8</v>
      </c>
      <c r="L821">
        <v>45.6</v>
      </c>
      <c r="M821" s="2">
        <f t="shared" si="149"/>
        <v>1</v>
      </c>
      <c r="N821">
        <v>0</v>
      </c>
      <c r="P821" s="2">
        <f t="shared" si="150"/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s="2">
        <f t="shared" si="151"/>
        <v>0</v>
      </c>
      <c r="X821">
        <v>19.600000000000001</v>
      </c>
      <c r="Z821" s="2">
        <f t="shared" si="152"/>
        <v>1</v>
      </c>
      <c r="AA821">
        <v>281.10000000000002</v>
      </c>
      <c r="AB821" s="2" t="str">
        <f>CHOOSE(MATCH(AA821,{0;11;80;111;161;191;241;281;341},1),"North","NorthEast","East","SouthEast","South","SouthWest","West","NorthWest","North")</f>
        <v>NorthWest</v>
      </c>
      <c r="AC821" s="5">
        <f>CHOOSE(MATCH(AB821,{"South";"SouthEast";"SouthWest";"North";"NorthEast";"East";"West";"NorthWest"},0),1,2,3,4,5,6,7,8)</f>
        <v>8</v>
      </c>
      <c r="AD821" s="2">
        <f t="shared" si="153"/>
        <v>1</v>
      </c>
      <c r="AE821">
        <v>1012.1</v>
      </c>
      <c r="AF821" s="4" t="s">
        <v>619</v>
      </c>
      <c r="AG821" s="2">
        <f t="shared" si="154"/>
        <v>1</v>
      </c>
      <c r="AH821" t="s">
        <v>1414</v>
      </c>
      <c r="AI821" s="2">
        <f t="shared" si="155"/>
        <v>10</v>
      </c>
      <c r="AJ821" s="2">
        <f t="shared" si="156"/>
        <v>0</v>
      </c>
      <c r="AK821" s="3">
        <v>53.999999997904517</v>
      </c>
      <c r="AM821" s="2">
        <v>0</v>
      </c>
      <c r="AN821">
        <v>0</v>
      </c>
      <c r="AO821">
        <v>1</v>
      </c>
      <c r="AP821">
        <v>0</v>
      </c>
      <c r="AQ821" s="2">
        <f>IF((2*G821 + M821 -P821 + 3*W821 + 2*Z821+2*AD821 + AG821+2*AJ821 + 4*AM821) &gt;=8,1,0)</f>
        <v>0</v>
      </c>
    </row>
    <row r="822" spans="1:43" x14ac:dyDescent="0.25">
      <c r="A822" t="s">
        <v>27</v>
      </c>
      <c r="B822" s="1">
        <v>39732</v>
      </c>
      <c r="C822" s="7">
        <f t="shared" si="148"/>
        <v>2008</v>
      </c>
      <c r="D822">
        <v>72.400000000000006</v>
      </c>
      <c r="E822">
        <v>60</v>
      </c>
      <c r="F822">
        <v>66.2</v>
      </c>
      <c r="G822" s="2">
        <f t="shared" si="147"/>
        <v>0</v>
      </c>
      <c r="H822">
        <v>72.400000000000006</v>
      </c>
      <c r="I822">
        <v>60</v>
      </c>
      <c r="J822">
        <v>66.2</v>
      </c>
      <c r="K822">
        <v>44.6</v>
      </c>
      <c r="L822">
        <v>47</v>
      </c>
      <c r="M822" s="2">
        <f t="shared" si="149"/>
        <v>1</v>
      </c>
      <c r="N822">
        <v>0</v>
      </c>
      <c r="P822" s="2">
        <f t="shared" si="150"/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s="2">
        <f t="shared" si="151"/>
        <v>0</v>
      </c>
      <c r="X822">
        <v>22.7</v>
      </c>
      <c r="Z822" s="2">
        <f t="shared" si="152"/>
        <v>1</v>
      </c>
      <c r="AA822">
        <v>359.7</v>
      </c>
      <c r="AB822" s="2" t="str">
        <f>CHOOSE(MATCH(AA822,{0;11;80;111;161;191;241;281;341},1),"North","NorthEast","East","SouthEast","South","SouthWest","West","NorthWest","North")</f>
        <v>North</v>
      </c>
      <c r="AC822" s="5">
        <f>CHOOSE(MATCH(AB822,{"South";"SouthEast";"SouthWest";"North";"NorthEast";"East";"West";"NorthWest"},0),1,2,3,4,5,6,7,8)</f>
        <v>4</v>
      </c>
      <c r="AD822" s="2">
        <f t="shared" si="153"/>
        <v>1</v>
      </c>
      <c r="AE822">
        <v>1027</v>
      </c>
      <c r="AF822" s="4" t="s">
        <v>136</v>
      </c>
      <c r="AG822" s="2">
        <f t="shared" si="154"/>
        <v>1</v>
      </c>
      <c r="AH822" t="s">
        <v>1415</v>
      </c>
      <c r="AI822" s="2">
        <f t="shared" si="155"/>
        <v>10</v>
      </c>
      <c r="AJ822" s="2">
        <f t="shared" si="156"/>
        <v>0</v>
      </c>
      <c r="AK822" s="3">
        <v>65.000000002328306</v>
      </c>
      <c r="AM822" s="2">
        <v>0</v>
      </c>
      <c r="AN822">
        <v>0</v>
      </c>
      <c r="AO822">
        <v>1</v>
      </c>
      <c r="AP822">
        <v>0</v>
      </c>
      <c r="AQ822" s="2">
        <f>IF((2*G822 + M822 -P822 + 3*W822 + 2*Z822+2*AD822 + AG822+2*AJ822 + 4*AM822) &gt;=8,1,0)</f>
        <v>0</v>
      </c>
    </row>
    <row r="823" spans="1:43" x14ac:dyDescent="0.25">
      <c r="A823" t="s">
        <v>27</v>
      </c>
      <c r="B823" s="1">
        <v>39733</v>
      </c>
      <c r="C823" s="7">
        <f t="shared" si="148"/>
        <v>2008</v>
      </c>
      <c r="D823">
        <v>71.2</v>
      </c>
      <c r="E823">
        <v>63.5</v>
      </c>
      <c r="F823">
        <v>66.400000000000006</v>
      </c>
      <c r="G823" s="2">
        <f t="shared" si="147"/>
        <v>0</v>
      </c>
      <c r="H823">
        <v>71.2</v>
      </c>
      <c r="I823">
        <v>63.5</v>
      </c>
      <c r="J823">
        <v>66.400000000000006</v>
      </c>
      <c r="K823">
        <v>47.1</v>
      </c>
      <c r="L823">
        <v>50.1</v>
      </c>
      <c r="M823" s="2">
        <f t="shared" si="149"/>
        <v>0</v>
      </c>
      <c r="N823">
        <v>0</v>
      </c>
      <c r="P823" s="2">
        <f t="shared" si="150"/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s="2">
        <f t="shared" si="151"/>
        <v>0</v>
      </c>
      <c r="X823">
        <v>22.3</v>
      </c>
      <c r="Z823" s="2">
        <f t="shared" si="152"/>
        <v>1</v>
      </c>
      <c r="AA823">
        <v>4.9000000000000004</v>
      </c>
      <c r="AB823" s="2" t="str">
        <f>CHOOSE(MATCH(AA823,{0;11;80;111;161;191;241;281;341},1),"North","NorthEast","East","SouthEast","South","SouthWest","West","NorthWest","North")</f>
        <v>North</v>
      </c>
      <c r="AC823" s="5">
        <f>CHOOSE(MATCH(AB823,{"South";"SouthEast";"SouthWest";"North";"NorthEast";"East";"West";"NorthWest"},0),1,2,3,4,5,6,7,8)</f>
        <v>4</v>
      </c>
      <c r="AD823" s="2">
        <f t="shared" si="153"/>
        <v>1</v>
      </c>
      <c r="AE823">
        <v>1023.7</v>
      </c>
      <c r="AF823" s="4" t="s">
        <v>1416</v>
      </c>
      <c r="AG823" s="2">
        <f t="shared" si="154"/>
        <v>1</v>
      </c>
      <c r="AH823" t="s">
        <v>1417</v>
      </c>
      <c r="AI823" s="2">
        <f t="shared" si="155"/>
        <v>10</v>
      </c>
      <c r="AJ823" s="2">
        <f t="shared" si="156"/>
        <v>0</v>
      </c>
      <c r="AK823" s="3">
        <v>1158.000000002794</v>
      </c>
      <c r="AM823" s="2">
        <v>1</v>
      </c>
      <c r="AN823">
        <v>0</v>
      </c>
      <c r="AO823">
        <v>10</v>
      </c>
      <c r="AP823">
        <v>0</v>
      </c>
      <c r="AQ823" s="2">
        <f>IF((2*G823 + M823 -P823 + 3*W823 + 2*Z823+2*AD823 + AG823+2*AJ823 + 4*AM823) &gt;=8,1,0)</f>
        <v>1</v>
      </c>
    </row>
    <row r="824" spans="1:43" x14ac:dyDescent="0.25">
      <c r="A824" t="s">
        <v>27</v>
      </c>
      <c r="B824" s="1">
        <v>39739</v>
      </c>
      <c r="C824" s="7">
        <f t="shared" si="148"/>
        <v>2008</v>
      </c>
      <c r="D824">
        <v>74.8</v>
      </c>
      <c r="E824">
        <v>59</v>
      </c>
      <c r="F824">
        <v>67.7</v>
      </c>
      <c r="G824" s="2">
        <f t="shared" si="147"/>
        <v>0</v>
      </c>
      <c r="H824">
        <v>74.8</v>
      </c>
      <c r="I824">
        <v>59</v>
      </c>
      <c r="J824">
        <v>67.7</v>
      </c>
      <c r="K824">
        <v>59.4</v>
      </c>
      <c r="L824">
        <v>75.099999999999994</v>
      </c>
      <c r="M824" s="2">
        <f t="shared" si="149"/>
        <v>0</v>
      </c>
      <c r="N824">
        <v>0</v>
      </c>
      <c r="P824" s="2">
        <f t="shared" si="150"/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s="2">
        <f t="shared" si="151"/>
        <v>0</v>
      </c>
      <c r="X824">
        <v>9.5</v>
      </c>
      <c r="Z824" s="2">
        <f t="shared" si="152"/>
        <v>0</v>
      </c>
      <c r="AA824">
        <v>76.7</v>
      </c>
      <c r="AB824" s="2" t="str">
        <f>CHOOSE(MATCH(AA824,{0;11;80;111;161;191;241;281;341},1),"North","NorthEast","East","SouthEast","South","SouthWest","West","NorthWest","North")</f>
        <v>NorthEast</v>
      </c>
      <c r="AC824" s="5">
        <f>CHOOSE(MATCH(AB824,{"South";"SouthEast";"SouthWest";"North";"NorthEast";"East";"West";"NorthWest"},0),1,2,3,4,5,6,7,8)</f>
        <v>5</v>
      </c>
      <c r="AD824" s="2">
        <f t="shared" si="153"/>
        <v>1</v>
      </c>
      <c r="AE824">
        <v>1017.3</v>
      </c>
      <c r="AF824" s="4" t="s">
        <v>282</v>
      </c>
      <c r="AG824" s="2">
        <f t="shared" si="154"/>
        <v>1</v>
      </c>
      <c r="AH824" t="s">
        <v>1418</v>
      </c>
      <c r="AI824" s="2">
        <f t="shared" si="155"/>
        <v>10</v>
      </c>
      <c r="AJ824" s="2">
        <f t="shared" si="156"/>
        <v>0</v>
      </c>
      <c r="AK824" s="3">
        <v>405</v>
      </c>
      <c r="AM824" s="2">
        <v>1</v>
      </c>
      <c r="AN824">
        <v>0</v>
      </c>
      <c r="AO824">
        <v>6</v>
      </c>
      <c r="AP824">
        <v>0</v>
      </c>
      <c r="AQ824" s="2">
        <f>IF((2*G824 + M824 -P824 + 3*W824 + 2*Z824+2*AD824 + AG824+2*AJ824 + 4*AM824) &gt;=8,1,0)</f>
        <v>0</v>
      </c>
    </row>
    <row r="825" spans="1:43" x14ac:dyDescent="0.25">
      <c r="A825" t="s">
        <v>27</v>
      </c>
      <c r="B825" s="1">
        <v>39742</v>
      </c>
      <c r="C825" s="7">
        <f t="shared" si="148"/>
        <v>2008</v>
      </c>
      <c r="D825">
        <v>75.5</v>
      </c>
      <c r="E825">
        <v>63.1</v>
      </c>
      <c r="F825">
        <v>68.099999999999994</v>
      </c>
      <c r="G825" s="2">
        <f t="shared" si="147"/>
        <v>0</v>
      </c>
      <c r="H825">
        <v>75.5</v>
      </c>
      <c r="I825">
        <v>63.1</v>
      </c>
      <c r="J825">
        <v>68.099999999999994</v>
      </c>
      <c r="K825">
        <v>49.6</v>
      </c>
      <c r="L825">
        <v>52</v>
      </c>
      <c r="M825" s="2">
        <f t="shared" si="149"/>
        <v>0</v>
      </c>
      <c r="N825">
        <v>0</v>
      </c>
      <c r="P825" s="2">
        <f t="shared" si="150"/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s="2">
        <f t="shared" si="151"/>
        <v>0</v>
      </c>
      <c r="X825">
        <v>18.600000000000001</v>
      </c>
      <c r="Z825" s="2">
        <f t="shared" si="152"/>
        <v>1</v>
      </c>
      <c r="AA825">
        <v>3.3</v>
      </c>
      <c r="AB825" s="2" t="str">
        <f>CHOOSE(MATCH(AA825,{0;11;80;111;161;191;241;281;341},1),"North","NorthEast","East","SouthEast","South","SouthWest","West","NorthWest","North")</f>
        <v>North</v>
      </c>
      <c r="AC825" s="5">
        <f>CHOOSE(MATCH(AB825,{"South";"SouthEast";"SouthWest";"North";"NorthEast";"East";"West";"NorthWest"},0),1,2,3,4,5,6,7,8)</f>
        <v>4</v>
      </c>
      <c r="AD825" s="2">
        <f t="shared" si="153"/>
        <v>1</v>
      </c>
      <c r="AE825">
        <v>1018</v>
      </c>
      <c r="AF825" s="4" t="s">
        <v>186</v>
      </c>
      <c r="AG825" s="2">
        <f t="shared" si="154"/>
        <v>1</v>
      </c>
      <c r="AH825" t="s">
        <v>1419</v>
      </c>
      <c r="AI825" s="2">
        <f t="shared" si="155"/>
        <v>10</v>
      </c>
      <c r="AJ825" s="2">
        <f t="shared" si="156"/>
        <v>0</v>
      </c>
      <c r="AK825" s="3">
        <v>300.00000000349252</v>
      </c>
      <c r="AM825" s="2">
        <v>0</v>
      </c>
      <c r="AN825">
        <v>0</v>
      </c>
      <c r="AO825">
        <v>2</v>
      </c>
      <c r="AP825">
        <v>0</v>
      </c>
      <c r="AQ825" s="2">
        <f>IF((2*G825 + M825 -P825 + 3*W825 + 2*Z825+2*AD825 + AG825+2*AJ825 + 4*AM825) &gt;=8,1,0)</f>
        <v>0</v>
      </c>
    </row>
    <row r="826" spans="1:43" x14ac:dyDescent="0.25">
      <c r="A826" t="s">
        <v>27</v>
      </c>
      <c r="B826" s="1">
        <v>39747</v>
      </c>
      <c r="C826" s="7">
        <f t="shared" si="148"/>
        <v>2008</v>
      </c>
      <c r="D826">
        <v>67.3</v>
      </c>
      <c r="E826">
        <v>57.3</v>
      </c>
      <c r="F826">
        <v>60.8</v>
      </c>
      <c r="G826" s="2">
        <f t="shared" si="147"/>
        <v>0</v>
      </c>
      <c r="H826">
        <v>67.3</v>
      </c>
      <c r="I826">
        <v>57.3</v>
      </c>
      <c r="J826">
        <v>60.8</v>
      </c>
      <c r="K826">
        <v>42.9</v>
      </c>
      <c r="L826">
        <v>52.6</v>
      </c>
      <c r="M826" s="2">
        <f t="shared" si="149"/>
        <v>0</v>
      </c>
      <c r="N826">
        <v>0</v>
      </c>
      <c r="P826" s="2">
        <f t="shared" si="150"/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s="2">
        <f t="shared" si="151"/>
        <v>0</v>
      </c>
      <c r="X826">
        <v>18.399999999999999</v>
      </c>
      <c r="Z826" s="2">
        <f t="shared" si="152"/>
        <v>1</v>
      </c>
      <c r="AA826">
        <v>359</v>
      </c>
      <c r="AB826" s="2" t="str">
        <f>CHOOSE(MATCH(AA826,{0;11;80;111;161;191;241;281;341},1),"North","NorthEast","East","SouthEast","South","SouthWest","West","NorthWest","North")</f>
        <v>North</v>
      </c>
      <c r="AC826" s="5">
        <f>CHOOSE(MATCH(AB826,{"South";"SouthEast";"SouthWest";"North";"NorthEast";"East";"West";"NorthWest"},0),1,2,3,4,5,6,7,8)</f>
        <v>4</v>
      </c>
      <c r="AD826" s="2">
        <f t="shared" si="153"/>
        <v>1</v>
      </c>
      <c r="AE826">
        <v>1023.5</v>
      </c>
      <c r="AF826" s="4" t="s">
        <v>1420</v>
      </c>
      <c r="AG826" s="2">
        <f t="shared" si="154"/>
        <v>0</v>
      </c>
      <c r="AH826" t="s">
        <v>1421</v>
      </c>
      <c r="AI826" s="2">
        <f t="shared" si="155"/>
        <v>10</v>
      </c>
      <c r="AJ826" s="2">
        <f t="shared" si="156"/>
        <v>0</v>
      </c>
      <c r="AK826" s="3">
        <v>71.000000000931323</v>
      </c>
      <c r="AM826" s="2">
        <v>0</v>
      </c>
      <c r="AN826">
        <v>0</v>
      </c>
      <c r="AO826">
        <v>2</v>
      </c>
      <c r="AP826">
        <v>0</v>
      </c>
      <c r="AQ826" s="2">
        <f>IF((2*G826 + M826 -P826 + 3*W826 + 2*Z826+2*AD826 + AG826+2*AJ826 + 4*AM826) &gt;=8,1,0)</f>
        <v>0</v>
      </c>
    </row>
    <row r="827" spans="1:43" x14ac:dyDescent="0.25">
      <c r="A827" t="s">
        <v>27</v>
      </c>
      <c r="B827" s="1">
        <v>39761</v>
      </c>
      <c r="C827" s="7">
        <f t="shared" si="148"/>
        <v>2008</v>
      </c>
      <c r="D827">
        <v>66</v>
      </c>
      <c r="E827">
        <v>58.2</v>
      </c>
      <c r="F827">
        <v>61.4</v>
      </c>
      <c r="G827" s="2">
        <f t="shared" si="147"/>
        <v>0</v>
      </c>
      <c r="H827">
        <v>66</v>
      </c>
      <c r="I827">
        <v>58.2</v>
      </c>
      <c r="J827">
        <v>61.4</v>
      </c>
      <c r="K827">
        <v>46.4</v>
      </c>
      <c r="L827">
        <v>58.2</v>
      </c>
      <c r="M827" s="2">
        <f t="shared" si="149"/>
        <v>0</v>
      </c>
      <c r="N827">
        <v>0</v>
      </c>
      <c r="P827" s="2">
        <f t="shared" si="150"/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s="2">
        <f t="shared" si="151"/>
        <v>0</v>
      </c>
      <c r="X827">
        <v>17.600000000000001</v>
      </c>
      <c r="Z827" s="2">
        <f t="shared" si="152"/>
        <v>1</v>
      </c>
      <c r="AA827">
        <v>1.7</v>
      </c>
      <c r="AB827" s="2" t="str">
        <f>CHOOSE(MATCH(AA827,{0;11;80;111;161;191;241;281;341},1),"North","NorthEast","East","SouthEast","South","SouthWest","West","NorthWest","North")</f>
        <v>North</v>
      </c>
      <c r="AC827" s="5">
        <f>CHOOSE(MATCH(AB827,{"South";"SouthEast";"SouthWest";"North";"NorthEast";"East";"West";"NorthWest"},0),1,2,3,4,5,6,7,8)</f>
        <v>4</v>
      </c>
      <c r="AD827" s="2">
        <f t="shared" si="153"/>
        <v>1</v>
      </c>
      <c r="AE827">
        <v>1026</v>
      </c>
      <c r="AF827" s="4" t="s">
        <v>779</v>
      </c>
      <c r="AG827" s="2">
        <f t="shared" si="154"/>
        <v>0</v>
      </c>
      <c r="AH827" t="s">
        <v>1423</v>
      </c>
      <c r="AI827" s="2">
        <f t="shared" si="155"/>
        <v>11</v>
      </c>
      <c r="AJ827" s="2">
        <f t="shared" si="156"/>
        <v>0</v>
      </c>
      <c r="AK827" s="3">
        <v>785.00000000232831</v>
      </c>
      <c r="AM827" s="2">
        <v>1</v>
      </c>
      <c r="AN827">
        <v>0</v>
      </c>
      <c r="AO827">
        <v>2</v>
      </c>
      <c r="AP827">
        <v>0</v>
      </c>
      <c r="AQ827" s="2">
        <f>IF((2*G827 + M827 -P827 + 3*W827 + 2*Z827+2*AD827 + AG827+2*AJ827 + 4*AM827) &gt;=8,1,0)</f>
        <v>0</v>
      </c>
    </row>
    <row r="828" spans="1:43" x14ac:dyDescent="0.25">
      <c r="A828" t="s">
        <v>27</v>
      </c>
      <c r="B828" s="1">
        <v>39765</v>
      </c>
      <c r="C828" s="7">
        <f t="shared" si="148"/>
        <v>2008</v>
      </c>
      <c r="D828">
        <v>66.2</v>
      </c>
      <c r="E828">
        <v>44.6</v>
      </c>
      <c r="F828">
        <v>55.3</v>
      </c>
      <c r="G828" s="2">
        <f t="shared" si="147"/>
        <v>0</v>
      </c>
      <c r="H828">
        <v>66.2</v>
      </c>
      <c r="I828">
        <v>44.6</v>
      </c>
      <c r="J828">
        <v>55.3</v>
      </c>
      <c r="K828">
        <v>43.6</v>
      </c>
      <c r="L828">
        <v>66.400000000000006</v>
      </c>
      <c r="M828" s="2">
        <f t="shared" si="149"/>
        <v>0</v>
      </c>
      <c r="N828">
        <v>0</v>
      </c>
      <c r="P828" s="2">
        <f t="shared" si="150"/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s="2">
        <f t="shared" si="151"/>
        <v>0</v>
      </c>
      <c r="X828">
        <v>6.8</v>
      </c>
      <c r="Z828" s="2">
        <f t="shared" si="152"/>
        <v>0</v>
      </c>
      <c r="AA828">
        <v>69.2</v>
      </c>
      <c r="AB828" s="2" t="str">
        <f>CHOOSE(MATCH(AA828,{0;11;80;111;161;191;241;281;341},1),"North","NorthEast","East","SouthEast","South","SouthWest","West","NorthWest","North")</f>
        <v>NorthEast</v>
      </c>
      <c r="AC828" s="5">
        <f>CHOOSE(MATCH(AB828,{"South";"SouthEast";"SouthWest";"North";"NorthEast";"East";"West";"NorthWest"},0),1,2,3,4,5,6,7,8)</f>
        <v>5</v>
      </c>
      <c r="AD828" s="2">
        <f t="shared" si="153"/>
        <v>1</v>
      </c>
      <c r="AE828">
        <v>1021.2</v>
      </c>
      <c r="AF828" s="4" t="s">
        <v>317</v>
      </c>
      <c r="AG828" s="2">
        <f t="shared" si="154"/>
        <v>0</v>
      </c>
      <c r="AH828" t="s">
        <v>1424</v>
      </c>
      <c r="AI828" s="2">
        <f t="shared" si="155"/>
        <v>11</v>
      </c>
      <c r="AJ828" s="2">
        <f t="shared" si="156"/>
        <v>0</v>
      </c>
      <c r="AK828" s="3">
        <v>315.99999999278231</v>
      </c>
      <c r="AM828" s="2">
        <v>0</v>
      </c>
      <c r="AN828">
        <v>0</v>
      </c>
      <c r="AO828">
        <v>5</v>
      </c>
      <c r="AP828">
        <v>0</v>
      </c>
      <c r="AQ828" s="2">
        <f>IF((2*G828 + M828 -P828 + 3*W828 + 2*Z828+2*AD828 + AG828+2*AJ828 + 4*AM828) &gt;=8,1,0)</f>
        <v>0</v>
      </c>
    </row>
    <row r="829" spans="1:43" x14ac:dyDescent="0.25">
      <c r="A829" t="s">
        <v>27</v>
      </c>
      <c r="B829" s="1">
        <v>39779</v>
      </c>
      <c r="C829" s="7">
        <f t="shared" si="148"/>
        <v>2008</v>
      </c>
      <c r="D829">
        <v>64.5</v>
      </c>
      <c r="E829">
        <v>52.3</v>
      </c>
      <c r="F829">
        <v>57.3</v>
      </c>
      <c r="G829" s="2">
        <f t="shared" si="147"/>
        <v>0</v>
      </c>
      <c r="H829">
        <v>64.5</v>
      </c>
      <c r="I829">
        <v>52.3</v>
      </c>
      <c r="J829">
        <v>57.3</v>
      </c>
      <c r="K829">
        <v>46.8</v>
      </c>
      <c r="L829">
        <v>68.7</v>
      </c>
      <c r="M829" s="2">
        <f t="shared" si="149"/>
        <v>0</v>
      </c>
      <c r="N829">
        <v>0</v>
      </c>
      <c r="P829" s="2">
        <f t="shared" si="150"/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s="2">
        <f t="shared" si="151"/>
        <v>0</v>
      </c>
      <c r="X829">
        <v>12.7</v>
      </c>
      <c r="Z829" s="2">
        <f t="shared" si="152"/>
        <v>0</v>
      </c>
      <c r="AA829">
        <v>8.5</v>
      </c>
      <c r="AB829" s="2" t="str">
        <f>CHOOSE(MATCH(AA829,{0;11;80;111;161;191;241;281;341},1),"North","NorthEast","East","SouthEast","South","SouthWest","West","NorthWest","North")</f>
        <v>North</v>
      </c>
      <c r="AC829" s="5">
        <f>CHOOSE(MATCH(AB829,{"South";"SouthEast";"SouthWest";"North";"NorthEast";"East";"West";"NorthWest"},0),1,2,3,4,5,6,7,8)</f>
        <v>4</v>
      </c>
      <c r="AD829" s="2">
        <f t="shared" si="153"/>
        <v>1</v>
      </c>
      <c r="AE829">
        <v>1019.8</v>
      </c>
      <c r="AF829" s="4" t="s">
        <v>711</v>
      </c>
      <c r="AG829" s="2">
        <f t="shared" si="154"/>
        <v>1</v>
      </c>
      <c r="AH829" t="s">
        <v>1425</v>
      </c>
      <c r="AI829" s="2">
        <f t="shared" si="155"/>
        <v>11</v>
      </c>
      <c r="AJ829" s="2">
        <f t="shared" si="156"/>
        <v>0</v>
      </c>
      <c r="AK829" s="3">
        <v>557.99999999580905</v>
      </c>
      <c r="AM829" s="2">
        <v>1</v>
      </c>
      <c r="AN829">
        <v>2</v>
      </c>
      <c r="AO829">
        <v>0</v>
      </c>
      <c r="AP829">
        <v>0</v>
      </c>
      <c r="AQ829" s="2">
        <f>IF((2*G829 + M829 -P829 + 3*W829 + 2*Z829+2*AD829 + AG829+2*AJ829 + 4*AM829) &gt;=8,1,0)</f>
        <v>0</v>
      </c>
    </row>
    <row r="830" spans="1:43" x14ac:dyDescent="0.25">
      <c r="A830" t="s">
        <v>27</v>
      </c>
      <c r="B830" s="1">
        <v>39806</v>
      </c>
      <c r="C830" s="7">
        <f t="shared" si="148"/>
        <v>2008</v>
      </c>
      <c r="D830">
        <v>48.5</v>
      </c>
      <c r="E830">
        <v>40.6</v>
      </c>
      <c r="F830">
        <v>44.7</v>
      </c>
      <c r="G830" s="2">
        <f t="shared" si="147"/>
        <v>0</v>
      </c>
      <c r="H830">
        <v>47.1</v>
      </c>
      <c r="I830">
        <v>36.6</v>
      </c>
      <c r="J830">
        <v>40.299999999999997</v>
      </c>
      <c r="K830">
        <v>24.7</v>
      </c>
      <c r="L830">
        <v>45.7</v>
      </c>
      <c r="M830" s="2">
        <f t="shared" si="149"/>
        <v>1</v>
      </c>
      <c r="N830">
        <v>0</v>
      </c>
      <c r="P830" s="2">
        <f t="shared" si="150"/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s="2">
        <f t="shared" si="151"/>
        <v>0</v>
      </c>
      <c r="X830">
        <v>16.899999999999999</v>
      </c>
      <c r="Z830" s="2">
        <f t="shared" si="152"/>
        <v>1</v>
      </c>
      <c r="AA830">
        <v>339.5</v>
      </c>
      <c r="AB830" s="2" t="str">
        <f>CHOOSE(MATCH(AA830,{0;11;80;111;161;191;241;281;341},1),"North","NorthEast","East","SouthEast","South","SouthWest","West","NorthWest","North")</f>
        <v>NorthWest</v>
      </c>
      <c r="AC830" s="5">
        <f>CHOOSE(MATCH(AB830,{"South";"SouthEast";"SouthWest";"North";"NorthEast";"East";"West";"NorthWest"},0),1,2,3,4,5,6,7,8)</f>
        <v>8</v>
      </c>
      <c r="AD830" s="2">
        <f t="shared" si="153"/>
        <v>1</v>
      </c>
      <c r="AE830">
        <v>1020.7</v>
      </c>
      <c r="AF830" s="4" t="s">
        <v>823</v>
      </c>
      <c r="AG830" s="2">
        <f t="shared" si="154"/>
        <v>1</v>
      </c>
      <c r="AH830" t="s">
        <v>1426</v>
      </c>
      <c r="AI830" s="2">
        <f t="shared" si="155"/>
        <v>12</v>
      </c>
      <c r="AJ830" s="2">
        <f t="shared" si="156"/>
        <v>0</v>
      </c>
      <c r="AK830" s="3">
        <v>104.9999999965075</v>
      </c>
      <c r="AM830" s="2">
        <v>0</v>
      </c>
      <c r="AN830">
        <v>0</v>
      </c>
      <c r="AO830">
        <v>2</v>
      </c>
      <c r="AP830">
        <v>0</v>
      </c>
      <c r="AQ830" s="2">
        <f>IF((2*G830 + M830 -P830 + 3*W830 + 2*Z830+2*AD830 + AG830+2*AJ830 + 4*AM830) &gt;=8,1,0)</f>
        <v>0</v>
      </c>
    </row>
    <row r="831" spans="1:43" x14ac:dyDescent="0.25">
      <c r="A831" t="s">
        <v>27</v>
      </c>
      <c r="B831" s="1">
        <v>39883</v>
      </c>
      <c r="C831" s="7">
        <f t="shared" si="148"/>
        <v>2009</v>
      </c>
      <c r="D831">
        <v>58.6</v>
      </c>
      <c r="E831">
        <v>38.799999999999997</v>
      </c>
      <c r="F831">
        <v>50.6</v>
      </c>
      <c r="G831" s="2">
        <f t="shared" si="147"/>
        <v>0</v>
      </c>
      <c r="H831">
        <v>58.6</v>
      </c>
      <c r="I831">
        <v>36.299999999999997</v>
      </c>
      <c r="J831">
        <v>50.2</v>
      </c>
      <c r="K831">
        <v>36.9</v>
      </c>
      <c r="L831">
        <v>59.7</v>
      </c>
      <c r="M831" s="2">
        <f t="shared" si="149"/>
        <v>0</v>
      </c>
      <c r="N831">
        <v>0</v>
      </c>
      <c r="O831">
        <f>AVERAGE(N831:N927)</f>
        <v>3.9216494845360821E-2</v>
      </c>
      <c r="P831" s="2">
        <f t="shared" si="150"/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s="2">
        <f t="shared" si="151"/>
        <v>0</v>
      </c>
      <c r="X831">
        <v>10.4</v>
      </c>
      <c r="Y831">
        <f>AVERAGE(X831:X927)</f>
        <v>16.678350515463919</v>
      </c>
      <c r="Z831" s="2">
        <f t="shared" si="152"/>
        <v>0</v>
      </c>
      <c r="AA831">
        <v>175.4</v>
      </c>
      <c r="AB831" s="2" t="str">
        <f>CHOOSE(MATCH(AA831,{0;11;80;111;161;191;241;281;341},1),"North","NorthEast","East","SouthEast","South","SouthWest","West","NorthWest","North")</f>
        <v>South</v>
      </c>
      <c r="AC831" s="5">
        <f>CHOOSE(MATCH(AB831,{"South";"SouthEast";"SouthWest";"North";"NorthEast";"East";"West";"NorthWest"},0),1,2,3,4,5,6,7,8)</f>
        <v>1</v>
      </c>
      <c r="AD831" s="2">
        <f t="shared" si="153"/>
        <v>0</v>
      </c>
      <c r="AE831">
        <v>1016.2</v>
      </c>
      <c r="AF831" s="4" t="s">
        <v>433</v>
      </c>
      <c r="AG831" s="2">
        <f t="shared" si="154"/>
        <v>1</v>
      </c>
      <c r="AH831" t="s">
        <v>1427</v>
      </c>
      <c r="AI831" s="2">
        <f t="shared" si="155"/>
        <v>3</v>
      </c>
      <c r="AJ831" s="2">
        <f t="shared" si="156"/>
        <v>0</v>
      </c>
      <c r="AK831" s="3">
        <v>210.00000000349249</v>
      </c>
      <c r="AL831" s="3">
        <f>AVERAGE(AK831:AK927)</f>
        <v>1891.2783505155264</v>
      </c>
      <c r="AM831" s="2">
        <v>0</v>
      </c>
      <c r="AN831">
        <v>0</v>
      </c>
      <c r="AO831">
        <v>0.5</v>
      </c>
      <c r="AP831">
        <v>0</v>
      </c>
      <c r="AQ831" s="2">
        <f>IF((2*G831 + M831 -P831 + 3*W831 + 2*Z831+2*AD831 + AG831+2*AJ831 + 4*AM831) &gt;=8,1,0)</f>
        <v>0</v>
      </c>
    </row>
    <row r="832" spans="1:43" x14ac:dyDescent="0.25">
      <c r="A832" t="s">
        <v>27</v>
      </c>
      <c r="B832" s="1">
        <v>39885</v>
      </c>
      <c r="C832" s="7">
        <f t="shared" si="148"/>
        <v>2009</v>
      </c>
      <c r="D832">
        <v>58</v>
      </c>
      <c r="E832">
        <v>45.6</v>
      </c>
      <c r="F832">
        <v>50.7</v>
      </c>
      <c r="G832" s="2">
        <f t="shared" si="147"/>
        <v>0</v>
      </c>
      <c r="H832">
        <v>58</v>
      </c>
      <c r="I832">
        <v>42.2</v>
      </c>
      <c r="J832">
        <v>49.3</v>
      </c>
      <c r="K832">
        <v>37</v>
      </c>
      <c r="L832">
        <v>60.2</v>
      </c>
      <c r="M832" s="2">
        <f t="shared" si="149"/>
        <v>0</v>
      </c>
      <c r="N832">
        <v>0</v>
      </c>
      <c r="P832" s="2">
        <f t="shared" si="150"/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s="2">
        <f t="shared" si="151"/>
        <v>0</v>
      </c>
      <c r="X832">
        <v>10.4</v>
      </c>
      <c r="Z832" s="2">
        <f t="shared" si="152"/>
        <v>0</v>
      </c>
      <c r="AA832">
        <v>318.2</v>
      </c>
      <c r="AB832" s="2" t="str">
        <f>CHOOSE(MATCH(AA832,{0;11;80;111;161;191;241;281;341},1),"North","NorthEast","East","SouthEast","South","SouthWest","West","NorthWest","North")</f>
        <v>NorthWest</v>
      </c>
      <c r="AC832" s="5">
        <f>CHOOSE(MATCH(AB832,{"South";"SouthEast";"SouthWest";"North";"NorthEast";"East";"West";"NorthWest"},0),1,2,3,4,5,6,7,8)</f>
        <v>8</v>
      </c>
      <c r="AD832" s="2">
        <f t="shared" si="153"/>
        <v>1</v>
      </c>
      <c r="AE832">
        <v>1014.1</v>
      </c>
      <c r="AF832" s="4" t="s">
        <v>367</v>
      </c>
      <c r="AG832" s="2">
        <f t="shared" si="154"/>
        <v>1</v>
      </c>
      <c r="AH832" t="s">
        <v>1428</v>
      </c>
      <c r="AI832" s="2">
        <f t="shared" si="155"/>
        <v>3</v>
      </c>
      <c r="AJ832" s="2">
        <f t="shared" si="156"/>
        <v>0</v>
      </c>
      <c r="AK832" s="3">
        <v>272.99999999930151</v>
      </c>
      <c r="AM832" s="2">
        <v>0</v>
      </c>
      <c r="AN832">
        <v>0</v>
      </c>
      <c r="AO832">
        <v>8</v>
      </c>
      <c r="AP832">
        <v>0</v>
      </c>
      <c r="AQ832" s="2">
        <f>IF((2*G832 + M832 -P832 + 3*W832 + 2*Z832+2*AD832 + AG832+2*AJ832 + 4*AM832) &gt;=8,1,0)</f>
        <v>0</v>
      </c>
    </row>
    <row r="833" spans="1:43" x14ac:dyDescent="0.25">
      <c r="A833" t="s">
        <v>27</v>
      </c>
      <c r="B833" s="1">
        <v>39887</v>
      </c>
      <c r="C833" s="7">
        <f t="shared" si="148"/>
        <v>2009</v>
      </c>
      <c r="D833">
        <v>57.3</v>
      </c>
      <c r="E833">
        <v>41.3</v>
      </c>
      <c r="F833">
        <v>50.4</v>
      </c>
      <c r="G833" s="2">
        <f t="shared" si="147"/>
        <v>0</v>
      </c>
      <c r="H833">
        <v>57.3</v>
      </c>
      <c r="I833">
        <v>41.3</v>
      </c>
      <c r="J833">
        <v>49.6</v>
      </c>
      <c r="K833">
        <v>33.5</v>
      </c>
      <c r="L833">
        <v>53.1</v>
      </c>
      <c r="M833" s="2">
        <f t="shared" si="149"/>
        <v>0</v>
      </c>
      <c r="N833">
        <v>0</v>
      </c>
      <c r="P833" s="2">
        <f t="shared" si="150"/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s="2">
        <f t="shared" si="151"/>
        <v>0</v>
      </c>
      <c r="X833">
        <v>10</v>
      </c>
      <c r="Z833" s="2">
        <f t="shared" si="152"/>
        <v>0</v>
      </c>
      <c r="AA833">
        <v>248.5</v>
      </c>
      <c r="AB833" s="2" t="str">
        <f>CHOOSE(MATCH(AA833,{0;11;80;111;161;191;241;281;341},1),"North","NorthEast","East","SouthEast","South","SouthWest","West","NorthWest","North")</f>
        <v>West</v>
      </c>
      <c r="AC833" s="5">
        <f>CHOOSE(MATCH(AB833,{"South";"SouthEast";"SouthWest";"North";"NorthEast";"East";"West";"NorthWest"},0),1,2,3,4,5,6,7,8)</f>
        <v>7</v>
      </c>
      <c r="AD833" s="2">
        <f t="shared" si="153"/>
        <v>0</v>
      </c>
      <c r="AE833">
        <v>1021.1</v>
      </c>
      <c r="AF833" s="4" t="s">
        <v>1429</v>
      </c>
      <c r="AG833" s="2">
        <f t="shared" si="154"/>
        <v>1</v>
      </c>
      <c r="AH833" t="s">
        <v>1430</v>
      </c>
      <c r="AI833" s="2">
        <f t="shared" si="155"/>
        <v>3</v>
      </c>
      <c r="AJ833" s="2">
        <f t="shared" si="156"/>
        <v>0</v>
      </c>
      <c r="AK833" s="3">
        <v>56.999999997206032</v>
      </c>
      <c r="AM833" s="2">
        <v>0</v>
      </c>
      <c r="AN833">
        <v>1</v>
      </c>
      <c r="AO833">
        <v>0</v>
      </c>
      <c r="AP833">
        <v>0</v>
      </c>
      <c r="AQ833" s="2">
        <f>IF((2*G833 + M833 -P833 + 3*W833 + 2*Z833+2*AD833 + AG833+2*AJ833 + 4*AM833) &gt;=8,1,0)</f>
        <v>0</v>
      </c>
    </row>
    <row r="834" spans="1:43" x14ac:dyDescent="0.25">
      <c r="A834" t="s">
        <v>27</v>
      </c>
      <c r="B834" s="1">
        <v>39892</v>
      </c>
      <c r="C834" s="7">
        <f t="shared" si="148"/>
        <v>2009</v>
      </c>
      <c r="D834">
        <v>57.3</v>
      </c>
      <c r="E834">
        <v>36</v>
      </c>
      <c r="F834">
        <v>48.8</v>
      </c>
      <c r="G834" s="2">
        <f t="shared" ref="G834:G897" si="157">IF(F834&lt;=73.6,0,1)</f>
        <v>0</v>
      </c>
      <c r="H834">
        <v>57.3</v>
      </c>
      <c r="I834">
        <v>33.299999999999997</v>
      </c>
      <c r="J834">
        <v>48.5</v>
      </c>
      <c r="K834">
        <v>33.9</v>
      </c>
      <c r="L834">
        <v>57.2</v>
      </c>
      <c r="M834" s="2">
        <f t="shared" si="149"/>
        <v>0</v>
      </c>
      <c r="N834">
        <v>0</v>
      </c>
      <c r="P834" s="2">
        <f t="shared" si="150"/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s="2">
        <f t="shared" si="151"/>
        <v>0</v>
      </c>
      <c r="X834">
        <v>17.3</v>
      </c>
      <c r="Z834" s="2">
        <f t="shared" si="152"/>
        <v>1</v>
      </c>
      <c r="AA834">
        <v>174.7</v>
      </c>
      <c r="AB834" s="2" t="str">
        <f>CHOOSE(MATCH(AA834,{0;11;80;111;161;191;241;281;341},1),"North","NorthEast","East","SouthEast","South","SouthWest","West","NorthWest","North")</f>
        <v>South</v>
      </c>
      <c r="AC834" s="5">
        <f>CHOOSE(MATCH(AB834,{"South";"SouthEast";"SouthWest";"North";"NorthEast";"East";"West";"NorthWest"},0),1,2,3,4,5,6,7,8)</f>
        <v>1</v>
      </c>
      <c r="AD834" s="2">
        <f t="shared" si="153"/>
        <v>0</v>
      </c>
      <c r="AE834">
        <v>1017.2</v>
      </c>
      <c r="AF834" s="4" t="s">
        <v>1431</v>
      </c>
      <c r="AG834" s="2">
        <f t="shared" si="154"/>
        <v>1</v>
      </c>
      <c r="AH834" t="s">
        <v>1432</v>
      </c>
      <c r="AI834" s="2">
        <f t="shared" si="155"/>
        <v>3</v>
      </c>
      <c r="AJ834" s="2">
        <f t="shared" si="156"/>
        <v>0</v>
      </c>
      <c r="AK834" s="3">
        <v>832.00000000884756</v>
      </c>
      <c r="AM834" s="2">
        <v>1</v>
      </c>
      <c r="AN834">
        <v>0</v>
      </c>
      <c r="AO834">
        <v>0.1</v>
      </c>
      <c r="AP834">
        <v>0</v>
      </c>
      <c r="AQ834" s="2">
        <f>IF((2*G834 + M834 -P834 + 3*W834 + 2*Z834+2*AD834 + AG834+2*AJ834 + 4*AM834) &gt;=8,1,0)</f>
        <v>0</v>
      </c>
    </row>
    <row r="835" spans="1:43" x14ac:dyDescent="0.25">
      <c r="A835" t="s">
        <v>27</v>
      </c>
      <c r="B835" s="1">
        <v>39897</v>
      </c>
      <c r="C835" s="7">
        <f t="shared" si="148"/>
        <v>2009</v>
      </c>
      <c r="D835">
        <v>64.2</v>
      </c>
      <c r="E835">
        <v>48.5</v>
      </c>
      <c r="F835">
        <v>54.3</v>
      </c>
      <c r="G835" s="2">
        <f t="shared" si="157"/>
        <v>0</v>
      </c>
      <c r="H835">
        <v>64.2</v>
      </c>
      <c r="I835">
        <v>44.8</v>
      </c>
      <c r="J835">
        <v>53.7</v>
      </c>
      <c r="K835">
        <v>42.8</v>
      </c>
      <c r="L835">
        <v>65.5</v>
      </c>
      <c r="M835" s="2">
        <f t="shared" si="149"/>
        <v>0</v>
      </c>
      <c r="N835">
        <v>0.06</v>
      </c>
      <c r="P835" s="2">
        <f t="shared" si="150"/>
        <v>0</v>
      </c>
      <c r="Q835">
        <v>100</v>
      </c>
      <c r="R835">
        <v>4.17</v>
      </c>
      <c r="S835" t="s">
        <v>87</v>
      </c>
      <c r="T835">
        <v>0</v>
      </c>
      <c r="U835">
        <v>0</v>
      </c>
      <c r="V835">
        <v>0</v>
      </c>
      <c r="W835" s="2">
        <f t="shared" si="151"/>
        <v>0</v>
      </c>
      <c r="X835">
        <v>20.6</v>
      </c>
      <c r="Z835" s="2">
        <f t="shared" si="152"/>
        <v>1</v>
      </c>
      <c r="AA835">
        <v>233.7</v>
      </c>
      <c r="AB835" s="2" t="str">
        <f>CHOOSE(MATCH(AA835,{0;11;80;111;161;191;241;281;341},1),"North","NorthEast","East","SouthEast","South","SouthWest","West","NorthWest","North")</f>
        <v>SouthWest</v>
      </c>
      <c r="AC835" s="5">
        <f>CHOOSE(MATCH(AB835,{"South";"SouthEast";"SouthWest";"North";"NorthEast";"East";"West";"NorthWest"},0),1,2,3,4,5,6,7,8)</f>
        <v>3</v>
      </c>
      <c r="AD835" s="2">
        <f t="shared" si="153"/>
        <v>1</v>
      </c>
      <c r="AE835">
        <v>1004.4</v>
      </c>
      <c r="AF835" s="4" t="s">
        <v>875</v>
      </c>
      <c r="AG835" s="2">
        <f t="shared" si="154"/>
        <v>0</v>
      </c>
      <c r="AH835" t="s">
        <v>1433</v>
      </c>
      <c r="AI835" s="2">
        <f t="shared" si="155"/>
        <v>3</v>
      </c>
      <c r="AJ835" s="2">
        <f t="shared" si="156"/>
        <v>0</v>
      </c>
      <c r="AK835" s="3">
        <v>124.9999999988358</v>
      </c>
      <c r="AM835" s="2">
        <v>0</v>
      </c>
      <c r="AN835">
        <v>0</v>
      </c>
      <c r="AO835">
        <v>4</v>
      </c>
      <c r="AP835">
        <v>0</v>
      </c>
      <c r="AQ835" s="2">
        <f>IF((2*G835 + M835 -P835 + 3*W835 + 2*Z835+2*AD835 + AG835+2*AJ835 + 4*AM835) &gt;=8,1,0)</f>
        <v>0</v>
      </c>
    </row>
    <row r="836" spans="1:43" x14ac:dyDescent="0.25">
      <c r="A836" t="s">
        <v>27</v>
      </c>
      <c r="B836" s="1">
        <v>39903</v>
      </c>
      <c r="C836" s="7">
        <f t="shared" si="148"/>
        <v>2009</v>
      </c>
      <c r="D836">
        <v>72.7</v>
      </c>
      <c r="E836">
        <v>51</v>
      </c>
      <c r="F836">
        <v>61.9</v>
      </c>
      <c r="G836" s="2">
        <f t="shared" si="157"/>
        <v>0</v>
      </c>
      <c r="H836">
        <v>72.7</v>
      </c>
      <c r="I836">
        <v>51</v>
      </c>
      <c r="J836">
        <v>61.9</v>
      </c>
      <c r="K836">
        <v>50.4</v>
      </c>
      <c r="L836">
        <v>67.5</v>
      </c>
      <c r="M836" s="2">
        <f t="shared" si="149"/>
        <v>0</v>
      </c>
      <c r="N836">
        <v>0</v>
      </c>
      <c r="P836" s="2">
        <f t="shared" si="150"/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s="2">
        <f t="shared" si="151"/>
        <v>0</v>
      </c>
      <c r="X836">
        <v>5.3</v>
      </c>
      <c r="Z836" s="2">
        <f t="shared" si="152"/>
        <v>0</v>
      </c>
      <c r="AA836">
        <v>238.2</v>
      </c>
      <c r="AB836" s="2" t="str">
        <f>CHOOSE(MATCH(AA836,{0;11;80;111;161;191;241;281;341},1),"North","NorthEast","East","SouthEast","South","SouthWest","West","NorthWest","North")</f>
        <v>SouthWest</v>
      </c>
      <c r="AC836" s="5">
        <f>CHOOSE(MATCH(AB836,{"South";"SouthEast";"SouthWest";"North";"NorthEast";"East";"West";"NorthWest"},0),1,2,3,4,5,6,7,8)</f>
        <v>3</v>
      </c>
      <c r="AD836" s="2">
        <f t="shared" si="153"/>
        <v>1</v>
      </c>
      <c r="AE836">
        <v>1016.3</v>
      </c>
      <c r="AF836" s="4" t="s">
        <v>272</v>
      </c>
      <c r="AG836" s="2">
        <f t="shared" si="154"/>
        <v>1</v>
      </c>
      <c r="AH836" t="s">
        <v>1434</v>
      </c>
      <c r="AI836" s="2">
        <f t="shared" si="155"/>
        <v>3</v>
      </c>
      <c r="AJ836" s="2">
        <f t="shared" si="156"/>
        <v>0</v>
      </c>
      <c r="AK836" s="3">
        <v>406.00000000325957</v>
      </c>
      <c r="AM836" s="2">
        <v>1</v>
      </c>
      <c r="AN836">
        <v>0</v>
      </c>
      <c r="AO836">
        <v>3.5</v>
      </c>
      <c r="AP836">
        <v>0</v>
      </c>
      <c r="AQ836" s="2">
        <f>IF((2*G836 + M836 -P836 + 3*W836 + 2*Z836+2*AD836 + AG836+2*AJ836 + 4*AM836) &gt;=8,1,0)</f>
        <v>0</v>
      </c>
    </row>
    <row r="837" spans="1:43" x14ac:dyDescent="0.25">
      <c r="A837" t="s">
        <v>27</v>
      </c>
      <c r="B837" s="1">
        <v>39922</v>
      </c>
      <c r="C837" s="7">
        <f t="shared" si="148"/>
        <v>2009</v>
      </c>
      <c r="D837">
        <v>74.3</v>
      </c>
      <c r="E837">
        <v>48.3</v>
      </c>
      <c r="F837">
        <v>61.3</v>
      </c>
      <c r="G837" s="2">
        <f t="shared" si="157"/>
        <v>0</v>
      </c>
      <c r="H837">
        <v>74.3</v>
      </c>
      <c r="I837">
        <v>48.3</v>
      </c>
      <c r="J837">
        <v>61.3</v>
      </c>
      <c r="K837">
        <v>43.6</v>
      </c>
      <c r="L837">
        <v>55.9</v>
      </c>
      <c r="M837" s="2">
        <f t="shared" si="149"/>
        <v>0</v>
      </c>
      <c r="N837">
        <v>0</v>
      </c>
      <c r="P837" s="2">
        <f t="shared" si="150"/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s="2">
        <f t="shared" si="151"/>
        <v>0</v>
      </c>
      <c r="X837">
        <v>8</v>
      </c>
      <c r="Z837" s="2">
        <f t="shared" si="152"/>
        <v>0</v>
      </c>
      <c r="AA837">
        <v>161</v>
      </c>
      <c r="AB837" s="2" t="str">
        <f>CHOOSE(MATCH(AA837,{0;11;80;111;161;191;241;281;341},1),"North","NorthEast","East","SouthEast","South","SouthWest","West","NorthWest","North")</f>
        <v>South</v>
      </c>
      <c r="AC837" s="5">
        <f>CHOOSE(MATCH(AB837,{"South";"SouthEast";"SouthWest";"North";"NorthEast";"East";"West";"NorthWest"},0),1,2,3,4,5,6,7,8)</f>
        <v>1</v>
      </c>
      <c r="AD837" s="2">
        <f t="shared" si="153"/>
        <v>0</v>
      </c>
      <c r="AE837">
        <v>1017.9</v>
      </c>
      <c r="AF837" s="4" t="s">
        <v>1435</v>
      </c>
      <c r="AG837" s="2">
        <f t="shared" si="154"/>
        <v>1</v>
      </c>
      <c r="AH837" t="s">
        <v>1436</v>
      </c>
      <c r="AI837" s="2">
        <f t="shared" si="155"/>
        <v>4</v>
      </c>
      <c r="AJ837" s="2">
        <f t="shared" si="156"/>
        <v>0</v>
      </c>
      <c r="AK837" s="3">
        <v>114.0000000048894</v>
      </c>
      <c r="AM837" s="2">
        <v>0</v>
      </c>
      <c r="AN837">
        <v>1</v>
      </c>
      <c r="AO837">
        <v>0</v>
      </c>
      <c r="AP837">
        <v>0</v>
      </c>
      <c r="AQ837" s="2">
        <f>IF((2*G837 + M837 -P837 + 3*W837 + 2*Z837+2*AD837 + AG837+2*AJ837 + 4*AM837) &gt;=8,1,0)</f>
        <v>0</v>
      </c>
    </row>
    <row r="838" spans="1:43" x14ac:dyDescent="0.25">
      <c r="A838" t="s">
        <v>27</v>
      </c>
      <c r="B838" s="1">
        <v>39929</v>
      </c>
      <c r="C838" s="7">
        <f t="shared" si="148"/>
        <v>2009</v>
      </c>
      <c r="D838">
        <v>67.5</v>
      </c>
      <c r="E838">
        <v>44.7</v>
      </c>
      <c r="F838">
        <v>57</v>
      </c>
      <c r="G838" s="2">
        <f t="shared" si="157"/>
        <v>0</v>
      </c>
      <c r="H838">
        <v>67.5</v>
      </c>
      <c r="I838">
        <v>44.7</v>
      </c>
      <c r="J838">
        <v>57</v>
      </c>
      <c r="K838">
        <v>45.8</v>
      </c>
      <c r="L838">
        <v>66.900000000000006</v>
      </c>
      <c r="M838" s="2">
        <f t="shared" si="149"/>
        <v>0</v>
      </c>
      <c r="N838">
        <v>0</v>
      </c>
      <c r="P838" s="2">
        <f t="shared" si="150"/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s="2">
        <f t="shared" si="151"/>
        <v>0</v>
      </c>
      <c r="X838">
        <v>17.2</v>
      </c>
      <c r="Z838" s="2">
        <f t="shared" si="152"/>
        <v>1</v>
      </c>
      <c r="AA838">
        <v>79.599999999999994</v>
      </c>
      <c r="AB838" s="2" t="str">
        <f>CHOOSE(MATCH(AA838,{0;11;80;111;161;191;241;281;341},1),"North","NorthEast","East","SouthEast","South","SouthWest","West","NorthWest","North")</f>
        <v>NorthEast</v>
      </c>
      <c r="AC838" s="5">
        <f>CHOOSE(MATCH(AB838,{"South";"SouthEast";"SouthWest";"North";"NorthEast";"East";"West";"NorthWest"},0),1,2,3,4,5,6,7,8)</f>
        <v>5</v>
      </c>
      <c r="AD838" s="2">
        <f t="shared" si="153"/>
        <v>1</v>
      </c>
      <c r="AE838">
        <v>1020.4</v>
      </c>
      <c r="AF838" s="4" t="s">
        <v>107</v>
      </c>
      <c r="AG838" s="2">
        <f t="shared" si="154"/>
        <v>1</v>
      </c>
      <c r="AH838" t="s">
        <v>1437</v>
      </c>
      <c r="AI838" s="2">
        <f t="shared" si="155"/>
        <v>4</v>
      </c>
      <c r="AJ838" s="2">
        <f t="shared" si="156"/>
        <v>0</v>
      </c>
      <c r="AK838" s="3">
        <v>19.999999991850931</v>
      </c>
      <c r="AM838" s="2">
        <v>0</v>
      </c>
      <c r="AN838">
        <v>5</v>
      </c>
      <c r="AO838">
        <v>0</v>
      </c>
      <c r="AP838">
        <v>0</v>
      </c>
      <c r="AQ838" s="2">
        <f>IF((2*G838 + M838 -P838 + 3*W838 + 2*Z838+2*AD838 + AG838+2*AJ838 + 4*AM838) &gt;=8,1,0)</f>
        <v>0</v>
      </c>
    </row>
    <row r="839" spans="1:43" x14ac:dyDescent="0.25">
      <c r="A839" t="s">
        <v>27</v>
      </c>
      <c r="B839" s="1">
        <v>39931</v>
      </c>
      <c r="C839" s="7">
        <f t="shared" si="148"/>
        <v>2009</v>
      </c>
      <c r="D839">
        <v>63.4</v>
      </c>
      <c r="E839">
        <v>49.2</v>
      </c>
      <c r="F839">
        <v>57.4</v>
      </c>
      <c r="G839" s="2">
        <f t="shared" si="157"/>
        <v>0</v>
      </c>
      <c r="H839">
        <v>63.4</v>
      </c>
      <c r="I839">
        <v>49.2</v>
      </c>
      <c r="J839">
        <v>57.4</v>
      </c>
      <c r="K839">
        <v>43.3</v>
      </c>
      <c r="L839">
        <v>59.5</v>
      </c>
      <c r="M839" s="2">
        <f t="shared" si="149"/>
        <v>0</v>
      </c>
      <c r="N839">
        <v>0</v>
      </c>
      <c r="P839" s="2">
        <f t="shared" si="150"/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s="2">
        <f t="shared" si="151"/>
        <v>0</v>
      </c>
      <c r="X839">
        <v>10.4</v>
      </c>
      <c r="Z839" s="2">
        <f t="shared" si="152"/>
        <v>0</v>
      </c>
      <c r="AA839">
        <v>109.5</v>
      </c>
      <c r="AB839" s="2" t="str">
        <f>CHOOSE(MATCH(AA839,{0;11;80;111;161;191;241;281;341},1),"North","NorthEast","East","SouthEast","South","SouthWest","West","NorthWest","North")</f>
        <v>East</v>
      </c>
      <c r="AC839" s="5">
        <f>CHOOSE(MATCH(AB839,{"South";"SouthEast";"SouthWest";"North";"NorthEast";"East";"West";"NorthWest"},0),1,2,3,4,5,6,7,8)</f>
        <v>6</v>
      </c>
      <c r="AD839" s="2">
        <f t="shared" si="153"/>
        <v>0</v>
      </c>
      <c r="AE839">
        <v>1015.5</v>
      </c>
      <c r="AF839" s="4" t="s">
        <v>803</v>
      </c>
      <c r="AG839" s="2">
        <f t="shared" si="154"/>
        <v>0</v>
      </c>
      <c r="AH839" t="s">
        <v>1438</v>
      </c>
      <c r="AI839" s="2">
        <f t="shared" si="155"/>
        <v>4</v>
      </c>
      <c r="AJ839" s="2">
        <f t="shared" si="156"/>
        <v>0</v>
      </c>
      <c r="AK839" s="3">
        <v>120.0000000034925</v>
      </c>
      <c r="AM839" s="2">
        <v>0</v>
      </c>
      <c r="AN839">
        <v>20</v>
      </c>
      <c r="AO839">
        <v>0</v>
      </c>
      <c r="AP839">
        <v>0</v>
      </c>
      <c r="AQ839" s="2">
        <f>IF((2*G839 + M839 -P839 + 3*W839 + 2*Z839+2*AD839 + AG839+2*AJ839 + 4*AM839) &gt;=8,1,0)</f>
        <v>0</v>
      </c>
    </row>
    <row r="840" spans="1:43" x14ac:dyDescent="0.25">
      <c r="A840" t="s">
        <v>27</v>
      </c>
      <c r="B840" s="1">
        <v>39943</v>
      </c>
      <c r="C840" s="7">
        <f t="shared" si="148"/>
        <v>2009</v>
      </c>
      <c r="D840">
        <v>78.8</v>
      </c>
      <c r="E840">
        <v>51</v>
      </c>
      <c r="F840">
        <v>66.7</v>
      </c>
      <c r="G840" s="2">
        <f t="shared" si="157"/>
        <v>0</v>
      </c>
      <c r="H840">
        <v>78.8</v>
      </c>
      <c r="I840">
        <v>51</v>
      </c>
      <c r="J840">
        <v>66.7</v>
      </c>
      <c r="K840">
        <v>46.6</v>
      </c>
      <c r="L840">
        <v>52.3</v>
      </c>
      <c r="M840" s="2">
        <f t="shared" si="149"/>
        <v>0</v>
      </c>
      <c r="N840">
        <v>0</v>
      </c>
      <c r="P840" s="2">
        <f t="shared" si="150"/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s="2">
        <f t="shared" si="151"/>
        <v>0</v>
      </c>
      <c r="X840">
        <v>10.1</v>
      </c>
      <c r="Z840" s="2">
        <f t="shared" si="152"/>
        <v>0</v>
      </c>
      <c r="AA840">
        <v>91.4</v>
      </c>
      <c r="AB840" s="2" t="str">
        <f>CHOOSE(MATCH(AA840,{0;11;80;111;161;191;241;281;341},1),"North","NorthEast","East","SouthEast","South","SouthWest","West","NorthWest","North")</f>
        <v>East</v>
      </c>
      <c r="AC840" s="5">
        <f>CHOOSE(MATCH(AB840,{"South";"SouthEast";"SouthWest";"North";"NorthEast";"East";"West";"NorthWest"},0),1,2,3,4,5,6,7,8)</f>
        <v>6</v>
      </c>
      <c r="AD840" s="2">
        <f t="shared" si="153"/>
        <v>0</v>
      </c>
      <c r="AE840">
        <v>1019.9</v>
      </c>
      <c r="AF840" s="4" t="s">
        <v>370</v>
      </c>
      <c r="AG840" s="2">
        <f t="shared" si="154"/>
        <v>1</v>
      </c>
      <c r="AH840" t="s">
        <v>1439</v>
      </c>
      <c r="AI840" s="2">
        <f t="shared" si="155"/>
        <v>5</v>
      </c>
      <c r="AJ840" s="2">
        <f t="shared" si="156"/>
        <v>0</v>
      </c>
      <c r="AK840" s="3">
        <v>290.00000000232831</v>
      </c>
      <c r="AM840" s="2">
        <v>0</v>
      </c>
      <c r="AN840">
        <v>0</v>
      </c>
      <c r="AO840">
        <v>0.5</v>
      </c>
      <c r="AP840">
        <v>0</v>
      </c>
      <c r="AQ840" s="2">
        <f>IF((2*G840 + M840 -P840 + 3*W840 + 2*Z840+2*AD840 + AG840+2*AJ840 + 4*AM840) &gt;=8,1,0)</f>
        <v>0</v>
      </c>
    </row>
    <row r="841" spans="1:43" x14ac:dyDescent="0.25">
      <c r="A841" t="s">
        <v>27</v>
      </c>
      <c r="B841" s="1">
        <v>39957</v>
      </c>
      <c r="C841" s="7">
        <f t="shared" si="148"/>
        <v>2009</v>
      </c>
      <c r="D841">
        <v>87.9</v>
      </c>
      <c r="E841">
        <v>63.6</v>
      </c>
      <c r="F841">
        <v>75.900000000000006</v>
      </c>
      <c r="G841" s="2">
        <f t="shared" si="157"/>
        <v>1</v>
      </c>
      <c r="H841">
        <v>85.7</v>
      </c>
      <c r="I841">
        <v>63.6</v>
      </c>
      <c r="J841">
        <v>75.400000000000006</v>
      </c>
      <c r="K841">
        <v>53.9</v>
      </c>
      <c r="L841">
        <v>48.5</v>
      </c>
      <c r="M841" s="2">
        <f t="shared" si="149"/>
        <v>1</v>
      </c>
      <c r="N841">
        <v>0</v>
      </c>
      <c r="P841" s="2">
        <f t="shared" si="150"/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s="2">
        <f t="shared" si="151"/>
        <v>0</v>
      </c>
      <c r="X841">
        <v>11.5</v>
      </c>
      <c r="Z841" s="2">
        <f t="shared" si="152"/>
        <v>0</v>
      </c>
      <c r="AA841">
        <v>124.8</v>
      </c>
      <c r="AB841" s="2" t="str">
        <f>CHOOSE(MATCH(AA841,{0;11;80;111;161;191;241;281;341},1),"North","NorthEast","East","SouthEast","South","SouthWest","West","NorthWest","North")</f>
        <v>SouthEast</v>
      </c>
      <c r="AC841" s="5">
        <f>CHOOSE(MATCH(AB841,{"South";"SouthEast";"SouthWest";"North";"NorthEast";"East";"West";"NorthWest"},0),1,2,3,4,5,6,7,8)</f>
        <v>2</v>
      </c>
      <c r="AD841" s="2">
        <f t="shared" si="153"/>
        <v>0</v>
      </c>
      <c r="AE841">
        <v>1016.2</v>
      </c>
      <c r="AF841" s="4" t="s">
        <v>1440</v>
      </c>
      <c r="AG841" s="2">
        <f t="shared" si="154"/>
        <v>1</v>
      </c>
      <c r="AH841" t="s">
        <v>1441</v>
      </c>
      <c r="AI841" s="2">
        <f t="shared" si="155"/>
        <v>5</v>
      </c>
      <c r="AJ841" s="2">
        <f t="shared" si="156"/>
        <v>0</v>
      </c>
      <c r="AK841" s="3">
        <v>1062.000000004191</v>
      </c>
      <c r="AM841" s="2">
        <v>1</v>
      </c>
      <c r="AN841">
        <v>0</v>
      </c>
      <c r="AO841">
        <v>110</v>
      </c>
      <c r="AP841">
        <v>0</v>
      </c>
      <c r="AQ841" s="2">
        <f>IF((2*G841 + M841 -P841 + 3*W841 + 2*Z841+2*AD841 + AG841+2*AJ841 + 4*AM841) &gt;=8,1,0)</f>
        <v>0</v>
      </c>
    </row>
    <row r="842" spans="1:43" x14ac:dyDescent="0.25">
      <c r="A842" t="s">
        <v>27</v>
      </c>
      <c r="B842" s="1">
        <v>39959</v>
      </c>
      <c r="C842" s="7">
        <f t="shared" si="148"/>
        <v>2009</v>
      </c>
      <c r="D842">
        <v>83.3</v>
      </c>
      <c r="E842">
        <v>66.3</v>
      </c>
      <c r="F842">
        <v>75.900000000000006</v>
      </c>
      <c r="G842" s="2">
        <f t="shared" si="157"/>
        <v>1</v>
      </c>
      <c r="H842">
        <v>82.1</v>
      </c>
      <c r="I842">
        <v>66.3</v>
      </c>
      <c r="J842">
        <v>75.5</v>
      </c>
      <c r="K842">
        <v>51.9</v>
      </c>
      <c r="L842">
        <v>45.7</v>
      </c>
      <c r="M842" s="2">
        <f t="shared" si="149"/>
        <v>1</v>
      </c>
      <c r="N842">
        <v>0</v>
      </c>
      <c r="P842" s="2">
        <f t="shared" si="150"/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s="2">
        <f t="shared" si="151"/>
        <v>0</v>
      </c>
      <c r="X842">
        <v>12.4</v>
      </c>
      <c r="Z842" s="2">
        <f t="shared" si="152"/>
        <v>0</v>
      </c>
      <c r="AA842">
        <v>94.8</v>
      </c>
      <c r="AB842" s="2" t="str">
        <f>CHOOSE(MATCH(AA842,{0;11;80;111;161;191;241;281;341},1),"North","NorthEast","East","SouthEast","South","SouthWest","West","NorthWest","North")</f>
        <v>East</v>
      </c>
      <c r="AC842" s="5">
        <f>CHOOSE(MATCH(AB842,{"South";"SouthEast";"SouthWest";"North";"NorthEast";"East";"West";"NorthWest"},0),1,2,3,4,5,6,7,8)</f>
        <v>6</v>
      </c>
      <c r="AD842" s="2">
        <f t="shared" si="153"/>
        <v>0</v>
      </c>
      <c r="AE842">
        <v>1013.9</v>
      </c>
      <c r="AF842" s="4" t="s">
        <v>92</v>
      </c>
      <c r="AG842" s="2">
        <f t="shared" si="154"/>
        <v>1</v>
      </c>
      <c r="AH842" t="s">
        <v>1442</v>
      </c>
      <c r="AI842" s="2">
        <f t="shared" si="155"/>
        <v>5</v>
      </c>
      <c r="AJ842" s="2">
        <f t="shared" si="156"/>
        <v>0</v>
      </c>
      <c r="AK842" s="3">
        <v>1112.999999992317</v>
      </c>
      <c r="AM842" s="2">
        <v>1</v>
      </c>
      <c r="AN842">
        <v>0</v>
      </c>
      <c r="AO842">
        <v>3</v>
      </c>
      <c r="AP842">
        <v>0</v>
      </c>
      <c r="AQ842" s="2">
        <f>IF((2*G842 + M842 -P842 + 3*W842 + 2*Z842+2*AD842 + AG842+2*AJ842 + 4*AM842) &gt;=8,1,0)</f>
        <v>0</v>
      </c>
    </row>
    <row r="843" spans="1:43" x14ac:dyDescent="0.25">
      <c r="A843" t="s">
        <v>27</v>
      </c>
      <c r="B843" s="1">
        <v>39960</v>
      </c>
      <c r="C843" s="7">
        <f t="shared" si="148"/>
        <v>2009</v>
      </c>
      <c r="D843">
        <v>80.7</v>
      </c>
      <c r="E843">
        <v>63</v>
      </c>
      <c r="F843">
        <v>72</v>
      </c>
      <c r="G843" s="2">
        <f t="shared" si="157"/>
        <v>0</v>
      </c>
      <c r="H843">
        <v>79.7</v>
      </c>
      <c r="I843">
        <v>63</v>
      </c>
      <c r="J843">
        <v>71.900000000000006</v>
      </c>
      <c r="K843">
        <v>45.4</v>
      </c>
      <c r="L843">
        <v>40</v>
      </c>
      <c r="M843" s="2">
        <f t="shared" si="149"/>
        <v>1</v>
      </c>
      <c r="N843">
        <v>0</v>
      </c>
      <c r="P843" s="2">
        <f t="shared" si="150"/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s="2">
        <f t="shared" si="151"/>
        <v>0</v>
      </c>
      <c r="X843">
        <v>15.6</v>
      </c>
      <c r="Z843" s="2">
        <f t="shared" si="152"/>
        <v>0</v>
      </c>
      <c r="AA843">
        <v>60.8</v>
      </c>
      <c r="AB843" s="2" t="str">
        <f>CHOOSE(MATCH(AA843,{0;11;80;111;161;191;241;281;341},1),"North","NorthEast","East","SouthEast","South","SouthWest","West","NorthWest","North")</f>
        <v>NorthEast</v>
      </c>
      <c r="AC843" s="5">
        <f>CHOOSE(MATCH(AB843,{"South";"SouthEast";"SouthWest";"North";"NorthEast";"East";"West";"NorthWest"},0),1,2,3,4,5,6,7,8)</f>
        <v>5</v>
      </c>
      <c r="AD843" s="2">
        <f t="shared" si="153"/>
        <v>1</v>
      </c>
      <c r="AE843">
        <v>1015.8</v>
      </c>
      <c r="AF843" s="4" t="s">
        <v>927</v>
      </c>
      <c r="AG843" s="2">
        <f t="shared" si="154"/>
        <v>1</v>
      </c>
      <c r="AH843" t="s">
        <v>1443</v>
      </c>
      <c r="AI843" s="2">
        <f t="shared" si="155"/>
        <v>5</v>
      </c>
      <c r="AJ843" s="2">
        <f t="shared" si="156"/>
        <v>0</v>
      </c>
      <c r="AK843" s="3">
        <v>229.99999999534339</v>
      </c>
      <c r="AM843" s="2">
        <v>0</v>
      </c>
      <c r="AN843">
        <v>0</v>
      </c>
      <c r="AO843">
        <v>10</v>
      </c>
      <c r="AP843">
        <v>0</v>
      </c>
      <c r="AQ843" s="2">
        <f>IF((2*G843 + M843 -P843 + 3*W843 + 2*Z843+2*AD843 + AG843+2*AJ843 + 4*AM843) &gt;=8,1,0)</f>
        <v>0</v>
      </c>
    </row>
    <row r="844" spans="1:43" x14ac:dyDescent="0.25">
      <c r="A844" t="s">
        <v>27</v>
      </c>
      <c r="B844" s="1">
        <v>39967</v>
      </c>
      <c r="C844" s="7">
        <f t="shared" si="148"/>
        <v>2009</v>
      </c>
      <c r="D844">
        <v>82.5</v>
      </c>
      <c r="E844">
        <v>67.3</v>
      </c>
      <c r="F844">
        <v>74.099999999999994</v>
      </c>
      <c r="G844" s="2">
        <f t="shared" si="157"/>
        <v>1</v>
      </c>
      <c r="H844">
        <v>81.400000000000006</v>
      </c>
      <c r="I844">
        <v>67.3</v>
      </c>
      <c r="J844">
        <v>74</v>
      </c>
      <c r="K844">
        <v>56.3</v>
      </c>
      <c r="L844">
        <v>55.7</v>
      </c>
      <c r="M844" s="2">
        <f t="shared" si="149"/>
        <v>0</v>
      </c>
      <c r="N844">
        <v>0</v>
      </c>
      <c r="P844" s="2">
        <f t="shared" si="150"/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s="2">
        <f t="shared" si="151"/>
        <v>0</v>
      </c>
      <c r="X844">
        <v>15.2</v>
      </c>
      <c r="Z844" s="2">
        <f t="shared" si="152"/>
        <v>0</v>
      </c>
      <c r="AA844">
        <v>242.8</v>
      </c>
      <c r="AB844" s="2" t="str">
        <f>CHOOSE(MATCH(AA844,{0;11;80;111;161;191;241;281;341},1),"North","NorthEast","East","SouthEast","South","SouthWest","West","NorthWest","North")</f>
        <v>West</v>
      </c>
      <c r="AC844" s="5">
        <f>CHOOSE(MATCH(AB844,{"South";"SouthEast";"SouthWest";"North";"NorthEast";"East";"West";"NorthWest"},0),1,2,3,4,5,6,7,8)</f>
        <v>7</v>
      </c>
      <c r="AD844" s="2">
        <f t="shared" si="153"/>
        <v>0</v>
      </c>
      <c r="AE844">
        <v>1005.3</v>
      </c>
      <c r="AF844" s="4" t="s">
        <v>55</v>
      </c>
      <c r="AG844" s="2">
        <f t="shared" si="154"/>
        <v>1</v>
      </c>
      <c r="AH844" t="s">
        <v>1444</v>
      </c>
      <c r="AI844" s="2">
        <f t="shared" si="155"/>
        <v>6</v>
      </c>
      <c r="AJ844" s="2">
        <f t="shared" si="156"/>
        <v>1</v>
      </c>
      <c r="AK844" s="3">
        <v>75.00000000349246</v>
      </c>
      <c r="AM844" s="2">
        <v>0</v>
      </c>
      <c r="AN844">
        <v>1</v>
      </c>
      <c r="AO844">
        <v>0</v>
      </c>
      <c r="AP844">
        <v>0</v>
      </c>
      <c r="AQ844" s="2">
        <f>IF((2*G844 + M844 -P844 + 3*W844 + 2*Z844+2*AD844 + AG844+2*AJ844 + 4*AM844) &gt;=8,1,0)</f>
        <v>0</v>
      </c>
    </row>
    <row r="845" spans="1:43" x14ac:dyDescent="0.25">
      <c r="A845" t="s">
        <v>27</v>
      </c>
      <c r="B845" s="1">
        <v>39967</v>
      </c>
      <c r="C845" s="7">
        <f t="shared" si="148"/>
        <v>2009</v>
      </c>
      <c r="D845">
        <v>82.5</v>
      </c>
      <c r="E845">
        <v>67.3</v>
      </c>
      <c r="F845">
        <v>74.099999999999994</v>
      </c>
      <c r="G845" s="2">
        <f t="shared" si="157"/>
        <v>1</v>
      </c>
      <c r="H845">
        <v>81.400000000000006</v>
      </c>
      <c r="I845">
        <v>67.3</v>
      </c>
      <c r="J845">
        <v>74</v>
      </c>
      <c r="K845">
        <v>56.3</v>
      </c>
      <c r="L845">
        <v>55.7</v>
      </c>
      <c r="M845" s="2">
        <f t="shared" si="149"/>
        <v>0</v>
      </c>
      <c r="N845">
        <v>0</v>
      </c>
      <c r="P845" s="2">
        <f t="shared" si="150"/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s="2">
        <f t="shared" si="151"/>
        <v>0</v>
      </c>
      <c r="X845">
        <v>15.2</v>
      </c>
      <c r="Z845" s="2">
        <f t="shared" si="152"/>
        <v>0</v>
      </c>
      <c r="AA845">
        <v>242.8</v>
      </c>
      <c r="AB845" s="2" t="str">
        <f>CHOOSE(MATCH(AA845,{0;11;80;111;161;191;241;281;341},1),"North","NorthEast","East","SouthEast","South","SouthWest","West","NorthWest","North")</f>
        <v>West</v>
      </c>
      <c r="AC845" s="5">
        <f>CHOOSE(MATCH(AB845,{"South";"SouthEast";"SouthWest";"North";"NorthEast";"East";"West";"NorthWest"},0),1,2,3,4,5,6,7,8)</f>
        <v>7</v>
      </c>
      <c r="AD845" s="2">
        <f t="shared" si="153"/>
        <v>0</v>
      </c>
      <c r="AE845">
        <v>1005.3</v>
      </c>
      <c r="AF845" s="4" t="s">
        <v>816</v>
      </c>
      <c r="AG845" s="2">
        <f t="shared" si="154"/>
        <v>0</v>
      </c>
      <c r="AH845" t="s">
        <v>1445</v>
      </c>
      <c r="AI845" s="2">
        <f t="shared" si="155"/>
        <v>6</v>
      </c>
      <c r="AJ845" s="2">
        <f t="shared" si="156"/>
        <v>1</v>
      </c>
      <c r="AK845" s="3">
        <v>49.999999995343387</v>
      </c>
      <c r="AM845" s="2">
        <v>0</v>
      </c>
      <c r="AN845">
        <v>0.6</v>
      </c>
      <c r="AO845">
        <v>0</v>
      </c>
      <c r="AP845">
        <v>0</v>
      </c>
      <c r="AQ845" s="2">
        <f>IF((2*G845 + M845 -P845 + 3*W845 + 2*Z845+2*AD845 + AG845+2*AJ845 + 4*AM845) &gt;=8,1,0)</f>
        <v>0</v>
      </c>
    </row>
    <row r="846" spans="1:43" x14ac:dyDescent="0.25">
      <c r="A846" t="s">
        <v>27</v>
      </c>
      <c r="B846" s="1">
        <v>39970</v>
      </c>
      <c r="C846" s="7">
        <f t="shared" si="148"/>
        <v>2009</v>
      </c>
      <c r="D846">
        <v>86.7</v>
      </c>
      <c r="E846">
        <v>64.400000000000006</v>
      </c>
      <c r="F846">
        <v>75.900000000000006</v>
      </c>
      <c r="G846" s="2">
        <f t="shared" si="157"/>
        <v>1</v>
      </c>
      <c r="H846">
        <v>84.2</v>
      </c>
      <c r="I846">
        <v>64.400000000000006</v>
      </c>
      <c r="J846">
        <v>75.3</v>
      </c>
      <c r="K846">
        <v>53.4</v>
      </c>
      <c r="L846">
        <v>47.9</v>
      </c>
      <c r="M846" s="2">
        <f t="shared" si="149"/>
        <v>1</v>
      </c>
      <c r="N846">
        <v>0</v>
      </c>
      <c r="P846" s="2">
        <f t="shared" si="150"/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s="2">
        <f t="shared" si="151"/>
        <v>0</v>
      </c>
      <c r="X846">
        <v>9.3000000000000007</v>
      </c>
      <c r="Z846" s="2">
        <f t="shared" si="152"/>
        <v>0</v>
      </c>
      <c r="AA846">
        <v>128.4</v>
      </c>
      <c r="AB846" s="2" t="str">
        <f>CHOOSE(MATCH(AA846,{0;11;80;111;161;191;241;281;341},1),"North","NorthEast","East","SouthEast","South","SouthWest","West","NorthWest","North")</f>
        <v>SouthEast</v>
      </c>
      <c r="AC846" s="5">
        <f>CHOOSE(MATCH(AB846,{"South";"SouthEast";"SouthWest";"North";"NorthEast";"East";"West";"NorthWest"},0),1,2,3,4,5,6,7,8)</f>
        <v>2</v>
      </c>
      <c r="AD846" s="2">
        <f t="shared" si="153"/>
        <v>0</v>
      </c>
      <c r="AE846">
        <v>1013.5</v>
      </c>
      <c r="AF846" s="4" t="s">
        <v>721</v>
      </c>
      <c r="AG846" s="2">
        <f t="shared" si="154"/>
        <v>1</v>
      </c>
      <c r="AH846" t="s">
        <v>1446</v>
      </c>
      <c r="AI846" s="2">
        <f t="shared" si="155"/>
        <v>6</v>
      </c>
      <c r="AJ846" s="2">
        <f t="shared" si="156"/>
        <v>1</v>
      </c>
      <c r="AK846" s="3">
        <v>405</v>
      </c>
      <c r="AM846" s="2">
        <v>1</v>
      </c>
      <c r="AN846">
        <v>0</v>
      </c>
      <c r="AO846">
        <v>3</v>
      </c>
      <c r="AP846">
        <v>0</v>
      </c>
      <c r="AQ846" s="2">
        <f>IF((2*G846 + M846 -P846 + 3*W846 + 2*Z846+2*AD846 + AG846+2*AJ846 + 4*AM846) &gt;=8,1,0)</f>
        <v>1</v>
      </c>
    </row>
    <row r="847" spans="1:43" x14ac:dyDescent="0.25">
      <c r="A847" t="s">
        <v>27</v>
      </c>
      <c r="B847" s="1">
        <v>39973</v>
      </c>
      <c r="C847" s="7">
        <f t="shared" si="148"/>
        <v>2009</v>
      </c>
      <c r="D847">
        <v>92.5</v>
      </c>
      <c r="E847">
        <v>68.5</v>
      </c>
      <c r="F847">
        <v>81.3</v>
      </c>
      <c r="G847" s="2">
        <f t="shared" si="157"/>
        <v>1</v>
      </c>
      <c r="H847">
        <v>90.1</v>
      </c>
      <c r="I847">
        <v>68.5</v>
      </c>
      <c r="J847">
        <v>80.3</v>
      </c>
      <c r="K847">
        <v>52</v>
      </c>
      <c r="L847">
        <v>37.9</v>
      </c>
      <c r="M847" s="2">
        <f t="shared" si="149"/>
        <v>1</v>
      </c>
      <c r="N847">
        <v>0</v>
      </c>
      <c r="P847" s="2">
        <f t="shared" si="150"/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s="2">
        <f t="shared" si="151"/>
        <v>0</v>
      </c>
      <c r="X847">
        <v>16.399999999999999</v>
      </c>
      <c r="Z847" s="2">
        <f t="shared" si="152"/>
        <v>1</v>
      </c>
      <c r="AA847">
        <v>59.8</v>
      </c>
      <c r="AB847" s="2" t="str">
        <f>CHOOSE(MATCH(AA847,{0;11;80;111;161;191;241;281;341},1),"North","NorthEast","East","SouthEast","South","SouthWest","West","NorthWest","North")</f>
        <v>NorthEast</v>
      </c>
      <c r="AC847" s="5">
        <f>CHOOSE(MATCH(AB847,{"South";"SouthEast";"SouthWest";"North";"NorthEast";"East";"West";"NorthWest"},0),1,2,3,4,5,6,7,8)</f>
        <v>5</v>
      </c>
      <c r="AD847" s="2">
        <f t="shared" si="153"/>
        <v>1</v>
      </c>
      <c r="AE847">
        <v>1011.6</v>
      </c>
      <c r="AF847" s="4" t="s">
        <v>1447</v>
      </c>
      <c r="AG847" s="2">
        <f t="shared" si="154"/>
        <v>1</v>
      </c>
      <c r="AH847" t="s">
        <v>1448</v>
      </c>
      <c r="AI847" s="2">
        <f t="shared" si="155"/>
        <v>6</v>
      </c>
      <c r="AJ847" s="2">
        <f t="shared" si="156"/>
        <v>1</v>
      </c>
      <c r="AK847" s="3">
        <v>44298.999999999069</v>
      </c>
      <c r="AM847" s="2">
        <v>1</v>
      </c>
      <c r="AN847">
        <v>0</v>
      </c>
      <c r="AO847">
        <v>5</v>
      </c>
      <c r="AP847">
        <v>0</v>
      </c>
      <c r="AQ847" s="2">
        <f>IF((2*G847 + M847 -P847 + 3*W847 + 2*Z847+2*AD847 + AG847+2*AJ847 + 4*AM847) &gt;=8,1,0)</f>
        <v>1</v>
      </c>
    </row>
    <row r="848" spans="1:43" x14ac:dyDescent="0.25">
      <c r="A848" t="s">
        <v>27</v>
      </c>
      <c r="B848" s="1">
        <v>39974</v>
      </c>
      <c r="C848" s="7">
        <f t="shared" si="148"/>
        <v>2009</v>
      </c>
      <c r="D848">
        <v>96.5</v>
      </c>
      <c r="E848">
        <v>73</v>
      </c>
      <c r="F848">
        <v>84.8</v>
      </c>
      <c r="G848" s="2">
        <f t="shared" si="157"/>
        <v>1</v>
      </c>
      <c r="H848">
        <v>93.1</v>
      </c>
      <c r="I848">
        <v>73</v>
      </c>
      <c r="J848">
        <v>83.2</v>
      </c>
      <c r="K848">
        <v>49.3</v>
      </c>
      <c r="L848">
        <v>30.5</v>
      </c>
      <c r="M848" s="2">
        <f t="shared" si="149"/>
        <v>1</v>
      </c>
      <c r="N848">
        <v>0</v>
      </c>
      <c r="P848" s="2">
        <f t="shared" si="150"/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s="2">
        <f t="shared" si="151"/>
        <v>0</v>
      </c>
      <c r="X848">
        <v>16.5</v>
      </c>
      <c r="Z848" s="2">
        <f t="shared" si="152"/>
        <v>1</v>
      </c>
      <c r="AA848">
        <v>4.2</v>
      </c>
      <c r="AB848" s="2" t="str">
        <f>CHOOSE(MATCH(AA848,{0;11;80;111;161;191;241;281;341},1),"North","NorthEast","East","SouthEast","South","SouthWest","West","NorthWest","North")</f>
        <v>North</v>
      </c>
      <c r="AC848" s="5">
        <f>CHOOSE(MATCH(AB848,{"South";"SouthEast";"SouthWest";"North";"NorthEast";"East";"West";"NorthWest"},0),1,2,3,4,5,6,7,8)</f>
        <v>4</v>
      </c>
      <c r="AD848" s="2">
        <f t="shared" si="153"/>
        <v>1</v>
      </c>
      <c r="AE848">
        <v>1014.3</v>
      </c>
      <c r="AF848" s="4" t="s">
        <v>1449</v>
      </c>
      <c r="AG848" s="2">
        <f t="shared" si="154"/>
        <v>0</v>
      </c>
      <c r="AH848" t="s">
        <v>1450</v>
      </c>
      <c r="AI848" s="2">
        <f t="shared" si="155"/>
        <v>6</v>
      </c>
      <c r="AJ848" s="2">
        <f t="shared" si="156"/>
        <v>1</v>
      </c>
      <c r="AK848" s="3">
        <v>1348.0000000039579</v>
      </c>
      <c r="AM848" s="2">
        <v>1</v>
      </c>
      <c r="AN848">
        <v>0</v>
      </c>
      <c r="AO848">
        <v>0.5</v>
      </c>
      <c r="AP848">
        <v>0</v>
      </c>
      <c r="AQ848" s="2">
        <f>IF((2*G848 + M848 -P848 + 3*W848 + 2*Z848+2*AD848 + AG848+2*AJ848 + 4*AM848) &gt;=8,1,0)</f>
        <v>1</v>
      </c>
    </row>
    <row r="849" spans="1:43" x14ac:dyDescent="0.25">
      <c r="A849" t="s">
        <v>27</v>
      </c>
      <c r="B849" s="1">
        <v>39975</v>
      </c>
      <c r="C849" s="7">
        <f t="shared" si="148"/>
        <v>2009</v>
      </c>
      <c r="D849">
        <v>92.6</v>
      </c>
      <c r="E849">
        <v>72.2</v>
      </c>
      <c r="F849">
        <v>83</v>
      </c>
      <c r="G849" s="2">
        <f t="shared" si="157"/>
        <v>1</v>
      </c>
      <c r="H849">
        <v>91.2</v>
      </c>
      <c r="I849">
        <v>72.2</v>
      </c>
      <c r="J849">
        <v>82.4</v>
      </c>
      <c r="K849">
        <v>54.7</v>
      </c>
      <c r="L849">
        <v>38.700000000000003</v>
      </c>
      <c r="M849" s="2">
        <f t="shared" si="149"/>
        <v>1</v>
      </c>
      <c r="N849">
        <v>0</v>
      </c>
      <c r="P849" s="2">
        <f t="shared" si="150"/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s="2">
        <f t="shared" si="151"/>
        <v>0</v>
      </c>
      <c r="X849">
        <v>11.1</v>
      </c>
      <c r="Z849" s="2">
        <f t="shared" si="152"/>
        <v>0</v>
      </c>
      <c r="AA849">
        <v>150.69999999999999</v>
      </c>
      <c r="AB849" s="2" t="str">
        <f>CHOOSE(MATCH(AA849,{0;11;80;111;161;191;241;281;341},1),"North","NorthEast","East","SouthEast","South","SouthWest","West","NorthWest","North")</f>
        <v>SouthEast</v>
      </c>
      <c r="AC849" s="5">
        <f>CHOOSE(MATCH(AB849,{"South";"SouthEast";"SouthWest";"North";"NorthEast";"East";"West";"NorthWest"},0),1,2,3,4,5,6,7,8)</f>
        <v>2</v>
      </c>
      <c r="AD849" s="2">
        <f t="shared" si="153"/>
        <v>0</v>
      </c>
      <c r="AE849">
        <v>1011.3</v>
      </c>
      <c r="AF849" s="4" t="s">
        <v>288</v>
      </c>
      <c r="AG849" s="2">
        <f t="shared" si="154"/>
        <v>0</v>
      </c>
      <c r="AH849" t="s">
        <v>1451</v>
      </c>
      <c r="AI849" s="2">
        <f t="shared" si="155"/>
        <v>6</v>
      </c>
      <c r="AJ849" s="2">
        <f t="shared" si="156"/>
        <v>1</v>
      </c>
      <c r="AK849" s="3">
        <v>11635.000000008151</v>
      </c>
      <c r="AM849" s="2">
        <v>1</v>
      </c>
      <c r="AN849">
        <v>15</v>
      </c>
      <c r="AO849">
        <v>0</v>
      </c>
      <c r="AP849">
        <v>0</v>
      </c>
      <c r="AQ849" s="2">
        <f>IF((2*G849 + M849 -P849 + 3*W849 + 2*Z849+2*AD849 + AG849+2*AJ849 + 4*AM849) &gt;=8,1,0)</f>
        <v>1</v>
      </c>
    </row>
    <row r="850" spans="1:43" x14ac:dyDescent="0.25">
      <c r="A850" t="s">
        <v>27</v>
      </c>
      <c r="B850" s="1">
        <v>39975</v>
      </c>
      <c r="C850" s="7">
        <f t="shared" si="148"/>
        <v>2009</v>
      </c>
      <c r="D850">
        <v>92.6</v>
      </c>
      <c r="E850">
        <v>72.2</v>
      </c>
      <c r="F850">
        <v>83</v>
      </c>
      <c r="G850" s="2">
        <f t="shared" si="157"/>
        <v>1</v>
      </c>
      <c r="H850">
        <v>91.2</v>
      </c>
      <c r="I850">
        <v>72.2</v>
      </c>
      <c r="J850">
        <v>82.4</v>
      </c>
      <c r="K850">
        <v>54.7</v>
      </c>
      <c r="L850">
        <v>38.700000000000003</v>
      </c>
      <c r="M850" s="2">
        <f t="shared" si="149"/>
        <v>1</v>
      </c>
      <c r="N850">
        <v>0</v>
      </c>
      <c r="P850" s="2">
        <f t="shared" si="150"/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s="2">
        <f t="shared" si="151"/>
        <v>0</v>
      </c>
      <c r="X850">
        <v>11.1</v>
      </c>
      <c r="Z850" s="2">
        <f t="shared" si="152"/>
        <v>0</v>
      </c>
      <c r="AA850">
        <v>150.69999999999999</v>
      </c>
      <c r="AB850" s="2" t="str">
        <f>CHOOSE(MATCH(AA850,{0;11;80;111;161;191;241;281;341},1),"North","NorthEast","East","SouthEast","South","SouthWest","West","NorthWest","North")</f>
        <v>SouthEast</v>
      </c>
      <c r="AC850" s="5">
        <f>CHOOSE(MATCH(AB850,{"South";"SouthEast";"SouthWest";"North";"NorthEast";"East";"West";"NorthWest"},0),1,2,3,4,5,6,7,8)</f>
        <v>2</v>
      </c>
      <c r="AD850" s="2">
        <f t="shared" si="153"/>
        <v>0</v>
      </c>
      <c r="AE850">
        <v>1011.3</v>
      </c>
      <c r="AF850" s="4" t="s">
        <v>1452</v>
      </c>
      <c r="AG850" s="2">
        <f t="shared" si="154"/>
        <v>1</v>
      </c>
      <c r="AH850" t="s">
        <v>1453</v>
      </c>
      <c r="AI850" s="2">
        <f t="shared" si="155"/>
        <v>6</v>
      </c>
      <c r="AJ850" s="2">
        <f t="shared" si="156"/>
        <v>1</v>
      </c>
      <c r="AK850" s="3">
        <v>960.99999999976717</v>
      </c>
      <c r="AM850" s="2">
        <v>1</v>
      </c>
      <c r="AN850">
        <v>1</v>
      </c>
      <c r="AO850">
        <v>0</v>
      </c>
      <c r="AP850">
        <v>0</v>
      </c>
      <c r="AQ850" s="2">
        <f>IF((2*G850 + M850 -P850 + 3*W850 + 2*Z850+2*AD850 + AG850+2*AJ850 + 4*AM850) &gt;=8,1,0)</f>
        <v>1</v>
      </c>
    </row>
    <row r="851" spans="1:43" x14ac:dyDescent="0.25">
      <c r="A851" t="s">
        <v>27</v>
      </c>
      <c r="B851" s="1">
        <v>39976</v>
      </c>
      <c r="C851" s="7">
        <f t="shared" si="148"/>
        <v>2009</v>
      </c>
      <c r="D851">
        <v>90.6</v>
      </c>
      <c r="E851">
        <v>70.7</v>
      </c>
      <c r="F851">
        <v>81.5</v>
      </c>
      <c r="G851" s="2">
        <f t="shared" si="157"/>
        <v>1</v>
      </c>
      <c r="H851">
        <v>89.8</v>
      </c>
      <c r="I851">
        <v>70.7</v>
      </c>
      <c r="J851">
        <v>81.2</v>
      </c>
      <c r="K851">
        <v>58</v>
      </c>
      <c r="L851">
        <v>45.9</v>
      </c>
      <c r="M851" s="2">
        <f t="shared" si="149"/>
        <v>1</v>
      </c>
      <c r="N851">
        <v>0</v>
      </c>
      <c r="P851" s="2">
        <f t="shared" si="150"/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s="2">
        <f t="shared" si="151"/>
        <v>0</v>
      </c>
      <c r="X851">
        <v>16.5</v>
      </c>
      <c r="Z851" s="2">
        <f t="shared" si="152"/>
        <v>1</v>
      </c>
      <c r="AA851">
        <v>49.4</v>
      </c>
      <c r="AB851" s="2" t="str">
        <f>CHOOSE(MATCH(AA851,{0;11;80;111;161;191;241;281;341},1),"North","NorthEast","East","SouthEast","South","SouthWest","West","NorthWest","North")</f>
        <v>NorthEast</v>
      </c>
      <c r="AC851" s="5">
        <f>CHOOSE(MATCH(AB851,{"South";"SouthEast";"SouthWest";"North";"NorthEast";"East";"West";"NorthWest"},0),1,2,3,4,5,6,7,8)</f>
        <v>5</v>
      </c>
      <c r="AD851" s="2">
        <f t="shared" si="153"/>
        <v>1</v>
      </c>
      <c r="AE851">
        <v>1007.7</v>
      </c>
      <c r="AF851" s="4" t="s">
        <v>498</v>
      </c>
      <c r="AG851" s="2">
        <f t="shared" si="154"/>
        <v>1</v>
      </c>
      <c r="AH851" t="s">
        <v>1454</v>
      </c>
      <c r="AI851" s="2">
        <f t="shared" si="155"/>
        <v>6</v>
      </c>
      <c r="AJ851" s="2">
        <f t="shared" si="156"/>
        <v>1</v>
      </c>
      <c r="AK851" s="3">
        <v>59.99999999650754</v>
      </c>
      <c r="AM851" s="2">
        <v>0</v>
      </c>
      <c r="AN851">
        <v>0</v>
      </c>
      <c r="AO851">
        <v>1</v>
      </c>
      <c r="AP851">
        <v>0</v>
      </c>
      <c r="AQ851" s="2">
        <f>IF((2*G851 + M851 -P851 + 3*W851 + 2*Z851+2*AD851 + AG851+2*AJ851 + 4*AM851) &gt;=8,1,0)</f>
        <v>1</v>
      </c>
    </row>
    <row r="852" spans="1:43" x14ac:dyDescent="0.25">
      <c r="A852" t="s">
        <v>27</v>
      </c>
      <c r="B852" s="1">
        <v>39977</v>
      </c>
      <c r="C852" s="7">
        <f t="shared" si="148"/>
        <v>2009</v>
      </c>
      <c r="D852">
        <v>85.8</v>
      </c>
      <c r="E852">
        <v>75.2</v>
      </c>
      <c r="F852">
        <v>79.5</v>
      </c>
      <c r="G852" s="2">
        <f t="shared" si="157"/>
        <v>1</v>
      </c>
      <c r="H852">
        <v>83.1</v>
      </c>
      <c r="I852">
        <v>75.2</v>
      </c>
      <c r="J852">
        <v>78.8</v>
      </c>
      <c r="K852">
        <v>50.5</v>
      </c>
      <c r="L852">
        <v>37.700000000000003</v>
      </c>
      <c r="M852" s="2">
        <f t="shared" si="149"/>
        <v>1</v>
      </c>
      <c r="N852">
        <v>0</v>
      </c>
      <c r="P852" s="2">
        <f t="shared" si="150"/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s="2">
        <f t="shared" si="151"/>
        <v>0</v>
      </c>
      <c r="X852">
        <v>19.3</v>
      </c>
      <c r="Z852" s="2">
        <f t="shared" si="152"/>
        <v>1</v>
      </c>
      <c r="AA852">
        <v>15</v>
      </c>
      <c r="AB852" s="2" t="str">
        <f>CHOOSE(MATCH(AA852,{0;11;80;111;161;191;241;281;341},1),"North","NorthEast","East","SouthEast","South","SouthWest","West","NorthWest","North")</f>
        <v>NorthEast</v>
      </c>
      <c r="AC852" s="5">
        <f>CHOOSE(MATCH(AB852,{"South";"SouthEast";"SouthWest";"North";"NorthEast";"East";"West";"NorthWest"},0),1,2,3,4,5,6,7,8)</f>
        <v>5</v>
      </c>
      <c r="AD852" s="2">
        <f t="shared" si="153"/>
        <v>1</v>
      </c>
      <c r="AE852">
        <v>1012.9</v>
      </c>
      <c r="AF852" s="4" t="s">
        <v>103</v>
      </c>
      <c r="AG852" s="2">
        <f t="shared" si="154"/>
        <v>1</v>
      </c>
      <c r="AH852" t="s">
        <v>1455</v>
      </c>
      <c r="AI852" s="2">
        <f t="shared" si="155"/>
        <v>6</v>
      </c>
      <c r="AJ852" s="2">
        <f t="shared" si="156"/>
        <v>1</v>
      </c>
      <c r="AK852" s="3">
        <v>24.99999999767169</v>
      </c>
      <c r="AM852" s="2">
        <v>0</v>
      </c>
      <c r="AN852">
        <v>0</v>
      </c>
      <c r="AO852">
        <v>0.2</v>
      </c>
      <c r="AP852">
        <v>0</v>
      </c>
      <c r="AQ852" s="2">
        <f>IF((2*G852 + M852 -P852 + 3*W852 + 2*Z852+2*AD852 + AG852+2*AJ852 + 4*AM852) &gt;=8,1,0)</f>
        <v>1</v>
      </c>
    </row>
    <row r="853" spans="1:43" x14ac:dyDescent="0.25">
      <c r="A853" t="s">
        <v>27</v>
      </c>
      <c r="B853" s="1">
        <v>39979</v>
      </c>
      <c r="C853" s="7">
        <f t="shared" si="148"/>
        <v>2009</v>
      </c>
      <c r="D853">
        <v>86.2</v>
      </c>
      <c r="E853">
        <v>67.3</v>
      </c>
      <c r="F853">
        <v>77</v>
      </c>
      <c r="G853" s="2">
        <f t="shared" si="157"/>
        <v>1</v>
      </c>
      <c r="H853">
        <v>82.9</v>
      </c>
      <c r="I853">
        <v>67.3</v>
      </c>
      <c r="J853">
        <v>76.099999999999994</v>
      </c>
      <c r="K853">
        <v>41.3</v>
      </c>
      <c r="L853">
        <v>28.9</v>
      </c>
      <c r="M853" s="2">
        <f t="shared" si="149"/>
        <v>1</v>
      </c>
      <c r="N853">
        <v>0</v>
      </c>
      <c r="P853" s="2">
        <f t="shared" si="150"/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s="2">
        <f t="shared" si="151"/>
        <v>0</v>
      </c>
      <c r="X853">
        <v>18.100000000000001</v>
      </c>
      <c r="Z853" s="2">
        <f t="shared" si="152"/>
        <v>1</v>
      </c>
      <c r="AA853">
        <v>11.2</v>
      </c>
      <c r="AB853" s="2" t="str">
        <f>CHOOSE(MATCH(AA853,{0;11;80;111;161;191;241;281;341},1),"North","NorthEast","East","SouthEast","South","SouthWest","West","NorthWest","North")</f>
        <v>NorthEast</v>
      </c>
      <c r="AC853" s="5">
        <f>CHOOSE(MATCH(AB853,{"South";"SouthEast";"SouthWest";"North";"NorthEast";"East";"West";"NorthWest"},0),1,2,3,4,5,6,7,8)</f>
        <v>5</v>
      </c>
      <c r="AD853" s="2">
        <f t="shared" si="153"/>
        <v>1</v>
      </c>
      <c r="AE853">
        <v>1019.9</v>
      </c>
      <c r="AF853" s="4" t="s">
        <v>1456</v>
      </c>
      <c r="AG853" s="2">
        <f t="shared" si="154"/>
        <v>1</v>
      </c>
      <c r="AH853" t="s">
        <v>1457</v>
      </c>
      <c r="AI853" s="2">
        <f t="shared" si="155"/>
        <v>6</v>
      </c>
      <c r="AJ853" s="2">
        <f t="shared" si="156"/>
        <v>1</v>
      </c>
      <c r="AK853" s="3">
        <v>10471.999999999531</v>
      </c>
      <c r="AM853" s="2">
        <v>1</v>
      </c>
      <c r="AN853">
        <v>0</v>
      </c>
      <c r="AO853">
        <v>7000</v>
      </c>
      <c r="AP853">
        <v>0</v>
      </c>
      <c r="AQ853" s="2">
        <f>IF((2*G853 + M853 -P853 + 3*W853 + 2*Z853+2*AD853 + AG853+2*AJ853 + 4*AM853) &gt;=8,1,0)</f>
        <v>1</v>
      </c>
    </row>
    <row r="854" spans="1:43" x14ac:dyDescent="0.25">
      <c r="A854" t="s">
        <v>27</v>
      </c>
      <c r="B854" s="1">
        <v>39979</v>
      </c>
      <c r="C854" s="7">
        <f t="shared" si="148"/>
        <v>2009</v>
      </c>
      <c r="D854">
        <v>86.2</v>
      </c>
      <c r="E854">
        <v>67.3</v>
      </c>
      <c r="F854">
        <v>77</v>
      </c>
      <c r="G854" s="2">
        <f t="shared" si="157"/>
        <v>1</v>
      </c>
      <c r="H854">
        <v>82.9</v>
      </c>
      <c r="I854">
        <v>67.3</v>
      </c>
      <c r="J854">
        <v>76.099999999999994</v>
      </c>
      <c r="K854">
        <v>41.3</v>
      </c>
      <c r="L854">
        <v>28.9</v>
      </c>
      <c r="M854" s="2">
        <f t="shared" si="149"/>
        <v>1</v>
      </c>
      <c r="N854">
        <v>0</v>
      </c>
      <c r="P854" s="2">
        <f t="shared" si="150"/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s="2">
        <f t="shared" si="151"/>
        <v>0</v>
      </c>
      <c r="X854">
        <v>18.100000000000001</v>
      </c>
      <c r="Z854" s="2">
        <f t="shared" si="152"/>
        <v>1</v>
      </c>
      <c r="AA854">
        <v>11.2</v>
      </c>
      <c r="AB854" s="2" t="str">
        <f>CHOOSE(MATCH(AA854,{0;11;80;111;161;191;241;281;341},1),"North","NorthEast","East","SouthEast","South","SouthWest","West","NorthWest","North")</f>
        <v>NorthEast</v>
      </c>
      <c r="AC854" s="5">
        <f>CHOOSE(MATCH(AB854,{"South";"SouthEast";"SouthWest";"North";"NorthEast";"East";"West";"NorthWest"},0),1,2,3,4,5,6,7,8)</f>
        <v>5</v>
      </c>
      <c r="AD854" s="2">
        <f t="shared" si="153"/>
        <v>1</v>
      </c>
      <c r="AE854">
        <v>1019.9</v>
      </c>
      <c r="AF854" s="4" t="s">
        <v>274</v>
      </c>
      <c r="AG854" s="2">
        <f t="shared" si="154"/>
        <v>1</v>
      </c>
      <c r="AH854" t="s">
        <v>1458</v>
      </c>
      <c r="AI854" s="2">
        <f t="shared" si="155"/>
        <v>6</v>
      </c>
      <c r="AJ854" s="2">
        <f t="shared" si="156"/>
        <v>1</v>
      </c>
      <c r="AK854" s="3">
        <v>1075.0000000046571</v>
      </c>
      <c r="AM854" s="2">
        <v>1</v>
      </c>
      <c r="AN854">
        <v>0</v>
      </c>
      <c r="AO854">
        <v>180</v>
      </c>
      <c r="AP854">
        <v>0</v>
      </c>
      <c r="AQ854" s="2">
        <f>IF((2*G854 + M854 -P854 + 3*W854 + 2*Z854+2*AD854 + AG854+2*AJ854 + 4*AM854) &gt;=8,1,0)</f>
        <v>1</v>
      </c>
    </row>
    <row r="855" spans="1:43" x14ac:dyDescent="0.25">
      <c r="A855" t="s">
        <v>27</v>
      </c>
      <c r="B855" s="1">
        <v>39980</v>
      </c>
      <c r="C855" s="7">
        <f t="shared" si="148"/>
        <v>2009</v>
      </c>
      <c r="D855">
        <v>90.2</v>
      </c>
      <c r="E855">
        <v>71.8</v>
      </c>
      <c r="F855">
        <v>80.5</v>
      </c>
      <c r="G855" s="2">
        <f t="shared" si="157"/>
        <v>1</v>
      </c>
      <c r="H855">
        <v>86.4</v>
      </c>
      <c r="I855">
        <v>71.8</v>
      </c>
      <c r="J855">
        <v>79</v>
      </c>
      <c r="K855">
        <v>42.7</v>
      </c>
      <c r="L855">
        <v>26.8</v>
      </c>
      <c r="M855" s="2">
        <f t="shared" si="149"/>
        <v>1</v>
      </c>
      <c r="N855">
        <v>0</v>
      </c>
      <c r="P855" s="2">
        <f t="shared" si="150"/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s="2">
        <f t="shared" si="151"/>
        <v>0</v>
      </c>
      <c r="X855">
        <v>20</v>
      </c>
      <c r="Z855" s="2">
        <f t="shared" si="152"/>
        <v>1</v>
      </c>
      <c r="AA855">
        <v>4.7</v>
      </c>
      <c r="AB855" s="2" t="str">
        <f>CHOOSE(MATCH(AA855,{0;11;80;111;161;191;241;281;341},1),"North","NorthEast","East","SouthEast","South","SouthWest","West","NorthWest","North")</f>
        <v>North</v>
      </c>
      <c r="AC855" s="5">
        <f>CHOOSE(MATCH(AB855,{"South";"SouthEast";"SouthWest";"North";"NorthEast";"East";"West";"NorthWest"},0),1,2,3,4,5,6,7,8)</f>
        <v>4</v>
      </c>
      <c r="AD855" s="2">
        <f t="shared" si="153"/>
        <v>1</v>
      </c>
      <c r="AE855">
        <v>1017.1</v>
      </c>
      <c r="AF855" s="4" t="s">
        <v>445</v>
      </c>
      <c r="AG855" s="2">
        <f t="shared" si="154"/>
        <v>1</v>
      </c>
      <c r="AH855" t="s">
        <v>1459</v>
      </c>
      <c r="AI855" s="2">
        <f t="shared" si="155"/>
        <v>6</v>
      </c>
      <c r="AJ855" s="2">
        <f t="shared" si="156"/>
        <v>1</v>
      </c>
      <c r="AK855" s="3">
        <v>2926.0000000032601</v>
      </c>
      <c r="AM855" s="2">
        <v>1</v>
      </c>
      <c r="AN855">
        <v>0</v>
      </c>
      <c r="AO855">
        <v>30</v>
      </c>
      <c r="AP855">
        <v>0</v>
      </c>
      <c r="AQ855" s="2">
        <f>IF((2*G855 + M855 -P855 + 3*W855 + 2*Z855+2*AD855 + AG855+2*AJ855 + 4*AM855) &gt;=8,1,0)</f>
        <v>1</v>
      </c>
    </row>
    <row r="856" spans="1:43" x14ac:dyDescent="0.25">
      <c r="A856" t="s">
        <v>27</v>
      </c>
      <c r="B856" s="1">
        <v>39980</v>
      </c>
      <c r="C856" s="7">
        <f t="shared" si="148"/>
        <v>2009</v>
      </c>
      <c r="D856">
        <v>90.2</v>
      </c>
      <c r="E856">
        <v>71.8</v>
      </c>
      <c r="F856">
        <v>80.5</v>
      </c>
      <c r="G856" s="2">
        <f t="shared" si="157"/>
        <v>1</v>
      </c>
      <c r="H856">
        <v>86.4</v>
      </c>
      <c r="I856">
        <v>71.8</v>
      </c>
      <c r="J856">
        <v>79</v>
      </c>
      <c r="K856">
        <v>42.7</v>
      </c>
      <c r="L856">
        <v>26.8</v>
      </c>
      <c r="M856" s="2">
        <f t="shared" si="149"/>
        <v>1</v>
      </c>
      <c r="N856">
        <v>0</v>
      </c>
      <c r="P856" s="2">
        <f t="shared" si="150"/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s="2">
        <f t="shared" si="151"/>
        <v>0</v>
      </c>
      <c r="X856">
        <v>20</v>
      </c>
      <c r="Z856" s="2">
        <f t="shared" si="152"/>
        <v>1</v>
      </c>
      <c r="AA856">
        <v>4.7</v>
      </c>
      <c r="AB856" s="2" t="str">
        <f>CHOOSE(MATCH(AA856,{0;11;80;111;161;191;241;281;341},1),"North","NorthEast","East","SouthEast","South","SouthWest","West","NorthWest","North")</f>
        <v>North</v>
      </c>
      <c r="AC856" s="5">
        <f>CHOOSE(MATCH(AB856,{"South";"SouthEast";"SouthWest";"North";"NorthEast";"East";"West";"NorthWest"},0),1,2,3,4,5,6,7,8)</f>
        <v>4</v>
      </c>
      <c r="AD856" s="2">
        <f t="shared" si="153"/>
        <v>1</v>
      </c>
      <c r="AE856">
        <v>1017.1</v>
      </c>
      <c r="AF856" s="4" t="s">
        <v>1460</v>
      </c>
      <c r="AG856" s="2">
        <f t="shared" si="154"/>
        <v>1</v>
      </c>
      <c r="AH856" t="s">
        <v>1461</v>
      </c>
      <c r="AI856" s="2">
        <f t="shared" si="155"/>
        <v>6</v>
      </c>
      <c r="AJ856" s="2">
        <f t="shared" si="156"/>
        <v>1</v>
      </c>
      <c r="AK856" s="3">
        <v>130.00000000465661</v>
      </c>
      <c r="AM856" s="2">
        <v>0</v>
      </c>
      <c r="AN856">
        <v>0</v>
      </c>
      <c r="AO856">
        <v>12</v>
      </c>
      <c r="AP856">
        <v>0</v>
      </c>
      <c r="AQ856" s="2">
        <f>IF((2*G856 + M856 -P856 + 3*W856 + 2*Z856+2*AD856 + AG856+2*AJ856 + 4*AM856) &gt;=8,1,0)</f>
        <v>1</v>
      </c>
    </row>
    <row r="857" spans="1:43" x14ac:dyDescent="0.25">
      <c r="A857" t="s">
        <v>27</v>
      </c>
      <c r="B857" s="1">
        <v>39981</v>
      </c>
      <c r="C857" s="7">
        <f t="shared" si="148"/>
        <v>2009</v>
      </c>
      <c r="D857">
        <v>96.1</v>
      </c>
      <c r="E857">
        <v>72</v>
      </c>
      <c r="F857">
        <v>84.5</v>
      </c>
      <c r="G857" s="2">
        <f t="shared" si="157"/>
        <v>1</v>
      </c>
      <c r="H857">
        <v>92.6</v>
      </c>
      <c r="I857">
        <v>72</v>
      </c>
      <c r="J857">
        <v>83</v>
      </c>
      <c r="K857">
        <v>48.4</v>
      </c>
      <c r="L857">
        <v>29.5</v>
      </c>
      <c r="M857" s="2">
        <f t="shared" si="149"/>
        <v>1</v>
      </c>
      <c r="N857">
        <v>0</v>
      </c>
      <c r="P857" s="2">
        <f t="shared" si="150"/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s="2">
        <f t="shared" si="151"/>
        <v>0</v>
      </c>
      <c r="X857">
        <v>15.2</v>
      </c>
      <c r="Z857" s="2">
        <f t="shared" si="152"/>
        <v>0</v>
      </c>
      <c r="AA857">
        <v>6.6</v>
      </c>
      <c r="AB857" s="2" t="str">
        <f>CHOOSE(MATCH(AA857,{0;11;80;111;161;191;241;281;341},1),"North","NorthEast","East","SouthEast","South","SouthWest","West","NorthWest","North")</f>
        <v>North</v>
      </c>
      <c r="AC857" s="5">
        <f>CHOOSE(MATCH(AB857,{"South";"SouthEast";"SouthWest";"North";"NorthEast";"East";"West";"NorthWest"},0),1,2,3,4,5,6,7,8)</f>
        <v>4</v>
      </c>
      <c r="AD857" s="2">
        <f t="shared" si="153"/>
        <v>1</v>
      </c>
      <c r="AE857">
        <v>1014.5</v>
      </c>
      <c r="AF857" s="4" t="s">
        <v>1315</v>
      </c>
      <c r="AG857" s="2">
        <f t="shared" si="154"/>
        <v>1</v>
      </c>
      <c r="AH857" t="s">
        <v>1462</v>
      </c>
      <c r="AI857" s="2">
        <f t="shared" si="155"/>
        <v>6</v>
      </c>
      <c r="AJ857" s="2">
        <f t="shared" si="156"/>
        <v>1</v>
      </c>
      <c r="AK857" s="3">
        <v>1473.999999995576</v>
      </c>
      <c r="AM857" s="2">
        <v>1</v>
      </c>
      <c r="AN857">
        <v>6</v>
      </c>
      <c r="AO857">
        <v>0</v>
      </c>
      <c r="AP857">
        <v>0</v>
      </c>
      <c r="AQ857" s="2">
        <f>IF((2*G857 + M857 -P857 + 3*W857 + 2*Z857+2*AD857 + AG857+2*AJ857 + 4*AM857) &gt;=8,1,0)</f>
        <v>1</v>
      </c>
    </row>
    <row r="858" spans="1:43" x14ac:dyDescent="0.25">
      <c r="A858" t="s">
        <v>27</v>
      </c>
      <c r="B858" s="1">
        <v>39982</v>
      </c>
      <c r="C858" s="7">
        <f t="shared" si="148"/>
        <v>2009</v>
      </c>
      <c r="D858">
        <v>90</v>
      </c>
      <c r="E858">
        <v>76.3</v>
      </c>
      <c r="F858">
        <v>81.8</v>
      </c>
      <c r="G858" s="2">
        <f t="shared" si="157"/>
        <v>1</v>
      </c>
      <c r="H858">
        <v>90.5</v>
      </c>
      <c r="I858">
        <v>76.3</v>
      </c>
      <c r="J858">
        <v>81.8</v>
      </c>
      <c r="K858">
        <v>58.3</v>
      </c>
      <c r="L858">
        <v>45.2</v>
      </c>
      <c r="M858" s="2">
        <f t="shared" si="149"/>
        <v>1</v>
      </c>
      <c r="N858">
        <v>0</v>
      </c>
      <c r="P858" s="2">
        <f t="shared" si="150"/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s="2">
        <f t="shared" si="151"/>
        <v>0</v>
      </c>
      <c r="X858">
        <v>20.8</v>
      </c>
      <c r="Z858" s="2">
        <f t="shared" si="152"/>
        <v>1</v>
      </c>
      <c r="AA858">
        <v>17.100000000000001</v>
      </c>
      <c r="AB858" s="2" t="str">
        <f>CHOOSE(MATCH(AA858,{0;11;80;111;161;191;241;281;341},1),"North","NorthEast","East","SouthEast","South","SouthWest","West","NorthWest","North")</f>
        <v>NorthEast</v>
      </c>
      <c r="AC858" s="5">
        <f>CHOOSE(MATCH(AB858,{"South";"SouthEast";"SouthWest";"North";"NorthEast";"East";"West";"NorthWest"},0),1,2,3,4,5,6,7,8)</f>
        <v>5</v>
      </c>
      <c r="AD858" s="2">
        <f t="shared" si="153"/>
        <v>1</v>
      </c>
      <c r="AE858">
        <v>1016.1</v>
      </c>
      <c r="AF858" s="4" t="s">
        <v>387</v>
      </c>
      <c r="AG858" s="2">
        <f t="shared" si="154"/>
        <v>0</v>
      </c>
      <c r="AH858" t="s">
        <v>1463</v>
      </c>
      <c r="AI858" s="2">
        <f t="shared" si="155"/>
        <v>6</v>
      </c>
      <c r="AJ858" s="2">
        <f t="shared" si="156"/>
        <v>1</v>
      </c>
      <c r="AK858" s="3">
        <v>50.000000005820773</v>
      </c>
      <c r="AM858" s="2">
        <v>0</v>
      </c>
      <c r="AN858">
        <v>0</v>
      </c>
      <c r="AO858">
        <v>0.2</v>
      </c>
      <c r="AP858">
        <v>0</v>
      </c>
      <c r="AQ858" s="2">
        <f>IF((2*G858 + M858 -P858 + 3*W858 + 2*Z858+2*AD858 + AG858+2*AJ858 + 4*AM858) &gt;=8,1,0)</f>
        <v>1</v>
      </c>
    </row>
    <row r="859" spans="1:43" x14ac:dyDescent="0.25">
      <c r="A859" t="s">
        <v>27</v>
      </c>
      <c r="B859" s="1">
        <v>39983</v>
      </c>
      <c r="C859" s="7">
        <f t="shared" si="148"/>
        <v>2009</v>
      </c>
      <c r="D859">
        <v>87.8</v>
      </c>
      <c r="E859">
        <v>71.900000000000006</v>
      </c>
      <c r="F859">
        <v>79.400000000000006</v>
      </c>
      <c r="G859" s="2">
        <f t="shared" si="157"/>
        <v>1</v>
      </c>
      <c r="H859">
        <v>85</v>
      </c>
      <c r="I859">
        <v>71.900000000000006</v>
      </c>
      <c r="J859">
        <v>78.400000000000006</v>
      </c>
      <c r="K859">
        <v>49</v>
      </c>
      <c r="L859">
        <v>35.799999999999997</v>
      </c>
      <c r="M859" s="2">
        <f t="shared" si="149"/>
        <v>1</v>
      </c>
      <c r="N859">
        <v>0</v>
      </c>
      <c r="P859" s="2">
        <f t="shared" si="150"/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s="2">
        <f t="shared" si="151"/>
        <v>0</v>
      </c>
      <c r="X859">
        <v>19.2</v>
      </c>
      <c r="Z859" s="2">
        <f t="shared" si="152"/>
        <v>1</v>
      </c>
      <c r="AA859">
        <v>0.1</v>
      </c>
      <c r="AB859" s="2" t="str">
        <f>CHOOSE(MATCH(AA859,{0;11;80;111;161;191;241;281;341},1),"North","NorthEast","East","SouthEast","South","SouthWest","West","NorthWest","North")</f>
        <v>North</v>
      </c>
      <c r="AC859" s="5">
        <f>CHOOSE(MATCH(AB859,{"South";"SouthEast";"SouthWest";"North";"NorthEast";"East";"West";"NorthWest"},0),1,2,3,4,5,6,7,8)</f>
        <v>4</v>
      </c>
      <c r="AD859" s="2">
        <f t="shared" si="153"/>
        <v>1</v>
      </c>
      <c r="AE859">
        <v>1017.1</v>
      </c>
      <c r="AF859" s="4" t="s">
        <v>402</v>
      </c>
      <c r="AG859" s="2">
        <f t="shared" si="154"/>
        <v>1</v>
      </c>
      <c r="AH859" t="s">
        <v>1464</v>
      </c>
      <c r="AI859" s="2">
        <f t="shared" si="155"/>
        <v>6</v>
      </c>
      <c r="AJ859" s="2">
        <f t="shared" si="156"/>
        <v>1</v>
      </c>
      <c r="AK859" s="3">
        <v>119.99999999301509</v>
      </c>
      <c r="AM859" s="2">
        <v>0</v>
      </c>
      <c r="AN859">
        <v>0</v>
      </c>
      <c r="AO859">
        <v>4</v>
      </c>
      <c r="AP859">
        <v>0</v>
      </c>
      <c r="AQ859" s="2">
        <f>IF((2*G859 + M859 -P859 + 3*W859 + 2*Z859+2*AD859 + AG859+2*AJ859 + 4*AM859) &gt;=8,1,0)</f>
        <v>1</v>
      </c>
    </row>
    <row r="860" spans="1:43" x14ac:dyDescent="0.25">
      <c r="A860" t="s">
        <v>27</v>
      </c>
      <c r="B860" s="1">
        <v>39985</v>
      </c>
      <c r="C860" s="7">
        <f t="shared" si="148"/>
        <v>2009</v>
      </c>
      <c r="D860">
        <v>88.2</v>
      </c>
      <c r="E860">
        <v>67.7</v>
      </c>
      <c r="F860">
        <v>78.2</v>
      </c>
      <c r="G860" s="2">
        <f t="shared" si="157"/>
        <v>1</v>
      </c>
      <c r="H860">
        <v>86.5</v>
      </c>
      <c r="I860">
        <v>67.7</v>
      </c>
      <c r="J860">
        <v>77.900000000000006</v>
      </c>
      <c r="K860">
        <v>57.6</v>
      </c>
      <c r="L860">
        <v>50.7</v>
      </c>
      <c r="M860" s="2">
        <f t="shared" si="149"/>
        <v>0</v>
      </c>
      <c r="N860">
        <v>0</v>
      </c>
      <c r="P860" s="2">
        <f t="shared" si="150"/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s="2">
        <f t="shared" si="151"/>
        <v>0</v>
      </c>
      <c r="X860">
        <v>14.8</v>
      </c>
      <c r="Z860" s="2">
        <f t="shared" si="152"/>
        <v>0</v>
      </c>
      <c r="AA860">
        <v>203.1</v>
      </c>
      <c r="AB860" s="2" t="str">
        <f>CHOOSE(MATCH(AA860,{0;11;80;111;161;191;241;281;341},1),"North","NorthEast","East","SouthEast","South","SouthWest","West","NorthWest","North")</f>
        <v>SouthWest</v>
      </c>
      <c r="AC860" s="5">
        <f>CHOOSE(MATCH(AB860,{"South";"SouthEast";"SouthWest";"North";"NorthEast";"East";"West";"NorthWest"},0),1,2,3,4,5,6,7,8)</f>
        <v>3</v>
      </c>
      <c r="AD860" s="2">
        <f t="shared" si="153"/>
        <v>1</v>
      </c>
      <c r="AE860">
        <v>1009.5</v>
      </c>
      <c r="AF860" s="4" t="s">
        <v>38</v>
      </c>
      <c r="AG860" s="2">
        <f t="shared" si="154"/>
        <v>1</v>
      </c>
      <c r="AH860" t="s">
        <v>1465</v>
      </c>
      <c r="AI860" s="2">
        <f t="shared" si="155"/>
        <v>6</v>
      </c>
      <c r="AJ860" s="2">
        <f t="shared" si="156"/>
        <v>1</v>
      </c>
      <c r="AK860" s="3">
        <v>238.00000000046569</v>
      </c>
      <c r="AM860" s="2">
        <v>0</v>
      </c>
      <c r="AN860">
        <v>0</v>
      </c>
      <c r="AO860">
        <v>4</v>
      </c>
      <c r="AP860">
        <v>0</v>
      </c>
      <c r="AQ860" s="2">
        <f>IF((2*G860 + M860 -P860 + 3*W860 + 2*Z860+2*AD860 + AG860+2*AJ860 + 4*AM860) &gt;=8,1,0)</f>
        <v>0</v>
      </c>
    </row>
    <row r="861" spans="1:43" x14ac:dyDescent="0.25">
      <c r="A861" t="s">
        <v>27</v>
      </c>
      <c r="B861" s="1">
        <v>39988</v>
      </c>
      <c r="C861" s="7">
        <f t="shared" si="148"/>
        <v>2009</v>
      </c>
      <c r="D861">
        <v>83.5</v>
      </c>
      <c r="E861">
        <v>64.400000000000006</v>
      </c>
      <c r="F861">
        <v>75.5</v>
      </c>
      <c r="G861" s="2">
        <f t="shared" si="157"/>
        <v>1</v>
      </c>
      <c r="H861">
        <v>82.5</v>
      </c>
      <c r="I861">
        <v>64.400000000000006</v>
      </c>
      <c r="J861">
        <v>75.2</v>
      </c>
      <c r="K861">
        <v>55.3</v>
      </c>
      <c r="L861">
        <v>52.2</v>
      </c>
      <c r="M861" s="2">
        <f t="shared" si="149"/>
        <v>0</v>
      </c>
      <c r="N861">
        <v>0</v>
      </c>
      <c r="P861" s="2">
        <f t="shared" si="150"/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s="2">
        <f t="shared" si="151"/>
        <v>0</v>
      </c>
      <c r="X861">
        <v>18</v>
      </c>
      <c r="Z861" s="2">
        <f t="shared" si="152"/>
        <v>1</v>
      </c>
      <c r="AA861">
        <v>230.1</v>
      </c>
      <c r="AB861" s="2" t="str">
        <f>CHOOSE(MATCH(AA861,{0;11;80;111;161;191;241;281;341},1),"North","NorthEast","East","SouthEast","South","SouthWest","West","NorthWest","North")</f>
        <v>SouthWest</v>
      </c>
      <c r="AC861" s="5">
        <f>CHOOSE(MATCH(AB861,{"South";"SouthEast";"SouthWest";"North";"NorthEast";"East";"West";"NorthWest"},0),1,2,3,4,5,6,7,8)</f>
        <v>3</v>
      </c>
      <c r="AD861" s="2">
        <f t="shared" si="153"/>
        <v>1</v>
      </c>
      <c r="AE861">
        <v>1006.1</v>
      </c>
      <c r="AF861" s="4" t="s">
        <v>846</v>
      </c>
      <c r="AG861" s="2">
        <f t="shared" si="154"/>
        <v>1</v>
      </c>
      <c r="AH861" t="s">
        <v>1466</v>
      </c>
      <c r="AI861" s="2">
        <f t="shared" si="155"/>
        <v>6</v>
      </c>
      <c r="AJ861" s="2">
        <f t="shared" si="156"/>
        <v>1</v>
      </c>
      <c r="AK861" s="3">
        <v>91.999999996041879</v>
      </c>
      <c r="AM861" s="2">
        <v>0</v>
      </c>
      <c r="AN861">
        <v>0</v>
      </c>
      <c r="AO861">
        <v>50</v>
      </c>
      <c r="AP861">
        <v>0</v>
      </c>
      <c r="AQ861" s="2">
        <f>IF((2*G861 + M861 -P861 + 3*W861 + 2*Z861+2*AD861 + AG861+2*AJ861 + 4*AM861) &gt;=8,1,0)</f>
        <v>1</v>
      </c>
    </row>
    <row r="862" spans="1:43" x14ac:dyDescent="0.25">
      <c r="A862" t="s">
        <v>27</v>
      </c>
      <c r="B862" s="1">
        <v>39992</v>
      </c>
      <c r="C862" s="7">
        <f t="shared" si="148"/>
        <v>2009</v>
      </c>
      <c r="D862">
        <v>86.1</v>
      </c>
      <c r="E862">
        <v>65.099999999999994</v>
      </c>
      <c r="F862">
        <v>77.3</v>
      </c>
      <c r="G862" s="2">
        <f t="shared" si="157"/>
        <v>1</v>
      </c>
      <c r="H862">
        <v>85.5</v>
      </c>
      <c r="I862">
        <v>65.099999999999994</v>
      </c>
      <c r="J862">
        <v>77.5</v>
      </c>
      <c r="K862">
        <v>60.9</v>
      </c>
      <c r="L862">
        <v>58</v>
      </c>
      <c r="M862" s="2">
        <f t="shared" si="149"/>
        <v>0</v>
      </c>
      <c r="N862">
        <v>0</v>
      </c>
      <c r="P862" s="2">
        <f t="shared" si="150"/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s="2">
        <f t="shared" si="151"/>
        <v>0</v>
      </c>
      <c r="X862">
        <v>13.7</v>
      </c>
      <c r="Z862" s="2">
        <f t="shared" si="152"/>
        <v>0</v>
      </c>
      <c r="AA862">
        <v>172.5</v>
      </c>
      <c r="AB862" s="2" t="str">
        <f>CHOOSE(MATCH(AA862,{0;11;80;111;161;191;241;281;341},1),"North","NorthEast","East","SouthEast","South","SouthWest","West","NorthWest","North")</f>
        <v>South</v>
      </c>
      <c r="AC862" s="5">
        <f>CHOOSE(MATCH(AB862,{"South";"SouthEast";"SouthWest";"North";"NorthEast";"East";"West";"NorthWest"},0),1,2,3,4,5,6,7,8)</f>
        <v>1</v>
      </c>
      <c r="AD862" s="2">
        <f t="shared" si="153"/>
        <v>0</v>
      </c>
      <c r="AE862">
        <v>1008.7</v>
      </c>
      <c r="AF862" s="4" t="s">
        <v>80</v>
      </c>
      <c r="AG862" s="2">
        <f t="shared" si="154"/>
        <v>1</v>
      </c>
      <c r="AH862" t="s">
        <v>1467</v>
      </c>
      <c r="AI862" s="2">
        <f t="shared" si="155"/>
        <v>6</v>
      </c>
      <c r="AJ862" s="2">
        <f t="shared" si="156"/>
        <v>1</v>
      </c>
      <c r="AK862" s="3">
        <v>222.99999999348071</v>
      </c>
      <c r="AM862" s="2">
        <v>0</v>
      </c>
      <c r="AN862">
        <v>3</v>
      </c>
      <c r="AO862">
        <v>0</v>
      </c>
      <c r="AP862">
        <v>0</v>
      </c>
      <c r="AQ862" s="2">
        <f>IF((2*G862 + M862 -P862 + 3*W862 + 2*Z862+2*AD862 + AG862+2*AJ862 + 4*AM862) &gt;=8,1,0)</f>
        <v>0</v>
      </c>
    </row>
    <row r="863" spans="1:43" x14ac:dyDescent="0.25">
      <c r="A863" t="s">
        <v>27</v>
      </c>
      <c r="B863" s="1">
        <v>39992</v>
      </c>
      <c r="C863" s="7">
        <f t="shared" ref="C863:C924" si="158">YEAR(B863)</f>
        <v>2009</v>
      </c>
      <c r="D863">
        <v>86.1</v>
      </c>
      <c r="E863">
        <v>65.099999999999994</v>
      </c>
      <c r="F863">
        <v>77.3</v>
      </c>
      <c r="G863" s="2">
        <f t="shared" si="157"/>
        <v>1</v>
      </c>
      <c r="H863">
        <v>85.5</v>
      </c>
      <c r="I863">
        <v>65.099999999999994</v>
      </c>
      <c r="J863">
        <v>77.5</v>
      </c>
      <c r="K863">
        <v>60.9</v>
      </c>
      <c r="L863">
        <v>58</v>
      </c>
      <c r="M863" s="2">
        <f t="shared" ref="M863:M924" si="159">IF(L863&lt;=49.3,1,0)</f>
        <v>0</v>
      </c>
      <c r="N863">
        <v>0</v>
      </c>
      <c r="P863" s="2">
        <f t="shared" ref="P863:P924" si="160">IF(N863&lt;=0.01,1,0)</f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s="2">
        <f t="shared" ref="W863:W924" si="161">IF(V863&lt;=10,0,1)</f>
        <v>0</v>
      </c>
      <c r="X863">
        <v>13.7</v>
      </c>
      <c r="Z863" s="2">
        <f t="shared" ref="Z863:Z924" si="162">IF(X863&gt;=16,1,0)</f>
        <v>0</v>
      </c>
      <c r="AA863">
        <v>172.5</v>
      </c>
      <c r="AB863" s="2" t="str">
        <f>CHOOSE(MATCH(AA863,{0;11;80;111;161;191;241;281;341},1),"North","NorthEast","East","SouthEast","South","SouthWest","West","NorthWest","North")</f>
        <v>South</v>
      </c>
      <c r="AC863" s="5">
        <f>CHOOSE(MATCH(AB863,{"South";"SouthEast";"SouthWest";"North";"NorthEast";"East";"West";"NorthWest"},0),1,2,3,4,5,6,7,8)</f>
        <v>1</v>
      </c>
      <c r="AD863" s="2">
        <f t="shared" ref="AD863:AD924" si="163">IF(OR(AC863=3,AC863=4,AC863=5,AC863=8),1,0)</f>
        <v>0</v>
      </c>
      <c r="AE863">
        <v>1008.7</v>
      </c>
      <c r="AF863" s="4" t="s">
        <v>1422</v>
      </c>
      <c r="AG863" s="2">
        <f t="shared" ref="AG863:AG924" si="164">IF(TIMEVALUE(AF863)&lt;=TIME(12,30,0),0,1)</f>
        <v>1</v>
      </c>
      <c r="AH863" t="s">
        <v>1468</v>
      </c>
      <c r="AI863" s="2">
        <f t="shared" ref="AI863:AI924" si="165">MONTH(AH863)</f>
        <v>6</v>
      </c>
      <c r="AJ863" s="2">
        <f t="shared" ref="AJ863:AJ924" si="166">IF(OR(AI863=6,AI863=7,AI863=8),1,0)</f>
        <v>1</v>
      </c>
      <c r="AK863" s="3">
        <v>426.00000000558788</v>
      </c>
      <c r="AM863" s="2">
        <v>1</v>
      </c>
      <c r="AN863">
        <v>0</v>
      </c>
      <c r="AO863">
        <v>6</v>
      </c>
      <c r="AP863">
        <v>0</v>
      </c>
      <c r="AQ863" s="2">
        <f>IF((2*G863 + M863 -P863 + 3*W863 + 2*Z863+2*AD863 + AG863+2*AJ863 + 4*AM863) &gt;=8,1,0)</f>
        <v>1</v>
      </c>
    </row>
    <row r="864" spans="1:43" x14ac:dyDescent="0.25">
      <c r="A864" t="s">
        <v>27</v>
      </c>
      <c r="B864" s="1">
        <v>39994</v>
      </c>
      <c r="C864" s="7">
        <f t="shared" si="158"/>
        <v>2009</v>
      </c>
      <c r="D864">
        <v>86.1</v>
      </c>
      <c r="E864">
        <v>66</v>
      </c>
      <c r="F864">
        <v>76.599999999999994</v>
      </c>
      <c r="G864" s="2">
        <f t="shared" si="157"/>
        <v>1</v>
      </c>
      <c r="H864">
        <v>86.1</v>
      </c>
      <c r="I864">
        <v>66</v>
      </c>
      <c r="J864">
        <v>76.7</v>
      </c>
      <c r="K864">
        <v>62.1</v>
      </c>
      <c r="L864">
        <v>62.9</v>
      </c>
      <c r="M864" s="2">
        <f t="shared" si="159"/>
        <v>0</v>
      </c>
      <c r="N864">
        <v>0</v>
      </c>
      <c r="P864" s="2">
        <f t="shared" si="160"/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s="2">
        <f t="shared" si="161"/>
        <v>0</v>
      </c>
      <c r="X864">
        <v>12.4</v>
      </c>
      <c r="Z864" s="2">
        <f t="shared" si="162"/>
        <v>0</v>
      </c>
      <c r="AA864">
        <v>168.3</v>
      </c>
      <c r="AB864" s="2" t="str">
        <f>CHOOSE(MATCH(AA864,{0;11;80;111;161;191;241;281;341},1),"North","NorthEast","East","SouthEast","South","SouthWest","West","NorthWest","North")</f>
        <v>South</v>
      </c>
      <c r="AC864" s="5">
        <f>CHOOSE(MATCH(AB864,{"South";"SouthEast";"SouthWest";"North";"NorthEast";"East";"West";"NorthWest"},0),1,2,3,4,5,6,7,8)</f>
        <v>1</v>
      </c>
      <c r="AD864" s="2">
        <f t="shared" si="163"/>
        <v>0</v>
      </c>
      <c r="AE864">
        <v>1012.6</v>
      </c>
      <c r="AF864" s="4" t="s">
        <v>32</v>
      </c>
      <c r="AG864" s="2">
        <f t="shared" si="164"/>
        <v>1</v>
      </c>
      <c r="AH864" t="s">
        <v>1469</v>
      </c>
      <c r="AI864" s="2">
        <f t="shared" si="165"/>
        <v>6</v>
      </c>
      <c r="AJ864" s="2">
        <f t="shared" si="166"/>
        <v>1</v>
      </c>
      <c r="AK864" s="3">
        <v>30.99999999627471</v>
      </c>
      <c r="AM864" s="2">
        <v>0</v>
      </c>
      <c r="AN864">
        <v>0</v>
      </c>
      <c r="AO864">
        <v>100</v>
      </c>
      <c r="AP864">
        <v>0</v>
      </c>
      <c r="AQ864" s="2">
        <f>IF((2*G864 + M864 -P864 + 3*W864 + 2*Z864+2*AD864 + AG864+2*AJ864 + 4*AM864) &gt;=8,1,0)</f>
        <v>0</v>
      </c>
    </row>
    <row r="865" spans="1:43" x14ac:dyDescent="0.25">
      <c r="A865" t="s">
        <v>27</v>
      </c>
      <c r="B865" s="1">
        <v>39994</v>
      </c>
      <c r="C865" s="7">
        <f t="shared" si="158"/>
        <v>2009</v>
      </c>
      <c r="D865">
        <v>86.1</v>
      </c>
      <c r="E865">
        <v>66</v>
      </c>
      <c r="F865">
        <v>76.599999999999994</v>
      </c>
      <c r="G865" s="2">
        <f t="shared" si="157"/>
        <v>1</v>
      </c>
      <c r="H865">
        <v>86.1</v>
      </c>
      <c r="I865">
        <v>66</v>
      </c>
      <c r="J865">
        <v>76.7</v>
      </c>
      <c r="K865">
        <v>62.1</v>
      </c>
      <c r="L865">
        <v>62.9</v>
      </c>
      <c r="M865" s="2">
        <f t="shared" si="159"/>
        <v>0</v>
      </c>
      <c r="N865">
        <v>0</v>
      </c>
      <c r="P865" s="2">
        <f t="shared" si="160"/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s="2">
        <f t="shared" si="161"/>
        <v>0</v>
      </c>
      <c r="X865">
        <v>12.4</v>
      </c>
      <c r="Z865" s="2">
        <f t="shared" si="162"/>
        <v>0</v>
      </c>
      <c r="AA865">
        <v>168.3</v>
      </c>
      <c r="AB865" s="2" t="str">
        <f>CHOOSE(MATCH(AA865,{0;11;80;111;161;191;241;281;341},1),"North","NorthEast","East","SouthEast","South","SouthWest","West","NorthWest","North")</f>
        <v>South</v>
      </c>
      <c r="AC865" s="5">
        <f>CHOOSE(MATCH(AB865,{"South";"SouthEast";"SouthWest";"North";"NorthEast";"East";"West";"NorthWest"},0),1,2,3,4,5,6,7,8)</f>
        <v>1</v>
      </c>
      <c r="AD865" s="2">
        <f t="shared" si="163"/>
        <v>0</v>
      </c>
      <c r="AE865">
        <v>1012.6</v>
      </c>
      <c r="AF865" s="4" t="s">
        <v>1470</v>
      </c>
      <c r="AG865" s="2">
        <f t="shared" si="164"/>
        <v>0</v>
      </c>
      <c r="AH865" t="s">
        <v>1471</v>
      </c>
      <c r="AI865" s="2">
        <f t="shared" si="165"/>
        <v>6</v>
      </c>
      <c r="AJ865" s="2">
        <f t="shared" si="166"/>
        <v>1</v>
      </c>
      <c r="AK865" s="3">
        <v>82.999999998137355</v>
      </c>
      <c r="AM865" s="2">
        <v>0</v>
      </c>
      <c r="AN865">
        <v>0</v>
      </c>
      <c r="AO865">
        <v>5</v>
      </c>
      <c r="AP865">
        <v>0</v>
      </c>
      <c r="AQ865" s="2">
        <f>IF((2*G865 + M865 -P865 + 3*W865 + 2*Z865+2*AD865 + AG865+2*AJ865 + 4*AM865) &gt;=8,1,0)</f>
        <v>0</v>
      </c>
    </row>
    <row r="866" spans="1:43" x14ac:dyDescent="0.25">
      <c r="A866" t="s">
        <v>27</v>
      </c>
      <c r="B866" s="1">
        <v>39997</v>
      </c>
      <c r="C866" s="7">
        <f t="shared" si="158"/>
        <v>2009</v>
      </c>
      <c r="D866">
        <v>88.6</v>
      </c>
      <c r="E866">
        <v>70.599999999999994</v>
      </c>
      <c r="F866">
        <v>80.099999999999994</v>
      </c>
      <c r="G866" s="2">
        <f t="shared" si="157"/>
        <v>1</v>
      </c>
      <c r="H866">
        <v>91</v>
      </c>
      <c r="I866">
        <v>70.599999999999994</v>
      </c>
      <c r="J866">
        <v>80.7</v>
      </c>
      <c r="K866">
        <v>62.7</v>
      </c>
      <c r="L866">
        <v>56.2</v>
      </c>
      <c r="M866" s="2">
        <f t="shared" si="159"/>
        <v>0</v>
      </c>
      <c r="N866">
        <v>0</v>
      </c>
      <c r="P866" s="2">
        <f t="shared" si="160"/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s="2">
        <f t="shared" si="161"/>
        <v>0</v>
      </c>
      <c r="X866">
        <v>10.9</v>
      </c>
      <c r="Z866" s="2">
        <f t="shared" si="162"/>
        <v>0</v>
      </c>
      <c r="AA866">
        <v>174.7</v>
      </c>
      <c r="AB866" s="2" t="str">
        <f>CHOOSE(MATCH(AA866,{0;11;80;111;161;191;241;281;341},1),"North","NorthEast","East","SouthEast","South","SouthWest","West","NorthWest","North")</f>
        <v>South</v>
      </c>
      <c r="AC866" s="5">
        <f>CHOOSE(MATCH(AB866,{"South";"SouthEast";"SouthWest";"North";"NorthEast";"East";"West";"NorthWest"},0),1,2,3,4,5,6,7,8)</f>
        <v>1</v>
      </c>
      <c r="AD866" s="2">
        <f t="shared" si="163"/>
        <v>0</v>
      </c>
      <c r="AE866">
        <v>1008.6</v>
      </c>
      <c r="AF866" s="4" t="s">
        <v>1472</v>
      </c>
      <c r="AG866" s="2">
        <f t="shared" si="164"/>
        <v>1</v>
      </c>
      <c r="AH866" t="s">
        <v>1473</v>
      </c>
      <c r="AI866" s="2">
        <f t="shared" si="165"/>
        <v>7</v>
      </c>
      <c r="AJ866" s="2">
        <f t="shared" si="166"/>
        <v>1</v>
      </c>
      <c r="AK866" s="3">
        <v>119.0000000002328</v>
      </c>
      <c r="AM866" s="2">
        <v>0</v>
      </c>
      <c r="AN866">
        <v>0</v>
      </c>
      <c r="AO866">
        <v>0.2</v>
      </c>
      <c r="AP866">
        <v>0</v>
      </c>
      <c r="AQ866" s="2">
        <f>IF((2*G866 + M866 -P866 + 3*W866 + 2*Z866+2*AD866 + AG866+2*AJ866 + 4*AM866) &gt;=8,1,0)</f>
        <v>0</v>
      </c>
    </row>
    <row r="867" spans="1:43" x14ac:dyDescent="0.25">
      <c r="A867" t="s">
        <v>27</v>
      </c>
      <c r="B867" s="1">
        <v>39998</v>
      </c>
      <c r="C867" s="7">
        <f t="shared" si="158"/>
        <v>2009</v>
      </c>
      <c r="D867">
        <v>86.2</v>
      </c>
      <c r="E867">
        <v>73</v>
      </c>
      <c r="F867">
        <v>78.7</v>
      </c>
      <c r="G867" s="2">
        <f t="shared" si="157"/>
        <v>1</v>
      </c>
      <c r="H867">
        <v>89.1</v>
      </c>
      <c r="I867">
        <v>73</v>
      </c>
      <c r="J867">
        <v>79.3</v>
      </c>
      <c r="K867">
        <v>63.4</v>
      </c>
      <c r="L867">
        <v>59.9</v>
      </c>
      <c r="M867" s="2">
        <f t="shared" si="159"/>
        <v>0</v>
      </c>
      <c r="N867">
        <v>0</v>
      </c>
      <c r="P867" s="2">
        <f t="shared" si="160"/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s="2">
        <f t="shared" si="161"/>
        <v>0</v>
      </c>
      <c r="X867">
        <v>9.8000000000000007</v>
      </c>
      <c r="Z867" s="2">
        <f t="shared" si="162"/>
        <v>0</v>
      </c>
      <c r="AA867">
        <v>311.5</v>
      </c>
      <c r="AB867" s="2" t="str">
        <f>CHOOSE(MATCH(AA867,{0;11;80;111;161;191;241;281;341},1),"North","NorthEast","East","SouthEast","South","SouthWest","West","NorthWest","North")</f>
        <v>NorthWest</v>
      </c>
      <c r="AC867" s="5">
        <f>CHOOSE(MATCH(AB867,{"South";"SouthEast";"SouthWest";"North";"NorthEast";"East";"West";"NorthWest"},0),1,2,3,4,5,6,7,8)</f>
        <v>8</v>
      </c>
      <c r="AD867" s="2">
        <f t="shared" si="163"/>
        <v>1</v>
      </c>
      <c r="AE867">
        <v>1005.6</v>
      </c>
      <c r="AF867" s="4" t="s">
        <v>1474</v>
      </c>
      <c r="AG867" s="2">
        <f t="shared" si="164"/>
        <v>1</v>
      </c>
      <c r="AH867" t="s">
        <v>1475</v>
      </c>
      <c r="AI867" s="2">
        <f t="shared" si="165"/>
        <v>7</v>
      </c>
      <c r="AJ867" s="2">
        <f t="shared" si="166"/>
        <v>1</v>
      </c>
      <c r="AK867" s="3">
        <v>98.999999997904524</v>
      </c>
      <c r="AM867" s="2">
        <v>0</v>
      </c>
      <c r="AN867">
        <v>0</v>
      </c>
      <c r="AO867">
        <v>30</v>
      </c>
      <c r="AP867">
        <v>0</v>
      </c>
      <c r="AQ867" s="2">
        <f>IF((2*G867 + M867 -P867 + 3*W867 + 2*Z867+2*AD867 + AG867+2*AJ867 + 4*AM867) &gt;=8,1,0)</f>
        <v>0</v>
      </c>
    </row>
    <row r="868" spans="1:43" x14ac:dyDescent="0.25">
      <c r="A868" t="s">
        <v>27</v>
      </c>
      <c r="B868" s="1">
        <v>40000</v>
      </c>
      <c r="C868" s="7">
        <f t="shared" si="158"/>
        <v>2009</v>
      </c>
      <c r="D868">
        <v>87.2</v>
      </c>
      <c r="E868">
        <v>71.599999999999994</v>
      </c>
      <c r="F868">
        <v>80.099999999999994</v>
      </c>
      <c r="G868" s="2">
        <f t="shared" si="157"/>
        <v>1</v>
      </c>
      <c r="H868">
        <v>89.6</v>
      </c>
      <c r="I868">
        <v>71.599999999999994</v>
      </c>
      <c r="J868">
        <v>81.099999999999994</v>
      </c>
      <c r="K868">
        <v>65.3</v>
      </c>
      <c r="L868">
        <v>62</v>
      </c>
      <c r="M868" s="2">
        <f t="shared" si="159"/>
        <v>0</v>
      </c>
      <c r="N868">
        <v>0</v>
      </c>
      <c r="P868" s="2">
        <f t="shared" si="160"/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s="2">
        <f t="shared" si="161"/>
        <v>0</v>
      </c>
      <c r="X868">
        <v>10.3</v>
      </c>
      <c r="Z868" s="2">
        <f t="shared" si="162"/>
        <v>0</v>
      </c>
      <c r="AA868">
        <v>337.7</v>
      </c>
      <c r="AB868" s="2" t="str">
        <f>CHOOSE(MATCH(AA868,{0;11;80;111;161;191;241;281;341},1),"North","NorthEast","East","SouthEast","South","SouthWest","West","NorthWest","North")</f>
        <v>NorthWest</v>
      </c>
      <c r="AC868" s="5">
        <f>CHOOSE(MATCH(AB868,{"South";"SouthEast";"SouthWest";"North";"NorthEast";"East";"West";"NorthWest"},0),1,2,3,4,5,6,7,8)</f>
        <v>8</v>
      </c>
      <c r="AD868" s="2">
        <f t="shared" si="163"/>
        <v>1</v>
      </c>
      <c r="AE868">
        <v>1006.8</v>
      </c>
      <c r="AF868" s="4" t="s">
        <v>937</v>
      </c>
      <c r="AG868" s="2">
        <f t="shared" si="164"/>
        <v>1</v>
      </c>
      <c r="AH868" t="s">
        <v>1476</v>
      </c>
      <c r="AI868" s="2">
        <f t="shared" si="165"/>
        <v>7</v>
      </c>
      <c r="AJ868" s="2">
        <f t="shared" si="166"/>
        <v>1</v>
      </c>
      <c r="AK868" s="3">
        <v>184.99999999534339</v>
      </c>
      <c r="AM868" s="2">
        <v>0</v>
      </c>
      <c r="AN868">
        <v>1</v>
      </c>
      <c r="AO868">
        <v>0</v>
      </c>
      <c r="AP868">
        <v>0</v>
      </c>
      <c r="AQ868" s="2">
        <f>IF((2*G868 + M868 -P868 + 3*W868 + 2*Z868+2*AD868 + AG868+2*AJ868 + 4*AM868) &gt;=8,1,0)</f>
        <v>0</v>
      </c>
    </row>
    <row r="869" spans="1:43" x14ac:dyDescent="0.25">
      <c r="A869" t="s">
        <v>27</v>
      </c>
      <c r="B869" s="1">
        <v>40000</v>
      </c>
      <c r="C869" s="7">
        <f t="shared" si="158"/>
        <v>2009</v>
      </c>
      <c r="D869">
        <v>87.2</v>
      </c>
      <c r="E869">
        <v>71.599999999999994</v>
      </c>
      <c r="F869">
        <v>80.099999999999994</v>
      </c>
      <c r="G869" s="2">
        <f t="shared" si="157"/>
        <v>1</v>
      </c>
      <c r="H869">
        <v>89.6</v>
      </c>
      <c r="I869">
        <v>71.599999999999994</v>
      </c>
      <c r="J869">
        <v>81.099999999999994</v>
      </c>
      <c r="K869">
        <v>65.3</v>
      </c>
      <c r="L869">
        <v>62</v>
      </c>
      <c r="M869" s="2">
        <f t="shared" si="159"/>
        <v>0</v>
      </c>
      <c r="N869">
        <v>0</v>
      </c>
      <c r="P869" s="2">
        <f t="shared" si="160"/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s="2">
        <f t="shared" si="161"/>
        <v>0</v>
      </c>
      <c r="X869">
        <v>10.3</v>
      </c>
      <c r="Z869" s="2">
        <f t="shared" si="162"/>
        <v>0</v>
      </c>
      <c r="AA869">
        <v>337.7</v>
      </c>
      <c r="AB869" s="2" t="str">
        <f>CHOOSE(MATCH(AA869,{0;11;80;111;161;191;241;281;341},1),"North","NorthEast","East","SouthEast","South","SouthWest","West","NorthWest","North")</f>
        <v>NorthWest</v>
      </c>
      <c r="AC869" s="5">
        <f>CHOOSE(MATCH(AB869,{"South";"SouthEast";"SouthWest";"North";"NorthEast";"East";"West";"NorthWest"},0),1,2,3,4,5,6,7,8)</f>
        <v>8</v>
      </c>
      <c r="AD869" s="2">
        <f t="shared" si="163"/>
        <v>1</v>
      </c>
      <c r="AE869">
        <v>1006.8</v>
      </c>
      <c r="AF869" s="4" t="s">
        <v>1477</v>
      </c>
      <c r="AG869" s="2">
        <f t="shared" si="164"/>
        <v>1</v>
      </c>
      <c r="AH869" t="s">
        <v>1478</v>
      </c>
      <c r="AI869" s="2">
        <f t="shared" si="165"/>
        <v>7</v>
      </c>
      <c r="AJ869" s="2">
        <f t="shared" si="166"/>
        <v>1</v>
      </c>
      <c r="AK869" s="3">
        <v>3777.000000000698</v>
      </c>
      <c r="AM869" s="2">
        <v>1</v>
      </c>
      <c r="AN869">
        <v>0</v>
      </c>
      <c r="AO869">
        <v>3</v>
      </c>
      <c r="AP869">
        <v>0</v>
      </c>
      <c r="AQ869" s="2">
        <f>IF((2*G869 + M869 -P869 + 3*W869 + 2*Z869+2*AD869 + AG869+2*AJ869 + 4*AM869) &gt;=8,1,0)</f>
        <v>1</v>
      </c>
    </row>
    <row r="870" spans="1:43" x14ac:dyDescent="0.25">
      <c r="A870" t="s">
        <v>27</v>
      </c>
      <c r="B870" s="1">
        <v>40004</v>
      </c>
      <c r="C870" s="7">
        <f t="shared" si="158"/>
        <v>2009</v>
      </c>
      <c r="D870">
        <v>92.7</v>
      </c>
      <c r="E870">
        <v>76.599999999999994</v>
      </c>
      <c r="F870">
        <v>85.7</v>
      </c>
      <c r="G870" s="2">
        <f t="shared" si="157"/>
        <v>1</v>
      </c>
      <c r="H870">
        <v>95.9</v>
      </c>
      <c r="I870">
        <v>76.599999999999994</v>
      </c>
      <c r="J870">
        <v>86.5</v>
      </c>
      <c r="K870">
        <v>60.8</v>
      </c>
      <c r="L870">
        <v>43.7</v>
      </c>
      <c r="M870" s="2">
        <f t="shared" si="159"/>
        <v>1</v>
      </c>
      <c r="N870">
        <v>0</v>
      </c>
      <c r="P870" s="2">
        <f t="shared" si="160"/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s="2">
        <f t="shared" si="161"/>
        <v>0</v>
      </c>
      <c r="X870">
        <v>11.4</v>
      </c>
      <c r="Z870" s="2">
        <f t="shared" si="162"/>
        <v>0</v>
      </c>
      <c r="AA870">
        <v>143.1</v>
      </c>
      <c r="AB870" s="2" t="str">
        <f>CHOOSE(MATCH(AA870,{0;11;80;111;161;191;241;281;341},1),"North","NorthEast","East","SouthEast","South","SouthWest","West","NorthWest","North")</f>
        <v>SouthEast</v>
      </c>
      <c r="AC870" s="5">
        <f>CHOOSE(MATCH(AB870,{"South";"SouthEast";"SouthWest";"North";"NorthEast";"East";"West";"NorthWest"},0),1,2,3,4,5,6,7,8)</f>
        <v>2</v>
      </c>
      <c r="AD870" s="2">
        <f t="shared" si="163"/>
        <v>0</v>
      </c>
      <c r="AE870">
        <v>1008.2</v>
      </c>
      <c r="AF870" s="4" t="s">
        <v>1479</v>
      </c>
      <c r="AG870" s="2">
        <f t="shared" si="164"/>
        <v>1</v>
      </c>
      <c r="AH870" t="s">
        <v>1480</v>
      </c>
      <c r="AI870" s="2">
        <f t="shared" si="165"/>
        <v>7</v>
      </c>
      <c r="AJ870" s="2">
        <f t="shared" si="166"/>
        <v>1</v>
      </c>
      <c r="AK870" s="3">
        <v>130.99999999743889</v>
      </c>
      <c r="AM870" s="2">
        <v>0</v>
      </c>
      <c r="AN870">
        <v>0</v>
      </c>
      <c r="AO870">
        <v>1</v>
      </c>
      <c r="AP870">
        <v>0</v>
      </c>
      <c r="AQ870" s="2">
        <f>IF((2*G870 + M870 -P870 + 3*W870 + 2*Z870+2*AD870 + AG870+2*AJ870 + 4*AM870) &gt;=8,1,0)</f>
        <v>0</v>
      </c>
    </row>
    <row r="871" spans="1:43" x14ac:dyDescent="0.25">
      <c r="A871" t="s">
        <v>27</v>
      </c>
      <c r="B871" s="1">
        <v>40008</v>
      </c>
      <c r="C871" s="7">
        <f t="shared" si="158"/>
        <v>2009</v>
      </c>
      <c r="D871">
        <v>89.3</v>
      </c>
      <c r="E871">
        <v>67.8</v>
      </c>
      <c r="F871">
        <v>79.5</v>
      </c>
      <c r="G871" s="2">
        <f t="shared" si="157"/>
        <v>1</v>
      </c>
      <c r="H871">
        <v>88.4</v>
      </c>
      <c r="I871">
        <v>67.8</v>
      </c>
      <c r="J871">
        <v>78.400000000000006</v>
      </c>
      <c r="K871">
        <v>51.4</v>
      </c>
      <c r="L871">
        <v>39.299999999999997</v>
      </c>
      <c r="M871" s="2">
        <f t="shared" si="159"/>
        <v>1</v>
      </c>
      <c r="N871">
        <v>0</v>
      </c>
      <c r="P871" s="2">
        <f t="shared" si="160"/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s="2">
        <f t="shared" si="161"/>
        <v>0</v>
      </c>
      <c r="X871">
        <v>16.600000000000001</v>
      </c>
      <c r="Z871" s="2">
        <f t="shared" si="162"/>
        <v>1</v>
      </c>
      <c r="AA871">
        <v>10.9</v>
      </c>
      <c r="AB871" s="2" t="str">
        <f>CHOOSE(MATCH(AA871,{0;11;80;111;161;191;241;281;341},1),"North","NorthEast","East","SouthEast","South","SouthWest","West","NorthWest","North")</f>
        <v>North</v>
      </c>
      <c r="AC871" s="5">
        <f>CHOOSE(MATCH(AB871,{"South";"SouthEast";"SouthWest";"North";"NorthEast";"East";"West";"NorthWest"},0),1,2,3,4,5,6,7,8)</f>
        <v>4</v>
      </c>
      <c r="AD871" s="2">
        <f t="shared" si="163"/>
        <v>1</v>
      </c>
      <c r="AE871">
        <v>1014.6</v>
      </c>
      <c r="AF871" s="4" t="s">
        <v>1403</v>
      </c>
      <c r="AG871" s="2">
        <f t="shared" si="164"/>
        <v>1</v>
      </c>
      <c r="AH871" t="s">
        <v>1481</v>
      </c>
      <c r="AI871" s="2">
        <f t="shared" si="165"/>
        <v>7</v>
      </c>
      <c r="AJ871" s="2">
        <f t="shared" si="166"/>
        <v>1</v>
      </c>
      <c r="AK871" s="3">
        <v>148.00000000046569</v>
      </c>
      <c r="AM871" s="2">
        <v>0</v>
      </c>
      <c r="AN871">
        <v>0</v>
      </c>
      <c r="AO871">
        <v>5</v>
      </c>
      <c r="AP871">
        <v>0</v>
      </c>
      <c r="AQ871" s="2">
        <f>IF((2*G871 + M871 -P871 + 3*W871 + 2*Z871+2*AD871 + AG871+2*AJ871 + 4*AM871) &gt;=8,1,0)</f>
        <v>1</v>
      </c>
    </row>
    <row r="872" spans="1:43" x14ac:dyDescent="0.25">
      <c r="A872" t="s">
        <v>27</v>
      </c>
      <c r="B872" s="1">
        <v>40009</v>
      </c>
      <c r="C872" s="7">
        <f t="shared" si="158"/>
        <v>2009</v>
      </c>
      <c r="D872">
        <v>91.2</v>
      </c>
      <c r="E872">
        <v>70.7</v>
      </c>
      <c r="F872">
        <v>82.5</v>
      </c>
      <c r="G872" s="2">
        <f t="shared" si="157"/>
        <v>1</v>
      </c>
      <c r="H872">
        <v>90.3</v>
      </c>
      <c r="I872">
        <v>70.7</v>
      </c>
      <c r="J872">
        <v>81.400000000000006</v>
      </c>
      <c r="K872">
        <v>51.3</v>
      </c>
      <c r="L872">
        <v>34.5</v>
      </c>
      <c r="M872" s="2">
        <f t="shared" si="159"/>
        <v>1</v>
      </c>
      <c r="N872">
        <v>0</v>
      </c>
      <c r="P872" s="2">
        <f t="shared" si="160"/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s="2">
        <f t="shared" si="161"/>
        <v>0</v>
      </c>
      <c r="X872">
        <v>14.4</v>
      </c>
      <c r="Z872" s="2">
        <f t="shared" si="162"/>
        <v>0</v>
      </c>
      <c r="AA872">
        <v>332.7</v>
      </c>
      <c r="AB872" s="2" t="str">
        <f>CHOOSE(MATCH(AA872,{0;11;80;111;161;191;241;281;341},1),"North","NorthEast","East","SouthEast","South","SouthWest","West","NorthWest","North")</f>
        <v>NorthWest</v>
      </c>
      <c r="AC872" s="5">
        <f>CHOOSE(MATCH(AB872,{"South";"SouthEast";"SouthWest";"North";"NorthEast";"East";"West";"NorthWest"},0),1,2,3,4,5,6,7,8)</f>
        <v>8</v>
      </c>
      <c r="AD872" s="2">
        <f t="shared" si="163"/>
        <v>1</v>
      </c>
      <c r="AE872">
        <v>1015.8</v>
      </c>
      <c r="AF872" s="4" t="s">
        <v>280</v>
      </c>
      <c r="AG872" s="2">
        <f t="shared" si="164"/>
        <v>1</v>
      </c>
      <c r="AH872" t="s">
        <v>1482</v>
      </c>
      <c r="AI872" s="2">
        <f t="shared" si="165"/>
        <v>7</v>
      </c>
      <c r="AJ872" s="2">
        <f t="shared" si="166"/>
        <v>1</v>
      </c>
      <c r="AK872" s="3">
        <v>2501.0000000009309</v>
      </c>
      <c r="AM872" s="2">
        <v>1</v>
      </c>
      <c r="AN872">
        <v>0</v>
      </c>
      <c r="AO872">
        <v>10</v>
      </c>
      <c r="AP872">
        <v>0</v>
      </c>
      <c r="AQ872" s="2">
        <f>IF((2*G872 + M872 -P872 + 3*W872 + 2*Z872+2*AD872 + AG872+2*AJ872 + 4*AM872) &gt;=8,1,0)</f>
        <v>1</v>
      </c>
    </row>
    <row r="873" spans="1:43" x14ac:dyDescent="0.25">
      <c r="A873" t="s">
        <v>27</v>
      </c>
      <c r="B873" s="1">
        <v>40009</v>
      </c>
      <c r="C873" s="7">
        <f t="shared" si="158"/>
        <v>2009</v>
      </c>
      <c r="D873">
        <v>91.2</v>
      </c>
      <c r="E873">
        <v>70.7</v>
      </c>
      <c r="F873">
        <v>82.5</v>
      </c>
      <c r="G873" s="2">
        <f t="shared" si="157"/>
        <v>1</v>
      </c>
      <c r="H873">
        <v>90.3</v>
      </c>
      <c r="I873">
        <v>70.7</v>
      </c>
      <c r="J873">
        <v>81.400000000000006</v>
      </c>
      <c r="K873">
        <v>51.3</v>
      </c>
      <c r="L873">
        <v>34.5</v>
      </c>
      <c r="M873" s="2">
        <f t="shared" si="159"/>
        <v>1</v>
      </c>
      <c r="N873">
        <v>0</v>
      </c>
      <c r="P873" s="2">
        <f t="shared" si="160"/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s="2">
        <f t="shared" si="161"/>
        <v>0</v>
      </c>
      <c r="X873">
        <v>14.4</v>
      </c>
      <c r="Z873" s="2">
        <f t="shared" si="162"/>
        <v>0</v>
      </c>
      <c r="AA873">
        <v>332.7</v>
      </c>
      <c r="AB873" s="2" t="str">
        <f>CHOOSE(MATCH(AA873,{0;11;80;111;161;191;241;281;341},1),"North","NorthEast","East","SouthEast","South","SouthWest","West","NorthWest","North")</f>
        <v>NorthWest</v>
      </c>
      <c r="AC873" s="5">
        <f>CHOOSE(MATCH(AB873,{"South";"SouthEast";"SouthWest";"North";"NorthEast";"East";"West";"NorthWest"},0),1,2,3,4,5,6,7,8)</f>
        <v>8</v>
      </c>
      <c r="AD873" s="2">
        <f t="shared" si="163"/>
        <v>1</v>
      </c>
      <c r="AE873">
        <v>1015.8</v>
      </c>
      <c r="AF873" s="4" t="s">
        <v>402</v>
      </c>
      <c r="AG873" s="2">
        <f t="shared" si="164"/>
        <v>1</v>
      </c>
      <c r="AH873" t="s">
        <v>1483</v>
      </c>
      <c r="AI873" s="2">
        <f t="shared" si="165"/>
        <v>7</v>
      </c>
      <c r="AJ873" s="2">
        <f t="shared" si="166"/>
        <v>1</v>
      </c>
      <c r="AK873" s="3">
        <v>1620</v>
      </c>
      <c r="AM873" s="2">
        <v>1</v>
      </c>
      <c r="AN873">
        <v>10</v>
      </c>
      <c r="AO873">
        <v>0</v>
      </c>
      <c r="AP873">
        <v>0</v>
      </c>
      <c r="AQ873" s="2">
        <f>IF((2*G873 + M873 -P873 + 3*W873 + 2*Z873+2*AD873 + AG873+2*AJ873 + 4*AM873) &gt;=8,1,0)</f>
        <v>1</v>
      </c>
    </row>
    <row r="874" spans="1:43" x14ac:dyDescent="0.25">
      <c r="A874" t="s">
        <v>27</v>
      </c>
      <c r="B874" s="1">
        <v>40009</v>
      </c>
      <c r="C874" s="7">
        <f t="shared" si="158"/>
        <v>2009</v>
      </c>
      <c r="D874">
        <v>91.2</v>
      </c>
      <c r="E874">
        <v>70.7</v>
      </c>
      <c r="F874">
        <v>82.5</v>
      </c>
      <c r="G874" s="2">
        <f t="shared" si="157"/>
        <v>1</v>
      </c>
      <c r="H874">
        <v>90.3</v>
      </c>
      <c r="I874">
        <v>70.7</v>
      </c>
      <c r="J874">
        <v>81.400000000000006</v>
      </c>
      <c r="K874">
        <v>51.3</v>
      </c>
      <c r="L874">
        <v>34.5</v>
      </c>
      <c r="M874" s="2">
        <f t="shared" si="159"/>
        <v>1</v>
      </c>
      <c r="N874">
        <v>0</v>
      </c>
      <c r="P874" s="2">
        <f t="shared" si="160"/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s="2">
        <f t="shared" si="161"/>
        <v>0</v>
      </c>
      <c r="X874">
        <v>14.4</v>
      </c>
      <c r="Z874" s="2">
        <f t="shared" si="162"/>
        <v>0</v>
      </c>
      <c r="AA874">
        <v>332.7</v>
      </c>
      <c r="AB874" s="2" t="str">
        <f>CHOOSE(MATCH(AA874,{0;11;80;111;161;191;241;281;341},1),"North","NorthEast","East","SouthEast","South","SouthWest","West","NorthWest","North")</f>
        <v>NorthWest</v>
      </c>
      <c r="AC874" s="5">
        <f>CHOOSE(MATCH(AB874,{"South";"SouthEast";"SouthWest";"North";"NorthEast";"East";"West";"NorthWest"},0),1,2,3,4,5,6,7,8)</f>
        <v>8</v>
      </c>
      <c r="AD874" s="2">
        <f t="shared" si="163"/>
        <v>1</v>
      </c>
      <c r="AE874">
        <v>1015.8</v>
      </c>
      <c r="AF874" s="4" t="s">
        <v>1484</v>
      </c>
      <c r="AG874" s="2">
        <f t="shared" si="164"/>
        <v>1</v>
      </c>
      <c r="AH874" t="s">
        <v>1485</v>
      </c>
      <c r="AI874" s="2">
        <f t="shared" si="165"/>
        <v>7</v>
      </c>
      <c r="AJ874" s="2">
        <f t="shared" si="166"/>
        <v>1</v>
      </c>
      <c r="AK874" s="3">
        <v>63.999999999068677</v>
      </c>
      <c r="AM874" s="2">
        <v>0</v>
      </c>
      <c r="AN874">
        <v>0</v>
      </c>
      <c r="AO874">
        <v>10</v>
      </c>
      <c r="AP874">
        <v>0</v>
      </c>
      <c r="AQ874" s="2">
        <f>IF((2*G874 + M874 -P874 + 3*W874 + 2*Z874+2*AD874 + AG874+2*AJ874 + 4*AM874) &gt;=8,1,0)</f>
        <v>0</v>
      </c>
    </row>
    <row r="875" spans="1:43" x14ac:dyDescent="0.25">
      <c r="A875" t="s">
        <v>27</v>
      </c>
      <c r="B875" s="1">
        <v>40009</v>
      </c>
      <c r="C875" s="7">
        <f t="shared" si="158"/>
        <v>2009</v>
      </c>
      <c r="D875">
        <v>91.2</v>
      </c>
      <c r="E875">
        <v>70.7</v>
      </c>
      <c r="F875">
        <v>82.5</v>
      </c>
      <c r="G875" s="2">
        <f t="shared" si="157"/>
        <v>1</v>
      </c>
      <c r="H875">
        <v>90.3</v>
      </c>
      <c r="I875">
        <v>70.7</v>
      </c>
      <c r="J875">
        <v>81.400000000000006</v>
      </c>
      <c r="K875">
        <v>51.3</v>
      </c>
      <c r="L875">
        <v>34.5</v>
      </c>
      <c r="M875" s="2">
        <f t="shared" si="159"/>
        <v>1</v>
      </c>
      <c r="N875">
        <v>0</v>
      </c>
      <c r="P875" s="2">
        <f t="shared" si="160"/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s="2">
        <f t="shared" si="161"/>
        <v>0</v>
      </c>
      <c r="X875">
        <v>14.4</v>
      </c>
      <c r="Z875" s="2">
        <f t="shared" si="162"/>
        <v>0</v>
      </c>
      <c r="AA875">
        <v>332.7</v>
      </c>
      <c r="AB875" s="2" t="str">
        <f>CHOOSE(MATCH(AA875,{0;11;80;111;161;191;241;281;341},1),"North","NorthEast","East","SouthEast","South","SouthWest","West","NorthWest","North")</f>
        <v>NorthWest</v>
      </c>
      <c r="AC875" s="5">
        <f>CHOOSE(MATCH(AB875,{"South";"SouthEast";"SouthWest";"North";"NorthEast";"East";"West";"NorthWest"},0),1,2,3,4,5,6,7,8)</f>
        <v>8</v>
      </c>
      <c r="AD875" s="2">
        <f t="shared" si="163"/>
        <v>1</v>
      </c>
      <c r="AE875">
        <v>1015.8</v>
      </c>
      <c r="AF875" s="4" t="s">
        <v>267</v>
      </c>
      <c r="AG875" s="2">
        <f t="shared" si="164"/>
        <v>0</v>
      </c>
      <c r="AH875" t="s">
        <v>1486</v>
      </c>
      <c r="AI875" s="2">
        <f t="shared" si="165"/>
        <v>7</v>
      </c>
      <c r="AJ875" s="2">
        <f t="shared" si="166"/>
        <v>1</v>
      </c>
      <c r="AK875" s="3">
        <v>45</v>
      </c>
      <c r="AM875" s="2">
        <v>0</v>
      </c>
      <c r="AN875">
        <v>0</v>
      </c>
      <c r="AO875">
        <v>5</v>
      </c>
      <c r="AP875">
        <v>0</v>
      </c>
      <c r="AQ875" s="2">
        <f>IF((2*G875 + M875 -P875 + 3*W875 + 2*Z875+2*AD875 + AG875+2*AJ875 + 4*AM875) &gt;=8,1,0)</f>
        <v>0</v>
      </c>
    </row>
    <row r="876" spans="1:43" x14ac:dyDescent="0.25">
      <c r="A876" t="s">
        <v>27</v>
      </c>
      <c r="B876" s="1">
        <v>40009</v>
      </c>
      <c r="C876" s="7">
        <f t="shared" si="158"/>
        <v>2009</v>
      </c>
      <c r="D876">
        <v>91.2</v>
      </c>
      <c r="E876">
        <v>70.7</v>
      </c>
      <c r="F876">
        <v>82.5</v>
      </c>
      <c r="G876" s="2">
        <f t="shared" si="157"/>
        <v>1</v>
      </c>
      <c r="H876">
        <v>90.3</v>
      </c>
      <c r="I876">
        <v>70.7</v>
      </c>
      <c r="J876">
        <v>81.400000000000006</v>
      </c>
      <c r="K876">
        <v>51.3</v>
      </c>
      <c r="L876">
        <v>34.5</v>
      </c>
      <c r="M876" s="2">
        <f t="shared" si="159"/>
        <v>1</v>
      </c>
      <c r="N876">
        <v>0</v>
      </c>
      <c r="P876" s="2">
        <f t="shared" si="160"/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s="2">
        <f t="shared" si="161"/>
        <v>0</v>
      </c>
      <c r="X876">
        <v>14.4</v>
      </c>
      <c r="Z876" s="2">
        <f t="shared" si="162"/>
        <v>0</v>
      </c>
      <c r="AA876">
        <v>332.7</v>
      </c>
      <c r="AB876" s="2" t="str">
        <f>CHOOSE(MATCH(AA876,{0;11;80;111;161;191;241;281;341},1),"North","NorthEast","East","SouthEast","South","SouthWest","West","NorthWest","North")</f>
        <v>NorthWest</v>
      </c>
      <c r="AC876" s="5">
        <f>CHOOSE(MATCH(AB876,{"South";"SouthEast";"SouthWest";"North";"NorthEast";"East";"West";"NorthWest"},0),1,2,3,4,5,6,7,8)</f>
        <v>8</v>
      </c>
      <c r="AD876" s="2">
        <f t="shared" si="163"/>
        <v>1</v>
      </c>
      <c r="AE876">
        <v>1015.8</v>
      </c>
      <c r="AF876" s="4" t="s">
        <v>166</v>
      </c>
      <c r="AG876" s="2">
        <f t="shared" si="164"/>
        <v>1</v>
      </c>
      <c r="AH876" t="s">
        <v>1487</v>
      </c>
      <c r="AI876" s="2">
        <f t="shared" si="165"/>
        <v>7</v>
      </c>
      <c r="AJ876" s="2">
        <f t="shared" si="166"/>
        <v>1</v>
      </c>
      <c r="AK876" s="3">
        <v>49.000000002561137</v>
      </c>
      <c r="AM876" s="2">
        <v>0</v>
      </c>
      <c r="AN876">
        <v>0</v>
      </c>
      <c r="AO876">
        <v>20</v>
      </c>
      <c r="AP876">
        <v>0</v>
      </c>
      <c r="AQ876" s="2">
        <f>IF((2*G876 + M876 -P876 + 3*W876 + 2*Z876+2*AD876 + AG876+2*AJ876 + 4*AM876) &gt;=8,1,0)</f>
        <v>0</v>
      </c>
    </row>
    <row r="877" spans="1:43" x14ac:dyDescent="0.25">
      <c r="A877" t="s">
        <v>27</v>
      </c>
      <c r="B877" s="1">
        <v>40011</v>
      </c>
      <c r="C877" s="7">
        <f t="shared" si="158"/>
        <v>2009</v>
      </c>
      <c r="D877">
        <v>95</v>
      </c>
      <c r="E877">
        <v>79.099999999999994</v>
      </c>
      <c r="F877">
        <v>86.9</v>
      </c>
      <c r="G877" s="2">
        <f t="shared" si="157"/>
        <v>1</v>
      </c>
      <c r="H877">
        <v>96.5</v>
      </c>
      <c r="I877">
        <v>79.099999999999994</v>
      </c>
      <c r="J877">
        <v>86.3</v>
      </c>
      <c r="K877">
        <v>56.6</v>
      </c>
      <c r="L877">
        <v>36.5</v>
      </c>
      <c r="M877" s="2">
        <f t="shared" si="159"/>
        <v>1</v>
      </c>
      <c r="N877">
        <v>0</v>
      </c>
      <c r="P877" s="2">
        <f t="shared" si="160"/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s="2">
        <f t="shared" si="161"/>
        <v>0</v>
      </c>
      <c r="X877">
        <v>14.6</v>
      </c>
      <c r="Z877" s="2">
        <f t="shared" si="162"/>
        <v>0</v>
      </c>
      <c r="AA877">
        <v>5.9</v>
      </c>
      <c r="AB877" s="2" t="str">
        <f>CHOOSE(MATCH(AA877,{0;11;80;111;161;191;241;281;341},1),"North","NorthEast","East","SouthEast","South","SouthWest","West","NorthWest","North")</f>
        <v>North</v>
      </c>
      <c r="AC877" s="5">
        <f>CHOOSE(MATCH(AB877,{"South";"SouthEast";"SouthWest";"North";"NorthEast";"East";"West";"NorthWest"},0),1,2,3,4,5,6,7,8)</f>
        <v>4</v>
      </c>
      <c r="AD877" s="2">
        <f t="shared" si="163"/>
        <v>1</v>
      </c>
      <c r="AE877">
        <v>1011.6</v>
      </c>
      <c r="AF877" s="4" t="s">
        <v>121</v>
      </c>
      <c r="AG877" s="2">
        <f t="shared" si="164"/>
        <v>1</v>
      </c>
      <c r="AH877" t="s">
        <v>1488</v>
      </c>
      <c r="AI877" s="2">
        <f t="shared" si="165"/>
        <v>7</v>
      </c>
      <c r="AJ877" s="2">
        <f t="shared" si="166"/>
        <v>1</v>
      </c>
      <c r="AK877" s="3">
        <v>116.9999999937136</v>
      </c>
      <c r="AM877" s="2">
        <v>0</v>
      </c>
      <c r="AN877">
        <v>0</v>
      </c>
      <c r="AO877">
        <v>4</v>
      </c>
      <c r="AP877">
        <v>0</v>
      </c>
      <c r="AQ877" s="2">
        <f>IF((2*G877 + M877 -P877 + 3*W877 + 2*Z877+2*AD877 + AG877+2*AJ877 + 4*AM877) &gt;=8,1,0)</f>
        <v>0</v>
      </c>
    </row>
    <row r="878" spans="1:43" x14ac:dyDescent="0.25">
      <c r="A878" t="s">
        <v>27</v>
      </c>
      <c r="B878" s="1">
        <v>40011</v>
      </c>
      <c r="C878" s="7">
        <f t="shared" si="158"/>
        <v>2009</v>
      </c>
      <c r="D878">
        <v>95</v>
      </c>
      <c r="E878">
        <v>79.099999999999994</v>
      </c>
      <c r="F878">
        <v>86.9</v>
      </c>
      <c r="G878" s="2">
        <f t="shared" si="157"/>
        <v>1</v>
      </c>
      <c r="H878">
        <v>96.5</v>
      </c>
      <c r="I878">
        <v>79.099999999999994</v>
      </c>
      <c r="J878">
        <v>86.3</v>
      </c>
      <c r="K878">
        <v>56.6</v>
      </c>
      <c r="L878">
        <v>36.5</v>
      </c>
      <c r="M878" s="2">
        <f t="shared" si="159"/>
        <v>1</v>
      </c>
      <c r="N878">
        <v>0</v>
      </c>
      <c r="P878" s="2">
        <f t="shared" si="160"/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s="2">
        <f t="shared" si="161"/>
        <v>0</v>
      </c>
      <c r="X878">
        <v>14.6</v>
      </c>
      <c r="Z878" s="2">
        <f t="shared" si="162"/>
        <v>0</v>
      </c>
      <c r="AA878">
        <v>5.9</v>
      </c>
      <c r="AB878" s="2" t="str">
        <f>CHOOSE(MATCH(AA878,{0;11;80;111;161;191;241;281;341},1),"North","NorthEast","East","SouthEast","South","SouthWest","West","NorthWest","North")</f>
        <v>North</v>
      </c>
      <c r="AC878" s="5">
        <f>CHOOSE(MATCH(AB878,{"South";"SouthEast";"SouthWest";"North";"NorthEast";"East";"West";"NorthWest"},0),1,2,3,4,5,6,7,8)</f>
        <v>4</v>
      </c>
      <c r="AD878" s="2">
        <f t="shared" si="163"/>
        <v>1</v>
      </c>
      <c r="AE878">
        <v>1011.6</v>
      </c>
      <c r="AF878" s="4" t="s">
        <v>1489</v>
      </c>
      <c r="AG878" s="2">
        <f t="shared" si="164"/>
        <v>1</v>
      </c>
      <c r="AH878" t="s">
        <v>1490</v>
      </c>
      <c r="AI878" s="2">
        <f t="shared" si="165"/>
        <v>7</v>
      </c>
      <c r="AJ878" s="2">
        <f t="shared" si="166"/>
        <v>1</v>
      </c>
      <c r="AK878" s="3">
        <v>77.999999992316589</v>
      </c>
      <c r="AM878" s="2">
        <v>0</v>
      </c>
      <c r="AN878">
        <v>0</v>
      </c>
      <c r="AO878">
        <v>2</v>
      </c>
      <c r="AP878">
        <v>0</v>
      </c>
      <c r="AQ878" s="2">
        <f>IF((2*G878 + M878 -P878 + 3*W878 + 2*Z878+2*AD878 + AG878+2*AJ878 + 4*AM878) &gt;=8,1,0)</f>
        <v>0</v>
      </c>
    </row>
    <row r="879" spans="1:43" x14ac:dyDescent="0.25">
      <c r="A879" t="s">
        <v>27</v>
      </c>
      <c r="B879" s="1">
        <v>40015</v>
      </c>
      <c r="C879" s="7">
        <f t="shared" si="158"/>
        <v>2009</v>
      </c>
      <c r="D879">
        <v>90</v>
      </c>
      <c r="E879">
        <v>78.3</v>
      </c>
      <c r="F879">
        <v>83.6</v>
      </c>
      <c r="G879" s="2">
        <f t="shared" si="157"/>
        <v>1</v>
      </c>
      <c r="H879">
        <v>87.7</v>
      </c>
      <c r="I879">
        <v>78.3</v>
      </c>
      <c r="J879">
        <v>82.7</v>
      </c>
      <c r="K879">
        <v>55.5</v>
      </c>
      <c r="L879">
        <v>39</v>
      </c>
      <c r="M879" s="2">
        <f t="shared" si="159"/>
        <v>1</v>
      </c>
      <c r="N879">
        <v>0</v>
      </c>
      <c r="P879" s="2">
        <f t="shared" si="160"/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s="2">
        <f t="shared" si="161"/>
        <v>0</v>
      </c>
      <c r="X879">
        <v>19.3</v>
      </c>
      <c r="Z879" s="2">
        <f t="shared" si="162"/>
        <v>1</v>
      </c>
      <c r="AA879">
        <v>9.1999999999999993</v>
      </c>
      <c r="AB879" s="2" t="str">
        <f>CHOOSE(MATCH(AA879,{0;11;80;111;161;191;241;281;341},1),"North","NorthEast","East","SouthEast","South","SouthWest","West","NorthWest","North")</f>
        <v>North</v>
      </c>
      <c r="AC879" s="5">
        <f>CHOOSE(MATCH(AB879,{"South";"SouthEast";"SouthWest";"North";"NorthEast";"East";"West";"NorthWest"},0),1,2,3,4,5,6,7,8)</f>
        <v>4</v>
      </c>
      <c r="AD879" s="2">
        <f t="shared" si="163"/>
        <v>1</v>
      </c>
      <c r="AE879">
        <v>1015.4</v>
      </c>
      <c r="AF879" s="4" t="s">
        <v>1004</v>
      </c>
      <c r="AG879" s="2">
        <f t="shared" si="164"/>
        <v>0</v>
      </c>
      <c r="AH879" t="s">
        <v>1491</v>
      </c>
      <c r="AI879" s="2">
        <f t="shared" si="165"/>
        <v>7</v>
      </c>
      <c r="AJ879" s="2">
        <f t="shared" si="166"/>
        <v>1</v>
      </c>
      <c r="AK879" s="3">
        <v>129.99999999417921</v>
      </c>
      <c r="AM879" s="2">
        <v>0</v>
      </c>
      <c r="AN879">
        <v>0</v>
      </c>
      <c r="AO879">
        <v>0.1</v>
      </c>
      <c r="AP879">
        <v>0</v>
      </c>
      <c r="AQ879" s="2">
        <f>IF((2*G879 + M879 -P879 + 3*W879 + 2*Z879+2*AD879 + AG879+2*AJ879 + 4*AM879) &gt;=8,1,0)</f>
        <v>1</v>
      </c>
    </row>
    <row r="880" spans="1:43" x14ac:dyDescent="0.25">
      <c r="A880" t="s">
        <v>27</v>
      </c>
      <c r="B880" s="1">
        <v>40016</v>
      </c>
      <c r="C880" s="7">
        <f t="shared" si="158"/>
        <v>2009</v>
      </c>
      <c r="D880">
        <v>90.4</v>
      </c>
      <c r="E880">
        <v>76.2</v>
      </c>
      <c r="F880">
        <v>82.8</v>
      </c>
      <c r="G880" s="2">
        <f t="shared" si="157"/>
        <v>1</v>
      </c>
      <c r="H880">
        <v>86.8</v>
      </c>
      <c r="I880">
        <v>76.2</v>
      </c>
      <c r="J880">
        <v>81.3</v>
      </c>
      <c r="K880">
        <v>49.4</v>
      </c>
      <c r="L880">
        <v>32.5</v>
      </c>
      <c r="M880" s="2">
        <f t="shared" si="159"/>
        <v>1</v>
      </c>
      <c r="N880">
        <v>0</v>
      </c>
      <c r="P880" s="2">
        <f t="shared" si="160"/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s="2">
        <f t="shared" si="161"/>
        <v>0</v>
      </c>
      <c r="X880">
        <v>23.2</v>
      </c>
      <c r="Z880" s="2">
        <f t="shared" si="162"/>
        <v>1</v>
      </c>
      <c r="AA880">
        <v>4.4000000000000004</v>
      </c>
      <c r="AB880" s="2" t="str">
        <f>CHOOSE(MATCH(AA880,{0;11;80;111;161;191;241;281;341},1),"North","NorthEast","East","SouthEast","South","SouthWest","West","NorthWest","North")</f>
        <v>North</v>
      </c>
      <c r="AC880" s="5">
        <f>CHOOSE(MATCH(AB880,{"South";"SouthEast";"SouthWest";"North";"NorthEast";"East";"West";"NorthWest"},0),1,2,3,4,5,6,7,8)</f>
        <v>4</v>
      </c>
      <c r="AD880" s="2">
        <f t="shared" si="163"/>
        <v>1</v>
      </c>
      <c r="AE880">
        <v>1014.8</v>
      </c>
      <c r="AF880" s="4" t="s">
        <v>123</v>
      </c>
      <c r="AG880" s="2">
        <f t="shared" si="164"/>
        <v>1</v>
      </c>
      <c r="AH880" t="s">
        <v>1492</v>
      </c>
      <c r="AI880" s="2">
        <f t="shared" si="165"/>
        <v>7</v>
      </c>
      <c r="AJ880" s="2">
        <f t="shared" si="166"/>
        <v>1</v>
      </c>
      <c r="AK880" s="3">
        <v>1469.9999999930151</v>
      </c>
      <c r="AM880" s="2">
        <v>1</v>
      </c>
      <c r="AN880">
        <v>10</v>
      </c>
      <c r="AO880">
        <v>0</v>
      </c>
      <c r="AP880">
        <v>0</v>
      </c>
      <c r="AQ880" s="2">
        <f>IF((2*G880 + M880 -P880 + 3*W880 + 2*Z880+2*AD880 + AG880+2*AJ880 + 4*AM880) &gt;=8,1,0)</f>
        <v>1</v>
      </c>
    </row>
    <row r="881" spans="1:43" x14ac:dyDescent="0.25">
      <c r="A881" t="s">
        <v>27</v>
      </c>
      <c r="B881" s="1">
        <v>40016</v>
      </c>
      <c r="C881" s="7">
        <f t="shared" si="158"/>
        <v>2009</v>
      </c>
      <c r="D881">
        <v>90.4</v>
      </c>
      <c r="E881">
        <v>76.2</v>
      </c>
      <c r="F881">
        <v>82.8</v>
      </c>
      <c r="G881" s="2">
        <f t="shared" si="157"/>
        <v>1</v>
      </c>
      <c r="H881">
        <v>86.8</v>
      </c>
      <c r="I881">
        <v>76.2</v>
      </c>
      <c r="J881">
        <v>81.3</v>
      </c>
      <c r="K881">
        <v>49.4</v>
      </c>
      <c r="L881">
        <v>32.5</v>
      </c>
      <c r="M881" s="2">
        <f t="shared" si="159"/>
        <v>1</v>
      </c>
      <c r="N881">
        <v>0</v>
      </c>
      <c r="P881" s="2">
        <f t="shared" si="160"/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s="2">
        <f t="shared" si="161"/>
        <v>0</v>
      </c>
      <c r="X881">
        <v>23.2</v>
      </c>
      <c r="Z881" s="2">
        <f t="shared" si="162"/>
        <v>1</v>
      </c>
      <c r="AA881">
        <v>4.4000000000000004</v>
      </c>
      <c r="AB881" s="2" t="str">
        <f>CHOOSE(MATCH(AA881,{0;11;80;111;161;191;241;281;341},1),"North","NorthEast","East","SouthEast","South","SouthWest","West","NorthWest","North")</f>
        <v>North</v>
      </c>
      <c r="AC881" s="5">
        <f>CHOOSE(MATCH(AB881,{"South";"SouthEast";"SouthWest";"North";"NorthEast";"East";"West";"NorthWest"},0),1,2,3,4,5,6,7,8)</f>
        <v>4</v>
      </c>
      <c r="AD881" s="2">
        <f t="shared" si="163"/>
        <v>1</v>
      </c>
      <c r="AE881">
        <v>1014.8</v>
      </c>
      <c r="AF881" s="4" t="s">
        <v>1493</v>
      </c>
      <c r="AG881" s="2">
        <f t="shared" si="164"/>
        <v>0</v>
      </c>
      <c r="AH881" t="s">
        <v>1494</v>
      </c>
      <c r="AI881" s="2">
        <f t="shared" si="165"/>
        <v>7</v>
      </c>
      <c r="AJ881" s="2">
        <f t="shared" si="166"/>
        <v>1</v>
      </c>
      <c r="AK881" s="3">
        <v>4320</v>
      </c>
      <c r="AM881" s="2">
        <v>1</v>
      </c>
      <c r="AN881">
        <v>0</v>
      </c>
      <c r="AO881">
        <v>2</v>
      </c>
      <c r="AP881">
        <v>0</v>
      </c>
      <c r="AQ881" s="2">
        <f>IF((2*G881 + M881 -P881 + 3*W881 + 2*Z881+2*AD881 + AG881+2*AJ881 + 4*AM881) &gt;=8,1,0)</f>
        <v>1</v>
      </c>
    </row>
    <row r="882" spans="1:43" x14ac:dyDescent="0.25">
      <c r="A882" t="s">
        <v>27</v>
      </c>
      <c r="B882" s="1">
        <v>40016</v>
      </c>
      <c r="C882" s="7">
        <f t="shared" si="158"/>
        <v>2009</v>
      </c>
      <c r="D882">
        <v>90.4</v>
      </c>
      <c r="E882">
        <v>76.2</v>
      </c>
      <c r="F882">
        <v>82.8</v>
      </c>
      <c r="G882" s="2">
        <f t="shared" si="157"/>
        <v>1</v>
      </c>
      <c r="H882">
        <v>86.8</v>
      </c>
      <c r="I882">
        <v>76.2</v>
      </c>
      <c r="J882">
        <v>81.3</v>
      </c>
      <c r="K882">
        <v>49.4</v>
      </c>
      <c r="L882">
        <v>32.5</v>
      </c>
      <c r="M882" s="2">
        <f t="shared" si="159"/>
        <v>1</v>
      </c>
      <c r="N882">
        <v>0</v>
      </c>
      <c r="P882" s="2">
        <f t="shared" si="160"/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s="2">
        <f t="shared" si="161"/>
        <v>0</v>
      </c>
      <c r="X882">
        <v>23.2</v>
      </c>
      <c r="Z882" s="2">
        <f t="shared" si="162"/>
        <v>1</v>
      </c>
      <c r="AA882">
        <v>4.4000000000000004</v>
      </c>
      <c r="AB882" s="2" t="str">
        <f>CHOOSE(MATCH(AA882,{0;11;80;111;161;191;241;281;341},1),"North","NorthEast","East","SouthEast","South","SouthWest","West","NorthWest","North")</f>
        <v>North</v>
      </c>
      <c r="AC882" s="5">
        <f>CHOOSE(MATCH(AB882,{"South";"SouthEast";"SouthWest";"North";"NorthEast";"East";"West";"NorthWest"},0),1,2,3,4,5,6,7,8)</f>
        <v>4</v>
      </c>
      <c r="AD882" s="2">
        <f t="shared" si="163"/>
        <v>1</v>
      </c>
      <c r="AE882">
        <v>1014.8</v>
      </c>
      <c r="AF882" s="4" t="s">
        <v>315</v>
      </c>
      <c r="AG882" s="2">
        <f t="shared" si="164"/>
        <v>1</v>
      </c>
      <c r="AH882" t="s">
        <v>1495</v>
      </c>
      <c r="AI882" s="2">
        <f t="shared" si="165"/>
        <v>7</v>
      </c>
      <c r="AJ882" s="2">
        <f t="shared" si="166"/>
        <v>1</v>
      </c>
      <c r="AK882" s="3">
        <v>79.999999998835847</v>
      </c>
      <c r="AM882" s="2">
        <v>0</v>
      </c>
      <c r="AN882">
        <v>0</v>
      </c>
      <c r="AO882">
        <v>0.1</v>
      </c>
      <c r="AP882">
        <v>0</v>
      </c>
      <c r="AQ882" s="2">
        <f>IF((2*G882 + M882 -P882 + 3*W882 + 2*Z882+2*AD882 + AG882+2*AJ882 + 4*AM882) &gt;=8,1,0)</f>
        <v>1</v>
      </c>
    </row>
    <row r="883" spans="1:43" x14ac:dyDescent="0.25">
      <c r="A883" t="s">
        <v>27</v>
      </c>
      <c r="B883" s="1">
        <v>40017</v>
      </c>
      <c r="C883" s="7">
        <f t="shared" si="158"/>
        <v>2009</v>
      </c>
      <c r="D883">
        <v>93.3</v>
      </c>
      <c r="E883">
        <v>78.599999999999994</v>
      </c>
      <c r="F883">
        <v>84.7</v>
      </c>
      <c r="G883" s="2">
        <f t="shared" si="157"/>
        <v>1</v>
      </c>
      <c r="H883">
        <v>89.7</v>
      </c>
      <c r="I883">
        <v>78.599999999999994</v>
      </c>
      <c r="J883">
        <v>82.7</v>
      </c>
      <c r="K883">
        <v>48.2</v>
      </c>
      <c r="L883">
        <v>29.2</v>
      </c>
      <c r="M883" s="2">
        <f t="shared" si="159"/>
        <v>1</v>
      </c>
      <c r="N883">
        <v>0</v>
      </c>
      <c r="P883" s="2">
        <f t="shared" si="160"/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s="2">
        <f t="shared" si="161"/>
        <v>0</v>
      </c>
      <c r="X883">
        <v>24.5</v>
      </c>
      <c r="Z883" s="2">
        <f t="shared" si="162"/>
        <v>1</v>
      </c>
      <c r="AA883">
        <v>359.3</v>
      </c>
      <c r="AB883" s="2" t="str">
        <f>CHOOSE(MATCH(AA883,{0;11;80;111;161;191;241;281;341},1),"North","NorthEast","East","SouthEast","South","SouthWest","West","NorthWest","North")</f>
        <v>North</v>
      </c>
      <c r="AC883" s="5">
        <f>CHOOSE(MATCH(AB883,{"South";"SouthEast";"SouthWest";"North";"NorthEast";"East";"West";"NorthWest"},0),1,2,3,4,5,6,7,8)</f>
        <v>4</v>
      </c>
      <c r="AD883" s="2">
        <f t="shared" si="163"/>
        <v>1</v>
      </c>
      <c r="AE883">
        <v>1013.6</v>
      </c>
      <c r="AF883" s="4" t="s">
        <v>1477</v>
      </c>
      <c r="AG883" s="2">
        <f t="shared" si="164"/>
        <v>1</v>
      </c>
      <c r="AH883" t="s">
        <v>1496</v>
      </c>
      <c r="AI883" s="2">
        <f t="shared" si="165"/>
        <v>7</v>
      </c>
      <c r="AJ883" s="2">
        <f t="shared" si="166"/>
        <v>1</v>
      </c>
      <c r="AK883" s="3">
        <v>3057.000000000698</v>
      </c>
      <c r="AM883" s="2">
        <v>1</v>
      </c>
      <c r="AN883">
        <v>0</v>
      </c>
      <c r="AO883">
        <v>1</v>
      </c>
      <c r="AP883">
        <v>0</v>
      </c>
      <c r="AQ883" s="2">
        <f>IF((2*G883 + M883 -P883 + 3*W883 + 2*Z883+2*AD883 + AG883+2*AJ883 + 4*AM883) &gt;=8,1,0)</f>
        <v>1</v>
      </c>
    </row>
    <row r="884" spans="1:43" x14ac:dyDescent="0.25">
      <c r="A884" t="s">
        <v>27</v>
      </c>
      <c r="B884" s="1">
        <v>40020</v>
      </c>
      <c r="C884" s="7">
        <f t="shared" si="158"/>
        <v>2009</v>
      </c>
      <c r="D884">
        <v>97.4</v>
      </c>
      <c r="E884">
        <v>76.900000000000006</v>
      </c>
      <c r="F884">
        <v>86.5</v>
      </c>
      <c r="G884" s="2">
        <f t="shared" si="157"/>
        <v>1</v>
      </c>
      <c r="H884">
        <v>98.9</v>
      </c>
      <c r="I884">
        <v>76.900000000000006</v>
      </c>
      <c r="J884">
        <v>86.5</v>
      </c>
      <c r="K884">
        <v>59.3</v>
      </c>
      <c r="L884">
        <v>40.700000000000003</v>
      </c>
      <c r="M884" s="2">
        <f t="shared" si="159"/>
        <v>1</v>
      </c>
      <c r="N884">
        <v>0</v>
      </c>
      <c r="P884" s="2">
        <f t="shared" si="160"/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s="2">
        <f t="shared" si="161"/>
        <v>0</v>
      </c>
      <c r="X884">
        <v>22.5</v>
      </c>
      <c r="Z884" s="2">
        <f t="shared" si="162"/>
        <v>1</v>
      </c>
      <c r="AA884">
        <v>16.7</v>
      </c>
      <c r="AB884" s="2" t="str">
        <f>CHOOSE(MATCH(AA884,{0;11;80;111;161;191;241;281;341},1),"North","NorthEast","East","SouthEast","South","SouthWest","West","NorthWest","North")</f>
        <v>NorthEast</v>
      </c>
      <c r="AC884" s="5">
        <f>CHOOSE(MATCH(AB884,{"South";"SouthEast";"SouthWest";"North";"NorthEast";"East";"West";"NorthWest"},0),1,2,3,4,5,6,7,8)</f>
        <v>5</v>
      </c>
      <c r="AD884" s="2">
        <f t="shared" si="163"/>
        <v>1</v>
      </c>
      <c r="AE884">
        <v>1008.5</v>
      </c>
      <c r="AF884" s="4" t="s">
        <v>1497</v>
      </c>
      <c r="AG884" s="2">
        <f t="shared" si="164"/>
        <v>0</v>
      </c>
      <c r="AH884" t="s">
        <v>1498</v>
      </c>
      <c r="AI884" s="2">
        <f t="shared" si="165"/>
        <v>7</v>
      </c>
      <c r="AJ884" s="2">
        <f t="shared" si="166"/>
        <v>1</v>
      </c>
      <c r="AK884" s="3">
        <v>87.000000000698492</v>
      </c>
      <c r="AM884" s="2">
        <v>0</v>
      </c>
      <c r="AN884">
        <v>0</v>
      </c>
      <c r="AO884">
        <v>1</v>
      </c>
      <c r="AP884">
        <v>0</v>
      </c>
      <c r="AQ884" s="2">
        <f>IF((2*G884 + M884 -P884 + 3*W884 + 2*Z884+2*AD884 + AG884+2*AJ884 + 4*AM884) &gt;=8,1,0)</f>
        <v>1</v>
      </c>
    </row>
    <row r="885" spans="1:43" x14ac:dyDescent="0.25">
      <c r="A885" t="s">
        <v>27</v>
      </c>
      <c r="B885" s="1">
        <v>40020</v>
      </c>
      <c r="C885" s="7">
        <f t="shared" si="158"/>
        <v>2009</v>
      </c>
      <c r="D885">
        <v>97.4</v>
      </c>
      <c r="E885">
        <v>76.900000000000006</v>
      </c>
      <c r="F885">
        <v>86.5</v>
      </c>
      <c r="G885" s="2">
        <f t="shared" si="157"/>
        <v>1</v>
      </c>
      <c r="H885">
        <v>98.9</v>
      </c>
      <c r="I885">
        <v>76.900000000000006</v>
      </c>
      <c r="J885">
        <v>86.5</v>
      </c>
      <c r="K885">
        <v>59.3</v>
      </c>
      <c r="L885">
        <v>40.700000000000003</v>
      </c>
      <c r="M885" s="2">
        <f t="shared" si="159"/>
        <v>1</v>
      </c>
      <c r="N885">
        <v>0</v>
      </c>
      <c r="P885" s="2">
        <f t="shared" si="160"/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s="2">
        <f t="shared" si="161"/>
        <v>0</v>
      </c>
      <c r="X885">
        <v>22.5</v>
      </c>
      <c r="Z885" s="2">
        <f t="shared" si="162"/>
        <v>1</v>
      </c>
      <c r="AA885">
        <v>16.7</v>
      </c>
      <c r="AB885" s="2" t="str">
        <f>CHOOSE(MATCH(AA885,{0;11;80;111;161;191;241;281;341},1),"North","NorthEast","East","SouthEast","South","SouthWest","West","NorthWest","North")</f>
        <v>NorthEast</v>
      </c>
      <c r="AC885" s="5">
        <f>CHOOSE(MATCH(AB885,{"South";"SouthEast";"SouthWest";"North";"NorthEast";"East";"West";"NorthWest"},0),1,2,3,4,5,6,7,8)</f>
        <v>5</v>
      </c>
      <c r="AD885" s="2">
        <f t="shared" si="163"/>
        <v>1</v>
      </c>
      <c r="AE885">
        <v>1008.5</v>
      </c>
      <c r="AF885" s="4" t="s">
        <v>995</v>
      </c>
      <c r="AG885" s="2">
        <f t="shared" si="164"/>
        <v>1</v>
      </c>
      <c r="AH885" t="s">
        <v>1499</v>
      </c>
      <c r="AI885" s="2">
        <f t="shared" si="165"/>
        <v>7</v>
      </c>
      <c r="AJ885" s="2">
        <f t="shared" si="166"/>
        <v>1</v>
      </c>
      <c r="AK885" s="3">
        <v>2572.0000000018631</v>
      </c>
      <c r="AM885" s="2">
        <v>1</v>
      </c>
      <c r="AN885">
        <v>0</v>
      </c>
      <c r="AO885">
        <v>10</v>
      </c>
      <c r="AP885">
        <v>0</v>
      </c>
      <c r="AQ885" s="2">
        <f>IF((2*G885 + M885 -P885 + 3*W885 + 2*Z885+2*AD885 + AG885+2*AJ885 + 4*AM885) &gt;=8,1,0)</f>
        <v>1</v>
      </c>
    </row>
    <row r="886" spans="1:43" x14ac:dyDescent="0.25">
      <c r="A886" t="s">
        <v>27</v>
      </c>
      <c r="B886" s="1">
        <v>40022</v>
      </c>
      <c r="C886" s="7">
        <f t="shared" si="158"/>
        <v>2009</v>
      </c>
      <c r="D886">
        <v>88.8</v>
      </c>
      <c r="E886">
        <v>74.7</v>
      </c>
      <c r="F886">
        <v>81.3</v>
      </c>
      <c r="G886" s="2">
        <f t="shared" si="157"/>
        <v>1</v>
      </c>
      <c r="H886">
        <v>85.8</v>
      </c>
      <c r="I886">
        <v>74.7</v>
      </c>
      <c r="J886">
        <v>80</v>
      </c>
      <c r="K886">
        <v>49.6</v>
      </c>
      <c r="L886">
        <v>34.6</v>
      </c>
      <c r="M886" s="2">
        <f t="shared" si="159"/>
        <v>1</v>
      </c>
      <c r="N886">
        <v>0</v>
      </c>
      <c r="P886" s="2">
        <f t="shared" si="160"/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s="2">
        <f t="shared" si="161"/>
        <v>0</v>
      </c>
      <c r="X886">
        <v>21.9</v>
      </c>
      <c r="Z886" s="2">
        <f t="shared" si="162"/>
        <v>1</v>
      </c>
      <c r="AA886">
        <v>0.2</v>
      </c>
      <c r="AB886" s="2" t="str">
        <f>CHOOSE(MATCH(AA886,{0;11;80;111;161;191;241;281;341},1),"North","NorthEast","East","SouthEast","South","SouthWest","West","NorthWest","North")</f>
        <v>North</v>
      </c>
      <c r="AC886" s="5">
        <f>CHOOSE(MATCH(AB886,{"South";"SouthEast";"SouthWest";"North";"NorthEast";"East";"West";"NorthWest"},0),1,2,3,4,5,6,7,8)</f>
        <v>4</v>
      </c>
      <c r="AD886" s="2">
        <f t="shared" si="163"/>
        <v>1</v>
      </c>
      <c r="AE886">
        <v>1014.2</v>
      </c>
      <c r="AF886" s="4" t="s">
        <v>1500</v>
      </c>
      <c r="AG886" s="2">
        <f t="shared" si="164"/>
        <v>1</v>
      </c>
      <c r="AH886" t="s">
        <v>1501</v>
      </c>
      <c r="AI886" s="2">
        <f t="shared" si="165"/>
        <v>7</v>
      </c>
      <c r="AJ886" s="2">
        <f t="shared" si="166"/>
        <v>1</v>
      </c>
      <c r="AK886" s="3">
        <v>2949.9999999976721</v>
      </c>
      <c r="AM886" s="2">
        <v>1</v>
      </c>
      <c r="AN886">
        <v>150</v>
      </c>
      <c r="AO886">
        <v>0</v>
      </c>
      <c r="AP886">
        <v>0</v>
      </c>
      <c r="AQ886" s="2">
        <f>IF((2*G886 + M886 -P886 + 3*W886 + 2*Z886+2*AD886 + AG886+2*AJ886 + 4*AM886) &gt;=8,1,0)</f>
        <v>1</v>
      </c>
    </row>
    <row r="887" spans="1:43" x14ac:dyDescent="0.25">
      <c r="A887" t="s">
        <v>27</v>
      </c>
      <c r="B887" s="1">
        <v>40023</v>
      </c>
      <c r="C887" s="7">
        <f t="shared" si="158"/>
        <v>2009</v>
      </c>
      <c r="D887">
        <v>91.5</v>
      </c>
      <c r="E887">
        <v>75.8</v>
      </c>
      <c r="F887">
        <v>82.5</v>
      </c>
      <c r="G887" s="2">
        <f t="shared" si="157"/>
        <v>1</v>
      </c>
      <c r="H887">
        <v>87.9</v>
      </c>
      <c r="I887">
        <v>75.8</v>
      </c>
      <c r="J887">
        <v>81.099999999999994</v>
      </c>
      <c r="K887">
        <v>48.9</v>
      </c>
      <c r="L887">
        <v>31.7</v>
      </c>
      <c r="M887" s="2">
        <f t="shared" si="159"/>
        <v>1</v>
      </c>
      <c r="N887">
        <v>0</v>
      </c>
      <c r="P887" s="2">
        <f t="shared" si="160"/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s="2">
        <f t="shared" si="161"/>
        <v>0</v>
      </c>
      <c r="X887">
        <v>24.3</v>
      </c>
      <c r="Z887" s="2">
        <f t="shared" si="162"/>
        <v>1</v>
      </c>
      <c r="AA887">
        <v>358.3</v>
      </c>
      <c r="AB887" s="2" t="str">
        <f>CHOOSE(MATCH(AA887,{0;11;80;111;161;191;241;281;341},1),"North","NorthEast","East","SouthEast","South","SouthWest","West","NorthWest","North")</f>
        <v>North</v>
      </c>
      <c r="AC887" s="5">
        <f>CHOOSE(MATCH(AB887,{"South";"SouthEast";"SouthWest";"North";"NorthEast";"East";"West";"NorthWest"},0),1,2,3,4,5,6,7,8)</f>
        <v>4</v>
      </c>
      <c r="AD887" s="2">
        <f t="shared" si="163"/>
        <v>1</v>
      </c>
      <c r="AE887">
        <v>1012.7</v>
      </c>
      <c r="AF887" s="4" t="s">
        <v>995</v>
      </c>
      <c r="AG887" s="2">
        <f t="shared" si="164"/>
        <v>1</v>
      </c>
      <c r="AH887" t="s">
        <v>1502</v>
      </c>
      <c r="AI887" s="2">
        <f t="shared" si="165"/>
        <v>7</v>
      </c>
      <c r="AJ887" s="2">
        <f t="shared" si="166"/>
        <v>1</v>
      </c>
      <c r="AK887" s="3">
        <v>1212.000000000698</v>
      </c>
      <c r="AM887" s="2">
        <v>1</v>
      </c>
      <c r="AN887">
        <v>0</v>
      </c>
      <c r="AO887">
        <v>0.3</v>
      </c>
      <c r="AP887">
        <v>0</v>
      </c>
      <c r="AQ887" s="2">
        <f>IF((2*G887 + M887 -P887 + 3*W887 + 2*Z887+2*AD887 + AG887+2*AJ887 + 4*AM887) &gt;=8,1,0)</f>
        <v>1</v>
      </c>
    </row>
    <row r="888" spans="1:43" x14ac:dyDescent="0.25">
      <c r="A888" t="s">
        <v>27</v>
      </c>
      <c r="B888" s="1">
        <v>40024</v>
      </c>
      <c r="C888" s="7">
        <f t="shared" si="158"/>
        <v>2009</v>
      </c>
      <c r="D888">
        <v>88.7</v>
      </c>
      <c r="E888">
        <v>77.599999999999994</v>
      </c>
      <c r="F888">
        <v>82.7</v>
      </c>
      <c r="G888" s="2">
        <f t="shared" si="157"/>
        <v>1</v>
      </c>
      <c r="H888">
        <v>85.5</v>
      </c>
      <c r="I888">
        <v>77.599999999999994</v>
      </c>
      <c r="J888">
        <v>81.400000000000006</v>
      </c>
      <c r="K888">
        <v>51.1</v>
      </c>
      <c r="L888">
        <v>34.299999999999997</v>
      </c>
      <c r="M888" s="2">
        <f t="shared" si="159"/>
        <v>1</v>
      </c>
      <c r="N888">
        <v>0</v>
      </c>
      <c r="P888" s="2">
        <f t="shared" si="160"/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s="2">
        <f t="shared" si="161"/>
        <v>0</v>
      </c>
      <c r="X888">
        <v>22.1</v>
      </c>
      <c r="Z888" s="2">
        <f t="shared" si="162"/>
        <v>1</v>
      </c>
      <c r="AA888">
        <v>358.3</v>
      </c>
      <c r="AB888" s="2" t="str">
        <f>CHOOSE(MATCH(AA888,{0;11;80;111;161;191;241;281;341},1),"North","NorthEast","East","SouthEast","South","SouthWest","West","NorthWest","North")</f>
        <v>North</v>
      </c>
      <c r="AC888" s="5">
        <f>CHOOSE(MATCH(AB888,{"South";"SouthEast";"SouthWest";"North";"NorthEast";"East";"West";"NorthWest"},0),1,2,3,4,5,6,7,8)</f>
        <v>4</v>
      </c>
      <c r="AD888" s="2">
        <f t="shared" si="163"/>
        <v>1</v>
      </c>
      <c r="AE888">
        <v>1013</v>
      </c>
      <c r="AF888" s="4" t="s">
        <v>498</v>
      </c>
      <c r="AG888" s="2">
        <f t="shared" si="164"/>
        <v>1</v>
      </c>
      <c r="AH888" t="s">
        <v>1503</v>
      </c>
      <c r="AI888" s="2">
        <f t="shared" si="165"/>
        <v>7</v>
      </c>
      <c r="AJ888" s="2">
        <f t="shared" si="166"/>
        <v>1</v>
      </c>
      <c r="AK888" s="3">
        <v>274.99999999534339</v>
      </c>
      <c r="AM888" s="2">
        <v>0</v>
      </c>
      <c r="AN888">
        <v>0</v>
      </c>
      <c r="AO888">
        <v>5</v>
      </c>
      <c r="AP888">
        <v>0</v>
      </c>
      <c r="AQ888" s="2">
        <f>IF((2*G888 + M888 -P888 + 3*W888 + 2*Z888+2*AD888 + AG888+2*AJ888 + 4*AM888) &gt;=8,1,0)</f>
        <v>1</v>
      </c>
    </row>
    <row r="889" spans="1:43" x14ac:dyDescent="0.25">
      <c r="A889" t="s">
        <v>27</v>
      </c>
      <c r="B889" s="1">
        <v>40027</v>
      </c>
      <c r="C889" s="7">
        <f t="shared" si="158"/>
        <v>2009</v>
      </c>
      <c r="D889">
        <v>92.5</v>
      </c>
      <c r="E889">
        <v>77.3</v>
      </c>
      <c r="F889">
        <v>85.3</v>
      </c>
      <c r="G889" s="2">
        <f t="shared" si="157"/>
        <v>1</v>
      </c>
      <c r="H889">
        <v>90.5</v>
      </c>
      <c r="I889">
        <v>77.3</v>
      </c>
      <c r="J889">
        <v>84.2</v>
      </c>
      <c r="K889">
        <v>55</v>
      </c>
      <c r="L889">
        <v>36.1</v>
      </c>
      <c r="M889" s="2">
        <f t="shared" si="159"/>
        <v>1</v>
      </c>
      <c r="N889">
        <v>0</v>
      </c>
      <c r="P889" s="2">
        <f t="shared" si="160"/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s="2">
        <f t="shared" si="161"/>
        <v>0</v>
      </c>
      <c r="X889">
        <v>18.3</v>
      </c>
      <c r="Z889" s="2">
        <f t="shared" si="162"/>
        <v>1</v>
      </c>
      <c r="AA889">
        <v>7.3</v>
      </c>
      <c r="AB889" s="2" t="str">
        <f>CHOOSE(MATCH(AA889,{0;11;80;111;161;191;241;281;341},1),"North","NorthEast","East","SouthEast","South","SouthWest","West","NorthWest","North")</f>
        <v>North</v>
      </c>
      <c r="AC889" s="5">
        <f>CHOOSE(MATCH(AB889,{"South";"SouthEast";"SouthWest";"North";"NorthEast";"East";"West";"NorthWest"},0),1,2,3,4,5,6,7,8)</f>
        <v>4</v>
      </c>
      <c r="AD889" s="2">
        <f t="shared" si="163"/>
        <v>1</v>
      </c>
      <c r="AE889">
        <v>1013.5</v>
      </c>
      <c r="AF889" s="4" t="s">
        <v>193</v>
      </c>
      <c r="AG889" s="2">
        <f t="shared" si="164"/>
        <v>1</v>
      </c>
      <c r="AH889" t="s">
        <v>1504</v>
      </c>
      <c r="AI889" s="2">
        <f t="shared" si="165"/>
        <v>8</v>
      </c>
      <c r="AJ889" s="2">
        <f t="shared" si="166"/>
        <v>1</v>
      </c>
      <c r="AK889" s="3">
        <v>120.0000000034925</v>
      </c>
      <c r="AM889" s="2">
        <v>0</v>
      </c>
      <c r="AN889">
        <v>1500</v>
      </c>
      <c r="AO889">
        <v>0</v>
      </c>
      <c r="AP889">
        <v>0</v>
      </c>
      <c r="AQ889" s="2">
        <f>IF((2*G889 + M889 -P889 + 3*W889 + 2*Z889+2*AD889 + AG889+2*AJ889 + 4*AM889) &gt;=8,1,0)</f>
        <v>1</v>
      </c>
    </row>
    <row r="890" spans="1:43" x14ac:dyDescent="0.25">
      <c r="A890" t="s">
        <v>27</v>
      </c>
      <c r="B890" s="1">
        <v>40034</v>
      </c>
      <c r="C890" s="7">
        <f t="shared" si="158"/>
        <v>2009</v>
      </c>
      <c r="D890">
        <v>88.5</v>
      </c>
      <c r="E890">
        <v>75.8</v>
      </c>
      <c r="F890">
        <v>81.3</v>
      </c>
      <c r="G890" s="2">
        <f t="shared" si="157"/>
        <v>1</v>
      </c>
      <c r="H890">
        <v>85.4</v>
      </c>
      <c r="I890">
        <v>75.8</v>
      </c>
      <c r="J890">
        <v>80.3</v>
      </c>
      <c r="K890">
        <v>53.7</v>
      </c>
      <c r="L890">
        <v>40</v>
      </c>
      <c r="M890" s="2">
        <f t="shared" si="159"/>
        <v>1</v>
      </c>
      <c r="N890">
        <v>0</v>
      </c>
      <c r="P890" s="2">
        <f t="shared" si="160"/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s="2">
        <f t="shared" si="161"/>
        <v>0</v>
      </c>
      <c r="X890">
        <v>18.8</v>
      </c>
      <c r="Z890" s="2">
        <f t="shared" si="162"/>
        <v>1</v>
      </c>
      <c r="AA890">
        <v>358.9</v>
      </c>
      <c r="AB890" s="2" t="str">
        <f>CHOOSE(MATCH(AA890,{0;11;80;111;161;191;241;281;341},1),"North","NorthEast","East","SouthEast","South","SouthWest","West","NorthWest","North")</f>
        <v>North</v>
      </c>
      <c r="AC890" s="5">
        <f>CHOOSE(MATCH(AB890,{"South";"SouthEast";"SouthWest";"North";"NorthEast";"East";"West";"NorthWest"},0),1,2,3,4,5,6,7,8)</f>
        <v>4</v>
      </c>
      <c r="AD890" s="2">
        <f t="shared" si="163"/>
        <v>1</v>
      </c>
      <c r="AE890">
        <v>1012.9</v>
      </c>
      <c r="AF890" s="4" t="s">
        <v>240</v>
      </c>
      <c r="AG890" s="2">
        <f t="shared" si="164"/>
        <v>1</v>
      </c>
      <c r="AH890" t="s">
        <v>1505</v>
      </c>
      <c r="AI890" s="2">
        <f t="shared" si="165"/>
        <v>8</v>
      </c>
      <c r="AJ890" s="2">
        <f t="shared" si="166"/>
        <v>1</v>
      </c>
      <c r="AK890" s="3">
        <v>4285.0000000011642</v>
      </c>
      <c r="AM890" s="2">
        <v>1</v>
      </c>
      <c r="AN890">
        <v>30</v>
      </c>
      <c r="AO890">
        <v>0</v>
      </c>
      <c r="AP890">
        <v>0</v>
      </c>
      <c r="AQ890" s="2">
        <f>IF((2*G890 + M890 -P890 + 3*W890 + 2*Z890+2*AD890 + AG890+2*AJ890 + 4*AM890) &gt;=8,1,0)</f>
        <v>1</v>
      </c>
    </row>
    <row r="891" spans="1:43" x14ac:dyDescent="0.25">
      <c r="A891" t="s">
        <v>27</v>
      </c>
      <c r="B891" s="1">
        <v>40034</v>
      </c>
      <c r="C891" s="7">
        <f t="shared" si="158"/>
        <v>2009</v>
      </c>
      <c r="D891">
        <v>88.5</v>
      </c>
      <c r="E891">
        <v>75.8</v>
      </c>
      <c r="F891">
        <v>81.3</v>
      </c>
      <c r="G891" s="2">
        <f t="shared" si="157"/>
        <v>1</v>
      </c>
      <c r="H891">
        <v>85.4</v>
      </c>
      <c r="I891">
        <v>75.8</v>
      </c>
      <c r="J891">
        <v>80.3</v>
      </c>
      <c r="K891">
        <v>53.7</v>
      </c>
      <c r="L891">
        <v>40</v>
      </c>
      <c r="M891" s="2">
        <f t="shared" si="159"/>
        <v>1</v>
      </c>
      <c r="N891">
        <v>0</v>
      </c>
      <c r="P891" s="2">
        <f t="shared" si="160"/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s="2">
        <f t="shared" si="161"/>
        <v>0</v>
      </c>
      <c r="X891">
        <v>18.8</v>
      </c>
      <c r="Z891" s="2">
        <f t="shared" si="162"/>
        <v>1</v>
      </c>
      <c r="AA891">
        <v>358.9</v>
      </c>
      <c r="AB891" s="2" t="str">
        <f>CHOOSE(MATCH(AA891,{0;11;80;111;161;191;241;281;341},1),"North","NorthEast","East","SouthEast","South","SouthWest","West","NorthWest","North")</f>
        <v>North</v>
      </c>
      <c r="AC891" s="5">
        <f>CHOOSE(MATCH(AB891,{"South";"SouthEast";"SouthWest";"North";"NorthEast";"East";"West";"NorthWest"},0),1,2,3,4,5,6,7,8)</f>
        <v>4</v>
      </c>
      <c r="AD891" s="2">
        <f t="shared" si="163"/>
        <v>1</v>
      </c>
      <c r="AE891">
        <v>1012.9</v>
      </c>
      <c r="AF891" s="4" t="s">
        <v>1506</v>
      </c>
      <c r="AG891" s="2">
        <f t="shared" si="164"/>
        <v>1</v>
      </c>
      <c r="AH891" t="s">
        <v>1507</v>
      </c>
      <c r="AI891" s="2">
        <f t="shared" si="165"/>
        <v>8</v>
      </c>
      <c r="AJ891" s="2">
        <f t="shared" si="166"/>
        <v>1</v>
      </c>
      <c r="AK891" s="3">
        <v>7172.0000000030268</v>
      </c>
      <c r="AM891" s="2">
        <v>1</v>
      </c>
      <c r="AN891">
        <v>0</v>
      </c>
      <c r="AO891">
        <v>20</v>
      </c>
      <c r="AP891">
        <v>0</v>
      </c>
      <c r="AQ891" s="2">
        <f>IF((2*G891 + M891 -P891 + 3*W891 + 2*Z891+2*AD891 + AG891+2*AJ891 + 4*AM891) &gt;=8,1,0)</f>
        <v>1</v>
      </c>
    </row>
    <row r="892" spans="1:43" x14ac:dyDescent="0.25">
      <c r="A892" t="s">
        <v>27</v>
      </c>
      <c r="B892" s="1">
        <v>40035</v>
      </c>
      <c r="C892" s="7">
        <f t="shared" si="158"/>
        <v>2009</v>
      </c>
      <c r="D892">
        <v>88.3</v>
      </c>
      <c r="E892">
        <v>75.400000000000006</v>
      </c>
      <c r="F892">
        <v>80.599999999999994</v>
      </c>
      <c r="G892" s="2">
        <f t="shared" si="157"/>
        <v>1</v>
      </c>
      <c r="H892">
        <v>85.5</v>
      </c>
      <c r="I892">
        <v>75.400000000000006</v>
      </c>
      <c r="J892">
        <v>79.599999999999994</v>
      </c>
      <c r="K892">
        <v>50.8</v>
      </c>
      <c r="L892">
        <v>36.299999999999997</v>
      </c>
      <c r="M892" s="2">
        <f t="shared" si="159"/>
        <v>1</v>
      </c>
      <c r="N892">
        <v>0</v>
      </c>
      <c r="P892" s="2">
        <f t="shared" si="160"/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s="2">
        <f t="shared" si="161"/>
        <v>0</v>
      </c>
      <c r="X892">
        <v>17.5</v>
      </c>
      <c r="Z892" s="2">
        <f t="shared" si="162"/>
        <v>1</v>
      </c>
      <c r="AA892">
        <v>4.2</v>
      </c>
      <c r="AB892" s="2" t="str">
        <f>CHOOSE(MATCH(AA892,{0;11;80;111;161;191;241;281;341},1),"North","NorthEast","East","SouthEast","South","SouthWest","West","NorthWest","North")</f>
        <v>North</v>
      </c>
      <c r="AC892" s="5">
        <f>CHOOSE(MATCH(AB892,{"South";"SouthEast";"SouthWest";"North";"NorthEast";"East";"West";"NorthWest"},0),1,2,3,4,5,6,7,8)</f>
        <v>4</v>
      </c>
      <c r="AD892" s="2">
        <f t="shared" si="163"/>
        <v>1</v>
      </c>
      <c r="AE892">
        <v>1015.1</v>
      </c>
      <c r="AF892" s="4" t="s">
        <v>1508</v>
      </c>
      <c r="AG892" s="2">
        <f t="shared" si="164"/>
        <v>1</v>
      </c>
      <c r="AH892" t="s">
        <v>1509</v>
      </c>
      <c r="AI892" s="2">
        <f t="shared" si="165"/>
        <v>8</v>
      </c>
      <c r="AJ892" s="2">
        <f t="shared" si="166"/>
        <v>1</v>
      </c>
      <c r="AK892" s="3">
        <v>149.00000000372529</v>
      </c>
      <c r="AM892" s="2">
        <v>0</v>
      </c>
      <c r="AN892">
        <v>0</v>
      </c>
      <c r="AO892">
        <v>0.5</v>
      </c>
      <c r="AP892">
        <v>0</v>
      </c>
      <c r="AQ892" s="2">
        <f>IF((2*G892 + M892 -P892 + 3*W892 + 2*Z892+2*AD892 + AG892+2*AJ892 + 4*AM892) &gt;=8,1,0)</f>
        <v>1</v>
      </c>
    </row>
    <row r="893" spans="1:43" x14ac:dyDescent="0.25">
      <c r="A893" t="s">
        <v>27</v>
      </c>
      <c r="B893" s="1">
        <v>40035</v>
      </c>
      <c r="C893" s="7">
        <f t="shared" si="158"/>
        <v>2009</v>
      </c>
      <c r="D893">
        <v>88.3</v>
      </c>
      <c r="E893">
        <v>75.400000000000006</v>
      </c>
      <c r="F893">
        <v>80.599999999999994</v>
      </c>
      <c r="G893" s="2">
        <f t="shared" si="157"/>
        <v>1</v>
      </c>
      <c r="H893">
        <v>85.5</v>
      </c>
      <c r="I893">
        <v>75.400000000000006</v>
      </c>
      <c r="J893">
        <v>79.599999999999994</v>
      </c>
      <c r="K893">
        <v>50.8</v>
      </c>
      <c r="L893">
        <v>36.299999999999997</v>
      </c>
      <c r="M893" s="2">
        <f t="shared" si="159"/>
        <v>1</v>
      </c>
      <c r="N893">
        <v>0</v>
      </c>
      <c r="P893" s="2">
        <f t="shared" si="160"/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s="2">
        <f t="shared" si="161"/>
        <v>0</v>
      </c>
      <c r="X893">
        <v>17.5</v>
      </c>
      <c r="Z893" s="2">
        <f t="shared" si="162"/>
        <v>1</v>
      </c>
      <c r="AA893">
        <v>4.2</v>
      </c>
      <c r="AB893" s="2" t="str">
        <f>CHOOSE(MATCH(AA893,{0;11;80;111;161;191;241;281;341},1),"North","NorthEast","East","SouthEast","South","SouthWest","West","NorthWest","North")</f>
        <v>North</v>
      </c>
      <c r="AC893" s="5">
        <f>CHOOSE(MATCH(AB893,{"South";"SouthEast";"SouthWest";"North";"NorthEast";"East";"West";"NorthWest"},0),1,2,3,4,5,6,7,8)</f>
        <v>4</v>
      </c>
      <c r="AD893" s="2">
        <f t="shared" si="163"/>
        <v>1</v>
      </c>
      <c r="AE893">
        <v>1015.1</v>
      </c>
      <c r="AF893" s="4" t="s">
        <v>298</v>
      </c>
      <c r="AG893" s="2">
        <f t="shared" si="164"/>
        <v>1</v>
      </c>
      <c r="AH893" t="s">
        <v>1510</v>
      </c>
      <c r="AI893" s="2">
        <f t="shared" si="165"/>
        <v>8</v>
      </c>
      <c r="AJ893" s="2">
        <f t="shared" si="166"/>
        <v>1</v>
      </c>
      <c r="AK893" s="3">
        <v>915.00000000698492</v>
      </c>
      <c r="AM893" s="2">
        <v>1</v>
      </c>
      <c r="AN893">
        <v>0</v>
      </c>
      <c r="AO893">
        <v>15</v>
      </c>
      <c r="AP893">
        <v>0</v>
      </c>
      <c r="AQ893" s="2">
        <f>IF((2*G893 + M893 -P893 + 3*W893 + 2*Z893+2*AD893 + AG893+2*AJ893 + 4*AM893) &gt;=8,1,0)</f>
        <v>1</v>
      </c>
    </row>
    <row r="894" spans="1:43" x14ac:dyDescent="0.25">
      <c r="A894" t="s">
        <v>27</v>
      </c>
      <c r="B894" s="1">
        <v>40037</v>
      </c>
      <c r="C894" s="7">
        <f t="shared" si="158"/>
        <v>2009</v>
      </c>
      <c r="D894">
        <v>85.2</v>
      </c>
      <c r="E894">
        <v>70.3</v>
      </c>
      <c r="F894">
        <v>78.2</v>
      </c>
      <c r="G894" s="2">
        <f t="shared" si="157"/>
        <v>1</v>
      </c>
      <c r="H894">
        <v>84.5</v>
      </c>
      <c r="I894">
        <v>70.3</v>
      </c>
      <c r="J894">
        <v>77.8</v>
      </c>
      <c r="K894">
        <v>54</v>
      </c>
      <c r="L894">
        <v>44</v>
      </c>
      <c r="M894" s="2">
        <f t="shared" si="159"/>
        <v>1</v>
      </c>
      <c r="N894">
        <v>0</v>
      </c>
      <c r="P894" s="2">
        <f t="shared" si="160"/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s="2">
        <f t="shared" si="161"/>
        <v>0</v>
      </c>
      <c r="X894">
        <v>19.7</v>
      </c>
      <c r="Z894" s="2">
        <f t="shared" si="162"/>
        <v>1</v>
      </c>
      <c r="AA894">
        <v>9.4</v>
      </c>
      <c r="AB894" s="2" t="str">
        <f>CHOOSE(MATCH(AA894,{0;11;80;111;161;191;241;281;341},1),"North","NorthEast","East","SouthEast","South","SouthWest","West","NorthWest","North")</f>
        <v>North</v>
      </c>
      <c r="AC894" s="5">
        <f>CHOOSE(MATCH(AB894,{"South";"SouthEast";"SouthWest";"North";"NorthEast";"East";"West";"NorthWest"},0),1,2,3,4,5,6,7,8)</f>
        <v>4</v>
      </c>
      <c r="AD894" s="2">
        <f t="shared" si="163"/>
        <v>1</v>
      </c>
      <c r="AE894">
        <v>1013.5</v>
      </c>
      <c r="AF894" s="4" t="s">
        <v>1511</v>
      </c>
      <c r="AG894" s="2">
        <f t="shared" si="164"/>
        <v>1</v>
      </c>
      <c r="AH894" t="s">
        <v>1512</v>
      </c>
      <c r="AI894" s="2">
        <f t="shared" si="165"/>
        <v>8</v>
      </c>
      <c r="AJ894" s="2">
        <f t="shared" si="166"/>
        <v>1</v>
      </c>
      <c r="AK894" s="3">
        <v>705.00000000349246</v>
      </c>
      <c r="AM894" s="2">
        <v>1</v>
      </c>
      <c r="AN894">
        <v>1</v>
      </c>
      <c r="AO894">
        <v>0</v>
      </c>
      <c r="AP894">
        <v>0</v>
      </c>
      <c r="AQ894" s="2">
        <f>IF((2*G894 + M894 -P894 + 3*W894 + 2*Z894+2*AD894 + AG894+2*AJ894 + 4*AM894) &gt;=8,1,0)</f>
        <v>1</v>
      </c>
    </row>
    <row r="895" spans="1:43" x14ac:dyDescent="0.25">
      <c r="A895" t="s">
        <v>27</v>
      </c>
      <c r="B895" s="1">
        <v>40039</v>
      </c>
      <c r="C895" s="7">
        <f t="shared" si="158"/>
        <v>2009</v>
      </c>
      <c r="D895">
        <v>89.7</v>
      </c>
      <c r="E895">
        <v>65.2</v>
      </c>
      <c r="F895">
        <v>79.5</v>
      </c>
      <c r="G895" s="2">
        <f t="shared" si="157"/>
        <v>1</v>
      </c>
      <c r="H895">
        <v>89.5</v>
      </c>
      <c r="I895">
        <v>65.2</v>
      </c>
      <c r="J895">
        <v>78.599999999999994</v>
      </c>
      <c r="K895">
        <v>51.6</v>
      </c>
      <c r="L895">
        <v>38.799999999999997</v>
      </c>
      <c r="M895" s="2">
        <f t="shared" si="159"/>
        <v>1</v>
      </c>
      <c r="N895">
        <v>0</v>
      </c>
      <c r="P895" s="2">
        <f t="shared" si="160"/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s="2">
        <f t="shared" si="161"/>
        <v>0</v>
      </c>
      <c r="X895">
        <v>15.1</v>
      </c>
      <c r="Z895" s="2">
        <f t="shared" si="162"/>
        <v>0</v>
      </c>
      <c r="AA895">
        <v>4.9000000000000004</v>
      </c>
      <c r="AB895" s="2" t="str">
        <f>CHOOSE(MATCH(AA895,{0;11;80;111;161;191;241;281;341},1),"North","NorthEast","East","SouthEast","South","SouthWest","West","NorthWest","North")</f>
        <v>North</v>
      </c>
      <c r="AC895" s="5">
        <f>CHOOSE(MATCH(AB895,{"South";"SouthEast";"SouthWest";"North";"NorthEast";"East";"West";"NorthWest"},0),1,2,3,4,5,6,7,8)</f>
        <v>4</v>
      </c>
      <c r="AD895" s="2">
        <f t="shared" si="163"/>
        <v>1</v>
      </c>
      <c r="AE895">
        <v>1013.1</v>
      </c>
      <c r="AF895" s="4" t="s">
        <v>862</v>
      </c>
      <c r="AG895" s="2">
        <f t="shared" si="164"/>
        <v>1</v>
      </c>
      <c r="AH895" t="s">
        <v>1513</v>
      </c>
      <c r="AI895" s="2">
        <f t="shared" si="165"/>
        <v>8</v>
      </c>
      <c r="AJ895" s="2">
        <f t="shared" si="166"/>
        <v>1</v>
      </c>
      <c r="AK895" s="3">
        <v>2174.999999996508</v>
      </c>
      <c r="AM895" s="2">
        <v>1</v>
      </c>
      <c r="AN895">
        <v>0</v>
      </c>
      <c r="AO895">
        <v>2</v>
      </c>
      <c r="AP895">
        <v>0</v>
      </c>
      <c r="AQ895" s="2">
        <f>IF((2*G895 + M895 -P895 + 3*W895 + 2*Z895+2*AD895 + AG895+2*AJ895 + 4*AM895) &gt;=8,1,0)</f>
        <v>1</v>
      </c>
    </row>
    <row r="896" spans="1:43" x14ac:dyDescent="0.25">
      <c r="A896" t="s">
        <v>27</v>
      </c>
      <c r="B896" s="1">
        <v>40041</v>
      </c>
      <c r="C896" s="7">
        <f t="shared" si="158"/>
        <v>2009</v>
      </c>
      <c r="D896">
        <v>87.1</v>
      </c>
      <c r="E896">
        <v>75.900000000000006</v>
      </c>
      <c r="F896">
        <v>81.2</v>
      </c>
      <c r="G896" s="2">
        <f t="shared" si="157"/>
        <v>1</v>
      </c>
      <c r="H896">
        <v>85.6</v>
      </c>
      <c r="I896">
        <v>75.900000000000006</v>
      </c>
      <c r="J896">
        <v>80.900000000000006</v>
      </c>
      <c r="K896">
        <v>57.8</v>
      </c>
      <c r="L896">
        <v>45.6</v>
      </c>
      <c r="M896" s="2">
        <f t="shared" si="159"/>
        <v>1</v>
      </c>
      <c r="N896">
        <v>0</v>
      </c>
      <c r="P896" s="2">
        <f t="shared" si="160"/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s="2">
        <f t="shared" si="161"/>
        <v>0</v>
      </c>
      <c r="X896">
        <v>23.9</v>
      </c>
      <c r="Z896" s="2">
        <f t="shared" si="162"/>
        <v>1</v>
      </c>
      <c r="AA896">
        <v>354.4</v>
      </c>
      <c r="AB896" s="2" t="str">
        <f>CHOOSE(MATCH(AA896,{0;11;80;111;161;191;241;281;341},1),"North","NorthEast","East","SouthEast","South","SouthWest","West","NorthWest","North")</f>
        <v>North</v>
      </c>
      <c r="AC896" s="5">
        <f>CHOOSE(MATCH(AB896,{"South";"SouthEast";"SouthWest";"North";"NorthEast";"East";"West";"NorthWest"},0),1,2,3,4,5,6,7,8)</f>
        <v>4</v>
      </c>
      <c r="AD896" s="2">
        <f t="shared" si="163"/>
        <v>1</v>
      </c>
      <c r="AE896">
        <v>1013</v>
      </c>
      <c r="AF896" s="4" t="s">
        <v>253</v>
      </c>
      <c r="AG896" s="2">
        <f t="shared" si="164"/>
        <v>1</v>
      </c>
      <c r="AH896" t="s">
        <v>1514</v>
      </c>
      <c r="AI896" s="2">
        <f t="shared" si="165"/>
        <v>8</v>
      </c>
      <c r="AJ896" s="2">
        <f t="shared" si="166"/>
        <v>1</v>
      </c>
      <c r="AK896" s="3">
        <v>4815</v>
      </c>
      <c r="AM896" s="2">
        <v>1</v>
      </c>
      <c r="AN896">
        <v>0</v>
      </c>
      <c r="AO896">
        <v>152</v>
      </c>
      <c r="AP896">
        <v>0</v>
      </c>
      <c r="AQ896" s="2">
        <f>IF((2*G896 + M896 -P896 + 3*W896 + 2*Z896+2*AD896 + AG896+2*AJ896 + 4*AM896) &gt;=8,1,0)</f>
        <v>1</v>
      </c>
    </row>
    <row r="897" spans="1:43" x14ac:dyDescent="0.25">
      <c r="A897" t="s">
        <v>27</v>
      </c>
      <c r="B897" s="1">
        <v>40041</v>
      </c>
      <c r="C897" s="7">
        <f t="shared" si="158"/>
        <v>2009</v>
      </c>
      <c r="D897">
        <v>87.1</v>
      </c>
      <c r="E897">
        <v>75.900000000000006</v>
      </c>
      <c r="F897">
        <v>81.2</v>
      </c>
      <c r="G897" s="2">
        <f t="shared" si="157"/>
        <v>1</v>
      </c>
      <c r="H897">
        <v>85.6</v>
      </c>
      <c r="I897">
        <v>75.900000000000006</v>
      </c>
      <c r="J897">
        <v>80.900000000000006</v>
      </c>
      <c r="K897">
        <v>57.8</v>
      </c>
      <c r="L897">
        <v>45.6</v>
      </c>
      <c r="M897" s="2">
        <f t="shared" si="159"/>
        <v>1</v>
      </c>
      <c r="N897">
        <v>0</v>
      </c>
      <c r="P897" s="2">
        <f t="shared" si="160"/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s="2">
        <f t="shared" si="161"/>
        <v>0</v>
      </c>
      <c r="X897">
        <v>23.9</v>
      </c>
      <c r="Z897" s="2">
        <f t="shared" si="162"/>
        <v>1</v>
      </c>
      <c r="AA897">
        <v>354.4</v>
      </c>
      <c r="AB897" s="2" t="str">
        <f>CHOOSE(MATCH(AA897,{0;11;80;111;161;191;241;281;341},1),"North","NorthEast","East","SouthEast","South","SouthWest","West","NorthWest","North")</f>
        <v>North</v>
      </c>
      <c r="AC897" s="5">
        <f>CHOOSE(MATCH(AB897,{"South";"SouthEast";"SouthWest";"North";"NorthEast";"East";"West";"NorthWest"},0),1,2,3,4,5,6,7,8)</f>
        <v>4</v>
      </c>
      <c r="AD897" s="2">
        <f t="shared" si="163"/>
        <v>1</v>
      </c>
      <c r="AE897">
        <v>1013</v>
      </c>
      <c r="AF897" s="4" t="s">
        <v>630</v>
      </c>
      <c r="AG897" s="2">
        <f t="shared" si="164"/>
        <v>1</v>
      </c>
      <c r="AH897" t="s">
        <v>1515</v>
      </c>
      <c r="AI897" s="2">
        <f t="shared" si="165"/>
        <v>8</v>
      </c>
      <c r="AJ897" s="2">
        <f t="shared" si="166"/>
        <v>1</v>
      </c>
      <c r="AK897" s="3">
        <v>1339.9999999988361</v>
      </c>
      <c r="AM897" s="2">
        <v>1</v>
      </c>
      <c r="AN897">
        <v>0</v>
      </c>
      <c r="AO897">
        <v>1</v>
      </c>
      <c r="AP897">
        <v>0</v>
      </c>
      <c r="AQ897" s="2">
        <f>IF((2*G897 + M897 -P897 + 3*W897 + 2*Z897+2*AD897 + AG897+2*AJ897 + 4*AM897) &gt;=8,1,0)</f>
        <v>1</v>
      </c>
    </row>
    <row r="898" spans="1:43" x14ac:dyDescent="0.25">
      <c r="A898" t="s">
        <v>27</v>
      </c>
      <c r="B898" s="1">
        <v>40043</v>
      </c>
      <c r="C898" s="7">
        <f t="shared" si="158"/>
        <v>2009</v>
      </c>
      <c r="D898">
        <v>90.1</v>
      </c>
      <c r="E898">
        <v>77.2</v>
      </c>
      <c r="F898">
        <v>82.6</v>
      </c>
      <c r="G898" s="2">
        <f t="shared" ref="G898:G961" si="167">IF(F898&lt;=73.6,0,1)</f>
        <v>1</v>
      </c>
      <c r="H898">
        <v>88</v>
      </c>
      <c r="I898">
        <v>77.2</v>
      </c>
      <c r="J898">
        <v>81.7</v>
      </c>
      <c r="K898">
        <v>54.3</v>
      </c>
      <c r="L898">
        <v>38.4</v>
      </c>
      <c r="M898" s="2">
        <f t="shared" si="159"/>
        <v>1</v>
      </c>
      <c r="N898">
        <v>0</v>
      </c>
      <c r="P898" s="2">
        <f t="shared" si="160"/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s="2">
        <f t="shared" si="161"/>
        <v>0</v>
      </c>
      <c r="X898">
        <v>19.7</v>
      </c>
      <c r="Z898" s="2">
        <f t="shared" si="162"/>
        <v>1</v>
      </c>
      <c r="AA898">
        <v>1.5</v>
      </c>
      <c r="AB898" s="2" t="str">
        <f>CHOOSE(MATCH(AA898,{0;11;80;111;161;191;241;281;341},1),"North","NorthEast","East","SouthEast","South","SouthWest","West","NorthWest","North")</f>
        <v>North</v>
      </c>
      <c r="AC898" s="5">
        <f>CHOOSE(MATCH(AB898,{"South";"SouthEast";"SouthWest";"North";"NorthEast";"East";"West";"NorthWest"},0),1,2,3,4,5,6,7,8)</f>
        <v>4</v>
      </c>
      <c r="AD898" s="2">
        <f t="shared" si="163"/>
        <v>1</v>
      </c>
      <c r="AE898">
        <v>1012.5</v>
      </c>
      <c r="AF898" s="4" t="s">
        <v>253</v>
      </c>
      <c r="AG898" s="2">
        <f t="shared" si="164"/>
        <v>1</v>
      </c>
      <c r="AH898" t="s">
        <v>1516</v>
      </c>
      <c r="AI898" s="2">
        <f t="shared" si="165"/>
        <v>8</v>
      </c>
      <c r="AJ898" s="2">
        <f t="shared" si="166"/>
        <v>1</v>
      </c>
      <c r="AK898" s="3">
        <v>225</v>
      </c>
      <c r="AM898" s="2">
        <v>0</v>
      </c>
      <c r="AN898">
        <v>1</v>
      </c>
      <c r="AO898">
        <v>0</v>
      </c>
      <c r="AP898">
        <v>0</v>
      </c>
      <c r="AQ898" s="2">
        <f>IF((2*G898 + M898 -P898 + 3*W898 + 2*Z898+2*AD898 + AG898+2*AJ898 + 4*AM898) &gt;=8,1,0)</f>
        <v>1</v>
      </c>
    </row>
    <row r="899" spans="1:43" x14ac:dyDescent="0.25">
      <c r="A899" t="s">
        <v>27</v>
      </c>
      <c r="B899" s="1">
        <v>40045</v>
      </c>
      <c r="C899" s="7">
        <f t="shared" si="158"/>
        <v>2009</v>
      </c>
      <c r="D899">
        <v>89.8</v>
      </c>
      <c r="E899">
        <v>78.8</v>
      </c>
      <c r="F899">
        <v>84.8</v>
      </c>
      <c r="G899" s="2">
        <f t="shared" si="167"/>
        <v>1</v>
      </c>
      <c r="H899">
        <v>87.3</v>
      </c>
      <c r="I899">
        <v>78.8</v>
      </c>
      <c r="J899">
        <v>83.1</v>
      </c>
      <c r="K899">
        <v>51.6</v>
      </c>
      <c r="L899">
        <v>32.200000000000003</v>
      </c>
      <c r="M899" s="2">
        <f t="shared" si="159"/>
        <v>1</v>
      </c>
      <c r="N899">
        <v>0</v>
      </c>
      <c r="P899" s="2">
        <f t="shared" si="160"/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s="2">
        <f t="shared" si="161"/>
        <v>0</v>
      </c>
      <c r="X899">
        <v>26.2</v>
      </c>
      <c r="Z899" s="2">
        <f t="shared" si="162"/>
        <v>1</v>
      </c>
      <c r="AA899">
        <v>353.5</v>
      </c>
      <c r="AB899" s="2" t="str">
        <f>CHOOSE(MATCH(AA899,{0;11;80;111;161;191;241;281;341},1),"North","NorthEast","East","SouthEast","South","SouthWest","West","NorthWest","North")</f>
        <v>North</v>
      </c>
      <c r="AC899" s="5">
        <f>CHOOSE(MATCH(AB899,{"South";"SouthEast";"SouthWest";"North";"NorthEast";"East";"West";"NorthWest"},0),1,2,3,4,5,6,7,8)</f>
        <v>4</v>
      </c>
      <c r="AD899" s="2">
        <f t="shared" si="163"/>
        <v>1</v>
      </c>
      <c r="AE899">
        <v>1015</v>
      </c>
      <c r="AF899" s="4" t="s">
        <v>59</v>
      </c>
      <c r="AG899" s="2">
        <f t="shared" si="164"/>
        <v>1</v>
      </c>
      <c r="AH899" t="s">
        <v>1517</v>
      </c>
      <c r="AI899" s="2">
        <f t="shared" si="165"/>
        <v>8</v>
      </c>
      <c r="AJ899" s="2">
        <f t="shared" si="166"/>
        <v>1</v>
      </c>
      <c r="AK899" s="3">
        <v>8844.9999999976717</v>
      </c>
      <c r="AM899" s="2">
        <v>1</v>
      </c>
      <c r="AN899">
        <v>0</v>
      </c>
      <c r="AO899">
        <v>8800</v>
      </c>
      <c r="AP899">
        <v>0</v>
      </c>
      <c r="AQ899" s="2">
        <f>IF((2*G899 + M899 -P899 + 3*W899 + 2*Z899+2*AD899 + AG899+2*AJ899 + 4*AM899) &gt;=8,1,0)</f>
        <v>1</v>
      </c>
    </row>
    <row r="900" spans="1:43" x14ac:dyDescent="0.25">
      <c r="A900" t="s">
        <v>27</v>
      </c>
      <c r="B900" s="1">
        <v>40046</v>
      </c>
      <c r="C900" s="7">
        <f t="shared" si="158"/>
        <v>2009</v>
      </c>
      <c r="D900">
        <v>90.1</v>
      </c>
      <c r="E900">
        <v>74.7</v>
      </c>
      <c r="F900">
        <v>82.5</v>
      </c>
      <c r="G900" s="2">
        <f t="shared" si="167"/>
        <v>1</v>
      </c>
      <c r="H900">
        <v>87.5</v>
      </c>
      <c r="I900">
        <v>74.7</v>
      </c>
      <c r="J900">
        <v>81.599999999999994</v>
      </c>
      <c r="K900">
        <v>54.3</v>
      </c>
      <c r="L900">
        <v>38.9</v>
      </c>
      <c r="M900" s="2">
        <f t="shared" si="159"/>
        <v>1</v>
      </c>
      <c r="N900">
        <v>0</v>
      </c>
      <c r="P900" s="2">
        <f t="shared" si="160"/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s="2">
        <f t="shared" si="161"/>
        <v>0</v>
      </c>
      <c r="X900">
        <v>25.5</v>
      </c>
      <c r="Z900" s="2">
        <f t="shared" si="162"/>
        <v>1</v>
      </c>
      <c r="AA900">
        <v>359.7</v>
      </c>
      <c r="AB900" s="2" t="str">
        <f>CHOOSE(MATCH(AA900,{0;11;80;111;161;191;241;281;341},1),"North","NorthEast","East","SouthEast","South","SouthWest","West","NorthWest","North")</f>
        <v>North</v>
      </c>
      <c r="AC900" s="5">
        <f>CHOOSE(MATCH(AB900,{"South";"SouthEast";"SouthWest";"North";"NorthEast";"East";"West";"NorthWest"},0),1,2,3,4,5,6,7,8)</f>
        <v>4</v>
      </c>
      <c r="AD900" s="2">
        <f t="shared" si="163"/>
        <v>1</v>
      </c>
      <c r="AE900">
        <v>1015.7</v>
      </c>
      <c r="AF900" s="4" t="s">
        <v>162</v>
      </c>
      <c r="AG900" s="2">
        <f t="shared" si="164"/>
        <v>1</v>
      </c>
      <c r="AH900" t="s">
        <v>1518</v>
      </c>
      <c r="AI900" s="2">
        <f t="shared" si="165"/>
        <v>8</v>
      </c>
      <c r="AJ900" s="2">
        <f t="shared" si="166"/>
        <v>1</v>
      </c>
      <c r="AK900" s="3">
        <v>9013.9999999932479</v>
      </c>
      <c r="AM900" s="2">
        <v>1</v>
      </c>
      <c r="AN900">
        <v>250</v>
      </c>
      <c r="AO900">
        <v>0</v>
      </c>
      <c r="AP900">
        <v>0</v>
      </c>
      <c r="AQ900" s="2">
        <f>IF((2*G900 + M900 -P900 + 3*W900 + 2*Z900+2*AD900 + AG900+2*AJ900 + 4*AM900) &gt;=8,1,0)</f>
        <v>1</v>
      </c>
    </row>
    <row r="901" spans="1:43" x14ac:dyDescent="0.25">
      <c r="A901" t="s">
        <v>27</v>
      </c>
      <c r="B901" s="1">
        <v>40046</v>
      </c>
      <c r="C901" s="7">
        <f t="shared" si="158"/>
        <v>2009</v>
      </c>
      <c r="D901">
        <v>90.1</v>
      </c>
      <c r="E901">
        <v>74.7</v>
      </c>
      <c r="F901">
        <v>82.5</v>
      </c>
      <c r="G901" s="2">
        <f t="shared" si="167"/>
        <v>1</v>
      </c>
      <c r="H901">
        <v>87.5</v>
      </c>
      <c r="I901">
        <v>74.7</v>
      </c>
      <c r="J901">
        <v>81.599999999999994</v>
      </c>
      <c r="K901">
        <v>54.3</v>
      </c>
      <c r="L901">
        <v>38.9</v>
      </c>
      <c r="M901" s="2">
        <f t="shared" si="159"/>
        <v>1</v>
      </c>
      <c r="N901">
        <v>0</v>
      </c>
      <c r="P901" s="2">
        <f t="shared" si="160"/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s="2">
        <f t="shared" si="161"/>
        <v>0</v>
      </c>
      <c r="X901">
        <v>25.5</v>
      </c>
      <c r="Z901" s="2">
        <f t="shared" si="162"/>
        <v>1</v>
      </c>
      <c r="AA901">
        <v>359.7</v>
      </c>
      <c r="AB901" s="2" t="str">
        <f>CHOOSE(MATCH(AA901,{0;11;80;111;161;191;241;281;341},1),"North","NorthEast","East","SouthEast","South","SouthWest","West","NorthWest","North")</f>
        <v>North</v>
      </c>
      <c r="AC901" s="5">
        <f>CHOOSE(MATCH(AB901,{"South";"SouthEast";"SouthWest";"North";"NorthEast";"East";"West";"NorthWest"},0),1,2,3,4,5,6,7,8)</f>
        <v>4</v>
      </c>
      <c r="AD901" s="2">
        <f t="shared" si="163"/>
        <v>1</v>
      </c>
      <c r="AE901">
        <v>1015.7</v>
      </c>
      <c r="AF901" s="4" t="s">
        <v>1519</v>
      </c>
      <c r="AG901" s="2">
        <f t="shared" si="164"/>
        <v>1</v>
      </c>
      <c r="AH901" t="s">
        <v>1520</v>
      </c>
      <c r="AI901" s="2">
        <f t="shared" si="165"/>
        <v>8</v>
      </c>
      <c r="AJ901" s="2">
        <f t="shared" si="166"/>
        <v>1</v>
      </c>
      <c r="AK901" s="3">
        <v>18044.000000007221</v>
      </c>
      <c r="AM901" s="2">
        <v>1</v>
      </c>
      <c r="AN901">
        <v>2000</v>
      </c>
      <c r="AO901">
        <v>78000</v>
      </c>
      <c r="AP901">
        <v>0</v>
      </c>
      <c r="AQ901" s="2">
        <f>IF((2*G901 + M901 -P901 + 3*W901 + 2*Z901+2*AD901 + AG901+2*AJ901 + 4*AM901) &gt;=8,1,0)</f>
        <v>1</v>
      </c>
    </row>
    <row r="902" spans="1:43" x14ac:dyDescent="0.25">
      <c r="A902" t="s">
        <v>27</v>
      </c>
      <c r="B902" s="1">
        <v>40047</v>
      </c>
      <c r="C902" s="7">
        <f t="shared" si="158"/>
        <v>2009</v>
      </c>
      <c r="D902">
        <v>87.6</v>
      </c>
      <c r="E902">
        <v>74.400000000000006</v>
      </c>
      <c r="F902">
        <v>80.3</v>
      </c>
      <c r="G902" s="2">
        <f t="shared" si="167"/>
        <v>1</v>
      </c>
      <c r="H902">
        <v>85.3</v>
      </c>
      <c r="I902">
        <v>74.400000000000006</v>
      </c>
      <c r="J902">
        <v>79.400000000000006</v>
      </c>
      <c r="K902">
        <v>50</v>
      </c>
      <c r="L902">
        <v>35.299999999999997</v>
      </c>
      <c r="M902" s="2">
        <f t="shared" si="159"/>
        <v>1</v>
      </c>
      <c r="N902">
        <v>0</v>
      </c>
      <c r="P902" s="2">
        <f t="shared" si="160"/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s="2">
        <f t="shared" si="161"/>
        <v>0</v>
      </c>
      <c r="X902">
        <v>21.3</v>
      </c>
      <c r="Z902" s="2">
        <f t="shared" si="162"/>
        <v>1</v>
      </c>
      <c r="AA902">
        <v>3.4</v>
      </c>
      <c r="AB902" s="2" t="str">
        <f>CHOOSE(MATCH(AA902,{0;11;80;111;161;191;241;281;341},1),"North","NorthEast","East","SouthEast","South","SouthWest","West","NorthWest","North")</f>
        <v>North</v>
      </c>
      <c r="AC902" s="5">
        <f>CHOOSE(MATCH(AB902,{"South";"SouthEast";"SouthWest";"North";"NorthEast";"East";"West";"NorthWest"},0),1,2,3,4,5,6,7,8)</f>
        <v>4</v>
      </c>
      <c r="AD902" s="2">
        <f t="shared" si="163"/>
        <v>1</v>
      </c>
      <c r="AE902">
        <v>1012.8</v>
      </c>
      <c r="AF902" s="4" t="s">
        <v>1521</v>
      </c>
      <c r="AG902" s="2">
        <f t="shared" si="164"/>
        <v>1</v>
      </c>
      <c r="AH902" t="s">
        <v>1522</v>
      </c>
      <c r="AI902" s="2">
        <f t="shared" si="165"/>
        <v>8</v>
      </c>
      <c r="AJ902" s="2">
        <f t="shared" si="166"/>
        <v>1</v>
      </c>
      <c r="AK902" s="3">
        <v>34.999999998835847</v>
      </c>
      <c r="AM902" s="2">
        <v>0</v>
      </c>
      <c r="AN902">
        <v>1</v>
      </c>
      <c r="AO902">
        <v>0</v>
      </c>
      <c r="AP902">
        <v>0</v>
      </c>
      <c r="AQ902" s="2">
        <f>IF((2*G902 + M902 -P902 + 3*W902 + 2*Z902+2*AD902 + AG902+2*AJ902 + 4*AM902) &gt;=8,1,0)</f>
        <v>1</v>
      </c>
    </row>
    <row r="903" spans="1:43" x14ac:dyDescent="0.25">
      <c r="A903" t="s">
        <v>27</v>
      </c>
      <c r="B903" s="1">
        <v>40047</v>
      </c>
      <c r="C903" s="7">
        <f t="shared" si="158"/>
        <v>2009</v>
      </c>
      <c r="D903">
        <v>87.6</v>
      </c>
      <c r="E903">
        <v>74.400000000000006</v>
      </c>
      <c r="F903">
        <v>80.3</v>
      </c>
      <c r="G903" s="2">
        <f t="shared" si="167"/>
        <v>1</v>
      </c>
      <c r="H903">
        <v>85.3</v>
      </c>
      <c r="I903">
        <v>74.400000000000006</v>
      </c>
      <c r="J903">
        <v>79.400000000000006</v>
      </c>
      <c r="K903">
        <v>50</v>
      </c>
      <c r="L903">
        <v>35.299999999999997</v>
      </c>
      <c r="M903" s="2">
        <f t="shared" si="159"/>
        <v>1</v>
      </c>
      <c r="N903">
        <v>0</v>
      </c>
      <c r="P903" s="2">
        <f t="shared" si="160"/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s="2">
        <f t="shared" si="161"/>
        <v>0</v>
      </c>
      <c r="X903">
        <v>21.3</v>
      </c>
      <c r="Z903" s="2">
        <f t="shared" si="162"/>
        <v>1</v>
      </c>
      <c r="AA903">
        <v>3.4</v>
      </c>
      <c r="AB903" s="2" t="str">
        <f>CHOOSE(MATCH(AA903,{0;11;80;111;161;191;241;281;341},1),"North","NorthEast","East","SouthEast","South","SouthWest","West","NorthWest","North")</f>
        <v>North</v>
      </c>
      <c r="AC903" s="5">
        <f>CHOOSE(MATCH(AB903,{"South";"SouthEast";"SouthWest";"North";"NorthEast";"East";"West";"NorthWest"},0),1,2,3,4,5,6,7,8)</f>
        <v>4</v>
      </c>
      <c r="AD903" s="2">
        <f t="shared" si="163"/>
        <v>1</v>
      </c>
      <c r="AE903">
        <v>1012.8</v>
      </c>
      <c r="AF903" s="4" t="s">
        <v>880</v>
      </c>
      <c r="AG903" s="2">
        <f t="shared" si="164"/>
        <v>0</v>
      </c>
      <c r="AH903" t="s">
        <v>1523</v>
      </c>
      <c r="AI903" s="2">
        <f t="shared" si="165"/>
        <v>8</v>
      </c>
      <c r="AJ903" s="2">
        <f t="shared" si="166"/>
        <v>1</v>
      </c>
      <c r="AK903" s="3">
        <v>355.00000000465661</v>
      </c>
      <c r="AM903" s="2">
        <v>0</v>
      </c>
      <c r="AN903">
        <v>0</v>
      </c>
      <c r="AO903">
        <v>0.2</v>
      </c>
      <c r="AP903">
        <v>0</v>
      </c>
      <c r="AQ903" s="2">
        <f>IF((2*G903 + M903 -P903 + 3*W903 + 2*Z903+2*AD903 + AG903+2*AJ903 + 4*AM903) &gt;=8,1,0)</f>
        <v>1</v>
      </c>
    </row>
    <row r="904" spans="1:43" x14ac:dyDescent="0.25">
      <c r="A904" t="s">
        <v>27</v>
      </c>
      <c r="B904" s="1">
        <v>40047</v>
      </c>
      <c r="C904" s="7">
        <f t="shared" si="158"/>
        <v>2009</v>
      </c>
      <c r="D904">
        <v>87.6</v>
      </c>
      <c r="E904">
        <v>74.400000000000006</v>
      </c>
      <c r="F904">
        <v>80.3</v>
      </c>
      <c r="G904" s="2">
        <f t="shared" si="167"/>
        <v>1</v>
      </c>
      <c r="H904">
        <v>85.3</v>
      </c>
      <c r="I904">
        <v>74.400000000000006</v>
      </c>
      <c r="J904">
        <v>79.400000000000006</v>
      </c>
      <c r="K904">
        <v>50</v>
      </c>
      <c r="L904">
        <v>35.299999999999997</v>
      </c>
      <c r="M904" s="2">
        <f t="shared" si="159"/>
        <v>1</v>
      </c>
      <c r="N904">
        <v>0</v>
      </c>
      <c r="P904" s="2">
        <f t="shared" si="160"/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s="2">
        <f t="shared" si="161"/>
        <v>0</v>
      </c>
      <c r="X904">
        <v>21.3</v>
      </c>
      <c r="Z904" s="2">
        <f t="shared" si="162"/>
        <v>1</v>
      </c>
      <c r="AA904">
        <v>3.4</v>
      </c>
      <c r="AB904" s="2" t="str">
        <f>CHOOSE(MATCH(AA904,{0;11;80;111;161;191;241;281;341},1),"North","NorthEast","East","SouthEast","South","SouthWest","West","NorthWest","North")</f>
        <v>North</v>
      </c>
      <c r="AC904" s="5">
        <f>CHOOSE(MATCH(AB904,{"South";"SouthEast";"SouthWest";"North";"NorthEast";"East";"West";"NorthWest"},0),1,2,3,4,5,6,7,8)</f>
        <v>4</v>
      </c>
      <c r="AD904" s="2">
        <f t="shared" si="163"/>
        <v>1</v>
      </c>
      <c r="AE904">
        <v>1012.8</v>
      </c>
      <c r="AF904" s="4" t="s">
        <v>548</v>
      </c>
      <c r="AG904" s="2">
        <f t="shared" si="164"/>
        <v>1</v>
      </c>
      <c r="AH904" t="s">
        <v>1524</v>
      </c>
      <c r="AI904" s="2">
        <f t="shared" si="165"/>
        <v>8</v>
      </c>
      <c r="AJ904" s="2">
        <f t="shared" si="166"/>
        <v>1</v>
      </c>
      <c r="AK904" s="3">
        <v>1350</v>
      </c>
      <c r="AM904" s="2">
        <v>1</v>
      </c>
      <c r="AN904">
        <v>0</v>
      </c>
      <c r="AO904">
        <v>5</v>
      </c>
      <c r="AP904">
        <v>0</v>
      </c>
      <c r="AQ904" s="2">
        <f>IF((2*G904 + M904 -P904 + 3*W904 + 2*Z904+2*AD904 + AG904+2*AJ904 + 4*AM904) &gt;=8,1,0)</f>
        <v>1</v>
      </c>
    </row>
    <row r="905" spans="1:43" x14ac:dyDescent="0.25">
      <c r="A905" t="s">
        <v>27</v>
      </c>
      <c r="B905" s="1">
        <v>40048</v>
      </c>
      <c r="C905" s="7">
        <f t="shared" si="158"/>
        <v>2009</v>
      </c>
      <c r="D905">
        <v>88.9</v>
      </c>
      <c r="E905">
        <v>75.7</v>
      </c>
      <c r="F905">
        <v>81.599999999999994</v>
      </c>
      <c r="G905" s="2">
        <f t="shared" si="167"/>
        <v>1</v>
      </c>
      <c r="H905">
        <v>85.7</v>
      </c>
      <c r="I905">
        <v>75.7</v>
      </c>
      <c r="J905">
        <v>80.400000000000006</v>
      </c>
      <c r="K905">
        <v>49.7</v>
      </c>
      <c r="L905">
        <v>33.700000000000003</v>
      </c>
      <c r="M905" s="2">
        <f t="shared" si="159"/>
        <v>1</v>
      </c>
      <c r="N905">
        <v>0</v>
      </c>
      <c r="P905" s="2">
        <f t="shared" si="160"/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s="2">
        <f t="shared" si="161"/>
        <v>0</v>
      </c>
      <c r="X905">
        <v>24.6</v>
      </c>
      <c r="Z905" s="2">
        <f t="shared" si="162"/>
        <v>1</v>
      </c>
      <c r="AA905">
        <v>358.8</v>
      </c>
      <c r="AB905" s="2" t="str">
        <f>CHOOSE(MATCH(AA905,{0;11;80;111;161;191;241;281;341},1),"North","NorthEast","East","SouthEast","South","SouthWest","West","NorthWest","North")</f>
        <v>North</v>
      </c>
      <c r="AC905" s="5">
        <f>CHOOSE(MATCH(AB905,{"South";"SouthEast";"SouthWest";"North";"NorthEast";"East";"West";"NorthWest"},0),1,2,3,4,5,6,7,8)</f>
        <v>4</v>
      </c>
      <c r="AD905" s="2">
        <f t="shared" si="163"/>
        <v>1</v>
      </c>
      <c r="AE905">
        <v>1010.8</v>
      </c>
      <c r="AF905" s="4" t="s">
        <v>372</v>
      </c>
      <c r="AG905" s="2">
        <f t="shared" si="164"/>
        <v>1</v>
      </c>
      <c r="AH905" t="s">
        <v>1525</v>
      </c>
      <c r="AI905" s="2">
        <f t="shared" si="165"/>
        <v>8</v>
      </c>
      <c r="AJ905" s="2">
        <f t="shared" si="166"/>
        <v>1</v>
      </c>
      <c r="AK905" s="3">
        <v>34.999999998835847</v>
      </c>
      <c r="AM905" s="2">
        <v>0</v>
      </c>
      <c r="AN905">
        <v>0.1</v>
      </c>
      <c r="AO905">
        <v>0</v>
      </c>
      <c r="AP905">
        <v>0</v>
      </c>
      <c r="AQ905" s="2">
        <f>IF((2*G905 + M905 -P905 + 3*W905 + 2*Z905+2*AD905 + AG905+2*AJ905 + 4*AM905) &gt;=8,1,0)</f>
        <v>1</v>
      </c>
    </row>
    <row r="906" spans="1:43" x14ac:dyDescent="0.25">
      <c r="A906" t="s">
        <v>27</v>
      </c>
      <c r="B906" s="1">
        <v>40049</v>
      </c>
      <c r="C906" s="7">
        <f t="shared" si="158"/>
        <v>2009</v>
      </c>
      <c r="D906">
        <v>86.4</v>
      </c>
      <c r="E906">
        <v>75.400000000000006</v>
      </c>
      <c r="F906">
        <v>79.8</v>
      </c>
      <c r="G906" s="2">
        <f t="shared" si="167"/>
        <v>1</v>
      </c>
      <c r="H906">
        <v>84.7</v>
      </c>
      <c r="I906">
        <v>75.400000000000006</v>
      </c>
      <c r="J906">
        <v>79.3</v>
      </c>
      <c r="K906">
        <v>52.5</v>
      </c>
      <c r="L906">
        <v>39</v>
      </c>
      <c r="M906" s="2">
        <f t="shared" si="159"/>
        <v>1</v>
      </c>
      <c r="N906">
        <v>0</v>
      </c>
      <c r="P906" s="2">
        <f t="shared" si="160"/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s="2">
        <f t="shared" si="161"/>
        <v>0</v>
      </c>
      <c r="X906">
        <v>22.7</v>
      </c>
      <c r="Z906" s="2">
        <f t="shared" si="162"/>
        <v>1</v>
      </c>
      <c r="AA906">
        <v>359.2</v>
      </c>
      <c r="AB906" s="2" t="str">
        <f>CHOOSE(MATCH(AA906,{0;11;80;111;161;191;241;281;341},1),"North","NorthEast","East","SouthEast","South","SouthWest","West","NorthWest","North")</f>
        <v>North</v>
      </c>
      <c r="AC906" s="5">
        <f>CHOOSE(MATCH(AB906,{"South";"SouthEast";"SouthWest";"North";"NorthEast";"East";"West";"NorthWest"},0),1,2,3,4,5,6,7,8)</f>
        <v>4</v>
      </c>
      <c r="AD906" s="2">
        <f t="shared" si="163"/>
        <v>1</v>
      </c>
      <c r="AE906">
        <v>1010.2</v>
      </c>
      <c r="AF906" s="4" t="s">
        <v>1526</v>
      </c>
      <c r="AG906" s="2">
        <f t="shared" si="164"/>
        <v>1</v>
      </c>
      <c r="AH906" t="s">
        <v>1527</v>
      </c>
      <c r="AI906" s="2">
        <f t="shared" si="165"/>
        <v>8</v>
      </c>
      <c r="AJ906" s="2">
        <f t="shared" si="166"/>
        <v>1</v>
      </c>
      <c r="AK906" s="3">
        <v>17.000000003026798</v>
      </c>
      <c r="AM906" s="2">
        <v>0</v>
      </c>
      <c r="AN906">
        <v>0</v>
      </c>
      <c r="AO906">
        <v>1</v>
      </c>
      <c r="AP906">
        <v>0</v>
      </c>
      <c r="AQ906" s="2">
        <f>IF((2*G906 + M906 -P906 + 3*W906 + 2*Z906+2*AD906 + AG906+2*AJ906 + 4*AM906) &gt;=8,1,0)</f>
        <v>1</v>
      </c>
    </row>
    <row r="907" spans="1:43" x14ac:dyDescent="0.25">
      <c r="A907" t="s">
        <v>27</v>
      </c>
      <c r="B907" s="1">
        <v>40049</v>
      </c>
      <c r="C907" s="7">
        <f t="shared" si="158"/>
        <v>2009</v>
      </c>
      <c r="D907">
        <v>86.4</v>
      </c>
      <c r="E907">
        <v>75.400000000000006</v>
      </c>
      <c r="F907">
        <v>79.8</v>
      </c>
      <c r="G907" s="2">
        <f t="shared" si="167"/>
        <v>1</v>
      </c>
      <c r="H907">
        <v>84.7</v>
      </c>
      <c r="I907">
        <v>75.400000000000006</v>
      </c>
      <c r="J907">
        <v>79.3</v>
      </c>
      <c r="K907">
        <v>52.5</v>
      </c>
      <c r="L907">
        <v>39</v>
      </c>
      <c r="M907" s="2">
        <f t="shared" si="159"/>
        <v>1</v>
      </c>
      <c r="N907">
        <v>0</v>
      </c>
      <c r="P907" s="2">
        <f t="shared" si="160"/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s="2">
        <f t="shared" si="161"/>
        <v>0</v>
      </c>
      <c r="X907">
        <v>22.7</v>
      </c>
      <c r="Z907" s="2">
        <f t="shared" si="162"/>
        <v>1</v>
      </c>
      <c r="AA907">
        <v>359.2</v>
      </c>
      <c r="AB907" s="2" t="str">
        <f>CHOOSE(MATCH(AA907,{0;11;80;111;161;191;241;281;341},1),"North","NorthEast","East","SouthEast","South","SouthWest","West","NorthWest","North")</f>
        <v>North</v>
      </c>
      <c r="AC907" s="5">
        <f>CHOOSE(MATCH(AB907,{"South";"SouthEast";"SouthWest";"North";"NorthEast";"East";"West";"NorthWest"},0),1,2,3,4,5,6,7,8)</f>
        <v>4</v>
      </c>
      <c r="AD907" s="2">
        <f t="shared" si="163"/>
        <v>1</v>
      </c>
      <c r="AE907">
        <v>1010.2</v>
      </c>
      <c r="AF907" s="4" t="s">
        <v>253</v>
      </c>
      <c r="AG907" s="2">
        <f t="shared" si="164"/>
        <v>1</v>
      </c>
      <c r="AH907" t="s">
        <v>1528</v>
      </c>
      <c r="AI907" s="2">
        <f t="shared" si="165"/>
        <v>8</v>
      </c>
      <c r="AJ907" s="2">
        <f t="shared" si="166"/>
        <v>1</v>
      </c>
      <c r="AK907" s="3">
        <v>4335.0000000069849</v>
      </c>
      <c r="AM907" s="2">
        <v>1</v>
      </c>
      <c r="AN907">
        <v>0</v>
      </c>
      <c r="AO907">
        <v>5</v>
      </c>
      <c r="AP907">
        <v>0</v>
      </c>
      <c r="AQ907" s="2">
        <f>IF((2*G907 + M907 -P907 + 3*W907 + 2*Z907+2*AD907 + AG907+2*AJ907 + 4*AM907) &gt;=8,1,0)</f>
        <v>1</v>
      </c>
    </row>
    <row r="908" spans="1:43" x14ac:dyDescent="0.25">
      <c r="A908" t="s">
        <v>27</v>
      </c>
      <c r="B908" s="1">
        <v>40051</v>
      </c>
      <c r="C908" s="7">
        <f t="shared" si="158"/>
        <v>2009</v>
      </c>
      <c r="D908">
        <v>88</v>
      </c>
      <c r="E908">
        <v>68.599999999999994</v>
      </c>
      <c r="F908">
        <v>78.8</v>
      </c>
      <c r="G908" s="2">
        <f t="shared" si="167"/>
        <v>1</v>
      </c>
      <c r="H908">
        <v>85.2</v>
      </c>
      <c r="I908">
        <v>68.599999999999994</v>
      </c>
      <c r="J908">
        <v>77.900000000000006</v>
      </c>
      <c r="K908">
        <v>50.9</v>
      </c>
      <c r="L908">
        <v>39.200000000000003</v>
      </c>
      <c r="M908" s="2">
        <f t="shared" si="159"/>
        <v>1</v>
      </c>
      <c r="N908">
        <v>0</v>
      </c>
      <c r="P908" s="2">
        <f t="shared" si="160"/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s="2">
        <f t="shared" si="161"/>
        <v>0</v>
      </c>
      <c r="X908">
        <v>20.7</v>
      </c>
      <c r="Z908" s="2">
        <f t="shared" si="162"/>
        <v>1</v>
      </c>
      <c r="AA908">
        <v>359</v>
      </c>
      <c r="AB908" s="2" t="str">
        <f>CHOOSE(MATCH(AA908,{0;11;80;111;161;191;241;281;341},1),"North","NorthEast","East","SouthEast","South","SouthWest","West","NorthWest","North")</f>
        <v>North</v>
      </c>
      <c r="AC908" s="5">
        <f>CHOOSE(MATCH(AB908,{"South";"SouthEast";"SouthWest";"North";"NorthEast";"East";"West";"NorthWest"},0),1,2,3,4,5,6,7,8)</f>
        <v>4</v>
      </c>
      <c r="AD908" s="2">
        <f t="shared" si="163"/>
        <v>1</v>
      </c>
      <c r="AE908">
        <v>1016.4</v>
      </c>
      <c r="AF908" s="4" t="s">
        <v>510</v>
      </c>
      <c r="AG908" s="2">
        <f t="shared" si="164"/>
        <v>1</v>
      </c>
      <c r="AH908" t="s">
        <v>1529</v>
      </c>
      <c r="AI908" s="2">
        <f t="shared" si="165"/>
        <v>8</v>
      </c>
      <c r="AJ908" s="2">
        <f t="shared" si="166"/>
        <v>1</v>
      </c>
      <c r="AK908" s="3">
        <v>179.00000000721769</v>
      </c>
      <c r="AM908" s="2">
        <v>0</v>
      </c>
      <c r="AN908">
        <v>1</v>
      </c>
      <c r="AO908">
        <v>1</v>
      </c>
      <c r="AP908">
        <v>0</v>
      </c>
      <c r="AQ908" s="2">
        <f>IF((2*G908 + M908 -P908 + 3*W908 + 2*Z908+2*AD908 + AG908+2*AJ908 + 4*AM908) &gt;=8,1,0)</f>
        <v>1</v>
      </c>
    </row>
    <row r="909" spans="1:43" x14ac:dyDescent="0.25">
      <c r="A909" t="s">
        <v>27</v>
      </c>
      <c r="B909" s="1">
        <v>40052</v>
      </c>
      <c r="C909" s="7">
        <f t="shared" si="158"/>
        <v>2009</v>
      </c>
      <c r="D909">
        <v>89.5</v>
      </c>
      <c r="E909">
        <v>74.5</v>
      </c>
      <c r="F909">
        <v>80.8</v>
      </c>
      <c r="G909" s="2">
        <f t="shared" si="167"/>
        <v>1</v>
      </c>
      <c r="H909">
        <v>86.2</v>
      </c>
      <c r="I909">
        <v>74.5</v>
      </c>
      <c r="J909">
        <v>79.599999999999994</v>
      </c>
      <c r="K909">
        <v>49.5</v>
      </c>
      <c r="L909">
        <v>34.700000000000003</v>
      </c>
      <c r="M909" s="2">
        <f t="shared" si="159"/>
        <v>1</v>
      </c>
      <c r="N909">
        <v>0</v>
      </c>
      <c r="P909" s="2">
        <f t="shared" si="160"/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s="2">
        <f t="shared" si="161"/>
        <v>0</v>
      </c>
      <c r="X909">
        <v>21.1</v>
      </c>
      <c r="Z909" s="2">
        <f t="shared" si="162"/>
        <v>1</v>
      </c>
      <c r="AA909">
        <v>357.2</v>
      </c>
      <c r="AB909" s="2" t="str">
        <f>CHOOSE(MATCH(AA909,{0;11;80;111;161;191;241;281;341},1),"North","NorthEast","East","SouthEast","South","SouthWest","West","NorthWest","North")</f>
        <v>North</v>
      </c>
      <c r="AC909" s="5">
        <f>CHOOSE(MATCH(AB909,{"South";"SouthEast";"SouthWest";"North";"NorthEast";"East";"West";"NorthWest"},0),1,2,3,4,5,6,7,8)</f>
        <v>4</v>
      </c>
      <c r="AD909" s="2">
        <f t="shared" si="163"/>
        <v>1</v>
      </c>
      <c r="AE909">
        <v>1015.6</v>
      </c>
      <c r="AF909" s="4" t="s">
        <v>345</v>
      </c>
      <c r="AG909" s="2">
        <f t="shared" si="164"/>
        <v>1</v>
      </c>
      <c r="AH909" t="s">
        <v>1530</v>
      </c>
      <c r="AI909" s="2">
        <f t="shared" si="165"/>
        <v>8</v>
      </c>
      <c r="AJ909" s="2">
        <f t="shared" si="166"/>
        <v>1</v>
      </c>
      <c r="AK909" s="3">
        <v>839.99999999301508</v>
      </c>
      <c r="AM909" s="2">
        <v>1</v>
      </c>
      <c r="AN909">
        <v>0</v>
      </c>
      <c r="AO909">
        <v>25</v>
      </c>
      <c r="AP909">
        <v>0</v>
      </c>
      <c r="AQ909" s="2">
        <f>IF((2*G909 + M909 -P909 + 3*W909 + 2*Z909+2*AD909 + AG909+2*AJ909 + 4*AM909) &gt;=8,1,0)</f>
        <v>1</v>
      </c>
    </row>
    <row r="910" spans="1:43" x14ac:dyDescent="0.25">
      <c r="A910" t="s">
        <v>27</v>
      </c>
      <c r="B910" s="1">
        <v>40055</v>
      </c>
      <c r="C910" s="7">
        <f t="shared" si="158"/>
        <v>2009</v>
      </c>
      <c r="D910">
        <v>90.7</v>
      </c>
      <c r="E910">
        <v>66.2</v>
      </c>
      <c r="F910">
        <v>78.7</v>
      </c>
      <c r="G910" s="2">
        <f t="shared" si="167"/>
        <v>1</v>
      </c>
      <c r="H910">
        <v>90.6</v>
      </c>
      <c r="I910">
        <v>66.2</v>
      </c>
      <c r="J910">
        <v>78.400000000000006</v>
      </c>
      <c r="K910">
        <v>57.4</v>
      </c>
      <c r="L910">
        <v>50.3</v>
      </c>
      <c r="M910" s="2">
        <f t="shared" si="159"/>
        <v>0</v>
      </c>
      <c r="N910">
        <v>0</v>
      </c>
      <c r="P910" s="2">
        <f t="shared" si="160"/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s="2">
        <f t="shared" si="161"/>
        <v>0</v>
      </c>
      <c r="X910">
        <v>10.3</v>
      </c>
      <c r="Z910" s="2">
        <f t="shared" si="162"/>
        <v>0</v>
      </c>
      <c r="AA910">
        <v>149.1</v>
      </c>
      <c r="AB910" s="2" t="str">
        <f>CHOOSE(MATCH(AA910,{0;11;80;111;161;191;241;281;341},1),"North","NorthEast","East","SouthEast","South","SouthWest","West","NorthWest","North")</f>
        <v>SouthEast</v>
      </c>
      <c r="AC910" s="5">
        <f>CHOOSE(MATCH(AB910,{"South";"SouthEast";"SouthWest";"North";"NorthEast";"East";"West";"NorthWest"},0),1,2,3,4,5,6,7,8)</f>
        <v>2</v>
      </c>
      <c r="AD910" s="2">
        <f t="shared" si="163"/>
        <v>0</v>
      </c>
      <c r="AE910">
        <v>1012.8</v>
      </c>
      <c r="AF910" s="4" t="s">
        <v>1531</v>
      </c>
      <c r="AG910" s="2">
        <f t="shared" si="164"/>
        <v>0</v>
      </c>
      <c r="AH910" t="s">
        <v>1532</v>
      </c>
      <c r="AI910" s="2">
        <f t="shared" si="165"/>
        <v>8</v>
      </c>
      <c r="AJ910" s="2">
        <f t="shared" si="166"/>
        <v>1</v>
      </c>
      <c r="AK910" s="3">
        <v>3462.9999999934812</v>
      </c>
      <c r="AM910" s="2">
        <v>1</v>
      </c>
      <c r="AN910">
        <v>0</v>
      </c>
      <c r="AO910">
        <v>0.7</v>
      </c>
      <c r="AP910">
        <v>0</v>
      </c>
      <c r="AQ910" s="2">
        <f>IF((2*G910 + M910 -P910 + 3*W910 + 2*Z910+2*AD910 + AG910+2*AJ910 + 4*AM910) &gt;=8,1,0)</f>
        <v>0</v>
      </c>
    </row>
    <row r="911" spans="1:43" x14ac:dyDescent="0.25">
      <c r="A911" t="s">
        <v>27</v>
      </c>
      <c r="B911" s="1">
        <v>40056</v>
      </c>
      <c r="C911" s="7">
        <f t="shared" si="158"/>
        <v>2009</v>
      </c>
      <c r="D911">
        <v>89.7</v>
      </c>
      <c r="E911">
        <v>71.599999999999994</v>
      </c>
      <c r="F911">
        <v>79.400000000000006</v>
      </c>
      <c r="G911" s="2">
        <f t="shared" si="167"/>
        <v>1</v>
      </c>
      <c r="H911">
        <v>90.7</v>
      </c>
      <c r="I911">
        <v>71.599999999999994</v>
      </c>
      <c r="J911">
        <v>79.5</v>
      </c>
      <c r="K911">
        <v>59.6</v>
      </c>
      <c r="L911">
        <v>51.8</v>
      </c>
      <c r="M911" s="2">
        <f t="shared" si="159"/>
        <v>0</v>
      </c>
      <c r="N911">
        <v>0.53800000000000003</v>
      </c>
      <c r="P911" s="2">
        <f t="shared" si="160"/>
        <v>0</v>
      </c>
      <c r="Q911">
        <v>100</v>
      </c>
      <c r="R911">
        <v>4.17</v>
      </c>
      <c r="S911" t="s">
        <v>87</v>
      </c>
      <c r="T911">
        <v>0</v>
      </c>
      <c r="U911">
        <v>0</v>
      </c>
      <c r="V911">
        <v>0</v>
      </c>
      <c r="W911" s="2">
        <f t="shared" si="161"/>
        <v>0</v>
      </c>
      <c r="X911">
        <v>12.9</v>
      </c>
      <c r="Z911" s="2">
        <f t="shared" si="162"/>
        <v>0</v>
      </c>
      <c r="AA911">
        <v>8.6</v>
      </c>
      <c r="AB911" s="2" t="str">
        <f>CHOOSE(MATCH(AA911,{0;11;80;111;161;191;241;281;341},1),"North","NorthEast","East","SouthEast","South","SouthWest","West","NorthWest","North")</f>
        <v>North</v>
      </c>
      <c r="AC911" s="5">
        <f>CHOOSE(MATCH(AB911,{"South";"SouthEast";"SouthWest";"North";"NorthEast";"East";"West";"NorthWest"},0),1,2,3,4,5,6,7,8)</f>
        <v>4</v>
      </c>
      <c r="AD911" s="2">
        <f t="shared" si="163"/>
        <v>1</v>
      </c>
      <c r="AE911">
        <v>1015.1</v>
      </c>
      <c r="AF911" s="4" t="s">
        <v>359</v>
      </c>
      <c r="AG911" s="2">
        <f t="shared" si="164"/>
        <v>1</v>
      </c>
      <c r="AH911" t="s">
        <v>1533</v>
      </c>
      <c r="AI911" s="2">
        <f t="shared" si="165"/>
        <v>8</v>
      </c>
      <c r="AJ911" s="2">
        <f t="shared" si="166"/>
        <v>1</v>
      </c>
      <c r="AK911" s="3">
        <v>24.99999999767169</v>
      </c>
      <c r="AM911" s="2">
        <v>0</v>
      </c>
      <c r="AN911">
        <v>0</v>
      </c>
      <c r="AO911">
        <v>1100</v>
      </c>
      <c r="AP911">
        <v>0</v>
      </c>
      <c r="AQ911" s="2">
        <f>IF((2*G911 + M911 -P911 + 3*W911 + 2*Z911+2*AD911 + AG911+2*AJ911 + 4*AM911) &gt;=8,1,0)</f>
        <v>0</v>
      </c>
    </row>
    <row r="912" spans="1:43" x14ac:dyDescent="0.25">
      <c r="A912" t="s">
        <v>27</v>
      </c>
      <c r="B912" s="1">
        <v>40056</v>
      </c>
      <c r="C912" s="7">
        <f t="shared" si="158"/>
        <v>2009</v>
      </c>
      <c r="D912">
        <v>89.7</v>
      </c>
      <c r="E912">
        <v>71.599999999999994</v>
      </c>
      <c r="F912">
        <v>79.400000000000006</v>
      </c>
      <c r="G912" s="2">
        <f t="shared" si="167"/>
        <v>1</v>
      </c>
      <c r="H912">
        <v>90.7</v>
      </c>
      <c r="I912">
        <v>71.599999999999994</v>
      </c>
      <c r="J912">
        <v>79.5</v>
      </c>
      <c r="K912">
        <v>59.6</v>
      </c>
      <c r="L912">
        <v>51.8</v>
      </c>
      <c r="M912" s="2">
        <f t="shared" si="159"/>
        <v>0</v>
      </c>
      <c r="N912">
        <v>0.53800000000000003</v>
      </c>
      <c r="P912" s="2">
        <f t="shared" si="160"/>
        <v>0</v>
      </c>
      <c r="Q912">
        <v>100</v>
      </c>
      <c r="R912">
        <v>4.17</v>
      </c>
      <c r="S912" t="s">
        <v>87</v>
      </c>
      <c r="T912">
        <v>0</v>
      </c>
      <c r="U912">
        <v>0</v>
      </c>
      <c r="V912">
        <v>0</v>
      </c>
      <c r="W912" s="2">
        <f t="shared" si="161"/>
        <v>0</v>
      </c>
      <c r="X912">
        <v>12.9</v>
      </c>
      <c r="Z912" s="2">
        <f t="shared" si="162"/>
        <v>0</v>
      </c>
      <c r="AA912">
        <v>8.6</v>
      </c>
      <c r="AB912" s="2" t="str">
        <f>CHOOSE(MATCH(AA912,{0;11;80;111;161;191;241;281;341},1),"North","NorthEast","East","SouthEast","South","SouthWest","West","NorthWest","North")</f>
        <v>North</v>
      </c>
      <c r="AC912" s="5">
        <f>CHOOSE(MATCH(AB912,{"South";"SouthEast";"SouthWest";"North";"NorthEast";"East";"West";"NorthWest"},0),1,2,3,4,5,6,7,8)</f>
        <v>4</v>
      </c>
      <c r="AD912" s="2">
        <f t="shared" si="163"/>
        <v>1</v>
      </c>
      <c r="AE912">
        <v>1015.1</v>
      </c>
      <c r="AF912" s="4" t="s">
        <v>937</v>
      </c>
      <c r="AG912" s="2">
        <f t="shared" si="164"/>
        <v>1</v>
      </c>
      <c r="AH912" t="s">
        <v>1534</v>
      </c>
      <c r="AI912" s="2">
        <f t="shared" si="165"/>
        <v>8</v>
      </c>
      <c r="AJ912" s="2">
        <f t="shared" si="166"/>
        <v>1</v>
      </c>
      <c r="AK912" s="3">
        <v>380.00000000232831</v>
      </c>
      <c r="AM912" s="2">
        <v>1</v>
      </c>
      <c r="AN912">
        <v>2</v>
      </c>
      <c r="AO912">
        <v>0</v>
      </c>
      <c r="AP912">
        <v>0</v>
      </c>
      <c r="AQ912" s="2">
        <f>IF((2*G912 + M912 -P912 + 3*W912 + 2*Z912+2*AD912 + AG912+2*AJ912 + 4*AM912) &gt;=8,1,0)</f>
        <v>1</v>
      </c>
    </row>
    <row r="913" spans="1:43" x14ac:dyDescent="0.25">
      <c r="A913" t="s">
        <v>27</v>
      </c>
      <c r="B913" s="1">
        <v>40056</v>
      </c>
      <c r="C913" s="7">
        <f t="shared" si="158"/>
        <v>2009</v>
      </c>
      <c r="D913">
        <v>89.7</v>
      </c>
      <c r="E913">
        <v>71.599999999999994</v>
      </c>
      <c r="F913">
        <v>79.400000000000006</v>
      </c>
      <c r="G913" s="2">
        <f t="shared" si="167"/>
        <v>1</v>
      </c>
      <c r="H913">
        <v>90.7</v>
      </c>
      <c r="I913">
        <v>71.599999999999994</v>
      </c>
      <c r="J913">
        <v>79.5</v>
      </c>
      <c r="K913">
        <v>59.6</v>
      </c>
      <c r="L913">
        <v>51.8</v>
      </c>
      <c r="M913" s="2">
        <f t="shared" si="159"/>
        <v>0</v>
      </c>
      <c r="N913">
        <v>0.53800000000000003</v>
      </c>
      <c r="P913" s="2">
        <f t="shared" si="160"/>
        <v>0</v>
      </c>
      <c r="Q913">
        <v>100</v>
      </c>
      <c r="R913">
        <v>4.17</v>
      </c>
      <c r="S913" t="s">
        <v>87</v>
      </c>
      <c r="T913">
        <v>0</v>
      </c>
      <c r="U913">
        <v>0</v>
      </c>
      <c r="V913">
        <v>0</v>
      </c>
      <c r="W913" s="2">
        <f t="shared" si="161"/>
        <v>0</v>
      </c>
      <c r="X913">
        <v>12.9</v>
      </c>
      <c r="Z913" s="2">
        <f t="shared" si="162"/>
        <v>0</v>
      </c>
      <c r="AA913">
        <v>8.6</v>
      </c>
      <c r="AB913" s="2" t="str">
        <f>CHOOSE(MATCH(AA913,{0;11;80;111;161;191;241;281;341},1),"North","NorthEast","East","SouthEast","South","SouthWest","West","NorthWest","North")</f>
        <v>North</v>
      </c>
      <c r="AC913" s="5">
        <f>CHOOSE(MATCH(AB913,{"South";"SouthEast";"SouthWest";"North";"NorthEast";"East";"West";"NorthWest"},0),1,2,3,4,5,6,7,8)</f>
        <v>4</v>
      </c>
      <c r="AD913" s="2">
        <f t="shared" si="163"/>
        <v>1</v>
      </c>
      <c r="AE913">
        <v>1015.1</v>
      </c>
      <c r="AF913" s="4" t="s">
        <v>392</v>
      </c>
      <c r="AG913" s="2">
        <f t="shared" si="164"/>
        <v>1</v>
      </c>
      <c r="AH913" t="s">
        <v>1535</v>
      </c>
      <c r="AI913" s="2">
        <f t="shared" si="165"/>
        <v>8</v>
      </c>
      <c r="AJ913" s="2">
        <f t="shared" si="166"/>
        <v>1</v>
      </c>
      <c r="AK913" s="3">
        <v>36.000000002095483</v>
      </c>
      <c r="AM913" s="2">
        <v>0</v>
      </c>
      <c r="AN913">
        <v>1</v>
      </c>
      <c r="AO913">
        <v>0</v>
      </c>
      <c r="AP913">
        <v>0</v>
      </c>
      <c r="AQ913" s="2">
        <f>IF((2*G913 + M913 -P913 + 3*W913 + 2*Z913+2*AD913 + AG913+2*AJ913 + 4*AM913) &gt;=8,1,0)</f>
        <v>0</v>
      </c>
    </row>
    <row r="914" spans="1:43" x14ac:dyDescent="0.25">
      <c r="A914" t="s">
        <v>27</v>
      </c>
      <c r="B914" s="1">
        <v>40056</v>
      </c>
      <c r="C914" s="7">
        <f t="shared" si="158"/>
        <v>2009</v>
      </c>
      <c r="D914">
        <v>89.7</v>
      </c>
      <c r="E914">
        <v>71.599999999999994</v>
      </c>
      <c r="F914">
        <v>79.400000000000006</v>
      </c>
      <c r="G914" s="2">
        <f t="shared" si="167"/>
        <v>1</v>
      </c>
      <c r="H914">
        <v>90.7</v>
      </c>
      <c r="I914">
        <v>71.599999999999994</v>
      </c>
      <c r="J914">
        <v>79.5</v>
      </c>
      <c r="K914">
        <v>59.6</v>
      </c>
      <c r="L914">
        <v>51.8</v>
      </c>
      <c r="M914" s="2">
        <f t="shared" si="159"/>
        <v>0</v>
      </c>
      <c r="N914">
        <v>0.53800000000000003</v>
      </c>
      <c r="P914" s="2">
        <f t="shared" si="160"/>
        <v>0</v>
      </c>
      <c r="Q914">
        <v>100</v>
      </c>
      <c r="R914">
        <v>4.17</v>
      </c>
      <c r="S914" t="s">
        <v>87</v>
      </c>
      <c r="T914">
        <v>0</v>
      </c>
      <c r="U914">
        <v>0</v>
      </c>
      <c r="V914">
        <v>0</v>
      </c>
      <c r="W914" s="2">
        <f t="shared" si="161"/>
        <v>0</v>
      </c>
      <c r="X914">
        <v>12.9</v>
      </c>
      <c r="Z914" s="2">
        <f t="shared" si="162"/>
        <v>0</v>
      </c>
      <c r="AA914">
        <v>8.6</v>
      </c>
      <c r="AB914" s="2" t="str">
        <f>CHOOSE(MATCH(AA914,{0;11;80;111;161;191;241;281;341},1),"North","NorthEast","East","SouthEast","South","SouthWest","West","NorthWest","North")</f>
        <v>North</v>
      </c>
      <c r="AC914" s="5">
        <f>CHOOSE(MATCH(AB914,{"South";"SouthEast";"SouthWest";"North";"NorthEast";"East";"West";"NorthWest"},0),1,2,3,4,5,6,7,8)</f>
        <v>4</v>
      </c>
      <c r="AD914" s="2">
        <f t="shared" si="163"/>
        <v>1</v>
      </c>
      <c r="AE914">
        <v>1015.1</v>
      </c>
      <c r="AF914" s="4" t="s">
        <v>1307</v>
      </c>
      <c r="AG914" s="2">
        <f t="shared" si="164"/>
        <v>1</v>
      </c>
      <c r="AH914" t="s">
        <v>1536</v>
      </c>
      <c r="AI914" s="2">
        <f t="shared" si="165"/>
        <v>8</v>
      </c>
      <c r="AJ914" s="2">
        <f t="shared" si="166"/>
        <v>1</v>
      </c>
      <c r="AK914" s="3">
        <v>42.000000000698492</v>
      </c>
      <c r="AM914" s="2">
        <v>0</v>
      </c>
      <c r="AN914">
        <v>1</v>
      </c>
      <c r="AO914">
        <v>0</v>
      </c>
      <c r="AP914">
        <v>0</v>
      </c>
      <c r="AQ914" s="2">
        <f>IF((2*G914 + M914 -P914 + 3*W914 + 2*Z914+2*AD914 + AG914+2*AJ914 + 4*AM914) &gt;=8,1,0)</f>
        <v>0</v>
      </c>
    </row>
    <row r="915" spans="1:43" x14ac:dyDescent="0.25">
      <c r="A915" t="s">
        <v>27</v>
      </c>
      <c r="B915" s="1">
        <v>40056</v>
      </c>
      <c r="C915" s="7">
        <f t="shared" si="158"/>
        <v>2009</v>
      </c>
      <c r="D915">
        <v>89.7</v>
      </c>
      <c r="E915">
        <v>71.599999999999994</v>
      </c>
      <c r="F915">
        <v>79.400000000000006</v>
      </c>
      <c r="G915" s="2">
        <f t="shared" si="167"/>
        <v>1</v>
      </c>
      <c r="H915">
        <v>90.7</v>
      </c>
      <c r="I915">
        <v>71.599999999999994</v>
      </c>
      <c r="J915">
        <v>79.5</v>
      </c>
      <c r="K915">
        <v>59.6</v>
      </c>
      <c r="L915">
        <v>51.8</v>
      </c>
      <c r="M915" s="2">
        <f t="shared" si="159"/>
        <v>0</v>
      </c>
      <c r="N915">
        <v>0.53800000000000003</v>
      </c>
      <c r="P915" s="2">
        <f t="shared" si="160"/>
        <v>0</v>
      </c>
      <c r="Q915">
        <v>100</v>
      </c>
      <c r="R915">
        <v>4.17</v>
      </c>
      <c r="S915" t="s">
        <v>87</v>
      </c>
      <c r="T915">
        <v>0</v>
      </c>
      <c r="U915">
        <v>0</v>
      </c>
      <c r="V915">
        <v>0</v>
      </c>
      <c r="W915" s="2">
        <f t="shared" si="161"/>
        <v>0</v>
      </c>
      <c r="X915">
        <v>12.9</v>
      </c>
      <c r="Z915" s="2">
        <f t="shared" si="162"/>
        <v>0</v>
      </c>
      <c r="AA915">
        <v>8.6</v>
      </c>
      <c r="AB915" s="2" t="str">
        <f>CHOOSE(MATCH(AA915,{0;11;80;111;161;191;241;281;341},1),"North","NorthEast","East","SouthEast","South","SouthWest","West","NorthWest","North")</f>
        <v>North</v>
      </c>
      <c r="AC915" s="5">
        <f>CHOOSE(MATCH(AB915,{"South";"SouthEast";"SouthWest";"North";"NorthEast";"East";"West";"NorthWest"},0),1,2,3,4,5,6,7,8)</f>
        <v>4</v>
      </c>
      <c r="AD915" s="2">
        <f t="shared" si="163"/>
        <v>1</v>
      </c>
      <c r="AE915">
        <v>1015.1</v>
      </c>
      <c r="AF915" s="4" t="s">
        <v>361</v>
      </c>
      <c r="AG915" s="2">
        <f t="shared" si="164"/>
        <v>1</v>
      </c>
      <c r="AH915" t="s">
        <v>1537</v>
      </c>
      <c r="AI915" s="2">
        <f t="shared" si="165"/>
        <v>8</v>
      </c>
      <c r="AJ915" s="2">
        <f t="shared" si="166"/>
        <v>1</v>
      </c>
      <c r="AK915" s="3">
        <v>120.0000000034925</v>
      </c>
      <c r="AM915" s="2">
        <v>0</v>
      </c>
      <c r="AN915">
        <v>1</v>
      </c>
      <c r="AO915">
        <v>0</v>
      </c>
      <c r="AP915">
        <v>0</v>
      </c>
      <c r="AQ915" s="2">
        <f>IF((2*G915 + M915 -P915 + 3*W915 + 2*Z915+2*AD915 + AG915+2*AJ915 + 4*AM915) &gt;=8,1,0)</f>
        <v>0</v>
      </c>
    </row>
    <row r="916" spans="1:43" x14ac:dyDescent="0.25">
      <c r="A916" t="s">
        <v>27</v>
      </c>
      <c r="B916" s="1">
        <v>40056</v>
      </c>
      <c r="C916" s="7">
        <f t="shared" si="158"/>
        <v>2009</v>
      </c>
      <c r="D916">
        <v>89.7</v>
      </c>
      <c r="E916">
        <v>71.599999999999994</v>
      </c>
      <c r="F916">
        <v>79.400000000000006</v>
      </c>
      <c r="G916" s="2">
        <f t="shared" si="167"/>
        <v>1</v>
      </c>
      <c r="H916">
        <v>90.7</v>
      </c>
      <c r="I916">
        <v>71.599999999999994</v>
      </c>
      <c r="J916">
        <v>79.5</v>
      </c>
      <c r="K916">
        <v>59.6</v>
      </c>
      <c r="L916">
        <v>51.8</v>
      </c>
      <c r="M916" s="2">
        <f t="shared" si="159"/>
        <v>0</v>
      </c>
      <c r="N916">
        <v>0.53800000000000003</v>
      </c>
      <c r="P916" s="2">
        <f t="shared" si="160"/>
        <v>0</v>
      </c>
      <c r="Q916">
        <v>100</v>
      </c>
      <c r="R916">
        <v>4.17</v>
      </c>
      <c r="S916" t="s">
        <v>87</v>
      </c>
      <c r="T916">
        <v>0</v>
      </c>
      <c r="U916">
        <v>0</v>
      </c>
      <c r="V916">
        <v>0</v>
      </c>
      <c r="W916" s="2">
        <f t="shared" si="161"/>
        <v>0</v>
      </c>
      <c r="X916">
        <v>12.9</v>
      </c>
      <c r="Z916" s="2">
        <f t="shared" si="162"/>
        <v>0</v>
      </c>
      <c r="AA916">
        <v>8.6</v>
      </c>
      <c r="AB916" s="2" t="str">
        <f>CHOOSE(MATCH(AA916,{0;11;80;111;161;191;241;281;341},1),"North","NorthEast","East","SouthEast","South","SouthWest","West","NorthWest","North")</f>
        <v>North</v>
      </c>
      <c r="AC916" s="5">
        <f>CHOOSE(MATCH(AB916,{"South";"SouthEast";"SouthWest";"North";"NorthEast";"East";"West";"NorthWest"},0),1,2,3,4,5,6,7,8)</f>
        <v>4</v>
      </c>
      <c r="AD916" s="2">
        <f t="shared" si="163"/>
        <v>1</v>
      </c>
      <c r="AE916">
        <v>1015.1</v>
      </c>
      <c r="AF916" s="4" t="s">
        <v>420</v>
      </c>
      <c r="AG916" s="2">
        <f t="shared" si="164"/>
        <v>1</v>
      </c>
      <c r="AH916" t="s">
        <v>1538</v>
      </c>
      <c r="AI916" s="2">
        <f t="shared" si="165"/>
        <v>8</v>
      </c>
      <c r="AJ916" s="2">
        <f t="shared" si="166"/>
        <v>1</v>
      </c>
      <c r="AK916" s="3">
        <v>136.0000000032596</v>
      </c>
      <c r="AM916" s="2">
        <v>0</v>
      </c>
      <c r="AN916">
        <v>1</v>
      </c>
      <c r="AO916">
        <v>0</v>
      </c>
      <c r="AP916">
        <v>0</v>
      </c>
      <c r="AQ916" s="2">
        <f>IF((2*G916 + M916 -P916 + 3*W916 + 2*Z916+2*AD916 + AG916+2*AJ916 + 4*AM916) &gt;=8,1,0)</f>
        <v>0</v>
      </c>
    </row>
    <row r="917" spans="1:43" x14ac:dyDescent="0.25">
      <c r="A917" t="s">
        <v>27</v>
      </c>
      <c r="B917" s="1">
        <v>40057</v>
      </c>
      <c r="C917" s="7">
        <f t="shared" si="158"/>
        <v>2009</v>
      </c>
      <c r="D917">
        <v>87</v>
      </c>
      <c r="E917">
        <v>72.7</v>
      </c>
      <c r="F917">
        <v>78.5</v>
      </c>
      <c r="G917" s="2">
        <f t="shared" si="167"/>
        <v>1</v>
      </c>
      <c r="H917">
        <v>86.6</v>
      </c>
      <c r="I917">
        <v>72.7</v>
      </c>
      <c r="J917">
        <v>78.599999999999994</v>
      </c>
      <c r="K917">
        <v>59.9</v>
      </c>
      <c r="L917">
        <v>53.7</v>
      </c>
      <c r="M917" s="2">
        <f t="shared" si="159"/>
        <v>0</v>
      </c>
      <c r="N917">
        <v>0</v>
      </c>
      <c r="P917" s="2">
        <f t="shared" si="160"/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s="2">
        <f t="shared" si="161"/>
        <v>0</v>
      </c>
      <c r="X917">
        <v>19</v>
      </c>
      <c r="Z917" s="2">
        <f t="shared" si="162"/>
        <v>1</v>
      </c>
      <c r="AA917">
        <v>14.8</v>
      </c>
      <c r="AB917" s="2" t="str">
        <f>CHOOSE(MATCH(AA917,{0;11;80;111;161;191;241;281;341},1),"North","NorthEast","East","SouthEast","South","SouthWest","West","NorthWest","North")</f>
        <v>NorthEast</v>
      </c>
      <c r="AC917" s="5">
        <f>CHOOSE(MATCH(AB917,{"South";"SouthEast";"SouthWest";"North";"NorthEast";"East";"West";"NorthWest"},0),1,2,3,4,5,6,7,8)</f>
        <v>5</v>
      </c>
      <c r="AD917" s="2">
        <f t="shared" si="163"/>
        <v>1</v>
      </c>
      <c r="AE917">
        <v>1017</v>
      </c>
      <c r="AF917" s="4" t="s">
        <v>1539</v>
      </c>
      <c r="AG917" s="2">
        <f t="shared" si="164"/>
        <v>0</v>
      </c>
      <c r="AH917" t="s">
        <v>1540</v>
      </c>
      <c r="AI917" s="2">
        <f t="shared" si="165"/>
        <v>9</v>
      </c>
      <c r="AJ917" s="2">
        <f t="shared" si="166"/>
        <v>0</v>
      </c>
      <c r="AK917" s="3">
        <v>127.0000000053551</v>
      </c>
      <c r="AM917" s="2">
        <v>0</v>
      </c>
      <c r="AN917">
        <v>1</v>
      </c>
      <c r="AO917">
        <v>0</v>
      </c>
      <c r="AP917">
        <v>0</v>
      </c>
      <c r="AQ917" s="2">
        <f>IF((2*G917 + M917 -P917 + 3*W917 + 2*Z917+2*AD917 + AG917+2*AJ917 + 4*AM917) &gt;=8,1,0)</f>
        <v>0</v>
      </c>
    </row>
    <row r="918" spans="1:43" x14ac:dyDescent="0.25">
      <c r="A918" t="s">
        <v>27</v>
      </c>
      <c r="B918" s="1">
        <v>40059</v>
      </c>
      <c r="C918" s="7">
        <f t="shared" si="158"/>
        <v>2009</v>
      </c>
      <c r="D918">
        <v>87.2</v>
      </c>
      <c r="E918">
        <v>66</v>
      </c>
      <c r="F918">
        <v>76.599999999999994</v>
      </c>
      <c r="G918" s="2">
        <f t="shared" si="167"/>
        <v>1</v>
      </c>
      <c r="H918">
        <v>86.5</v>
      </c>
      <c r="I918">
        <v>66</v>
      </c>
      <c r="J918">
        <v>76.5</v>
      </c>
      <c r="K918">
        <v>57.8</v>
      </c>
      <c r="L918">
        <v>53.8</v>
      </c>
      <c r="M918" s="2">
        <f t="shared" si="159"/>
        <v>0</v>
      </c>
      <c r="N918">
        <v>0</v>
      </c>
      <c r="P918" s="2">
        <f t="shared" si="160"/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s="2">
        <f t="shared" si="161"/>
        <v>0</v>
      </c>
      <c r="X918">
        <v>11.1</v>
      </c>
      <c r="Z918" s="2">
        <f t="shared" si="162"/>
        <v>0</v>
      </c>
      <c r="AA918">
        <v>148.1</v>
      </c>
      <c r="AB918" s="2" t="str">
        <f>CHOOSE(MATCH(AA918,{0;11;80;111;161;191;241;281;341},1),"North","NorthEast","East","SouthEast","South","SouthWest","West","NorthWest","North")</f>
        <v>SouthEast</v>
      </c>
      <c r="AC918" s="5">
        <f>CHOOSE(MATCH(AB918,{"South";"SouthEast";"SouthWest";"North";"NorthEast";"East";"West";"NorthWest"},0),1,2,3,4,5,6,7,8)</f>
        <v>2</v>
      </c>
      <c r="AD918" s="2">
        <f t="shared" si="163"/>
        <v>0</v>
      </c>
      <c r="AE918">
        <v>1012.6</v>
      </c>
      <c r="AF918" s="4" t="s">
        <v>298</v>
      </c>
      <c r="AG918" s="2">
        <f t="shared" si="164"/>
        <v>1</v>
      </c>
      <c r="AH918" t="s">
        <v>1541</v>
      </c>
      <c r="AI918" s="2">
        <f t="shared" si="165"/>
        <v>9</v>
      </c>
      <c r="AJ918" s="2">
        <f t="shared" si="166"/>
        <v>0</v>
      </c>
      <c r="AK918" s="3">
        <v>205.0000000081491</v>
      </c>
      <c r="AM918" s="2">
        <v>0</v>
      </c>
      <c r="AN918">
        <v>0</v>
      </c>
      <c r="AO918">
        <v>0.2</v>
      </c>
      <c r="AP918">
        <v>0</v>
      </c>
      <c r="AQ918" s="2">
        <f>IF((2*G918 + M918 -P918 + 3*W918 + 2*Z918+2*AD918 + AG918+2*AJ918 + 4*AM918) &gt;=8,1,0)</f>
        <v>0</v>
      </c>
    </row>
    <row r="919" spans="1:43" x14ac:dyDescent="0.25">
      <c r="A919" t="s">
        <v>27</v>
      </c>
      <c r="B919" s="1">
        <v>40062</v>
      </c>
      <c r="C919" s="7">
        <f t="shared" si="158"/>
        <v>2009</v>
      </c>
      <c r="D919">
        <v>88.3</v>
      </c>
      <c r="E919">
        <v>69.8</v>
      </c>
      <c r="F919">
        <v>79.3</v>
      </c>
      <c r="G919" s="2">
        <f t="shared" si="167"/>
        <v>1</v>
      </c>
      <c r="H919">
        <v>90.4</v>
      </c>
      <c r="I919">
        <v>69.8</v>
      </c>
      <c r="J919">
        <v>79.8</v>
      </c>
      <c r="K919">
        <v>62.3</v>
      </c>
      <c r="L919">
        <v>57.3</v>
      </c>
      <c r="M919" s="2">
        <f t="shared" si="159"/>
        <v>0</v>
      </c>
      <c r="N919">
        <v>0</v>
      </c>
      <c r="P919" s="2">
        <f t="shared" si="160"/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s="2">
        <f t="shared" si="161"/>
        <v>0</v>
      </c>
      <c r="X919">
        <v>18.899999999999999</v>
      </c>
      <c r="Z919" s="2">
        <f t="shared" si="162"/>
        <v>1</v>
      </c>
      <c r="AA919">
        <v>13.5</v>
      </c>
      <c r="AB919" s="2" t="str">
        <f>CHOOSE(MATCH(AA919,{0;11;80;111;161;191;241;281;341},1),"North","NorthEast","East","SouthEast","South","SouthWest","West","NorthWest","North")</f>
        <v>NorthEast</v>
      </c>
      <c r="AC919" s="5">
        <f>CHOOSE(MATCH(AB919,{"South";"SouthEast";"SouthWest";"North";"NorthEast";"East";"West";"NorthWest"},0),1,2,3,4,5,6,7,8)</f>
        <v>5</v>
      </c>
      <c r="AD919" s="2">
        <f t="shared" si="163"/>
        <v>1</v>
      </c>
      <c r="AE919">
        <v>1009.5</v>
      </c>
      <c r="AF919" s="4" t="s">
        <v>1330</v>
      </c>
      <c r="AG919" s="2">
        <f t="shared" si="164"/>
        <v>1</v>
      </c>
      <c r="AH919" t="s">
        <v>1542</v>
      </c>
      <c r="AI919" s="2">
        <f t="shared" si="165"/>
        <v>9</v>
      </c>
      <c r="AJ919" s="2">
        <f t="shared" si="166"/>
        <v>0</v>
      </c>
      <c r="AK919" s="3">
        <v>586.99999999604188</v>
      </c>
      <c r="AM919" s="2">
        <v>1</v>
      </c>
      <c r="AN919">
        <v>0</v>
      </c>
      <c r="AO919">
        <v>0.1</v>
      </c>
      <c r="AP919">
        <v>0</v>
      </c>
      <c r="AQ919" s="2">
        <f>IF((2*G919 + M919 -P919 + 3*W919 + 2*Z919+2*AD919 + AG919+2*AJ919 + 4*AM919) &gt;=8,1,0)</f>
        <v>1</v>
      </c>
    </row>
    <row r="920" spans="1:43" x14ac:dyDescent="0.25">
      <c r="A920" t="s">
        <v>27</v>
      </c>
      <c r="B920" s="1">
        <v>40062</v>
      </c>
      <c r="C920" s="7">
        <f t="shared" si="158"/>
        <v>2009</v>
      </c>
      <c r="D920">
        <v>88.3</v>
      </c>
      <c r="E920">
        <v>69.8</v>
      </c>
      <c r="F920">
        <v>79.3</v>
      </c>
      <c r="G920" s="2">
        <f t="shared" si="167"/>
        <v>1</v>
      </c>
      <c r="H920">
        <v>90.4</v>
      </c>
      <c r="I920">
        <v>69.8</v>
      </c>
      <c r="J920">
        <v>79.8</v>
      </c>
      <c r="K920">
        <v>62.3</v>
      </c>
      <c r="L920">
        <v>57.3</v>
      </c>
      <c r="M920" s="2">
        <f t="shared" si="159"/>
        <v>0</v>
      </c>
      <c r="N920">
        <v>0</v>
      </c>
      <c r="P920" s="2">
        <f t="shared" si="160"/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s="2">
        <f t="shared" si="161"/>
        <v>0</v>
      </c>
      <c r="X920">
        <v>18.899999999999999</v>
      </c>
      <c r="Z920" s="2">
        <f t="shared" si="162"/>
        <v>1</v>
      </c>
      <c r="AA920">
        <v>13.5</v>
      </c>
      <c r="AB920" s="2" t="str">
        <f>CHOOSE(MATCH(AA920,{0;11;80;111;161;191;241;281;341},1),"North","NorthEast","East","SouthEast","South","SouthWest","West","NorthWest","North")</f>
        <v>NorthEast</v>
      </c>
      <c r="AC920" s="5">
        <f>CHOOSE(MATCH(AB920,{"South";"SouthEast";"SouthWest";"North";"NorthEast";"East";"West";"NorthWest"},0),1,2,3,4,5,6,7,8)</f>
        <v>5</v>
      </c>
      <c r="AD920" s="2">
        <f t="shared" si="163"/>
        <v>1</v>
      </c>
      <c r="AE920">
        <v>1009.5</v>
      </c>
      <c r="AF920" s="4" t="s">
        <v>211</v>
      </c>
      <c r="AG920" s="2">
        <f t="shared" si="164"/>
        <v>1</v>
      </c>
      <c r="AH920" t="s">
        <v>1543</v>
      </c>
      <c r="AI920" s="2">
        <f t="shared" si="165"/>
        <v>9</v>
      </c>
      <c r="AJ920" s="2">
        <f t="shared" si="166"/>
        <v>0</v>
      </c>
      <c r="AK920" s="3">
        <v>1354.9999999953429</v>
      </c>
      <c r="AM920" s="2">
        <v>1</v>
      </c>
      <c r="AN920">
        <v>0</v>
      </c>
      <c r="AO920">
        <v>45</v>
      </c>
      <c r="AP920">
        <v>0</v>
      </c>
      <c r="AQ920" s="2">
        <f>IF((2*G920 + M920 -P920 + 3*W920 + 2*Z920+2*AD920 + AG920+2*AJ920 + 4*AM920) &gt;=8,1,0)</f>
        <v>1</v>
      </c>
    </row>
    <row r="921" spans="1:43" x14ac:dyDescent="0.25">
      <c r="A921" t="s">
        <v>27</v>
      </c>
      <c r="B921" s="1">
        <v>40075</v>
      </c>
      <c r="C921" s="7">
        <f t="shared" si="158"/>
        <v>2009</v>
      </c>
      <c r="D921">
        <v>76.900000000000006</v>
      </c>
      <c r="E921">
        <v>68</v>
      </c>
      <c r="F921">
        <v>72.2</v>
      </c>
      <c r="G921" s="2">
        <f t="shared" si="167"/>
        <v>0</v>
      </c>
      <c r="H921">
        <v>76.900000000000006</v>
      </c>
      <c r="I921">
        <v>68</v>
      </c>
      <c r="J921">
        <v>72.2</v>
      </c>
      <c r="K921">
        <v>60.7</v>
      </c>
      <c r="L921">
        <v>68.400000000000006</v>
      </c>
      <c r="M921" s="2">
        <f t="shared" si="159"/>
        <v>0</v>
      </c>
      <c r="N921">
        <v>0.24399999999999999</v>
      </c>
      <c r="P921" s="2">
        <f t="shared" si="160"/>
        <v>0</v>
      </c>
      <c r="Q921">
        <v>100</v>
      </c>
      <c r="R921">
        <v>8.33</v>
      </c>
      <c r="S921" t="s">
        <v>87</v>
      </c>
      <c r="T921">
        <v>0</v>
      </c>
      <c r="U921">
        <v>0</v>
      </c>
      <c r="V921">
        <v>0</v>
      </c>
      <c r="W921" s="2">
        <f t="shared" si="161"/>
        <v>0</v>
      </c>
      <c r="X921">
        <v>16.600000000000001</v>
      </c>
      <c r="Z921" s="2">
        <f t="shared" si="162"/>
        <v>1</v>
      </c>
      <c r="AA921">
        <v>6.2</v>
      </c>
      <c r="AB921" s="2" t="str">
        <f>CHOOSE(MATCH(AA921,{0;11;80;111;161;191;241;281;341},1),"North","NorthEast","East","SouthEast","South","SouthWest","West","NorthWest","North")</f>
        <v>North</v>
      </c>
      <c r="AC921" s="5">
        <f>CHOOSE(MATCH(AB921,{"South";"SouthEast";"SouthWest";"North";"NorthEast";"East";"West";"NorthWest"},0),1,2,3,4,5,6,7,8)</f>
        <v>4</v>
      </c>
      <c r="AD921" s="2">
        <f t="shared" si="163"/>
        <v>1</v>
      </c>
      <c r="AE921">
        <v>1013.4</v>
      </c>
      <c r="AF921" s="4" t="s">
        <v>261</v>
      </c>
      <c r="AG921" s="2">
        <f t="shared" si="164"/>
        <v>1</v>
      </c>
      <c r="AH921" t="s">
        <v>1544</v>
      </c>
      <c r="AI921" s="2">
        <f t="shared" si="165"/>
        <v>9</v>
      </c>
      <c r="AJ921" s="2">
        <f t="shared" si="166"/>
        <v>0</v>
      </c>
      <c r="AK921" s="3">
        <v>630</v>
      </c>
      <c r="AM921" s="2">
        <v>1</v>
      </c>
      <c r="AN921">
        <v>0</v>
      </c>
      <c r="AO921">
        <v>10</v>
      </c>
      <c r="AP921">
        <v>0</v>
      </c>
      <c r="AQ921" s="2">
        <f>IF((2*G921 + M921 -P921 + 3*W921 + 2*Z921+2*AD921 + AG921+2*AJ921 + 4*AM921) &gt;=8,1,0)</f>
        <v>1</v>
      </c>
    </row>
    <row r="922" spans="1:43" x14ac:dyDescent="0.25">
      <c r="A922" t="s">
        <v>27</v>
      </c>
      <c r="B922" s="1">
        <v>40076</v>
      </c>
      <c r="C922" s="7">
        <f t="shared" si="158"/>
        <v>2009</v>
      </c>
      <c r="D922">
        <v>76</v>
      </c>
      <c r="E922">
        <v>65.400000000000006</v>
      </c>
      <c r="F922">
        <v>70.8</v>
      </c>
      <c r="G922" s="2">
        <f t="shared" si="167"/>
        <v>0</v>
      </c>
      <c r="H922">
        <v>76</v>
      </c>
      <c r="I922">
        <v>65.400000000000006</v>
      </c>
      <c r="J922">
        <v>70.8</v>
      </c>
      <c r="K922">
        <v>53.5</v>
      </c>
      <c r="L922">
        <v>55.5</v>
      </c>
      <c r="M922" s="2">
        <f t="shared" si="159"/>
        <v>0</v>
      </c>
      <c r="N922">
        <v>0</v>
      </c>
      <c r="P922" s="2">
        <f t="shared" si="160"/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s="2">
        <f t="shared" si="161"/>
        <v>0</v>
      </c>
      <c r="X922">
        <v>17.5</v>
      </c>
      <c r="Z922" s="2">
        <f t="shared" si="162"/>
        <v>1</v>
      </c>
      <c r="AA922">
        <v>2.5</v>
      </c>
      <c r="AB922" s="2" t="str">
        <f>CHOOSE(MATCH(AA922,{0;11;80;111;161;191;241;281;341},1),"North","NorthEast","East","SouthEast","South","SouthWest","West","NorthWest","North")</f>
        <v>North</v>
      </c>
      <c r="AC922" s="5">
        <f>CHOOSE(MATCH(AB922,{"South";"SouthEast";"SouthWest";"North";"NorthEast";"East";"West";"NorthWest"},0),1,2,3,4,5,6,7,8)</f>
        <v>4</v>
      </c>
      <c r="AD922" s="2">
        <f t="shared" si="163"/>
        <v>1</v>
      </c>
      <c r="AE922">
        <v>1015.4</v>
      </c>
      <c r="AF922" s="4" t="s">
        <v>65</v>
      </c>
      <c r="AG922" s="2">
        <f t="shared" si="164"/>
        <v>0</v>
      </c>
      <c r="AH922" t="s">
        <v>1545</v>
      </c>
      <c r="AI922" s="2">
        <f t="shared" si="165"/>
        <v>9</v>
      </c>
      <c r="AJ922" s="2">
        <f t="shared" si="166"/>
        <v>0</v>
      </c>
      <c r="AK922" s="3">
        <v>1135.0000000011639</v>
      </c>
      <c r="AM922" s="2">
        <v>1</v>
      </c>
      <c r="AN922">
        <v>0</v>
      </c>
      <c r="AO922">
        <v>10</v>
      </c>
      <c r="AP922">
        <v>0</v>
      </c>
      <c r="AQ922" s="2">
        <f>IF((2*G922 + M922 -P922 + 3*W922 + 2*Z922+2*AD922 + AG922+2*AJ922 + 4*AM922) &gt;=8,1,0)</f>
        <v>0</v>
      </c>
    </row>
    <row r="923" spans="1:43" x14ac:dyDescent="0.25">
      <c r="A923" t="s">
        <v>27</v>
      </c>
      <c r="B923" s="1">
        <v>40079</v>
      </c>
      <c r="C923" s="7">
        <f t="shared" si="158"/>
        <v>2009</v>
      </c>
      <c r="D923">
        <v>77.099999999999994</v>
      </c>
      <c r="E923">
        <v>62.1</v>
      </c>
      <c r="F923">
        <v>69.5</v>
      </c>
      <c r="G923" s="2">
        <f t="shared" si="167"/>
        <v>0</v>
      </c>
      <c r="H923">
        <v>77.099999999999994</v>
      </c>
      <c r="I923">
        <v>62.1</v>
      </c>
      <c r="J923">
        <v>69.5</v>
      </c>
      <c r="K923">
        <v>47.5</v>
      </c>
      <c r="L923">
        <v>46.6</v>
      </c>
      <c r="M923" s="2">
        <f t="shared" si="159"/>
        <v>1</v>
      </c>
      <c r="N923">
        <v>0</v>
      </c>
      <c r="P923" s="2">
        <f t="shared" si="160"/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s="2">
        <f t="shared" si="161"/>
        <v>0</v>
      </c>
      <c r="X923">
        <v>16.600000000000001</v>
      </c>
      <c r="Z923" s="2">
        <f t="shared" si="162"/>
        <v>1</v>
      </c>
      <c r="AA923">
        <v>359.4</v>
      </c>
      <c r="AB923" s="2" t="str">
        <f>CHOOSE(MATCH(AA923,{0;11;80;111;161;191;241;281;341},1),"North","NorthEast","East","SouthEast","South","SouthWest","West","NorthWest","North")</f>
        <v>North</v>
      </c>
      <c r="AC923" s="5">
        <f>CHOOSE(MATCH(AB923,{"South";"SouthEast";"SouthWest";"North";"NorthEast";"East";"West";"NorthWest"},0),1,2,3,4,5,6,7,8)</f>
        <v>4</v>
      </c>
      <c r="AD923" s="2">
        <f t="shared" si="163"/>
        <v>1</v>
      </c>
      <c r="AE923">
        <v>1023.4</v>
      </c>
      <c r="AF923" s="4" t="s">
        <v>991</v>
      </c>
      <c r="AG923" s="2">
        <f t="shared" si="164"/>
        <v>0</v>
      </c>
      <c r="AH923" t="s">
        <v>1546</v>
      </c>
      <c r="AI923" s="2">
        <f t="shared" si="165"/>
        <v>9</v>
      </c>
      <c r="AJ923" s="2">
        <f t="shared" si="166"/>
        <v>0</v>
      </c>
      <c r="AK923" s="3">
        <v>3968.999999997905</v>
      </c>
      <c r="AM923" s="2">
        <v>1</v>
      </c>
      <c r="AN923">
        <v>0</v>
      </c>
      <c r="AO923">
        <v>300</v>
      </c>
      <c r="AP923">
        <v>0</v>
      </c>
      <c r="AQ923" s="2">
        <f>IF((2*G923 + M923 -P923 + 3*W923 + 2*Z923+2*AD923 + AG923+2*AJ923 + 4*AM923) &gt;=8,1,0)</f>
        <v>1</v>
      </c>
    </row>
    <row r="924" spans="1:43" x14ac:dyDescent="0.25">
      <c r="A924" t="s">
        <v>27</v>
      </c>
      <c r="B924" s="1">
        <v>40089</v>
      </c>
      <c r="C924" s="7">
        <f t="shared" si="158"/>
        <v>2009</v>
      </c>
      <c r="D924">
        <v>79.900000000000006</v>
      </c>
      <c r="E924">
        <v>67.3</v>
      </c>
      <c r="F924">
        <v>73.099999999999994</v>
      </c>
      <c r="G924" s="2">
        <f t="shared" si="167"/>
        <v>0</v>
      </c>
      <c r="H924">
        <v>79.900000000000006</v>
      </c>
      <c r="I924">
        <v>67.3</v>
      </c>
      <c r="J924">
        <v>73.099999999999994</v>
      </c>
      <c r="K924">
        <v>64.3</v>
      </c>
      <c r="L924">
        <v>74.099999999999994</v>
      </c>
      <c r="M924" s="2">
        <f t="shared" si="159"/>
        <v>0</v>
      </c>
      <c r="N924">
        <v>0.254</v>
      </c>
      <c r="P924" s="2">
        <f t="shared" si="160"/>
        <v>0</v>
      </c>
      <c r="Q924">
        <v>100</v>
      </c>
      <c r="R924">
        <v>12.5</v>
      </c>
      <c r="S924" t="s">
        <v>87</v>
      </c>
      <c r="T924">
        <v>0</v>
      </c>
      <c r="U924">
        <v>0</v>
      </c>
      <c r="V924">
        <v>0</v>
      </c>
      <c r="W924" s="2">
        <f t="shared" si="161"/>
        <v>0</v>
      </c>
      <c r="X924">
        <v>19.5</v>
      </c>
      <c r="Z924" s="2">
        <f t="shared" si="162"/>
        <v>1</v>
      </c>
      <c r="AA924">
        <v>185.2</v>
      </c>
      <c r="AB924" s="2" t="str">
        <f>CHOOSE(MATCH(AA924,{0;11;80;111;161;191;241;281;341},1),"North","NorthEast","East","SouthEast","South","SouthWest","West","NorthWest","North")</f>
        <v>South</v>
      </c>
      <c r="AC924" s="5">
        <f>CHOOSE(MATCH(AB924,{"South";"SouthEast";"SouthWest";"North";"NorthEast";"East";"West";"NorthWest"},0),1,2,3,4,5,6,7,8)</f>
        <v>1</v>
      </c>
      <c r="AD924" s="2">
        <f t="shared" si="163"/>
        <v>0</v>
      </c>
      <c r="AE924">
        <v>1010.1</v>
      </c>
      <c r="AF924" s="4" t="s">
        <v>304</v>
      </c>
      <c r="AG924" s="2">
        <f t="shared" si="164"/>
        <v>0</v>
      </c>
      <c r="AH924" t="s">
        <v>1547</v>
      </c>
      <c r="AI924" s="2">
        <f t="shared" si="165"/>
        <v>10</v>
      </c>
      <c r="AJ924" s="2">
        <f t="shared" si="166"/>
        <v>0</v>
      </c>
      <c r="AK924" s="3">
        <v>59.99999999650754</v>
      </c>
      <c r="AM924" s="2">
        <v>0</v>
      </c>
      <c r="AN924">
        <v>0</v>
      </c>
      <c r="AO924">
        <v>0.3</v>
      </c>
      <c r="AP924">
        <v>0</v>
      </c>
      <c r="AQ924" s="2">
        <f>IF((2*G924 + M924 -P924 + 3*W924 + 2*Z924+2*AD924 + AG924+2*AJ924 + 4*AM924) &gt;=8,1,0)</f>
        <v>0</v>
      </c>
    </row>
    <row r="925" spans="1:43" x14ac:dyDescent="0.25">
      <c r="A925" t="s">
        <v>27</v>
      </c>
      <c r="B925" s="1">
        <v>40098</v>
      </c>
      <c r="C925" s="7">
        <f t="shared" ref="C925:C983" si="168">YEAR(B925)</f>
        <v>2009</v>
      </c>
      <c r="D925">
        <v>79</v>
      </c>
      <c r="E925">
        <v>58.1</v>
      </c>
      <c r="F925">
        <v>69.3</v>
      </c>
      <c r="G925" s="2">
        <f t="shared" si="167"/>
        <v>0</v>
      </c>
      <c r="H925">
        <v>79</v>
      </c>
      <c r="I925">
        <v>58.1</v>
      </c>
      <c r="J925">
        <v>69.3</v>
      </c>
      <c r="K925">
        <v>58.7</v>
      </c>
      <c r="L925">
        <v>70.900000000000006</v>
      </c>
      <c r="M925" s="2">
        <f t="shared" ref="M925:M983" si="169">IF(L925&lt;=49.3,1,0)</f>
        <v>0</v>
      </c>
      <c r="N925">
        <v>0</v>
      </c>
      <c r="P925" s="2">
        <f t="shared" ref="P925:P983" si="170">IF(N925&lt;=0.01,1,0)</f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s="2">
        <f t="shared" ref="W925:W983" si="171">IF(V925&lt;=10,0,1)</f>
        <v>0</v>
      </c>
      <c r="X925">
        <v>12.5</v>
      </c>
      <c r="Z925" s="2">
        <f t="shared" ref="Z925:Z983" si="172">IF(X925&gt;=16,1,0)</f>
        <v>0</v>
      </c>
      <c r="AA925">
        <v>216.1</v>
      </c>
      <c r="AB925" s="2" t="str">
        <f>CHOOSE(MATCH(AA925,{0;11;80;111;161;191;241;281;341},1),"North","NorthEast","East","SouthEast","South","SouthWest","West","NorthWest","North")</f>
        <v>SouthWest</v>
      </c>
      <c r="AC925" s="5">
        <f>CHOOSE(MATCH(AB925,{"South";"SouthEast";"SouthWest";"North";"NorthEast";"East";"West";"NorthWest"},0),1,2,3,4,5,6,7,8)</f>
        <v>3</v>
      </c>
      <c r="AD925" s="2">
        <f t="shared" ref="AD925:AD983" si="173">IF(OR(AC925=3,AC925=4,AC925=5,AC925=8),1,0)</f>
        <v>1</v>
      </c>
      <c r="AE925">
        <v>1010.8</v>
      </c>
      <c r="AF925" s="4" t="s">
        <v>218</v>
      </c>
      <c r="AG925" s="2">
        <f t="shared" ref="AG925:AG983" si="174">IF(TIMEVALUE(AF925)&lt;=TIME(12,30,0),0,1)</f>
        <v>1</v>
      </c>
      <c r="AH925" t="s">
        <v>1548</v>
      </c>
      <c r="AI925" s="2">
        <f t="shared" ref="AI925:AI983" si="175">MONTH(AH925)</f>
        <v>10</v>
      </c>
      <c r="AJ925" s="2">
        <f t="shared" ref="AJ925:AJ983" si="176">IF(OR(AI925=6,AI925=7,AI925=8),1,0)</f>
        <v>0</v>
      </c>
      <c r="AK925" s="3">
        <v>30.00000000349246</v>
      </c>
      <c r="AM925" s="2">
        <v>0</v>
      </c>
      <c r="AN925">
        <v>0</v>
      </c>
      <c r="AO925">
        <v>0.6</v>
      </c>
      <c r="AP925">
        <v>0</v>
      </c>
      <c r="AQ925" s="2">
        <f>IF((2*G925 + M925 -P925 + 3*W925 + 2*Z925+2*AD925 + AG925+2*AJ925 + 4*AM925) &gt;=8,1,0)</f>
        <v>0</v>
      </c>
    </row>
    <row r="926" spans="1:43" x14ac:dyDescent="0.25">
      <c r="A926" t="s">
        <v>27</v>
      </c>
      <c r="B926" s="1">
        <v>40099</v>
      </c>
      <c r="C926" s="7">
        <f t="shared" si="168"/>
        <v>2009</v>
      </c>
      <c r="D926">
        <v>75.400000000000006</v>
      </c>
      <c r="E926">
        <v>63.3</v>
      </c>
      <c r="F926">
        <v>70.7</v>
      </c>
      <c r="G926" s="2">
        <f t="shared" si="167"/>
        <v>0</v>
      </c>
      <c r="H926">
        <v>75.400000000000006</v>
      </c>
      <c r="I926">
        <v>63.3</v>
      </c>
      <c r="J926">
        <v>70.7</v>
      </c>
      <c r="K926">
        <v>55.6</v>
      </c>
      <c r="L926">
        <v>60.3</v>
      </c>
      <c r="M926" s="2">
        <f t="shared" si="169"/>
        <v>0</v>
      </c>
      <c r="N926">
        <v>1.7999999999999999E-2</v>
      </c>
      <c r="P926" s="2">
        <f t="shared" si="170"/>
        <v>0</v>
      </c>
      <c r="Q926">
        <v>100</v>
      </c>
      <c r="R926">
        <v>4.17</v>
      </c>
      <c r="S926" t="s">
        <v>87</v>
      </c>
      <c r="T926">
        <v>0</v>
      </c>
      <c r="U926">
        <v>0</v>
      </c>
      <c r="V926">
        <v>0</v>
      </c>
      <c r="W926" s="2">
        <f t="shared" si="171"/>
        <v>0</v>
      </c>
      <c r="X926">
        <v>24.2</v>
      </c>
      <c r="Z926" s="2">
        <f t="shared" si="172"/>
        <v>1</v>
      </c>
      <c r="AA926">
        <v>232.9</v>
      </c>
      <c r="AB926" s="2" t="str">
        <f>CHOOSE(MATCH(AA926,{0;11;80;111;161;191;241;281;341},1),"North","NorthEast","East","SouthEast","South","SouthWest","West","NorthWest","North")</f>
        <v>SouthWest</v>
      </c>
      <c r="AC926" s="5">
        <f>CHOOSE(MATCH(AB926,{"South";"SouthEast";"SouthWest";"North";"NorthEast";"East";"West";"NorthWest"},0),1,2,3,4,5,6,7,8)</f>
        <v>3</v>
      </c>
      <c r="AD926" s="2">
        <f t="shared" si="173"/>
        <v>1</v>
      </c>
      <c r="AE926">
        <v>1004.2</v>
      </c>
      <c r="AF926" s="4" t="s">
        <v>1549</v>
      </c>
      <c r="AG926" s="2">
        <f t="shared" si="174"/>
        <v>0</v>
      </c>
      <c r="AH926" t="s">
        <v>1550</v>
      </c>
      <c r="AI926" s="2">
        <f t="shared" si="175"/>
        <v>10</v>
      </c>
      <c r="AJ926" s="2">
        <f t="shared" si="176"/>
        <v>0</v>
      </c>
      <c r="AK926" s="3">
        <v>28.000000007450581</v>
      </c>
      <c r="AM926" s="2">
        <v>0</v>
      </c>
      <c r="AN926">
        <v>0</v>
      </c>
      <c r="AO926">
        <v>2</v>
      </c>
      <c r="AP926">
        <v>0</v>
      </c>
      <c r="AQ926" s="2">
        <f>IF((2*G926 + M926 -P926 + 3*W926 + 2*Z926+2*AD926 + AG926+2*AJ926 + 4*AM926) &gt;=8,1,0)</f>
        <v>0</v>
      </c>
    </row>
    <row r="927" spans="1:43" x14ac:dyDescent="0.25">
      <c r="A927" t="s">
        <v>27</v>
      </c>
      <c r="B927" s="1">
        <v>40178</v>
      </c>
      <c r="C927" s="7">
        <f t="shared" si="168"/>
        <v>2009</v>
      </c>
      <c r="D927">
        <v>67.099999999999994</v>
      </c>
      <c r="E927">
        <v>48.6</v>
      </c>
      <c r="F927">
        <v>56.6</v>
      </c>
      <c r="G927" s="2">
        <f t="shared" si="167"/>
        <v>0</v>
      </c>
      <c r="H927">
        <v>67.099999999999994</v>
      </c>
      <c r="I927">
        <v>48</v>
      </c>
      <c r="J927">
        <v>56.5</v>
      </c>
      <c r="K927">
        <v>51.1</v>
      </c>
      <c r="L927">
        <v>83</v>
      </c>
      <c r="M927" s="2">
        <f t="shared" si="169"/>
        <v>0</v>
      </c>
      <c r="N927">
        <v>0</v>
      </c>
      <c r="P927" s="2">
        <f t="shared" si="170"/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s="2">
        <f t="shared" si="171"/>
        <v>0</v>
      </c>
      <c r="X927">
        <v>5.8</v>
      </c>
      <c r="Z927" s="2">
        <f t="shared" si="172"/>
        <v>0</v>
      </c>
      <c r="AA927">
        <v>253.9</v>
      </c>
      <c r="AB927" s="2" t="str">
        <f>CHOOSE(MATCH(AA927,{0;11;80;111;161;191;241;281;341},1),"North","NorthEast","East","SouthEast","South","SouthWest","West","NorthWest","North")</f>
        <v>West</v>
      </c>
      <c r="AC927" s="5">
        <f>CHOOSE(MATCH(AB927,{"South";"SouthEast";"SouthWest";"North";"NorthEast";"East";"West";"NorthWest"},0),1,2,3,4,5,6,7,8)</f>
        <v>7</v>
      </c>
      <c r="AD927" s="2">
        <f t="shared" si="173"/>
        <v>0</v>
      </c>
      <c r="AE927">
        <v>1009.7</v>
      </c>
      <c r="AF927" s="4" t="s">
        <v>456</v>
      </c>
      <c r="AG927" s="2">
        <f t="shared" si="174"/>
        <v>1</v>
      </c>
      <c r="AH927" t="s">
        <v>1551</v>
      </c>
      <c r="AI927" s="2">
        <f t="shared" si="175"/>
        <v>12</v>
      </c>
      <c r="AJ927" s="2">
        <f t="shared" si="176"/>
        <v>0</v>
      </c>
      <c r="AK927" s="3">
        <v>39.999999994179227</v>
      </c>
      <c r="AM927" s="2">
        <v>0</v>
      </c>
      <c r="AN927">
        <v>0</v>
      </c>
      <c r="AO927">
        <v>0.3</v>
      </c>
      <c r="AP927">
        <v>0</v>
      </c>
      <c r="AQ927" s="2">
        <f>IF((2*G927 + M927 -P927 + 3*W927 + 2*Z927+2*AD927 + AG927+2*AJ927 + 4*AM927) &gt;=8,1,0)</f>
        <v>0</v>
      </c>
    </row>
    <row r="928" spans="1:43" x14ac:dyDescent="0.25">
      <c r="A928" t="s">
        <v>27</v>
      </c>
      <c r="B928" s="1">
        <v>40181</v>
      </c>
      <c r="C928" s="7">
        <f t="shared" si="168"/>
        <v>2010</v>
      </c>
      <c r="D928">
        <v>59.5</v>
      </c>
      <c r="E928">
        <v>51</v>
      </c>
      <c r="F928">
        <v>55.7</v>
      </c>
      <c r="G928" s="2">
        <f t="shared" si="167"/>
        <v>0</v>
      </c>
      <c r="H928">
        <v>59.5</v>
      </c>
      <c r="I928">
        <v>51</v>
      </c>
      <c r="J928">
        <v>55.7</v>
      </c>
      <c r="K928">
        <v>38.799999999999997</v>
      </c>
      <c r="L928">
        <v>54.1</v>
      </c>
      <c r="M928" s="2">
        <f t="shared" si="169"/>
        <v>0</v>
      </c>
      <c r="N928">
        <v>0</v>
      </c>
      <c r="O928">
        <f>AVERAGE(N928:N1032)</f>
        <v>3.1923809523809528E-2</v>
      </c>
      <c r="P928" s="2">
        <f t="shared" si="170"/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38</v>
      </c>
      <c r="W928" s="2">
        <f t="shared" si="171"/>
        <v>1</v>
      </c>
      <c r="X928">
        <v>17.600000000000001</v>
      </c>
      <c r="Y928">
        <f>AVERAGE(X921:X1032)</f>
        <v>14.618749999999993</v>
      </c>
      <c r="Z928" s="2">
        <f t="shared" si="172"/>
        <v>1</v>
      </c>
      <c r="AA928">
        <v>277.60000000000002</v>
      </c>
      <c r="AB928" s="2" t="str">
        <f>CHOOSE(MATCH(AA928,{0;11;80;111;161;191;241;281;341},1),"North","NorthEast","East","SouthEast","South","SouthWest","West","NorthWest","North")</f>
        <v>West</v>
      </c>
      <c r="AC928" s="5">
        <f>CHOOSE(MATCH(AB928,{"South";"SouthEast";"SouthWest";"North";"NorthEast";"East";"West";"NorthWest"},0),1,2,3,4,5,6,7,8)</f>
        <v>7</v>
      </c>
      <c r="AD928" s="2">
        <f t="shared" si="173"/>
        <v>0</v>
      </c>
      <c r="AE928">
        <v>1009.8</v>
      </c>
      <c r="AF928" s="4" t="s">
        <v>1552</v>
      </c>
      <c r="AG928" s="2">
        <f t="shared" si="174"/>
        <v>0</v>
      </c>
      <c r="AH928" t="s">
        <v>1553</v>
      </c>
      <c r="AI928" s="2">
        <f t="shared" si="175"/>
        <v>1</v>
      </c>
      <c r="AJ928" s="2">
        <f t="shared" si="176"/>
        <v>0</v>
      </c>
      <c r="AK928" s="3">
        <v>558.99999999906868</v>
      </c>
      <c r="AL928" s="3">
        <f>AVERAGE(AK928:AK1032)</f>
        <v>1692.0380952377204</v>
      </c>
      <c r="AM928" s="2">
        <v>1</v>
      </c>
      <c r="AN928">
        <v>0</v>
      </c>
      <c r="AO928">
        <v>15</v>
      </c>
      <c r="AP928">
        <v>0</v>
      </c>
      <c r="AQ928" s="2">
        <f>IF((2*G928 + M928 -P928 + 3*W928 + 2*Z928+2*AD928 + AG928+2*AJ928 + 4*AM928) &gt;=8,1,0)</f>
        <v>1</v>
      </c>
    </row>
    <row r="929" spans="1:43" x14ac:dyDescent="0.25">
      <c r="A929" t="s">
        <v>27</v>
      </c>
      <c r="B929" s="1">
        <v>40213</v>
      </c>
      <c r="C929" s="7">
        <f t="shared" si="168"/>
        <v>2010</v>
      </c>
      <c r="D929">
        <v>55.1</v>
      </c>
      <c r="E929">
        <v>28.2</v>
      </c>
      <c r="F929">
        <v>41.7</v>
      </c>
      <c r="G929" s="2">
        <f t="shared" si="167"/>
        <v>0</v>
      </c>
      <c r="H929">
        <v>55.1</v>
      </c>
      <c r="I929">
        <v>23.5</v>
      </c>
      <c r="J929">
        <v>40</v>
      </c>
      <c r="K929">
        <v>24.3</v>
      </c>
      <c r="L929">
        <v>53.5</v>
      </c>
      <c r="M929" s="2">
        <f t="shared" si="169"/>
        <v>0</v>
      </c>
      <c r="N929">
        <v>0</v>
      </c>
      <c r="P929" s="2">
        <f t="shared" si="170"/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s="2">
        <f t="shared" si="171"/>
        <v>0</v>
      </c>
      <c r="X929">
        <v>8.3000000000000007</v>
      </c>
      <c r="Z929" s="2">
        <f t="shared" si="172"/>
        <v>0</v>
      </c>
      <c r="AA929">
        <v>331.8</v>
      </c>
      <c r="AB929" s="2" t="str">
        <f>CHOOSE(MATCH(AA929,{0;11;80;111;161;191;241;281;341},1),"North","NorthEast","East","SouthEast","South","SouthWest","West","NorthWest","North")</f>
        <v>NorthWest</v>
      </c>
      <c r="AC929" s="5">
        <f>CHOOSE(MATCH(AB929,{"South";"SouthEast";"SouthWest";"North";"NorthEast";"East";"West";"NorthWest"},0),1,2,3,4,5,6,7,8)</f>
        <v>8</v>
      </c>
      <c r="AD929" s="2">
        <f t="shared" si="173"/>
        <v>1</v>
      </c>
      <c r="AE929">
        <v>1022.6</v>
      </c>
      <c r="AF929" s="4" t="s">
        <v>1554</v>
      </c>
      <c r="AG929" s="2">
        <f t="shared" si="174"/>
        <v>0</v>
      </c>
      <c r="AH929" t="s">
        <v>1555</v>
      </c>
      <c r="AI929" s="2">
        <f t="shared" si="175"/>
        <v>2</v>
      </c>
      <c r="AJ929" s="2">
        <f t="shared" si="176"/>
        <v>0</v>
      </c>
      <c r="AK929" s="3">
        <v>15.000000006984919</v>
      </c>
      <c r="AM929" s="2">
        <v>0</v>
      </c>
      <c r="AN929">
        <v>0</v>
      </c>
      <c r="AO929">
        <v>0.5</v>
      </c>
      <c r="AP929">
        <v>0</v>
      </c>
      <c r="AQ929" s="2">
        <f>IF((2*G929 + M929 -P929 + 3*W929 + 2*Z929+2*AD929 + AG929+2*AJ929 + 4*AM929) &gt;=8,1,0)</f>
        <v>0</v>
      </c>
    </row>
    <row r="930" spans="1:43" x14ac:dyDescent="0.25">
      <c r="A930" t="s">
        <v>27</v>
      </c>
      <c r="B930" s="1">
        <v>40214</v>
      </c>
      <c r="C930" s="7">
        <f t="shared" si="168"/>
        <v>2010</v>
      </c>
      <c r="D930">
        <v>55.1</v>
      </c>
      <c r="E930">
        <v>33.4</v>
      </c>
      <c r="F930">
        <v>44.1</v>
      </c>
      <c r="G930" s="2">
        <f t="shared" si="167"/>
        <v>0</v>
      </c>
      <c r="H930">
        <v>55.1</v>
      </c>
      <c r="I930">
        <v>29.2</v>
      </c>
      <c r="J930">
        <v>42.9</v>
      </c>
      <c r="K930">
        <v>32.9</v>
      </c>
      <c r="L930">
        <v>65</v>
      </c>
      <c r="M930" s="2">
        <f t="shared" si="169"/>
        <v>0</v>
      </c>
      <c r="N930">
        <v>0</v>
      </c>
      <c r="P930" s="2">
        <f t="shared" si="170"/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s="2">
        <f t="shared" si="171"/>
        <v>0</v>
      </c>
      <c r="X930">
        <v>12.9</v>
      </c>
      <c r="Z930" s="2">
        <f t="shared" si="172"/>
        <v>0</v>
      </c>
      <c r="AA930">
        <v>49.7</v>
      </c>
      <c r="AB930" s="2" t="str">
        <f>CHOOSE(MATCH(AA930,{0;11;80;111;161;191;241;281;341},1),"North","NorthEast","East","SouthEast","South","SouthWest","West","NorthWest","North")</f>
        <v>NorthEast</v>
      </c>
      <c r="AC930" s="5">
        <f>CHOOSE(MATCH(AB930,{"South";"SouthEast";"SouthWest";"North";"NorthEast";"East";"West";"NorthWest"},0),1,2,3,4,5,6,7,8)</f>
        <v>5</v>
      </c>
      <c r="AD930" s="2">
        <f t="shared" si="173"/>
        <v>1</v>
      </c>
      <c r="AE930">
        <v>1024</v>
      </c>
      <c r="AF930" s="4" t="s">
        <v>811</v>
      </c>
      <c r="AG930" s="2">
        <f t="shared" si="174"/>
        <v>1</v>
      </c>
      <c r="AH930" t="s">
        <v>1556</v>
      </c>
      <c r="AI930" s="2">
        <f t="shared" si="175"/>
        <v>2</v>
      </c>
      <c r="AJ930" s="2">
        <f t="shared" si="176"/>
        <v>0</v>
      </c>
      <c r="AK930" s="3">
        <v>158.00000000162979</v>
      </c>
      <c r="AM930" s="2">
        <v>0</v>
      </c>
      <c r="AN930">
        <v>8</v>
      </c>
      <c r="AO930">
        <v>8</v>
      </c>
      <c r="AP930">
        <v>0</v>
      </c>
      <c r="AQ930" s="2">
        <f>IF((2*G930 + M930 -P930 + 3*W930 + 2*Z930+2*AD930 + AG930+2*AJ930 + 4*AM930) &gt;=8,1,0)</f>
        <v>0</v>
      </c>
    </row>
    <row r="931" spans="1:43" x14ac:dyDescent="0.25">
      <c r="A931" t="s">
        <v>27</v>
      </c>
      <c r="B931" s="1">
        <v>40218</v>
      </c>
      <c r="C931" s="7">
        <f t="shared" si="168"/>
        <v>2010</v>
      </c>
      <c r="D931">
        <v>53.3</v>
      </c>
      <c r="E931">
        <v>40.5</v>
      </c>
      <c r="F931">
        <v>47.5</v>
      </c>
      <c r="G931" s="2">
        <f t="shared" si="167"/>
        <v>0</v>
      </c>
      <c r="H931">
        <v>53.3</v>
      </c>
      <c r="I931">
        <v>39.5</v>
      </c>
      <c r="J931">
        <v>46.9</v>
      </c>
      <c r="K931">
        <v>40.299999999999997</v>
      </c>
      <c r="L931">
        <v>76.599999999999994</v>
      </c>
      <c r="M931" s="2">
        <f t="shared" si="169"/>
        <v>0</v>
      </c>
      <c r="N931">
        <v>0.29599999999999999</v>
      </c>
      <c r="P931" s="2">
        <f t="shared" si="170"/>
        <v>0</v>
      </c>
      <c r="Q931">
        <v>100</v>
      </c>
      <c r="R931">
        <v>4.17</v>
      </c>
      <c r="S931" t="s">
        <v>87</v>
      </c>
      <c r="T931">
        <v>0</v>
      </c>
      <c r="U931">
        <v>0</v>
      </c>
      <c r="V931">
        <v>0</v>
      </c>
      <c r="W931" s="2">
        <f t="shared" si="171"/>
        <v>0</v>
      </c>
      <c r="X931">
        <v>8.4</v>
      </c>
      <c r="Z931" s="2">
        <f t="shared" si="172"/>
        <v>0</v>
      </c>
      <c r="AA931">
        <v>75.5</v>
      </c>
      <c r="AB931" s="2" t="str">
        <f>CHOOSE(MATCH(AA931,{0;11;80;111;161;191;241;281;341},1),"North","NorthEast","East","SouthEast","South","SouthWest","West","NorthWest","North")</f>
        <v>NorthEast</v>
      </c>
      <c r="AC931" s="5">
        <f>CHOOSE(MATCH(AB931,{"South";"SouthEast";"SouthWest";"North";"NorthEast";"East";"West";"NorthWest"},0),1,2,3,4,5,6,7,8)</f>
        <v>5</v>
      </c>
      <c r="AD931" s="2">
        <f t="shared" si="173"/>
        <v>1</v>
      </c>
      <c r="AE931">
        <v>1008.2</v>
      </c>
      <c r="AF931" s="4" t="s">
        <v>1557</v>
      </c>
      <c r="AG931" s="2">
        <f t="shared" si="174"/>
        <v>1</v>
      </c>
      <c r="AH931" t="s">
        <v>1558</v>
      </c>
      <c r="AI931" s="2">
        <f t="shared" si="175"/>
        <v>2</v>
      </c>
      <c r="AJ931" s="2">
        <f t="shared" si="176"/>
        <v>0</v>
      </c>
      <c r="AK931" s="3">
        <v>42.000000000698492</v>
      </c>
      <c r="AM931" s="2">
        <v>0</v>
      </c>
      <c r="AN931">
        <v>0.1</v>
      </c>
      <c r="AO931">
        <v>0</v>
      </c>
      <c r="AP931">
        <v>0</v>
      </c>
      <c r="AQ931" s="2">
        <f>IF((2*G931 + M931 -P931 + 3*W931 + 2*Z931+2*AD931 + AG931+2*AJ931 + 4*AM931) &gt;=8,1,0)</f>
        <v>0</v>
      </c>
    </row>
    <row r="932" spans="1:43" x14ac:dyDescent="0.25">
      <c r="A932" t="s">
        <v>27</v>
      </c>
      <c r="B932" s="1">
        <v>40232</v>
      </c>
      <c r="C932" s="7">
        <f t="shared" si="168"/>
        <v>2010</v>
      </c>
      <c r="D932">
        <v>64.400000000000006</v>
      </c>
      <c r="E932">
        <v>43.4</v>
      </c>
      <c r="F932">
        <v>54.1</v>
      </c>
      <c r="G932" s="2">
        <f t="shared" si="167"/>
        <v>0</v>
      </c>
      <c r="H932">
        <v>64.400000000000006</v>
      </c>
      <c r="I932">
        <v>41.2</v>
      </c>
      <c r="J932">
        <v>53.7</v>
      </c>
      <c r="K932">
        <v>46.6</v>
      </c>
      <c r="L932">
        <v>76.5</v>
      </c>
      <c r="M932" s="2">
        <f t="shared" si="169"/>
        <v>0</v>
      </c>
      <c r="N932">
        <v>0</v>
      </c>
      <c r="P932" s="2">
        <f t="shared" si="170"/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s="2">
        <f t="shared" si="171"/>
        <v>0</v>
      </c>
      <c r="X932">
        <v>10.1</v>
      </c>
      <c r="Z932" s="2">
        <f t="shared" si="172"/>
        <v>0</v>
      </c>
      <c r="AA932">
        <v>244.9</v>
      </c>
      <c r="AB932" s="2" t="str">
        <f>CHOOSE(MATCH(AA932,{0;11;80;111;161;191;241;281;341},1),"North","NorthEast","East","SouthEast","South","SouthWest","West","NorthWest","North")</f>
        <v>West</v>
      </c>
      <c r="AC932" s="5">
        <f>CHOOSE(MATCH(AB932,{"South";"SouthEast";"SouthWest";"North";"NorthEast";"East";"West";"NorthWest"},0),1,2,3,4,5,6,7,8)</f>
        <v>7</v>
      </c>
      <c r="AD932" s="2">
        <f t="shared" si="173"/>
        <v>0</v>
      </c>
      <c r="AE932">
        <v>1012.2</v>
      </c>
      <c r="AF932" s="4" t="s">
        <v>164</v>
      </c>
      <c r="AG932" s="2">
        <f t="shared" si="174"/>
        <v>1</v>
      </c>
      <c r="AH932" t="s">
        <v>1559</v>
      </c>
      <c r="AI932" s="2">
        <f t="shared" si="175"/>
        <v>2</v>
      </c>
      <c r="AJ932" s="2">
        <f t="shared" si="176"/>
        <v>0</v>
      </c>
      <c r="AK932" s="3">
        <v>489.00000000139698</v>
      </c>
      <c r="AM932" s="2">
        <v>1</v>
      </c>
      <c r="AN932">
        <v>0</v>
      </c>
      <c r="AO932">
        <v>8</v>
      </c>
      <c r="AP932">
        <v>0</v>
      </c>
      <c r="AQ932" s="2">
        <f>IF((2*G932 + M932 -P932 + 3*W932 + 2*Z932+2*AD932 + AG932+2*AJ932 + 4*AM932) &gt;=8,1,0)</f>
        <v>0</v>
      </c>
    </row>
    <row r="933" spans="1:43" x14ac:dyDescent="0.25">
      <c r="A933" t="s">
        <v>27</v>
      </c>
      <c r="B933" s="1">
        <v>40249</v>
      </c>
      <c r="C933" s="7">
        <f t="shared" si="168"/>
        <v>2010</v>
      </c>
      <c r="D933">
        <v>61.4</v>
      </c>
      <c r="E933">
        <v>45.1</v>
      </c>
      <c r="F933">
        <v>54.1</v>
      </c>
      <c r="G933" s="2">
        <f t="shared" si="167"/>
        <v>0</v>
      </c>
      <c r="H933">
        <v>61.4</v>
      </c>
      <c r="I933">
        <v>43.4</v>
      </c>
      <c r="J933">
        <v>53.7</v>
      </c>
      <c r="K933">
        <v>37.299999999999997</v>
      </c>
      <c r="L933">
        <v>55.3</v>
      </c>
      <c r="M933" s="2">
        <f t="shared" si="169"/>
        <v>0</v>
      </c>
      <c r="N933">
        <v>0</v>
      </c>
      <c r="P933" s="2">
        <f t="shared" si="170"/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31.1</v>
      </c>
      <c r="W933" s="2">
        <f t="shared" si="171"/>
        <v>1</v>
      </c>
      <c r="X933">
        <v>15</v>
      </c>
      <c r="Z933" s="2">
        <f t="shared" si="172"/>
        <v>0</v>
      </c>
      <c r="AA933">
        <v>280.2</v>
      </c>
      <c r="AB933" s="2" t="str">
        <f>CHOOSE(MATCH(AA933,{0;11;80;111;161;191;241;281;341},1),"North","NorthEast","East","SouthEast","South","SouthWest","West","NorthWest","North")</f>
        <v>West</v>
      </c>
      <c r="AC933" s="5">
        <f>CHOOSE(MATCH(AB933,{"South";"SouthEast";"SouthWest";"North";"NorthEast";"East";"West";"NorthWest"},0),1,2,3,4,5,6,7,8)</f>
        <v>7</v>
      </c>
      <c r="AD933" s="2">
        <f t="shared" si="173"/>
        <v>0</v>
      </c>
      <c r="AE933">
        <v>1014.2</v>
      </c>
      <c r="AF933" s="4" t="s">
        <v>1560</v>
      </c>
      <c r="AG933" s="2">
        <f t="shared" si="174"/>
        <v>1</v>
      </c>
      <c r="AH933" t="s">
        <v>1561</v>
      </c>
      <c r="AI933" s="2">
        <f t="shared" si="175"/>
        <v>3</v>
      </c>
      <c r="AJ933" s="2">
        <f t="shared" si="176"/>
        <v>0</v>
      </c>
      <c r="AK933" s="3">
        <v>1107.999999996973</v>
      </c>
      <c r="AM933" s="2">
        <v>1</v>
      </c>
      <c r="AN933">
        <v>0</v>
      </c>
      <c r="AO933">
        <v>2</v>
      </c>
      <c r="AP933">
        <v>0</v>
      </c>
      <c r="AQ933" s="2">
        <f>IF((2*G933 + M933 -P933 + 3*W933 + 2*Z933+2*AD933 + AG933+2*AJ933 + 4*AM933) &gt;=8,1,0)</f>
        <v>0</v>
      </c>
    </row>
    <row r="934" spans="1:43" x14ac:dyDescent="0.25">
      <c r="A934" t="s">
        <v>27</v>
      </c>
      <c r="B934" s="1">
        <v>40254</v>
      </c>
      <c r="C934" s="7">
        <f t="shared" si="168"/>
        <v>2010</v>
      </c>
      <c r="D934">
        <v>61.4</v>
      </c>
      <c r="E934">
        <v>38.799999999999997</v>
      </c>
      <c r="F934">
        <v>50.4</v>
      </c>
      <c r="G934" s="2">
        <f t="shared" si="167"/>
        <v>0</v>
      </c>
      <c r="H934">
        <v>61.4</v>
      </c>
      <c r="I934">
        <v>36.299999999999997</v>
      </c>
      <c r="J934">
        <v>49.8</v>
      </c>
      <c r="K934">
        <v>31.6</v>
      </c>
      <c r="L934">
        <v>51.7</v>
      </c>
      <c r="M934" s="2">
        <f t="shared" si="169"/>
        <v>0</v>
      </c>
      <c r="N934">
        <v>0</v>
      </c>
      <c r="P934" s="2">
        <f t="shared" si="170"/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30</v>
      </c>
      <c r="W934" s="2">
        <f t="shared" si="171"/>
        <v>1</v>
      </c>
      <c r="X934">
        <v>18.3</v>
      </c>
      <c r="Z934" s="2">
        <f t="shared" si="172"/>
        <v>1</v>
      </c>
      <c r="AA934">
        <v>347</v>
      </c>
      <c r="AB934" s="2" t="str">
        <f>CHOOSE(MATCH(AA934,{0;11;80;111;161;191;241;281;341},1),"North","NorthEast","East","SouthEast","South","SouthWest","West","NorthWest","North")</f>
        <v>North</v>
      </c>
      <c r="AC934" s="5">
        <f>CHOOSE(MATCH(AB934,{"South";"SouthEast";"SouthWest";"North";"NorthEast";"East";"West";"NorthWest"},0),1,2,3,4,5,6,7,8)</f>
        <v>4</v>
      </c>
      <c r="AD934" s="2">
        <f t="shared" si="173"/>
        <v>1</v>
      </c>
      <c r="AE934">
        <v>1024.4000000000001</v>
      </c>
      <c r="AF934" s="4" t="s">
        <v>201</v>
      </c>
      <c r="AG934" s="2">
        <f t="shared" si="174"/>
        <v>1</v>
      </c>
      <c r="AH934" t="s">
        <v>1562</v>
      </c>
      <c r="AI934" s="2">
        <f t="shared" si="175"/>
        <v>3</v>
      </c>
      <c r="AJ934" s="2">
        <f t="shared" si="176"/>
        <v>0</v>
      </c>
      <c r="AK934" s="3">
        <v>114.99999999767169</v>
      </c>
      <c r="AM934" s="2">
        <v>0</v>
      </c>
      <c r="AN934">
        <v>0</v>
      </c>
      <c r="AO934">
        <v>0.3</v>
      </c>
      <c r="AP934">
        <v>0</v>
      </c>
      <c r="AQ934" s="2">
        <f>IF((2*G934 + M934 -P934 + 3*W934 + 2*Z934+2*AD934 + AG934+2*AJ934 + 4*AM934) &gt;=8,1,0)</f>
        <v>0</v>
      </c>
    </row>
    <row r="935" spans="1:43" x14ac:dyDescent="0.25">
      <c r="A935" t="s">
        <v>27</v>
      </c>
      <c r="B935" s="1">
        <v>40258</v>
      </c>
      <c r="C935" s="7">
        <f t="shared" si="168"/>
        <v>2010</v>
      </c>
      <c r="D935">
        <v>67.2</v>
      </c>
      <c r="E935">
        <v>41.8</v>
      </c>
      <c r="F935">
        <v>54.5</v>
      </c>
      <c r="G935" s="2">
        <f t="shared" si="167"/>
        <v>0</v>
      </c>
      <c r="H935">
        <v>67.2</v>
      </c>
      <c r="I935">
        <v>41.8</v>
      </c>
      <c r="J935">
        <v>54.3</v>
      </c>
      <c r="K935">
        <v>43.6</v>
      </c>
      <c r="L935">
        <v>69.2</v>
      </c>
      <c r="M935" s="2">
        <f t="shared" si="169"/>
        <v>0</v>
      </c>
      <c r="N935">
        <v>0</v>
      </c>
      <c r="P935" s="2">
        <f t="shared" si="170"/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s="2">
        <f t="shared" si="171"/>
        <v>0</v>
      </c>
      <c r="X935">
        <v>11.5</v>
      </c>
      <c r="Z935" s="2">
        <f t="shared" si="172"/>
        <v>0</v>
      </c>
      <c r="AA935">
        <v>226.4</v>
      </c>
      <c r="AB935" s="2" t="str">
        <f>CHOOSE(MATCH(AA935,{0;11;80;111;161;191;241;281;341},1),"North","NorthEast","East","SouthEast","South","SouthWest","West","NorthWest","North")</f>
        <v>SouthWest</v>
      </c>
      <c r="AC935" s="5">
        <f>CHOOSE(MATCH(AB935,{"South";"SouthEast";"SouthWest";"North";"NorthEast";"East";"West";"NorthWest"},0),1,2,3,4,5,6,7,8)</f>
        <v>3</v>
      </c>
      <c r="AD935" s="2">
        <f t="shared" si="173"/>
        <v>1</v>
      </c>
      <c r="AE935">
        <v>1025.9000000000001</v>
      </c>
      <c r="AF935" s="4" t="s">
        <v>74</v>
      </c>
      <c r="AG935" s="2">
        <f t="shared" si="174"/>
        <v>1</v>
      </c>
      <c r="AH935" t="s">
        <v>1563</v>
      </c>
      <c r="AI935" s="2">
        <f t="shared" si="175"/>
        <v>3</v>
      </c>
      <c r="AJ935" s="2">
        <f t="shared" si="176"/>
        <v>0</v>
      </c>
      <c r="AK935" s="3">
        <v>217.99999999813741</v>
      </c>
      <c r="AM935" s="2">
        <v>0</v>
      </c>
      <c r="AN935">
        <v>0</v>
      </c>
      <c r="AO935">
        <v>1</v>
      </c>
      <c r="AP935">
        <v>0</v>
      </c>
      <c r="AQ935" s="2">
        <f>IF((2*G935 + M935 -P935 + 3*W935 + 2*Z935+2*AD935 + AG935+2*AJ935 + 4*AM935) &gt;=8,1,0)</f>
        <v>0</v>
      </c>
    </row>
    <row r="936" spans="1:43" x14ac:dyDescent="0.25">
      <c r="A936" t="s">
        <v>27</v>
      </c>
      <c r="B936" s="1">
        <v>40265</v>
      </c>
      <c r="C936" s="7">
        <f t="shared" si="168"/>
        <v>2010</v>
      </c>
      <c r="D936">
        <v>68</v>
      </c>
      <c r="E936">
        <v>52.7</v>
      </c>
      <c r="F936">
        <v>60.9</v>
      </c>
      <c r="G936" s="2">
        <f t="shared" si="167"/>
        <v>0</v>
      </c>
      <c r="H936">
        <v>68</v>
      </c>
      <c r="I936">
        <v>52.7</v>
      </c>
      <c r="J936">
        <v>60.9</v>
      </c>
      <c r="K936">
        <v>40.700000000000003</v>
      </c>
      <c r="L936">
        <v>50</v>
      </c>
      <c r="M936" s="2">
        <f t="shared" si="169"/>
        <v>0</v>
      </c>
      <c r="N936">
        <v>0</v>
      </c>
      <c r="P936" s="2">
        <f t="shared" si="170"/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39.1</v>
      </c>
      <c r="W936" s="2">
        <f t="shared" si="171"/>
        <v>1</v>
      </c>
      <c r="X936">
        <v>23.3</v>
      </c>
      <c r="Z936" s="2">
        <f t="shared" si="172"/>
        <v>1</v>
      </c>
      <c r="AA936">
        <v>279.89999999999998</v>
      </c>
      <c r="AB936" s="2" t="str">
        <f>CHOOSE(MATCH(AA936,{0;11;80;111;161;191;241;281;341},1),"North","NorthEast","East","SouthEast","South","SouthWest","West","NorthWest","North")</f>
        <v>West</v>
      </c>
      <c r="AC936" s="5">
        <f>CHOOSE(MATCH(AB936,{"South";"SouthEast";"SouthWest";"North";"NorthEast";"East";"West";"NorthWest"},0),1,2,3,4,5,6,7,8)</f>
        <v>7</v>
      </c>
      <c r="AD936" s="2">
        <f t="shared" si="173"/>
        <v>0</v>
      </c>
      <c r="AE936">
        <v>1006.9</v>
      </c>
      <c r="AF936" s="4" t="s">
        <v>508</v>
      </c>
      <c r="AG936" s="2">
        <f t="shared" si="174"/>
        <v>1</v>
      </c>
      <c r="AH936" t="s">
        <v>1564</v>
      </c>
      <c r="AI936" s="2">
        <f t="shared" si="175"/>
        <v>3</v>
      </c>
      <c r="AJ936" s="2">
        <f t="shared" si="176"/>
        <v>0</v>
      </c>
      <c r="AK936" s="3">
        <v>457.00000000186259</v>
      </c>
      <c r="AM936" s="2">
        <v>1</v>
      </c>
      <c r="AN936">
        <v>0</v>
      </c>
      <c r="AO936">
        <v>12</v>
      </c>
      <c r="AP936">
        <v>0</v>
      </c>
      <c r="AQ936" s="2">
        <f>IF((2*G936 + M936 -P936 + 3*W936 + 2*Z936+2*AD936 + AG936+2*AJ936 + 4*AM936) &gt;=8,1,0)</f>
        <v>1</v>
      </c>
    </row>
    <row r="937" spans="1:43" x14ac:dyDescent="0.25">
      <c r="A937" t="s">
        <v>27</v>
      </c>
      <c r="B937" s="1">
        <v>40266</v>
      </c>
      <c r="C937" s="7">
        <f t="shared" si="168"/>
        <v>2010</v>
      </c>
      <c r="D937">
        <v>70.5</v>
      </c>
      <c r="E937">
        <v>53.8</v>
      </c>
      <c r="F937">
        <v>60.9</v>
      </c>
      <c r="G937" s="2">
        <f t="shared" si="167"/>
        <v>0</v>
      </c>
      <c r="H937">
        <v>70.5</v>
      </c>
      <c r="I937">
        <v>53.8</v>
      </c>
      <c r="J937">
        <v>60.9</v>
      </c>
      <c r="K937">
        <v>39.5</v>
      </c>
      <c r="L937">
        <v>47.3</v>
      </c>
      <c r="M937" s="2">
        <f t="shared" si="169"/>
        <v>1</v>
      </c>
      <c r="N937">
        <v>0</v>
      </c>
      <c r="P937" s="2">
        <f t="shared" si="170"/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27.5</v>
      </c>
      <c r="W937" s="2">
        <f t="shared" si="171"/>
        <v>1</v>
      </c>
      <c r="X937">
        <v>13</v>
      </c>
      <c r="Z937" s="2">
        <f t="shared" si="172"/>
        <v>0</v>
      </c>
      <c r="AA937">
        <v>310.39999999999998</v>
      </c>
      <c r="AB937" s="2" t="str">
        <f>CHOOSE(MATCH(AA937,{0;11;80;111;161;191;241;281;341},1),"North","NorthEast","East","SouthEast","South","SouthWest","West","NorthWest","North")</f>
        <v>NorthWest</v>
      </c>
      <c r="AC937" s="5">
        <f>CHOOSE(MATCH(AB937,{"South";"SouthEast";"SouthWest";"North";"NorthEast";"East";"West";"NorthWest"},0),1,2,3,4,5,6,7,8)</f>
        <v>8</v>
      </c>
      <c r="AD937" s="2">
        <f t="shared" si="173"/>
        <v>1</v>
      </c>
      <c r="AE937">
        <v>1013.9</v>
      </c>
      <c r="AF937" s="4" t="s">
        <v>1565</v>
      </c>
      <c r="AG937" s="2">
        <f t="shared" si="174"/>
        <v>1</v>
      </c>
      <c r="AH937" t="s">
        <v>1566</v>
      </c>
      <c r="AI937" s="2">
        <f t="shared" si="175"/>
        <v>3</v>
      </c>
      <c r="AJ937" s="2">
        <f t="shared" si="176"/>
        <v>0</v>
      </c>
      <c r="AK937" s="3">
        <v>52.000000001862652</v>
      </c>
      <c r="AM937" s="2">
        <v>0</v>
      </c>
      <c r="AN937">
        <v>0</v>
      </c>
      <c r="AO937">
        <v>0.3</v>
      </c>
      <c r="AP937">
        <v>0</v>
      </c>
      <c r="AQ937" s="2">
        <f>IF((2*G937 + M937 -P937 + 3*W937 + 2*Z937+2*AD937 + AG937+2*AJ937 + 4*AM937) &gt;=8,1,0)</f>
        <v>0</v>
      </c>
    </row>
    <row r="938" spans="1:43" x14ac:dyDescent="0.25">
      <c r="A938" t="s">
        <v>27</v>
      </c>
      <c r="B938" s="1">
        <v>40277</v>
      </c>
      <c r="C938" s="7">
        <f t="shared" si="168"/>
        <v>2010</v>
      </c>
      <c r="D938">
        <v>66.8</v>
      </c>
      <c r="E938">
        <v>45.6</v>
      </c>
      <c r="F938">
        <v>56.4</v>
      </c>
      <c r="G938" s="2">
        <f t="shared" si="167"/>
        <v>0</v>
      </c>
      <c r="H938">
        <v>66.8</v>
      </c>
      <c r="I938">
        <v>43.5</v>
      </c>
      <c r="J938">
        <v>56</v>
      </c>
      <c r="K938">
        <v>35.9</v>
      </c>
      <c r="L938">
        <v>47.6</v>
      </c>
      <c r="M938" s="2">
        <f t="shared" si="169"/>
        <v>1</v>
      </c>
      <c r="N938">
        <v>0</v>
      </c>
      <c r="P938" s="2">
        <f t="shared" si="170"/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s="2">
        <f t="shared" si="171"/>
        <v>0</v>
      </c>
      <c r="X938">
        <v>13.1</v>
      </c>
      <c r="Z938" s="2">
        <f t="shared" si="172"/>
        <v>0</v>
      </c>
      <c r="AA938">
        <v>18.7</v>
      </c>
      <c r="AB938" s="2" t="str">
        <f>CHOOSE(MATCH(AA938,{0;11;80;111;161;191;241;281;341},1),"North","NorthEast","East","SouthEast","South","SouthWest","West","NorthWest","North")</f>
        <v>NorthEast</v>
      </c>
      <c r="AC938" s="5">
        <f>CHOOSE(MATCH(AB938,{"South";"SouthEast";"SouthWest";"North";"NorthEast";"East";"West";"NorthWest"},0),1,2,3,4,5,6,7,8)</f>
        <v>5</v>
      </c>
      <c r="AD938" s="2">
        <f t="shared" si="173"/>
        <v>1</v>
      </c>
      <c r="AE938">
        <v>1020.9</v>
      </c>
      <c r="AF938" s="4" t="s">
        <v>119</v>
      </c>
      <c r="AG938" s="2">
        <f t="shared" si="174"/>
        <v>0</v>
      </c>
      <c r="AH938" t="s">
        <v>1567</v>
      </c>
      <c r="AI938" s="2">
        <f t="shared" si="175"/>
        <v>4</v>
      </c>
      <c r="AJ938" s="2">
        <f t="shared" si="176"/>
        <v>0</v>
      </c>
      <c r="AK938" s="3">
        <v>415.00000000116421</v>
      </c>
      <c r="AM938" s="2">
        <v>1</v>
      </c>
      <c r="AN938">
        <v>0</v>
      </c>
      <c r="AO938">
        <v>1.5</v>
      </c>
      <c r="AP938">
        <v>0</v>
      </c>
      <c r="AQ938" s="2">
        <f>IF((2*G938 + M938 -P938 + 3*W938 + 2*Z938+2*AD938 + AG938+2*AJ938 + 4*AM938) &gt;=8,1,0)</f>
        <v>0</v>
      </c>
    </row>
    <row r="939" spans="1:43" x14ac:dyDescent="0.25">
      <c r="A939" t="s">
        <v>27</v>
      </c>
      <c r="B939" s="1">
        <v>40294</v>
      </c>
      <c r="C939" s="7">
        <f t="shared" si="168"/>
        <v>2010</v>
      </c>
      <c r="D939">
        <v>69.400000000000006</v>
      </c>
      <c r="E939">
        <v>59.6</v>
      </c>
      <c r="F939">
        <v>63.7</v>
      </c>
      <c r="G939" s="2">
        <f t="shared" si="167"/>
        <v>0</v>
      </c>
      <c r="H939">
        <v>69.400000000000006</v>
      </c>
      <c r="I939">
        <v>59.6</v>
      </c>
      <c r="J939">
        <v>63.7</v>
      </c>
      <c r="K939">
        <v>46.1</v>
      </c>
      <c r="L939">
        <v>53.2</v>
      </c>
      <c r="M939" s="2">
        <f t="shared" si="169"/>
        <v>0</v>
      </c>
      <c r="N939">
        <v>0</v>
      </c>
      <c r="P939" s="2">
        <f t="shared" si="170"/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41.4</v>
      </c>
      <c r="W939" s="2">
        <f t="shared" si="171"/>
        <v>1</v>
      </c>
      <c r="X939">
        <v>25.9</v>
      </c>
      <c r="Z939" s="2">
        <f t="shared" si="172"/>
        <v>1</v>
      </c>
      <c r="AA939">
        <v>355</v>
      </c>
      <c r="AB939" s="2" t="str">
        <f>CHOOSE(MATCH(AA939,{0;11;80;111;161;191;241;281;341},1),"North","NorthEast","East","SouthEast","South","SouthWest","West","NorthWest","North")</f>
        <v>North</v>
      </c>
      <c r="AC939" s="5">
        <f>CHOOSE(MATCH(AB939,{"South";"SouthEast";"SouthWest";"North";"NorthEast";"East";"West";"NorthWest"},0),1,2,3,4,5,6,7,8)</f>
        <v>4</v>
      </c>
      <c r="AD939" s="2">
        <f t="shared" si="173"/>
        <v>1</v>
      </c>
      <c r="AE939">
        <v>1015.7</v>
      </c>
      <c r="AF939" s="4" t="s">
        <v>330</v>
      </c>
      <c r="AG939" s="2">
        <f t="shared" si="174"/>
        <v>1</v>
      </c>
      <c r="AH939" t="s">
        <v>1568</v>
      </c>
      <c r="AI939" s="2">
        <f t="shared" si="175"/>
        <v>4</v>
      </c>
      <c r="AJ939" s="2">
        <f t="shared" si="176"/>
        <v>0</v>
      </c>
      <c r="AK939" s="3">
        <v>975.00000000349246</v>
      </c>
      <c r="AM939" s="2">
        <v>1</v>
      </c>
      <c r="AN939">
        <v>5</v>
      </c>
      <c r="AO939">
        <v>0</v>
      </c>
      <c r="AP939">
        <v>0</v>
      </c>
      <c r="AQ939" s="2">
        <f>IF((2*G939 + M939 -P939 + 3*W939 + 2*Z939+2*AD939 + AG939+2*AJ939 + 4*AM939) &gt;=8,1,0)</f>
        <v>1</v>
      </c>
    </row>
    <row r="940" spans="1:43" x14ac:dyDescent="0.25">
      <c r="A940" t="s">
        <v>27</v>
      </c>
      <c r="B940" s="1">
        <v>40294</v>
      </c>
      <c r="C940" s="7">
        <f t="shared" si="168"/>
        <v>2010</v>
      </c>
      <c r="D940">
        <v>69.400000000000006</v>
      </c>
      <c r="E940">
        <v>59.6</v>
      </c>
      <c r="F940">
        <v>63.7</v>
      </c>
      <c r="G940" s="2">
        <f t="shared" si="167"/>
        <v>0</v>
      </c>
      <c r="H940">
        <v>69.400000000000006</v>
      </c>
      <c r="I940">
        <v>59.6</v>
      </c>
      <c r="J940">
        <v>63.7</v>
      </c>
      <c r="K940">
        <v>46.1</v>
      </c>
      <c r="L940">
        <v>53.2</v>
      </c>
      <c r="M940" s="2">
        <f t="shared" si="169"/>
        <v>0</v>
      </c>
      <c r="N940">
        <v>0</v>
      </c>
      <c r="P940" s="2">
        <f t="shared" si="170"/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41.4</v>
      </c>
      <c r="W940" s="2">
        <f t="shared" si="171"/>
        <v>1</v>
      </c>
      <c r="X940">
        <v>25.9</v>
      </c>
      <c r="Z940" s="2">
        <f t="shared" si="172"/>
        <v>1</v>
      </c>
      <c r="AA940">
        <v>355</v>
      </c>
      <c r="AB940" s="2" t="str">
        <f>CHOOSE(MATCH(AA940,{0;11;80;111;161;191;241;281;341},1),"North","NorthEast","East","SouthEast","South","SouthWest","West","NorthWest","North")</f>
        <v>North</v>
      </c>
      <c r="AC940" s="5">
        <f>CHOOSE(MATCH(AB940,{"South";"SouthEast";"SouthWest";"North";"NorthEast";"East";"West";"NorthWest"},0),1,2,3,4,5,6,7,8)</f>
        <v>4</v>
      </c>
      <c r="AD940" s="2">
        <f t="shared" si="173"/>
        <v>1</v>
      </c>
      <c r="AE940">
        <v>1015.7</v>
      </c>
      <c r="AF940" s="4" t="s">
        <v>1569</v>
      </c>
      <c r="AG940" s="2">
        <f t="shared" si="174"/>
        <v>1</v>
      </c>
      <c r="AH940" t="s">
        <v>1570</v>
      </c>
      <c r="AI940" s="2">
        <f t="shared" si="175"/>
        <v>4</v>
      </c>
      <c r="AJ940" s="2">
        <f t="shared" si="176"/>
        <v>0</v>
      </c>
      <c r="AK940" s="3">
        <v>971.99999999371357</v>
      </c>
      <c r="AM940" s="2">
        <v>1</v>
      </c>
      <c r="AN940">
        <v>20</v>
      </c>
      <c r="AO940">
        <v>0</v>
      </c>
      <c r="AP940">
        <v>0</v>
      </c>
      <c r="AQ940" s="2">
        <f>IF((2*G940 + M940 -P940 + 3*W940 + 2*Z940+2*AD940 + AG940+2*AJ940 + 4*AM940) &gt;=8,1,0)</f>
        <v>1</v>
      </c>
    </row>
    <row r="941" spans="1:43" x14ac:dyDescent="0.25">
      <c r="A941" t="s">
        <v>27</v>
      </c>
      <c r="B941" s="1">
        <v>40299</v>
      </c>
      <c r="C941" s="7">
        <f t="shared" si="168"/>
        <v>2010</v>
      </c>
      <c r="D941">
        <v>75.7</v>
      </c>
      <c r="E941">
        <v>52.8</v>
      </c>
      <c r="F941">
        <v>65.5</v>
      </c>
      <c r="G941" s="2">
        <f t="shared" si="167"/>
        <v>0</v>
      </c>
      <c r="H941">
        <v>75.7</v>
      </c>
      <c r="I941">
        <v>52.8</v>
      </c>
      <c r="J941">
        <v>65.5</v>
      </c>
      <c r="K941">
        <v>39.799999999999997</v>
      </c>
      <c r="L941">
        <v>39.799999999999997</v>
      </c>
      <c r="M941" s="2">
        <f t="shared" si="169"/>
        <v>1</v>
      </c>
      <c r="N941">
        <v>0</v>
      </c>
      <c r="P941" s="2">
        <f t="shared" si="170"/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s="2">
        <f t="shared" si="171"/>
        <v>0</v>
      </c>
      <c r="X941">
        <v>15.8</v>
      </c>
      <c r="Z941" s="2">
        <f t="shared" si="172"/>
        <v>0</v>
      </c>
      <c r="AA941">
        <v>19.7</v>
      </c>
      <c r="AB941" s="2" t="str">
        <f>CHOOSE(MATCH(AA941,{0;11;80;111;161;191;241;281;341},1),"North","NorthEast","East","SouthEast","South","SouthWest","West","NorthWest","North")</f>
        <v>NorthEast</v>
      </c>
      <c r="AC941" s="5">
        <f>CHOOSE(MATCH(AB941,{"South";"SouthEast";"SouthWest";"North";"NorthEast";"East";"West";"NorthWest"},0),1,2,3,4,5,6,7,8)</f>
        <v>5</v>
      </c>
      <c r="AD941" s="2">
        <f t="shared" si="173"/>
        <v>1</v>
      </c>
      <c r="AE941">
        <v>1014.4</v>
      </c>
      <c r="AF941" s="4" t="s">
        <v>1571</v>
      </c>
      <c r="AG941" s="2">
        <f t="shared" si="174"/>
        <v>1</v>
      </c>
      <c r="AH941" t="s">
        <v>1572</v>
      </c>
      <c r="AI941" s="2">
        <f t="shared" si="175"/>
        <v>5</v>
      </c>
      <c r="AJ941" s="2">
        <f t="shared" si="176"/>
        <v>0</v>
      </c>
      <c r="AK941" s="3">
        <v>113.99999999441209</v>
      </c>
      <c r="AM941" s="2">
        <v>0</v>
      </c>
      <c r="AN941">
        <v>1</v>
      </c>
      <c r="AO941">
        <v>0</v>
      </c>
      <c r="AP941">
        <v>0</v>
      </c>
      <c r="AQ941" s="2">
        <f>IF((2*G941 + M941 -P941 + 3*W941 + 2*Z941+2*AD941 + AG941+2*AJ941 + 4*AM941) &gt;=8,1,0)</f>
        <v>0</v>
      </c>
    </row>
    <row r="942" spans="1:43" x14ac:dyDescent="0.25">
      <c r="A942" t="s">
        <v>27</v>
      </c>
      <c r="B942" s="1">
        <v>40299</v>
      </c>
      <c r="C942" s="7">
        <f t="shared" si="168"/>
        <v>2010</v>
      </c>
      <c r="D942">
        <v>75.7</v>
      </c>
      <c r="E942">
        <v>52.8</v>
      </c>
      <c r="F942">
        <v>65.5</v>
      </c>
      <c r="G942" s="2">
        <f t="shared" si="167"/>
        <v>0</v>
      </c>
      <c r="H942">
        <v>75.7</v>
      </c>
      <c r="I942">
        <v>52.8</v>
      </c>
      <c r="J942">
        <v>65.5</v>
      </c>
      <c r="K942">
        <v>39.799999999999997</v>
      </c>
      <c r="L942">
        <v>39.799999999999997</v>
      </c>
      <c r="M942" s="2">
        <f t="shared" si="169"/>
        <v>1</v>
      </c>
      <c r="N942">
        <v>0</v>
      </c>
      <c r="P942" s="2">
        <f t="shared" si="170"/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s="2">
        <f t="shared" si="171"/>
        <v>0</v>
      </c>
      <c r="X942">
        <v>15.8</v>
      </c>
      <c r="Z942" s="2">
        <f t="shared" si="172"/>
        <v>0</v>
      </c>
      <c r="AA942">
        <v>19.7</v>
      </c>
      <c r="AB942" s="2" t="str">
        <f>CHOOSE(MATCH(AA942,{0;11;80;111;161;191;241;281;341},1),"North","NorthEast","East","SouthEast","South","SouthWest","West","NorthWest","North")</f>
        <v>NorthEast</v>
      </c>
      <c r="AC942" s="5">
        <f>CHOOSE(MATCH(AB942,{"South";"SouthEast";"SouthWest";"North";"NorthEast";"East";"West";"NorthWest"},0),1,2,3,4,5,6,7,8)</f>
        <v>5</v>
      </c>
      <c r="AD942" s="2">
        <f t="shared" si="173"/>
        <v>1</v>
      </c>
      <c r="AE942">
        <v>1014.4</v>
      </c>
      <c r="AF942" s="4" t="s">
        <v>1573</v>
      </c>
      <c r="AG942" s="2">
        <f t="shared" si="174"/>
        <v>1</v>
      </c>
      <c r="AH942" t="s">
        <v>1574</v>
      </c>
      <c r="AI942" s="2">
        <f t="shared" si="175"/>
        <v>5</v>
      </c>
      <c r="AJ942" s="2">
        <f t="shared" si="176"/>
        <v>0</v>
      </c>
      <c r="AK942" s="3">
        <v>201.99999999837021</v>
      </c>
      <c r="AM942" s="2">
        <v>0</v>
      </c>
      <c r="AN942">
        <v>0</v>
      </c>
      <c r="AO942">
        <v>5</v>
      </c>
      <c r="AP942">
        <v>0</v>
      </c>
      <c r="AQ942" s="2">
        <f>IF((2*G942 + M942 -P942 + 3*W942 + 2*Z942+2*AD942 + AG942+2*AJ942 + 4*AM942) &gt;=8,1,0)</f>
        <v>0</v>
      </c>
    </row>
    <row r="943" spans="1:43" x14ac:dyDescent="0.25">
      <c r="A943" t="s">
        <v>27</v>
      </c>
      <c r="B943" s="1">
        <v>40300</v>
      </c>
      <c r="C943" s="7">
        <f t="shared" si="168"/>
        <v>2010</v>
      </c>
      <c r="D943">
        <v>77.7</v>
      </c>
      <c r="E943">
        <v>52.1</v>
      </c>
      <c r="F943">
        <v>65.3</v>
      </c>
      <c r="G943" s="2">
        <f t="shared" si="167"/>
        <v>0</v>
      </c>
      <c r="H943">
        <v>77.7</v>
      </c>
      <c r="I943">
        <v>52.1</v>
      </c>
      <c r="J943">
        <v>65.3</v>
      </c>
      <c r="K943">
        <v>43.1</v>
      </c>
      <c r="L943">
        <v>47.8</v>
      </c>
      <c r="M943" s="2">
        <f t="shared" si="169"/>
        <v>1</v>
      </c>
      <c r="N943">
        <v>0</v>
      </c>
      <c r="P943" s="2">
        <f t="shared" si="170"/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 s="2">
        <f t="shared" si="171"/>
        <v>0</v>
      </c>
      <c r="X943">
        <v>10.5</v>
      </c>
      <c r="Z943" s="2">
        <f t="shared" si="172"/>
        <v>0</v>
      </c>
      <c r="AA943">
        <v>133.30000000000001</v>
      </c>
      <c r="AB943" s="2" t="str">
        <f>CHOOSE(MATCH(AA943,{0;11;80;111;161;191;241;281;341},1),"North","NorthEast","East","SouthEast","South","SouthWest","West","NorthWest","North")</f>
        <v>SouthEast</v>
      </c>
      <c r="AC943" s="5">
        <f>CHOOSE(MATCH(AB943,{"South";"SouthEast";"SouthWest";"North";"NorthEast";"East";"West";"NorthWest"},0),1,2,3,4,5,6,7,8)</f>
        <v>2</v>
      </c>
      <c r="AD943" s="2">
        <f t="shared" si="173"/>
        <v>0</v>
      </c>
      <c r="AE943">
        <v>1014.6</v>
      </c>
      <c r="AF943" s="4" t="s">
        <v>206</v>
      </c>
      <c r="AG943" s="2">
        <f t="shared" si="174"/>
        <v>0</v>
      </c>
      <c r="AH943" t="s">
        <v>1575</v>
      </c>
      <c r="AI943" s="2">
        <f t="shared" si="175"/>
        <v>5</v>
      </c>
      <c r="AJ943" s="2">
        <f t="shared" si="176"/>
        <v>0</v>
      </c>
      <c r="AK943" s="3">
        <v>15.999999999767169</v>
      </c>
      <c r="AM943" s="2">
        <v>0</v>
      </c>
      <c r="AN943">
        <v>0</v>
      </c>
      <c r="AO943">
        <v>0.2</v>
      </c>
      <c r="AP943">
        <v>0</v>
      </c>
      <c r="AQ943" s="2">
        <f>IF((2*G943 + M943 -P943 + 3*W943 + 2*Z943+2*AD943 + AG943+2*AJ943 + 4*AM943) &gt;=8,1,0)</f>
        <v>0</v>
      </c>
    </row>
    <row r="944" spans="1:43" x14ac:dyDescent="0.25">
      <c r="A944" t="s">
        <v>27</v>
      </c>
      <c r="B944" s="1">
        <v>40304</v>
      </c>
      <c r="C944" s="7">
        <f t="shared" si="168"/>
        <v>2010</v>
      </c>
      <c r="D944">
        <v>79.7</v>
      </c>
      <c r="E944">
        <v>57.3</v>
      </c>
      <c r="F944">
        <v>69.7</v>
      </c>
      <c r="G944" s="2">
        <f t="shared" si="167"/>
        <v>0</v>
      </c>
      <c r="H944">
        <v>79.7</v>
      </c>
      <c r="I944">
        <v>57.3</v>
      </c>
      <c r="J944">
        <v>69.7</v>
      </c>
      <c r="K944">
        <v>48.7</v>
      </c>
      <c r="L944">
        <v>49.2</v>
      </c>
      <c r="M944" s="2">
        <f t="shared" si="169"/>
        <v>1</v>
      </c>
      <c r="N944">
        <v>0</v>
      </c>
      <c r="P944" s="2">
        <f t="shared" si="170"/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s="2">
        <f t="shared" si="171"/>
        <v>0</v>
      </c>
      <c r="X944">
        <v>10.8</v>
      </c>
      <c r="Z944" s="2">
        <f t="shared" si="172"/>
        <v>0</v>
      </c>
      <c r="AA944">
        <v>144.5</v>
      </c>
      <c r="AB944" s="2" t="str">
        <f>CHOOSE(MATCH(AA944,{0;11;80;111;161;191;241;281;341},1),"North","NorthEast","East","SouthEast","South","SouthWest","West","NorthWest","North")</f>
        <v>SouthEast</v>
      </c>
      <c r="AC944" s="5">
        <f>CHOOSE(MATCH(AB944,{"South";"SouthEast";"SouthWest";"North";"NorthEast";"East";"West";"NorthWest"},0),1,2,3,4,5,6,7,8)</f>
        <v>2</v>
      </c>
      <c r="AD944" s="2">
        <f t="shared" si="173"/>
        <v>0</v>
      </c>
      <c r="AE944">
        <v>1009.2</v>
      </c>
      <c r="AF944" s="4" t="s">
        <v>1557</v>
      </c>
      <c r="AG944" s="2">
        <f t="shared" si="174"/>
        <v>1</v>
      </c>
      <c r="AH944" t="s">
        <v>1576</v>
      </c>
      <c r="AI944" s="2">
        <f t="shared" si="175"/>
        <v>5</v>
      </c>
      <c r="AJ944" s="2">
        <f t="shared" si="176"/>
        <v>0</v>
      </c>
      <c r="AK944" s="3">
        <v>148.00000000046569</v>
      </c>
      <c r="AM944" s="2">
        <v>0</v>
      </c>
      <c r="AN944">
        <v>0</v>
      </c>
      <c r="AO944">
        <v>1</v>
      </c>
      <c r="AP944">
        <v>0</v>
      </c>
      <c r="AQ944" s="2">
        <f>IF((2*G944 + M944 -P944 + 3*W944 + 2*Z944+2*AD944 + AG944+2*AJ944 + 4*AM944) &gt;=8,1,0)</f>
        <v>0</v>
      </c>
    </row>
    <row r="945" spans="1:43" x14ac:dyDescent="0.25">
      <c r="A945" t="s">
        <v>27</v>
      </c>
      <c r="B945" s="1">
        <v>40305</v>
      </c>
      <c r="C945" s="7">
        <f t="shared" si="168"/>
        <v>2010</v>
      </c>
      <c r="D945">
        <v>80.7</v>
      </c>
      <c r="E945">
        <v>56.4</v>
      </c>
      <c r="F945">
        <v>69.900000000000006</v>
      </c>
      <c r="G945" s="2">
        <f t="shared" si="167"/>
        <v>0</v>
      </c>
      <c r="H945">
        <v>79.400000000000006</v>
      </c>
      <c r="I945">
        <v>56.4</v>
      </c>
      <c r="J945">
        <v>69.8</v>
      </c>
      <c r="K945">
        <v>48.4</v>
      </c>
      <c r="L945">
        <v>49.4</v>
      </c>
      <c r="M945" s="2">
        <f t="shared" si="169"/>
        <v>0</v>
      </c>
      <c r="N945">
        <v>0</v>
      </c>
      <c r="P945" s="2">
        <f t="shared" si="170"/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28.9</v>
      </c>
      <c r="W945" s="2">
        <f t="shared" si="171"/>
        <v>1</v>
      </c>
      <c r="X945">
        <v>14.4</v>
      </c>
      <c r="Z945" s="2">
        <f t="shared" si="172"/>
        <v>0</v>
      </c>
      <c r="AA945">
        <v>315.89999999999998</v>
      </c>
      <c r="AB945" s="2" t="str">
        <f>CHOOSE(MATCH(AA945,{0;11;80;111;161;191;241;281;341},1),"North","NorthEast","East","SouthEast","South","SouthWest","West","NorthWest","North")</f>
        <v>NorthWest</v>
      </c>
      <c r="AC945" s="5">
        <f>CHOOSE(MATCH(AB945,{"South";"SouthEast";"SouthWest";"North";"NorthEast";"East";"West";"NorthWest"},0),1,2,3,4,5,6,7,8)</f>
        <v>8</v>
      </c>
      <c r="AD945" s="2">
        <f t="shared" si="173"/>
        <v>1</v>
      </c>
      <c r="AE945">
        <v>1006.8</v>
      </c>
      <c r="AF945" s="4" t="s">
        <v>998</v>
      </c>
      <c r="AG945" s="2">
        <f t="shared" si="174"/>
        <v>1</v>
      </c>
      <c r="AH945" t="s">
        <v>1577</v>
      </c>
      <c r="AI945" s="2">
        <f t="shared" si="175"/>
        <v>5</v>
      </c>
      <c r="AJ945" s="2">
        <f t="shared" si="176"/>
        <v>0</v>
      </c>
      <c r="AK945" s="3">
        <v>69.999999997671694</v>
      </c>
      <c r="AM945" s="2">
        <v>0</v>
      </c>
      <c r="AN945">
        <v>0</v>
      </c>
      <c r="AO945">
        <v>1</v>
      </c>
      <c r="AP945">
        <v>0</v>
      </c>
      <c r="AQ945" s="2">
        <f>IF((2*G945 + M945 -P945 + 3*W945 + 2*Z945+2*AD945 + AG945+2*AJ945 + 4*AM945) &gt;=8,1,0)</f>
        <v>0</v>
      </c>
    </row>
    <row r="946" spans="1:43" x14ac:dyDescent="0.25">
      <c r="A946" t="s">
        <v>27</v>
      </c>
      <c r="B946" s="1">
        <v>40306</v>
      </c>
      <c r="C946" s="7">
        <f t="shared" si="168"/>
        <v>2010</v>
      </c>
      <c r="D946">
        <v>77.599999999999994</v>
      </c>
      <c r="E946">
        <v>56.6</v>
      </c>
      <c r="F946">
        <v>68.3</v>
      </c>
      <c r="G946" s="2">
        <f t="shared" si="167"/>
        <v>0</v>
      </c>
      <c r="H946">
        <v>77.599999999999994</v>
      </c>
      <c r="I946">
        <v>56.6</v>
      </c>
      <c r="J946">
        <v>68.3</v>
      </c>
      <c r="K946">
        <v>49.5</v>
      </c>
      <c r="L946">
        <v>53</v>
      </c>
      <c r="M946" s="2">
        <f t="shared" si="169"/>
        <v>0</v>
      </c>
      <c r="N946">
        <v>0</v>
      </c>
      <c r="P946" s="2">
        <f t="shared" si="170"/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23</v>
      </c>
      <c r="W946" s="2">
        <f t="shared" si="171"/>
        <v>1</v>
      </c>
      <c r="X946">
        <v>11.8</v>
      </c>
      <c r="Z946" s="2">
        <f t="shared" si="172"/>
        <v>0</v>
      </c>
      <c r="AA946">
        <v>101.1</v>
      </c>
      <c r="AB946" s="2" t="str">
        <f>CHOOSE(MATCH(AA946,{0;11;80;111;161;191;241;281;341},1),"North","NorthEast","East","SouthEast","South","SouthWest","West","NorthWest","North")</f>
        <v>East</v>
      </c>
      <c r="AC946" s="5">
        <f>CHOOSE(MATCH(AB946,{"South";"SouthEast";"SouthWest";"North";"NorthEast";"East";"West";"NorthWest"},0),1,2,3,4,5,6,7,8)</f>
        <v>6</v>
      </c>
      <c r="AD946" s="2">
        <f t="shared" si="173"/>
        <v>0</v>
      </c>
      <c r="AE946">
        <v>1008.8</v>
      </c>
      <c r="AF946" s="4" t="s">
        <v>357</v>
      </c>
      <c r="AG946" s="2">
        <f t="shared" si="174"/>
        <v>0</v>
      </c>
      <c r="AH946" t="s">
        <v>1578</v>
      </c>
      <c r="AI946" s="2">
        <f t="shared" si="175"/>
        <v>5</v>
      </c>
      <c r="AJ946" s="2">
        <f t="shared" si="176"/>
        <v>0</v>
      </c>
      <c r="AK946" s="3">
        <v>20.00000000232831</v>
      </c>
      <c r="AM946" s="2">
        <v>0</v>
      </c>
      <c r="AN946">
        <v>0</v>
      </c>
      <c r="AO946">
        <v>0.5</v>
      </c>
      <c r="AP946">
        <v>0</v>
      </c>
      <c r="AQ946" s="2">
        <f>IF((2*G946 + M946 -P946 + 3*W946 + 2*Z946+2*AD946 + AG946+2*AJ946 + 4*AM946) &gt;=8,1,0)</f>
        <v>0</v>
      </c>
    </row>
    <row r="947" spans="1:43" x14ac:dyDescent="0.25">
      <c r="A947" t="s">
        <v>27</v>
      </c>
      <c r="B947" s="1">
        <v>40315</v>
      </c>
      <c r="C947" s="7">
        <f t="shared" si="168"/>
        <v>2010</v>
      </c>
      <c r="D947">
        <v>75.2</v>
      </c>
      <c r="E947">
        <v>62.5</v>
      </c>
      <c r="F947">
        <v>68.599999999999994</v>
      </c>
      <c r="G947" s="2">
        <f t="shared" si="167"/>
        <v>0</v>
      </c>
      <c r="H947">
        <v>75.2</v>
      </c>
      <c r="I947">
        <v>62.5</v>
      </c>
      <c r="J947">
        <v>68.599999999999994</v>
      </c>
      <c r="K947">
        <v>42.6</v>
      </c>
      <c r="L947">
        <v>39.799999999999997</v>
      </c>
      <c r="M947" s="2">
        <f t="shared" si="169"/>
        <v>1</v>
      </c>
      <c r="N947">
        <v>0</v>
      </c>
      <c r="P947" s="2">
        <f t="shared" si="170"/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40.299999999999997</v>
      </c>
      <c r="W947" s="2">
        <f t="shared" si="171"/>
        <v>1</v>
      </c>
      <c r="X947">
        <v>15.7</v>
      </c>
      <c r="Z947" s="2">
        <f t="shared" si="172"/>
        <v>0</v>
      </c>
      <c r="AA947">
        <v>259.60000000000002</v>
      </c>
      <c r="AB947" s="2" t="str">
        <f>CHOOSE(MATCH(AA947,{0;11;80;111;161;191;241;281;341},1),"North","NorthEast","East","SouthEast","South","SouthWest","West","NorthWest","North")</f>
        <v>West</v>
      </c>
      <c r="AC947" s="5">
        <f>CHOOSE(MATCH(AB947,{"South";"SouthEast";"SouthWest";"North";"NorthEast";"East";"West";"NorthWest"},0),1,2,3,4,5,6,7,8)</f>
        <v>7</v>
      </c>
      <c r="AD947" s="2">
        <f t="shared" si="173"/>
        <v>0</v>
      </c>
      <c r="AE947">
        <v>1011</v>
      </c>
      <c r="AF947" s="4" t="s">
        <v>119</v>
      </c>
      <c r="AG947" s="2">
        <f t="shared" si="174"/>
        <v>0</v>
      </c>
      <c r="AH947" t="s">
        <v>1579</v>
      </c>
      <c r="AI947" s="2">
        <f t="shared" si="175"/>
        <v>5</v>
      </c>
      <c r="AJ947" s="2">
        <f t="shared" si="176"/>
        <v>0</v>
      </c>
      <c r="AK947" s="3">
        <v>270</v>
      </c>
      <c r="AM947" s="2">
        <v>0</v>
      </c>
      <c r="AN947">
        <v>0</v>
      </c>
      <c r="AO947">
        <v>10</v>
      </c>
      <c r="AP947">
        <v>0</v>
      </c>
      <c r="AQ947" s="2">
        <f>IF((2*G947 + M947 -P947 + 3*W947 + 2*Z947+2*AD947 + AG947+2*AJ947 + 4*AM947) &gt;=8,1,0)</f>
        <v>0</v>
      </c>
    </row>
    <row r="948" spans="1:43" x14ac:dyDescent="0.25">
      <c r="A948" t="s">
        <v>27</v>
      </c>
      <c r="B948" s="1">
        <v>40315</v>
      </c>
      <c r="C948" s="7">
        <f t="shared" si="168"/>
        <v>2010</v>
      </c>
      <c r="D948">
        <v>75.2</v>
      </c>
      <c r="E948">
        <v>62.5</v>
      </c>
      <c r="F948">
        <v>68.599999999999994</v>
      </c>
      <c r="G948" s="2">
        <f t="shared" si="167"/>
        <v>0</v>
      </c>
      <c r="H948">
        <v>75.2</v>
      </c>
      <c r="I948">
        <v>62.5</v>
      </c>
      <c r="J948">
        <v>68.599999999999994</v>
      </c>
      <c r="K948">
        <v>42.6</v>
      </c>
      <c r="L948">
        <v>39.799999999999997</v>
      </c>
      <c r="M948" s="2">
        <f t="shared" si="169"/>
        <v>1</v>
      </c>
      <c r="N948">
        <v>0</v>
      </c>
      <c r="P948" s="2">
        <f t="shared" si="170"/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40.299999999999997</v>
      </c>
      <c r="W948" s="2">
        <f t="shared" si="171"/>
        <v>1</v>
      </c>
      <c r="X948">
        <v>15.7</v>
      </c>
      <c r="Z948" s="2">
        <f t="shared" si="172"/>
        <v>0</v>
      </c>
      <c r="AA948">
        <v>259.60000000000002</v>
      </c>
      <c r="AB948" s="2" t="str">
        <f>CHOOSE(MATCH(AA948,{0;11;80;111;161;191;241;281;341},1),"North","NorthEast","East","SouthEast","South","SouthWest","West","NorthWest","North")</f>
        <v>West</v>
      </c>
      <c r="AC948" s="5">
        <f>CHOOSE(MATCH(AB948,{"South";"SouthEast";"SouthWest";"North";"NorthEast";"East";"West";"NorthWest"},0),1,2,3,4,5,6,7,8)</f>
        <v>7</v>
      </c>
      <c r="AD948" s="2">
        <f t="shared" si="173"/>
        <v>0</v>
      </c>
      <c r="AE948">
        <v>1011</v>
      </c>
      <c r="AF948" s="4" t="s">
        <v>831</v>
      </c>
      <c r="AG948" s="2">
        <f t="shared" si="174"/>
        <v>1</v>
      </c>
      <c r="AH948" t="s">
        <v>1580</v>
      </c>
      <c r="AI948" s="2">
        <f t="shared" si="175"/>
        <v>5</v>
      </c>
      <c r="AJ948" s="2">
        <f t="shared" si="176"/>
        <v>0</v>
      </c>
      <c r="AK948" s="3">
        <v>51.999999991385273</v>
      </c>
      <c r="AM948" s="2">
        <v>0</v>
      </c>
      <c r="AN948">
        <v>0</v>
      </c>
      <c r="AO948">
        <v>0.3</v>
      </c>
      <c r="AP948">
        <v>0</v>
      </c>
      <c r="AQ948" s="2">
        <f>IF((2*G948 + M948 -P948 + 3*W948 + 2*Z948+2*AD948 + AG948+2*AJ948 + 4*AM948) &gt;=8,1,0)</f>
        <v>0</v>
      </c>
    </row>
    <row r="949" spans="1:43" x14ac:dyDescent="0.25">
      <c r="A949" t="s">
        <v>27</v>
      </c>
      <c r="B949" s="1">
        <v>40317</v>
      </c>
      <c r="C949" s="7">
        <f t="shared" si="168"/>
        <v>2010</v>
      </c>
      <c r="D949">
        <v>71.8</v>
      </c>
      <c r="E949">
        <v>59.1</v>
      </c>
      <c r="F949">
        <v>65.599999999999994</v>
      </c>
      <c r="G949" s="2">
        <f t="shared" si="167"/>
        <v>0</v>
      </c>
      <c r="H949">
        <v>71.8</v>
      </c>
      <c r="I949">
        <v>59.1</v>
      </c>
      <c r="J949">
        <v>65.599999999999994</v>
      </c>
      <c r="K949">
        <v>49.5</v>
      </c>
      <c r="L949">
        <v>56.8</v>
      </c>
      <c r="M949" s="2">
        <f t="shared" si="169"/>
        <v>0</v>
      </c>
      <c r="N949">
        <v>0</v>
      </c>
      <c r="P949" s="2">
        <f t="shared" si="170"/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21.9</v>
      </c>
      <c r="W949" s="2">
        <f t="shared" si="171"/>
        <v>1</v>
      </c>
      <c r="X949">
        <v>12.7</v>
      </c>
      <c r="Z949" s="2">
        <f t="shared" si="172"/>
        <v>0</v>
      </c>
      <c r="AA949">
        <v>107.8</v>
      </c>
      <c r="AB949" s="2" t="str">
        <f>CHOOSE(MATCH(AA949,{0;11;80;111;161;191;241;281;341},1),"North","NorthEast","East","SouthEast","South","SouthWest","West","NorthWest","North")</f>
        <v>East</v>
      </c>
      <c r="AC949" s="5">
        <f>CHOOSE(MATCH(AB949,{"South";"SouthEast";"SouthWest";"North";"NorthEast";"East";"West";"NorthWest"},0),1,2,3,4,5,6,7,8)</f>
        <v>6</v>
      </c>
      <c r="AD949" s="2">
        <f t="shared" si="173"/>
        <v>0</v>
      </c>
      <c r="AE949">
        <v>1014</v>
      </c>
      <c r="AF949" s="4" t="s">
        <v>1581</v>
      </c>
      <c r="AG949" s="2">
        <f t="shared" si="174"/>
        <v>0</v>
      </c>
      <c r="AH949" t="s">
        <v>1582</v>
      </c>
      <c r="AI949" s="2">
        <f t="shared" si="175"/>
        <v>5</v>
      </c>
      <c r="AJ949" s="2">
        <f t="shared" si="176"/>
        <v>0</v>
      </c>
      <c r="AK949" s="3">
        <v>792.00000000419095</v>
      </c>
      <c r="AM949" s="2">
        <v>1</v>
      </c>
      <c r="AN949">
        <v>2</v>
      </c>
      <c r="AO949">
        <v>0</v>
      </c>
      <c r="AP949">
        <v>0</v>
      </c>
      <c r="AQ949" s="2">
        <f>IF((2*G949 + M949 -P949 + 3*W949 + 2*Z949+2*AD949 + AG949+2*AJ949 + 4*AM949) &gt;=8,1,0)</f>
        <v>0</v>
      </c>
    </row>
    <row r="950" spans="1:43" x14ac:dyDescent="0.25">
      <c r="A950" t="s">
        <v>27</v>
      </c>
      <c r="B950" s="1">
        <v>40321</v>
      </c>
      <c r="C950" s="7">
        <f t="shared" si="168"/>
        <v>2010</v>
      </c>
      <c r="D950">
        <v>73.599999999999994</v>
      </c>
      <c r="E950">
        <v>50</v>
      </c>
      <c r="F950">
        <v>63.7</v>
      </c>
      <c r="G950" s="2">
        <f t="shared" si="167"/>
        <v>0</v>
      </c>
      <c r="H950">
        <v>73.599999999999994</v>
      </c>
      <c r="I950">
        <v>50</v>
      </c>
      <c r="J950">
        <v>63.7</v>
      </c>
      <c r="K950">
        <v>52.1</v>
      </c>
      <c r="L950">
        <v>67.400000000000006</v>
      </c>
      <c r="M950" s="2">
        <f t="shared" si="169"/>
        <v>0</v>
      </c>
      <c r="N950">
        <v>0</v>
      </c>
      <c r="P950" s="2">
        <f t="shared" si="170"/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s="2">
        <f t="shared" si="171"/>
        <v>0</v>
      </c>
      <c r="X950">
        <v>10.7</v>
      </c>
      <c r="Z950" s="2">
        <f t="shared" si="172"/>
        <v>0</v>
      </c>
      <c r="AA950">
        <v>4.8</v>
      </c>
      <c r="AB950" s="2" t="str">
        <f>CHOOSE(MATCH(AA950,{0;11;80;111;161;191;241;281;341},1),"North","NorthEast","East","SouthEast","South","SouthWest","West","NorthWest","North")</f>
        <v>North</v>
      </c>
      <c r="AC950" s="5">
        <f>CHOOSE(MATCH(AB950,{"South";"SouthEast";"SouthWest";"North";"NorthEast";"East";"West";"NorthWest"},0),1,2,3,4,5,6,7,8)</f>
        <v>4</v>
      </c>
      <c r="AD950" s="2">
        <f t="shared" si="173"/>
        <v>1</v>
      </c>
      <c r="AE950">
        <v>1012.8</v>
      </c>
      <c r="AF950" s="4" t="s">
        <v>30</v>
      </c>
      <c r="AG950" s="2">
        <f t="shared" si="174"/>
        <v>1</v>
      </c>
      <c r="AH950" t="s">
        <v>1583</v>
      </c>
      <c r="AI950" s="2">
        <f t="shared" si="175"/>
        <v>5</v>
      </c>
      <c r="AJ950" s="2">
        <f t="shared" si="176"/>
        <v>0</v>
      </c>
      <c r="AK950" s="3">
        <v>490.00000000465661</v>
      </c>
      <c r="AM950" s="2">
        <v>1</v>
      </c>
      <c r="AN950">
        <v>0</v>
      </c>
      <c r="AO950">
        <v>4</v>
      </c>
      <c r="AP950">
        <v>0</v>
      </c>
      <c r="AQ950" s="2">
        <f>IF((2*G950 + M950 -P950 + 3*W950 + 2*Z950+2*AD950 + AG950+2*AJ950 + 4*AM950) &gt;=8,1,0)</f>
        <v>0</v>
      </c>
    </row>
    <row r="951" spans="1:43" x14ac:dyDescent="0.25">
      <c r="A951" t="s">
        <v>27</v>
      </c>
      <c r="B951" s="1">
        <v>40322</v>
      </c>
      <c r="C951" s="7">
        <f t="shared" si="168"/>
        <v>2010</v>
      </c>
      <c r="D951">
        <v>76.2</v>
      </c>
      <c r="E951">
        <v>57.8</v>
      </c>
      <c r="F951">
        <v>67</v>
      </c>
      <c r="G951" s="2">
        <f t="shared" si="167"/>
        <v>0</v>
      </c>
      <c r="H951">
        <v>76.2</v>
      </c>
      <c r="I951">
        <v>57.8</v>
      </c>
      <c r="J951">
        <v>67</v>
      </c>
      <c r="K951">
        <v>54.4</v>
      </c>
      <c r="L951">
        <v>65.8</v>
      </c>
      <c r="M951" s="2">
        <f t="shared" si="169"/>
        <v>0</v>
      </c>
      <c r="N951">
        <v>0</v>
      </c>
      <c r="P951" s="2">
        <f t="shared" si="170"/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s="2">
        <f t="shared" si="171"/>
        <v>0</v>
      </c>
      <c r="X951">
        <v>12.2</v>
      </c>
      <c r="Z951" s="2">
        <f t="shared" si="172"/>
        <v>0</v>
      </c>
      <c r="AA951">
        <v>190.5</v>
      </c>
      <c r="AB951" s="2" t="str">
        <f>CHOOSE(MATCH(AA951,{0;11;80;111;161;191;241;281;341},1),"North","NorthEast","East","SouthEast","South","SouthWest","West","NorthWest","North")</f>
        <v>South</v>
      </c>
      <c r="AC951" s="5">
        <f>CHOOSE(MATCH(AB951,{"South";"SouthEast";"SouthWest";"North";"NorthEast";"East";"West";"NorthWest"},0),1,2,3,4,5,6,7,8)</f>
        <v>1</v>
      </c>
      <c r="AD951" s="2">
        <f t="shared" si="173"/>
        <v>0</v>
      </c>
      <c r="AE951">
        <v>1014.3</v>
      </c>
      <c r="AF951" s="4" t="s">
        <v>1584</v>
      </c>
      <c r="AG951" s="2">
        <f t="shared" si="174"/>
        <v>0</v>
      </c>
      <c r="AH951" t="s">
        <v>1585</v>
      </c>
      <c r="AI951" s="2">
        <f t="shared" si="175"/>
        <v>5</v>
      </c>
      <c r="AJ951" s="2">
        <f t="shared" si="176"/>
        <v>0</v>
      </c>
      <c r="AK951" s="3">
        <v>1725.0000000069849</v>
      </c>
      <c r="AM951" s="2">
        <v>1</v>
      </c>
      <c r="AN951">
        <v>5</v>
      </c>
      <c r="AO951">
        <v>0</v>
      </c>
      <c r="AP951">
        <v>0</v>
      </c>
      <c r="AQ951" s="2">
        <f>IF((2*G951 + M951 -P951 + 3*W951 + 2*Z951+2*AD951 + AG951+2*AJ951 + 4*AM951) &gt;=8,1,0)</f>
        <v>0</v>
      </c>
    </row>
    <row r="952" spans="1:43" x14ac:dyDescent="0.25">
      <c r="A952" t="s">
        <v>27</v>
      </c>
      <c r="B952" s="1">
        <v>40323</v>
      </c>
      <c r="C952" s="7">
        <f t="shared" si="168"/>
        <v>2010</v>
      </c>
      <c r="D952">
        <v>77</v>
      </c>
      <c r="E952">
        <v>57.1</v>
      </c>
      <c r="F952">
        <v>67.599999999999994</v>
      </c>
      <c r="G952" s="2">
        <f t="shared" si="167"/>
        <v>0</v>
      </c>
      <c r="H952">
        <v>77</v>
      </c>
      <c r="I952">
        <v>57.1</v>
      </c>
      <c r="J952">
        <v>67.599999999999994</v>
      </c>
      <c r="K952">
        <v>54.8</v>
      </c>
      <c r="L952">
        <v>65.8</v>
      </c>
      <c r="M952" s="2">
        <f t="shared" si="169"/>
        <v>0</v>
      </c>
      <c r="N952">
        <v>0</v>
      </c>
      <c r="P952" s="2">
        <f t="shared" si="170"/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s="2">
        <f t="shared" si="171"/>
        <v>0</v>
      </c>
      <c r="X952">
        <v>11.8</v>
      </c>
      <c r="Z952" s="2">
        <f t="shared" si="172"/>
        <v>0</v>
      </c>
      <c r="AA952">
        <v>155.9</v>
      </c>
      <c r="AB952" s="2" t="str">
        <f>CHOOSE(MATCH(AA952,{0;11;80;111;161;191;241;281;341},1),"North","NorthEast","East","SouthEast","South","SouthWest","West","NorthWest","North")</f>
        <v>SouthEast</v>
      </c>
      <c r="AC952" s="5">
        <f>CHOOSE(MATCH(AB952,{"South";"SouthEast";"SouthWest";"North";"NorthEast";"East";"West";"NorthWest"},0),1,2,3,4,5,6,7,8)</f>
        <v>2</v>
      </c>
      <c r="AD952" s="2">
        <f t="shared" si="173"/>
        <v>0</v>
      </c>
      <c r="AE952">
        <v>1014.5</v>
      </c>
      <c r="AF952" s="4" t="s">
        <v>332</v>
      </c>
      <c r="AG952" s="2">
        <f t="shared" si="174"/>
        <v>1</v>
      </c>
      <c r="AH952" t="s">
        <v>1586</v>
      </c>
      <c r="AI952" s="2">
        <f t="shared" si="175"/>
        <v>5</v>
      </c>
      <c r="AJ952" s="2">
        <f t="shared" si="176"/>
        <v>0</v>
      </c>
      <c r="AK952" s="3">
        <v>316.99999999604188</v>
      </c>
      <c r="AM952" s="2">
        <v>0</v>
      </c>
      <c r="AN952">
        <v>0</v>
      </c>
      <c r="AO952">
        <v>1.5</v>
      </c>
      <c r="AP952">
        <v>0</v>
      </c>
      <c r="AQ952" s="2">
        <f>IF((2*G952 + M952 -P952 + 3*W952 + 2*Z952+2*AD952 + AG952+2*AJ952 + 4*AM952) &gt;=8,1,0)</f>
        <v>0</v>
      </c>
    </row>
    <row r="953" spans="1:43" x14ac:dyDescent="0.25">
      <c r="A953" t="s">
        <v>27</v>
      </c>
      <c r="B953" s="1">
        <v>40323</v>
      </c>
      <c r="C953" s="7">
        <f t="shared" si="168"/>
        <v>2010</v>
      </c>
      <c r="D953">
        <v>77</v>
      </c>
      <c r="E953">
        <v>57.1</v>
      </c>
      <c r="F953">
        <v>67.599999999999994</v>
      </c>
      <c r="G953" s="2">
        <f t="shared" si="167"/>
        <v>0</v>
      </c>
      <c r="H953">
        <v>77</v>
      </c>
      <c r="I953">
        <v>57.1</v>
      </c>
      <c r="J953">
        <v>67.599999999999994</v>
      </c>
      <c r="K953">
        <v>54.8</v>
      </c>
      <c r="L953">
        <v>65.8</v>
      </c>
      <c r="M953" s="2">
        <f t="shared" si="169"/>
        <v>0</v>
      </c>
      <c r="N953">
        <v>0</v>
      </c>
      <c r="P953" s="2">
        <f t="shared" si="170"/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s="2">
        <f t="shared" si="171"/>
        <v>0</v>
      </c>
      <c r="X953">
        <v>11.8</v>
      </c>
      <c r="Z953" s="2">
        <f t="shared" si="172"/>
        <v>0</v>
      </c>
      <c r="AA953">
        <v>155.9</v>
      </c>
      <c r="AB953" s="2" t="str">
        <f>CHOOSE(MATCH(AA953,{0;11;80;111;161;191;241;281;341},1),"North","NorthEast","East","SouthEast","South","SouthWest","West","NorthWest","North")</f>
        <v>SouthEast</v>
      </c>
      <c r="AC953" s="5">
        <f>CHOOSE(MATCH(AB953,{"South";"SouthEast";"SouthWest";"North";"NorthEast";"East";"West";"NorthWest"},0),1,2,3,4,5,6,7,8)</f>
        <v>2</v>
      </c>
      <c r="AD953" s="2">
        <f t="shared" si="173"/>
        <v>0</v>
      </c>
      <c r="AE953">
        <v>1014.5</v>
      </c>
      <c r="AF953" s="4" t="s">
        <v>40</v>
      </c>
      <c r="AG953" s="2">
        <f t="shared" si="174"/>
        <v>1</v>
      </c>
      <c r="AH953" t="s">
        <v>1587</v>
      </c>
      <c r="AI953" s="2">
        <f t="shared" si="175"/>
        <v>5</v>
      </c>
      <c r="AJ953" s="2">
        <f t="shared" si="176"/>
        <v>0</v>
      </c>
      <c r="AK953" s="3">
        <v>400.00000000465661</v>
      </c>
      <c r="AM953" s="2">
        <v>1</v>
      </c>
      <c r="AN953">
        <v>5</v>
      </c>
      <c r="AO953">
        <v>5</v>
      </c>
      <c r="AP953">
        <v>0</v>
      </c>
      <c r="AQ953" s="2">
        <f>IF((2*G953 + M953 -P953 + 3*W953 + 2*Z953+2*AD953 + AG953+2*AJ953 + 4*AM953) &gt;=8,1,0)</f>
        <v>0</v>
      </c>
    </row>
    <row r="954" spans="1:43" x14ac:dyDescent="0.25">
      <c r="A954" t="s">
        <v>27</v>
      </c>
      <c r="B954" s="1">
        <v>40325</v>
      </c>
      <c r="C954" s="7">
        <f t="shared" si="168"/>
        <v>2010</v>
      </c>
      <c r="D954">
        <v>86</v>
      </c>
      <c r="E954">
        <v>56.9</v>
      </c>
      <c r="F954">
        <v>72.5</v>
      </c>
      <c r="G954" s="2">
        <f t="shared" si="167"/>
        <v>0</v>
      </c>
      <c r="H954">
        <v>82.9</v>
      </c>
      <c r="I954">
        <v>56.9</v>
      </c>
      <c r="J954">
        <v>72.099999999999994</v>
      </c>
      <c r="K954">
        <v>50.7</v>
      </c>
      <c r="L954">
        <v>49.2</v>
      </c>
      <c r="M954" s="2">
        <f t="shared" si="169"/>
        <v>1</v>
      </c>
      <c r="N954">
        <v>0</v>
      </c>
      <c r="P954" s="2">
        <f t="shared" si="170"/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s="2">
        <f t="shared" si="171"/>
        <v>0</v>
      </c>
      <c r="X954">
        <v>9.1</v>
      </c>
      <c r="Z954" s="2">
        <f t="shared" si="172"/>
        <v>0</v>
      </c>
      <c r="AA954">
        <v>166.7</v>
      </c>
      <c r="AB954" s="2" t="str">
        <f>CHOOSE(MATCH(AA954,{0;11;80;111;161;191;241;281;341},1),"North","NorthEast","East","SouthEast","South","SouthWest","West","NorthWest","North")</f>
        <v>South</v>
      </c>
      <c r="AC954" s="5">
        <f>CHOOSE(MATCH(AB954,{"South";"SouthEast";"SouthWest";"North";"NorthEast";"East";"West";"NorthWest"},0),1,2,3,4,5,6,7,8)</f>
        <v>1</v>
      </c>
      <c r="AD954" s="2">
        <f t="shared" si="173"/>
        <v>0</v>
      </c>
      <c r="AE954">
        <v>1012.1</v>
      </c>
      <c r="AF954" s="4" t="s">
        <v>1588</v>
      </c>
      <c r="AG954" s="2">
        <f t="shared" si="174"/>
        <v>1</v>
      </c>
      <c r="AH954" t="s">
        <v>1589</v>
      </c>
      <c r="AI954" s="2">
        <f t="shared" si="175"/>
        <v>5</v>
      </c>
      <c r="AJ954" s="2">
        <f t="shared" si="176"/>
        <v>0</v>
      </c>
      <c r="AK954" s="3">
        <v>1091.999999997206</v>
      </c>
      <c r="AM954" s="2">
        <v>1</v>
      </c>
      <c r="AN954">
        <v>0</v>
      </c>
      <c r="AO954">
        <v>10</v>
      </c>
      <c r="AP954">
        <v>0</v>
      </c>
      <c r="AQ954" s="2">
        <f>IF((2*G954 + M954 -P954 + 3*W954 + 2*Z954+2*AD954 + AG954+2*AJ954 + 4*AM954) &gt;=8,1,0)</f>
        <v>0</v>
      </c>
    </row>
    <row r="955" spans="1:43" x14ac:dyDescent="0.25">
      <c r="A955" t="s">
        <v>27</v>
      </c>
      <c r="B955" s="1">
        <v>40326</v>
      </c>
      <c r="C955" s="7">
        <f t="shared" si="168"/>
        <v>2010</v>
      </c>
      <c r="D955">
        <v>89.7</v>
      </c>
      <c r="E955">
        <v>65.2</v>
      </c>
      <c r="F955">
        <v>77</v>
      </c>
      <c r="G955" s="2">
        <f t="shared" si="167"/>
        <v>1</v>
      </c>
      <c r="H955">
        <v>85.8</v>
      </c>
      <c r="I955">
        <v>65.2</v>
      </c>
      <c r="J955">
        <v>76</v>
      </c>
      <c r="K955">
        <v>48.7</v>
      </c>
      <c r="L955">
        <v>39.700000000000003</v>
      </c>
      <c r="M955" s="2">
        <f t="shared" si="169"/>
        <v>1</v>
      </c>
      <c r="N955">
        <v>0</v>
      </c>
      <c r="P955" s="2">
        <f t="shared" si="170"/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s="2">
        <f t="shared" si="171"/>
        <v>0</v>
      </c>
      <c r="X955">
        <v>11</v>
      </c>
      <c r="Z955" s="2">
        <f t="shared" si="172"/>
        <v>0</v>
      </c>
      <c r="AA955">
        <v>188.7</v>
      </c>
      <c r="AB955" s="2" t="str">
        <f>CHOOSE(MATCH(AA955,{0;11;80;111;161;191;241;281;341},1),"North","NorthEast","East","SouthEast","South","SouthWest","West","NorthWest","North")</f>
        <v>South</v>
      </c>
      <c r="AC955" s="5">
        <f>CHOOSE(MATCH(AB955,{"South";"SouthEast";"SouthWest";"North";"NorthEast";"East";"West";"NorthWest"},0),1,2,3,4,5,6,7,8)</f>
        <v>1</v>
      </c>
      <c r="AD955" s="2">
        <f t="shared" si="173"/>
        <v>0</v>
      </c>
      <c r="AE955">
        <v>1012</v>
      </c>
      <c r="AF955" s="4" t="s">
        <v>294</v>
      </c>
      <c r="AG955" s="2">
        <f t="shared" si="174"/>
        <v>1</v>
      </c>
      <c r="AH955" t="s">
        <v>1590</v>
      </c>
      <c r="AI955" s="2">
        <f t="shared" si="175"/>
        <v>5</v>
      </c>
      <c r="AJ955" s="2">
        <f t="shared" si="176"/>
        <v>0</v>
      </c>
      <c r="AK955" s="3">
        <v>490.00000000465661</v>
      </c>
      <c r="AM955" s="2">
        <v>1</v>
      </c>
      <c r="AN955">
        <v>1</v>
      </c>
      <c r="AO955">
        <v>2</v>
      </c>
      <c r="AP955">
        <v>0</v>
      </c>
      <c r="AQ955" s="2">
        <f>IF((2*G955 + M955 -P955 + 3*W955 + 2*Z955+2*AD955 + AG955+2*AJ955 + 4*AM955) &gt;=8,1,0)</f>
        <v>0</v>
      </c>
    </row>
    <row r="956" spans="1:43" x14ac:dyDescent="0.25">
      <c r="A956" t="s">
        <v>27</v>
      </c>
      <c r="B956" s="1">
        <v>40328</v>
      </c>
      <c r="C956" s="7">
        <f t="shared" si="168"/>
        <v>2010</v>
      </c>
      <c r="D956">
        <v>88.4</v>
      </c>
      <c r="E956">
        <v>66.5</v>
      </c>
      <c r="F956">
        <v>77.400000000000006</v>
      </c>
      <c r="G956" s="2">
        <f t="shared" si="167"/>
        <v>1</v>
      </c>
      <c r="H956">
        <v>85.9</v>
      </c>
      <c r="I956">
        <v>66.5</v>
      </c>
      <c r="J956">
        <v>76.900000000000006</v>
      </c>
      <c r="K956">
        <v>54.5</v>
      </c>
      <c r="L956">
        <v>46.9</v>
      </c>
      <c r="M956" s="2">
        <f t="shared" si="169"/>
        <v>1</v>
      </c>
      <c r="N956">
        <v>0</v>
      </c>
      <c r="P956" s="2">
        <f t="shared" si="170"/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s="2">
        <f t="shared" si="171"/>
        <v>0</v>
      </c>
      <c r="X956">
        <v>9</v>
      </c>
      <c r="Z956" s="2">
        <f t="shared" si="172"/>
        <v>0</v>
      </c>
      <c r="AA956">
        <v>32.6</v>
      </c>
      <c r="AB956" s="2" t="str">
        <f>CHOOSE(MATCH(AA956,{0;11;80;111;161;191;241;281;341},1),"North","NorthEast","East","SouthEast","South","SouthWest","West","NorthWest","North")</f>
        <v>NorthEast</v>
      </c>
      <c r="AC956" s="5">
        <f>CHOOSE(MATCH(AB956,{"South";"SouthEast";"SouthWest";"North";"NorthEast";"East";"West";"NorthWest"},0),1,2,3,4,5,6,7,8)</f>
        <v>5</v>
      </c>
      <c r="AD956" s="2">
        <f t="shared" si="173"/>
        <v>1</v>
      </c>
      <c r="AE956">
        <v>1012.8</v>
      </c>
      <c r="AF956" s="4" t="s">
        <v>219</v>
      </c>
      <c r="AG956" s="2">
        <f t="shared" si="174"/>
        <v>1</v>
      </c>
      <c r="AH956" t="s">
        <v>1591</v>
      </c>
      <c r="AI956" s="2">
        <f t="shared" si="175"/>
        <v>5</v>
      </c>
      <c r="AJ956" s="2">
        <f t="shared" si="176"/>
        <v>0</v>
      </c>
      <c r="AK956" s="3">
        <v>46.000000003259629</v>
      </c>
      <c r="AM956" s="2">
        <v>0</v>
      </c>
      <c r="AN956">
        <v>0</v>
      </c>
      <c r="AO956">
        <v>0.5</v>
      </c>
      <c r="AP956">
        <v>0</v>
      </c>
      <c r="AQ956" s="2">
        <f>IF((2*G956 + M956 -P956 + 3*W956 + 2*Z956+2*AD956 + AG956+2*AJ956 + 4*AM956) &gt;=8,1,0)</f>
        <v>0</v>
      </c>
    </row>
    <row r="957" spans="1:43" x14ac:dyDescent="0.25">
      <c r="A957" t="s">
        <v>27</v>
      </c>
      <c r="B957" s="1">
        <v>40328</v>
      </c>
      <c r="C957" s="7">
        <f t="shared" si="168"/>
        <v>2010</v>
      </c>
      <c r="D957">
        <v>88.4</v>
      </c>
      <c r="E957">
        <v>66.5</v>
      </c>
      <c r="F957">
        <v>77.400000000000006</v>
      </c>
      <c r="G957" s="2">
        <f t="shared" si="167"/>
        <v>1</v>
      </c>
      <c r="H957">
        <v>85.9</v>
      </c>
      <c r="I957">
        <v>66.5</v>
      </c>
      <c r="J957">
        <v>76.900000000000006</v>
      </c>
      <c r="K957">
        <v>54.5</v>
      </c>
      <c r="L957">
        <v>46.9</v>
      </c>
      <c r="M957" s="2">
        <f t="shared" si="169"/>
        <v>1</v>
      </c>
      <c r="N957">
        <v>0</v>
      </c>
      <c r="P957" s="2">
        <f t="shared" si="170"/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s="2">
        <f t="shared" si="171"/>
        <v>0</v>
      </c>
      <c r="X957">
        <v>9</v>
      </c>
      <c r="Z957" s="2">
        <f t="shared" si="172"/>
        <v>0</v>
      </c>
      <c r="AA957">
        <v>32.6</v>
      </c>
      <c r="AB957" s="2" t="str">
        <f>CHOOSE(MATCH(AA957,{0;11;80;111;161;191;241;281;341},1),"North","NorthEast","East","SouthEast","South","SouthWest","West","NorthWest","North")</f>
        <v>NorthEast</v>
      </c>
      <c r="AC957" s="5">
        <f>CHOOSE(MATCH(AB957,{"South";"SouthEast";"SouthWest";"North";"NorthEast";"East";"West";"NorthWest"},0),1,2,3,4,5,6,7,8)</f>
        <v>5</v>
      </c>
      <c r="AD957" s="2">
        <f t="shared" si="173"/>
        <v>1</v>
      </c>
      <c r="AE957">
        <v>1012.8</v>
      </c>
      <c r="AF957" s="4" t="s">
        <v>253</v>
      </c>
      <c r="AG957" s="2">
        <f t="shared" si="174"/>
        <v>1</v>
      </c>
      <c r="AH957" t="s">
        <v>1592</v>
      </c>
      <c r="AI957" s="2">
        <f t="shared" si="175"/>
        <v>5</v>
      </c>
      <c r="AJ957" s="2">
        <f t="shared" si="176"/>
        <v>0</v>
      </c>
      <c r="AK957" s="3">
        <v>45</v>
      </c>
      <c r="AM957" s="2">
        <v>0</v>
      </c>
      <c r="AN957">
        <v>0</v>
      </c>
      <c r="AO957">
        <v>8</v>
      </c>
      <c r="AP957">
        <v>0</v>
      </c>
      <c r="AQ957" s="2">
        <f>IF((2*G957 + M957 -P957 + 3*W957 + 2*Z957+2*AD957 + AG957+2*AJ957 + 4*AM957) &gt;=8,1,0)</f>
        <v>0</v>
      </c>
    </row>
    <row r="958" spans="1:43" x14ac:dyDescent="0.25">
      <c r="A958" t="s">
        <v>27</v>
      </c>
      <c r="B958" s="1">
        <v>40329</v>
      </c>
      <c r="C958" s="7">
        <f t="shared" si="168"/>
        <v>2010</v>
      </c>
      <c r="D958">
        <v>90.7</v>
      </c>
      <c r="E958">
        <v>71.2</v>
      </c>
      <c r="F958">
        <v>80.400000000000006</v>
      </c>
      <c r="G958" s="2">
        <f t="shared" si="167"/>
        <v>1</v>
      </c>
      <c r="H958">
        <v>87.8</v>
      </c>
      <c r="I958">
        <v>71.2</v>
      </c>
      <c r="J958">
        <v>79.3</v>
      </c>
      <c r="K958">
        <v>53</v>
      </c>
      <c r="L958">
        <v>40.700000000000003</v>
      </c>
      <c r="M958" s="2">
        <f t="shared" si="169"/>
        <v>1</v>
      </c>
      <c r="N958">
        <v>0</v>
      </c>
      <c r="P958" s="2">
        <f t="shared" si="170"/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s="2">
        <f t="shared" si="171"/>
        <v>0</v>
      </c>
      <c r="X958">
        <v>13.5</v>
      </c>
      <c r="Z958" s="2">
        <f t="shared" si="172"/>
        <v>0</v>
      </c>
      <c r="AA958">
        <v>191</v>
      </c>
      <c r="AB958" s="2" t="str">
        <f>CHOOSE(MATCH(AA958,{0;11;80;111;161;191;241;281;341},1),"North","NorthEast","East","SouthEast","South","SouthWest","West","NorthWest","North")</f>
        <v>SouthWest</v>
      </c>
      <c r="AC958" s="5">
        <f>CHOOSE(MATCH(AB958,{"South";"SouthEast";"SouthWest";"North";"NorthEast";"East";"West";"NorthWest"},0),1,2,3,4,5,6,7,8)</f>
        <v>3</v>
      </c>
      <c r="AD958" s="2">
        <f t="shared" si="173"/>
        <v>1</v>
      </c>
      <c r="AE958">
        <v>1008.7</v>
      </c>
      <c r="AF958" s="4" t="s">
        <v>797</v>
      </c>
      <c r="AG958" s="2">
        <f t="shared" si="174"/>
        <v>0</v>
      </c>
      <c r="AH958" t="s">
        <v>1593</v>
      </c>
      <c r="AI958" s="2">
        <f t="shared" si="175"/>
        <v>5</v>
      </c>
      <c r="AJ958" s="2">
        <f t="shared" si="176"/>
        <v>0</v>
      </c>
      <c r="AK958" s="3">
        <v>529.99999999883585</v>
      </c>
      <c r="AM958" s="2">
        <v>1</v>
      </c>
      <c r="AN958">
        <v>0</v>
      </c>
      <c r="AO958">
        <v>1</v>
      </c>
      <c r="AP958">
        <v>0</v>
      </c>
      <c r="AQ958" s="2">
        <f>IF((2*G958 + M958 -P958 + 3*W958 + 2*Z958+2*AD958 + AG958+2*AJ958 + 4*AM958) &gt;=8,1,0)</f>
        <v>1</v>
      </c>
    </row>
    <row r="959" spans="1:43" x14ac:dyDescent="0.25">
      <c r="A959" t="s">
        <v>27</v>
      </c>
      <c r="B959" s="1">
        <v>40331</v>
      </c>
      <c r="C959" s="7">
        <f t="shared" si="168"/>
        <v>2010</v>
      </c>
      <c r="D959">
        <v>77.900000000000006</v>
      </c>
      <c r="E959">
        <v>64</v>
      </c>
      <c r="F959">
        <v>70.900000000000006</v>
      </c>
      <c r="G959" s="2">
        <f t="shared" si="167"/>
        <v>0</v>
      </c>
      <c r="H959">
        <v>77.900000000000006</v>
      </c>
      <c r="I959">
        <v>64</v>
      </c>
      <c r="J959">
        <v>70.900000000000006</v>
      </c>
      <c r="K959">
        <v>57.1</v>
      </c>
      <c r="L959">
        <v>62.7</v>
      </c>
      <c r="M959" s="2">
        <f t="shared" si="169"/>
        <v>0</v>
      </c>
      <c r="N959">
        <v>0</v>
      </c>
      <c r="P959" s="2">
        <f t="shared" si="170"/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s="2">
        <f t="shared" si="171"/>
        <v>0</v>
      </c>
      <c r="X959">
        <v>14.2</v>
      </c>
      <c r="Z959" s="2">
        <f t="shared" si="172"/>
        <v>0</v>
      </c>
      <c r="AA959">
        <v>42.6</v>
      </c>
      <c r="AB959" s="2" t="str">
        <f>CHOOSE(MATCH(AA959,{0;11;80;111;161;191;241;281;341},1),"North","NorthEast","East","SouthEast","South","SouthWest","West","NorthWest","North")</f>
        <v>NorthEast</v>
      </c>
      <c r="AC959" s="5">
        <f>CHOOSE(MATCH(AB959,{"South";"SouthEast";"SouthWest";"North";"NorthEast";"East";"West";"NorthWest"},0),1,2,3,4,5,6,7,8)</f>
        <v>5</v>
      </c>
      <c r="AD959" s="2">
        <f t="shared" si="173"/>
        <v>1</v>
      </c>
      <c r="AE959">
        <v>1005.7</v>
      </c>
      <c r="AF959" s="4" t="s">
        <v>44</v>
      </c>
      <c r="AG959" s="2">
        <f t="shared" si="174"/>
        <v>1</v>
      </c>
      <c r="AH959" t="s">
        <v>1594</v>
      </c>
      <c r="AI959" s="2">
        <f t="shared" si="175"/>
        <v>6</v>
      </c>
      <c r="AJ959" s="2">
        <f t="shared" si="176"/>
        <v>1</v>
      </c>
      <c r="AK959" s="3">
        <v>74.999999993015081</v>
      </c>
      <c r="AM959" s="2">
        <v>0</v>
      </c>
      <c r="AN959">
        <v>0</v>
      </c>
      <c r="AO959">
        <v>0.2</v>
      </c>
      <c r="AP959">
        <v>0</v>
      </c>
      <c r="AQ959" s="2">
        <f>IF((2*G959 + M959 -P959 + 3*W959 + 2*Z959+2*AD959 + AG959+2*AJ959 + 4*AM959) &gt;=8,1,0)</f>
        <v>0</v>
      </c>
    </row>
    <row r="960" spans="1:43" x14ac:dyDescent="0.25">
      <c r="A960" t="s">
        <v>27</v>
      </c>
      <c r="B960" s="1">
        <v>40332</v>
      </c>
      <c r="C960" s="7">
        <f t="shared" si="168"/>
        <v>2010</v>
      </c>
      <c r="D960">
        <v>78.5</v>
      </c>
      <c r="E960">
        <v>64.3</v>
      </c>
      <c r="F960">
        <v>71.2</v>
      </c>
      <c r="G960" s="2">
        <f t="shared" si="167"/>
        <v>0</v>
      </c>
      <c r="H960">
        <v>78.5</v>
      </c>
      <c r="I960">
        <v>64.3</v>
      </c>
      <c r="J960">
        <v>71.2</v>
      </c>
      <c r="K960">
        <v>57.1</v>
      </c>
      <c r="L960">
        <v>62.4</v>
      </c>
      <c r="M960" s="2">
        <f t="shared" si="169"/>
        <v>0</v>
      </c>
      <c r="N960">
        <v>0</v>
      </c>
      <c r="P960" s="2">
        <f t="shared" si="170"/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s="2">
        <f t="shared" si="171"/>
        <v>0</v>
      </c>
      <c r="X960">
        <v>12.8</v>
      </c>
      <c r="Z960" s="2">
        <f t="shared" si="172"/>
        <v>0</v>
      </c>
      <c r="AA960">
        <v>180.8</v>
      </c>
      <c r="AB960" s="2" t="str">
        <f>CHOOSE(MATCH(AA960,{0;11;80;111;161;191;241;281;341},1),"North","NorthEast","East","SouthEast","South","SouthWest","West","NorthWest","North")</f>
        <v>South</v>
      </c>
      <c r="AC960" s="5">
        <f>CHOOSE(MATCH(AB960,{"South";"SouthEast";"SouthWest";"North";"NorthEast";"East";"West";"NorthWest"},0),1,2,3,4,5,6,7,8)</f>
        <v>1</v>
      </c>
      <c r="AD960" s="2">
        <f t="shared" si="173"/>
        <v>0</v>
      </c>
      <c r="AE960">
        <v>1008.2</v>
      </c>
      <c r="AF960" s="4" t="s">
        <v>532</v>
      </c>
      <c r="AG960" s="2">
        <f t="shared" si="174"/>
        <v>1</v>
      </c>
      <c r="AH960" t="s">
        <v>1595</v>
      </c>
      <c r="AI960" s="2">
        <f t="shared" si="175"/>
        <v>6</v>
      </c>
      <c r="AJ960" s="2">
        <f t="shared" si="176"/>
        <v>1</v>
      </c>
      <c r="AK960" s="3">
        <v>59.99999999650754</v>
      </c>
      <c r="AM960" s="2">
        <v>0</v>
      </c>
      <c r="AN960">
        <v>2.5</v>
      </c>
      <c r="AO960">
        <v>0</v>
      </c>
      <c r="AP960">
        <v>0</v>
      </c>
      <c r="AQ960" s="2">
        <f>IF((2*G960 + M960 -P960 + 3*W960 + 2*Z960+2*AD960 + AG960+2*AJ960 + 4*AM960) &gt;=8,1,0)</f>
        <v>0</v>
      </c>
    </row>
    <row r="961" spans="1:43" x14ac:dyDescent="0.25">
      <c r="A961" t="s">
        <v>27</v>
      </c>
      <c r="B961" s="1">
        <v>40339</v>
      </c>
      <c r="C961" s="7">
        <f t="shared" si="168"/>
        <v>2010</v>
      </c>
      <c r="D961">
        <v>87.2</v>
      </c>
      <c r="E961">
        <v>65.8</v>
      </c>
      <c r="F961">
        <v>77</v>
      </c>
      <c r="G961" s="2">
        <f t="shared" si="167"/>
        <v>1</v>
      </c>
      <c r="H961">
        <v>85.5</v>
      </c>
      <c r="I961">
        <v>65.8</v>
      </c>
      <c r="J961">
        <v>76.5</v>
      </c>
      <c r="K961">
        <v>54.6</v>
      </c>
      <c r="L961">
        <v>48</v>
      </c>
      <c r="M961" s="2">
        <f t="shared" si="169"/>
        <v>1</v>
      </c>
      <c r="N961">
        <v>0</v>
      </c>
      <c r="P961" s="2">
        <f t="shared" si="170"/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35.6</v>
      </c>
      <c r="W961" s="2">
        <f t="shared" si="171"/>
        <v>1</v>
      </c>
      <c r="X961">
        <v>19.100000000000001</v>
      </c>
      <c r="Z961" s="2">
        <f t="shared" si="172"/>
        <v>1</v>
      </c>
      <c r="AA961">
        <v>5.0999999999999996</v>
      </c>
      <c r="AB961" s="2" t="str">
        <f>CHOOSE(MATCH(AA961,{0;11;80;111;161;191;241;281;341},1),"North","NorthEast","East","SouthEast","South","SouthWest","West","NorthWest","North")</f>
        <v>North</v>
      </c>
      <c r="AC961" s="5">
        <f>CHOOSE(MATCH(AB961,{"South";"SouthEast";"SouthWest";"North";"NorthEast";"East";"West";"NorthWest"},0),1,2,3,4,5,6,7,8)</f>
        <v>4</v>
      </c>
      <c r="AD961" s="2">
        <f t="shared" si="173"/>
        <v>1</v>
      </c>
      <c r="AE961">
        <v>1012.7</v>
      </c>
      <c r="AF961" s="4" t="s">
        <v>1596</v>
      </c>
      <c r="AG961" s="2">
        <f t="shared" si="174"/>
        <v>1</v>
      </c>
      <c r="AH961" t="s">
        <v>1597</v>
      </c>
      <c r="AI961" s="2">
        <f t="shared" si="175"/>
        <v>6</v>
      </c>
      <c r="AJ961" s="2">
        <f t="shared" si="176"/>
        <v>1</v>
      </c>
      <c r="AK961" s="3">
        <v>78.000000002793968</v>
      </c>
      <c r="AM961" s="2">
        <v>0</v>
      </c>
      <c r="AN961">
        <v>0</v>
      </c>
      <c r="AO961">
        <v>0.3</v>
      </c>
      <c r="AP961">
        <v>0</v>
      </c>
      <c r="AQ961" s="2">
        <f>IF((2*G961 + M961 -P961 + 3*W961 + 2*Z961+2*AD961 + AG961+2*AJ961 + 4*AM961) &gt;=8,1,0)</f>
        <v>1</v>
      </c>
    </row>
    <row r="962" spans="1:43" x14ac:dyDescent="0.25">
      <c r="A962" t="s">
        <v>27</v>
      </c>
      <c r="B962" s="1">
        <v>40339</v>
      </c>
      <c r="C962" s="7">
        <f t="shared" si="168"/>
        <v>2010</v>
      </c>
      <c r="D962">
        <v>87.2</v>
      </c>
      <c r="E962">
        <v>65.8</v>
      </c>
      <c r="F962">
        <v>77</v>
      </c>
      <c r="G962" s="2">
        <f t="shared" ref="G962:G1024" si="177">IF(F962&lt;=73.6,0,1)</f>
        <v>1</v>
      </c>
      <c r="H962">
        <v>85.5</v>
      </c>
      <c r="I962">
        <v>65.8</v>
      </c>
      <c r="J962">
        <v>76.5</v>
      </c>
      <c r="K962">
        <v>54.6</v>
      </c>
      <c r="L962">
        <v>48</v>
      </c>
      <c r="M962" s="2">
        <f t="shared" si="169"/>
        <v>1</v>
      </c>
      <c r="N962">
        <v>0</v>
      </c>
      <c r="P962" s="2">
        <f t="shared" si="170"/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35.6</v>
      </c>
      <c r="W962" s="2">
        <f t="shared" si="171"/>
        <v>1</v>
      </c>
      <c r="X962">
        <v>19.100000000000001</v>
      </c>
      <c r="Z962" s="2">
        <f t="shared" si="172"/>
        <v>1</v>
      </c>
      <c r="AA962">
        <v>5.0999999999999996</v>
      </c>
      <c r="AB962" s="2" t="str">
        <f>CHOOSE(MATCH(AA962,{0;11;80;111;161;191;241;281;341},1),"North","NorthEast","East","SouthEast","South","SouthWest","West","NorthWest","North")</f>
        <v>North</v>
      </c>
      <c r="AC962" s="5">
        <f>CHOOSE(MATCH(AB962,{"South";"SouthEast";"SouthWest";"North";"NorthEast";"East";"West";"NorthWest"},0),1,2,3,4,5,6,7,8)</f>
        <v>4</v>
      </c>
      <c r="AD962" s="2">
        <f t="shared" si="173"/>
        <v>1</v>
      </c>
      <c r="AE962">
        <v>1012.7</v>
      </c>
      <c r="AF962" s="4" t="s">
        <v>197</v>
      </c>
      <c r="AG962" s="2">
        <f t="shared" si="174"/>
        <v>1</v>
      </c>
      <c r="AH962" t="s">
        <v>1598</v>
      </c>
      <c r="AI962" s="2">
        <f t="shared" si="175"/>
        <v>6</v>
      </c>
      <c r="AJ962" s="2">
        <f t="shared" si="176"/>
        <v>1</v>
      </c>
      <c r="AK962" s="3">
        <v>1374.9999999976719</v>
      </c>
      <c r="AM962" s="2">
        <v>1</v>
      </c>
      <c r="AN962">
        <v>0</v>
      </c>
      <c r="AO962">
        <v>100</v>
      </c>
      <c r="AP962">
        <v>0</v>
      </c>
      <c r="AQ962" s="2">
        <f>IF((2*G962 + M962 -P962 + 3*W962 + 2*Z962+2*AD962 + AG962+2*AJ962 + 4*AM962) &gt;=8,1,0)</f>
        <v>1</v>
      </c>
    </row>
    <row r="963" spans="1:43" x14ac:dyDescent="0.25">
      <c r="A963" t="s">
        <v>27</v>
      </c>
      <c r="B963" s="1">
        <v>40339</v>
      </c>
      <c r="C963" s="7">
        <f t="shared" si="168"/>
        <v>2010</v>
      </c>
      <c r="D963">
        <v>87.2</v>
      </c>
      <c r="E963">
        <v>65.8</v>
      </c>
      <c r="F963">
        <v>77</v>
      </c>
      <c r="G963" s="2">
        <f t="shared" si="177"/>
        <v>1</v>
      </c>
      <c r="H963">
        <v>85.5</v>
      </c>
      <c r="I963">
        <v>65.8</v>
      </c>
      <c r="J963">
        <v>76.5</v>
      </c>
      <c r="K963">
        <v>54.6</v>
      </c>
      <c r="L963">
        <v>48</v>
      </c>
      <c r="M963" s="2">
        <f t="shared" si="169"/>
        <v>1</v>
      </c>
      <c r="N963">
        <v>0</v>
      </c>
      <c r="P963" s="2">
        <f t="shared" si="170"/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35.6</v>
      </c>
      <c r="W963" s="2">
        <f t="shared" si="171"/>
        <v>1</v>
      </c>
      <c r="X963">
        <v>19.100000000000001</v>
      </c>
      <c r="Z963" s="2">
        <f t="shared" si="172"/>
        <v>1</v>
      </c>
      <c r="AA963">
        <v>5.0999999999999996</v>
      </c>
      <c r="AB963" s="2" t="str">
        <f>CHOOSE(MATCH(AA963,{0;11;80;111;161;191;241;281;341},1),"North","NorthEast","East","SouthEast","South","SouthWest","West","NorthWest","North")</f>
        <v>North</v>
      </c>
      <c r="AC963" s="5">
        <f>CHOOSE(MATCH(AB963,{"South";"SouthEast";"SouthWest";"North";"NorthEast";"East";"West";"NorthWest"},0),1,2,3,4,5,6,7,8)</f>
        <v>4</v>
      </c>
      <c r="AD963" s="2">
        <f t="shared" si="173"/>
        <v>1</v>
      </c>
      <c r="AE963">
        <v>1012.7</v>
      </c>
      <c r="AF963" s="4" t="s">
        <v>74</v>
      </c>
      <c r="AG963" s="2">
        <f t="shared" si="174"/>
        <v>1</v>
      </c>
      <c r="AH963" t="s">
        <v>1599</v>
      </c>
      <c r="AI963" s="2">
        <f t="shared" si="175"/>
        <v>6</v>
      </c>
      <c r="AJ963" s="2">
        <f t="shared" si="176"/>
        <v>1</v>
      </c>
      <c r="AK963" s="3">
        <v>3983.0000000016298</v>
      </c>
      <c r="AM963" s="2">
        <v>1</v>
      </c>
      <c r="AN963">
        <v>0</v>
      </c>
      <c r="AO963">
        <v>150</v>
      </c>
      <c r="AP963">
        <v>0</v>
      </c>
      <c r="AQ963" s="2">
        <f>IF((2*G963 + M963 -P963 + 3*W963 + 2*Z963+2*AD963 + AG963+2*AJ963 + 4*AM963) &gt;=8,1,0)</f>
        <v>1</v>
      </c>
    </row>
    <row r="964" spans="1:43" x14ac:dyDescent="0.25">
      <c r="A964" t="s">
        <v>27</v>
      </c>
      <c r="B964" s="1">
        <v>40341</v>
      </c>
      <c r="C964" s="7">
        <f t="shared" si="168"/>
        <v>2010</v>
      </c>
      <c r="D964">
        <v>93.1</v>
      </c>
      <c r="E964">
        <v>73.400000000000006</v>
      </c>
      <c r="F964">
        <v>83.3</v>
      </c>
      <c r="G964" s="2">
        <f t="shared" si="177"/>
        <v>1</v>
      </c>
      <c r="H964">
        <v>89.8</v>
      </c>
      <c r="I964">
        <v>73.400000000000006</v>
      </c>
      <c r="J964">
        <v>81.8</v>
      </c>
      <c r="K964">
        <v>51</v>
      </c>
      <c r="L964">
        <v>34.1</v>
      </c>
      <c r="M964" s="2">
        <f t="shared" si="169"/>
        <v>1</v>
      </c>
      <c r="N964">
        <v>0</v>
      </c>
      <c r="P964" s="2">
        <f t="shared" si="170"/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s="2">
        <f t="shared" si="171"/>
        <v>0</v>
      </c>
      <c r="X964">
        <v>13.3</v>
      </c>
      <c r="Z964" s="2">
        <f t="shared" si="172"/>
        <v>0</v>
      </c>
      <c r="AA964">
        <v>358.6</v>
      </c>
      <c r="AB964" s="2" t="str">
        <f>CHOOSE(MATCH(AA964,{0;11;80;111;161;191;241;281;341},1),"North","NorthEast","East","SouthEast","South","SouthWest","West","NorthWest","North")</f>
        <v>North</v>
      </c>
      <c r="AC964" s="5">
        <f>CHOOSE(MATCH(AB964,{"South";"SouthEast";"SouthWest";"North";"NorthEast";"East";"West";"NorthWest"},0),1,2,3,4,5,6,7,8)</f>
        <v>4</v>
      </c>
      <c r="AD964" s="2">
        <f t="shared" si="173"/>
        <v>1</v>
      </c>
      <c r="AE964">
        <v>1011.5</v>
      </c>
      <c r="AF964" s="4" t="s">
        <v>818</v>
      </c>
      <c r="AG964" s="2">
        <f t="shared" si="174"/>
        <v>1</v>
      </c>
      <c r="AH964" t="s">
        <v>1600</v>
      </c>
      <c r="AI964" s="2">
        <f t="shared" si="175"/>
        <v>6</v>
      </c>
      <c r="AJ964" s="2">
        <f t="shared" si="176"/>
        <v>1</v>
      </c>
      <c r="AK964" s="3">
        <v>191.00000000442381</v>
      </c>
      <c r="AM964" s="2">
        <v>0</v>
      </c>
      <c r="AN964">
        <v>0</v>
      </c>
      <c r="AO964">
        <v>5</v>
      </c>
      <c r="AP964">
        <v>0</v>
      </c>
      <c r="AQ964" s="2">
        <f>IF((2*G964 + M964 -P964 + 3*W964 + 2*Z964+2*AD964 + AG964+2*AJ964 + 4*AM964) &gt;=8,1,0)</f>
        <v>0</v>
      </c>
    </row>
    <row r="965" spans="1:43" x14ac:dyDescent="0.25">
      <c r="A965" t="s">
        <v>27</v>
      </c>
      <c r="B965" s="1">
        <v>40342</v>
      </c>
      <c r="C965" s="7">
        <f t="shared" si="168"/>
        <v>2010</v>
      </c>
      <c r="D965">
        <v>93.2</v>
      </c>
      <c r="E965">
        <v>68.3</v>
      </c>
      <c r="F965">
        <v>81.099999999999994</v>
      </c>
      <c r="G965" s="2">
        <f t="shared" si="177"/>
        <v>1</v>
      </c>
      <c r="H965">
        <v>91.6</v>
      </c>
      <c r="I965">
        <v>68.3</v>
      </c>
      <c r="J965">
        <v>80.099999999999994</v>
      </c>
      <c r="K965">
        <v>53</v>
      </c>
      <c r="L965">
        <v>39.4</v>
      </c>
      <c r="M965" s="2">
        <f t="shared" si="169"/>
        <v>1</v>
      </c>
      <c r="N965">
        <v>0</v>
      </c>
      <c r="P965" s="2">
        <f t="shared" si="170"/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s="2">
        <f t="shared" si="171"/>
        <v>0</v>
      </c>
      <c r="X965">
        <v>11.1</v>
      </c>
      <c r="Z965" s="2">
        <f t="shared" si="172"/>
        <v>0</v>
      </c>
      <c r="AA965">
        <v>193.1</v>
      </c>
      <c r="AB965" s="2" t="str">
        <f>CHOOSE(MATCH(AA965,{0;11;80;111;161;191;241;281;341},1),"North","NorthEast","East","SouthEast","South","SouthWest","West","NorthWest","North")</f>
        <v>SouthWest</v>
      </c>
      <c r="AC965" s="5">
        <f>CHOOSE(MATCH(AB965,{"South";"SouthEast";"SouthWest";"North";"NorthEast";"East";"West";"NorthWest"},0),1,2,3,4,5,6,7,8)</f>
        <v>3</v>
      </c>
      <c r="AD965" s="2">
        <f t="shared" si="173"/>
        <v>1</v>
      </c>
      <c r="AE965">
        <v>1010.5</v>
      </c>
      <c r="AF965" s="4" t="s">
        <v>306</v>
      </c>
      <c r="AG965" s="2">
        <f t="shared" si="174"/>
        <v>0</v>
      </c>
      <c r="AH965" t="s">
        <v>1601</v>
      </c>
      <c r="AI965" s="2">
        <f t="shared" si="175"/>
        <v>6</v>
      </c>
      <c r="AJ965" s="2">
        <f t="shared" si="176"/>
        <v>1</v>
      </c>
      <c r="AK965" s="3">
        <v>198.0000000062864</v>
      </c>
      <c r="AM965" s="2">
        <v>0</v>
      </c>
      <c r="AN965">
        <v>0</v>
      </c>
      <c r="AO965">
        <v>0.3</v>
      </c>
      <c r="AP965">
        <v>0</v>
      </c>
      <c r="AQ965" s="2">
        <f>IF((2*G965 + M965 -P965 + 3*W965 + 2*Z965+2*AD965 + AG965+2*AJ965 + 4*AM965) &gt;=8,1,0)</f>
        <v>0</v>
      </c>
    </row>
    <row r="966" spans="1:43" x14ac:dyDescent="0.25">
      <c r="A966" t="s">
        <v>27</v>
      </c>
      <c r="B966" s="1">
        <v>40343</v>
      </c>
      <c r="C966" s="7">
        <f t="shared" si="168"/>
        <v>2010</v>
      </c>
      <c r="D966">
        <v>94.1</v>
      </c>
      <c r="E966">
        <v>72.8</v>
      </c>
      <c r="F966">
        <v>83.6</v>
      </c>
      <c r="G966" s="2">
        <f t="shared" si="177"/>
        <v>1</v>
      </c>
      <c r="H966">
        <v>92.6</v>
      </c>
      <c r="I966">
        <v>72.8</v>
      </c>
      <c r="J966">
        <v>82.8</v>
      </c>
      <c r="K966">
        <v>56</v>
      </c>
      <c r="L966">
        <v>40.299999999999997</v>
      </c>
      <c r="M966" s="2">
        <f t="shared" si="169"/>
        <v>1</v>
      </c>
      <c r="N966">
        <v>0</v>
      </c>
      <c r="P966" s="2">
        <f t="shared" si="170"/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s="2">
        <f t="shared" si="171"/>
        <v>0</v>
      </c>
      <c r="X966">
        <v>10.8</v>
      </c>
      <c r="Z966" s="2">
        <f t="shared" si="172"/>
        <v>0</v>
      </c>
      <c r="AA966">
        <v>140.69999999999999</v>
      </c>
      <c r="AB966" s="2" t="str">
        <f>CHOOSE(MATCH(AA966,{0;11;80;111;161;191;241;281;341},1),"North","NorthEast","East","SouthEast","South","SouthWest","West","NorthWest","North")</f>
        <v>SouthEast</v>
      </c>
      <c r="AC966" s="5">
        <f>CHOOSE(MATCH(AB966,{"South";"SouthEast";"SouthWest";"North";"NorthEast";"East";"West";"NorthWest"},0),1,2,3,4,5,6,7,8)</f>
        <v>2</v>
      </c>
      <c r="AD966" s="2">
        <f t="shared" si="173"/>
        <v>0</v>
      </c>
      <c r="AE966">
        <v>1011</v>
      </c>
      <c r="AF966" s="4" t="s">
        <v>1602</v>
      </c>
      <c r="AG966" s="2">
        <f t="shared" si="174"/>
        <v>1</v>
      </c>
      <c r="AH966" t="s">
        <v>1603</v>
      </c>
      <c r="AI966" s="2">
        <f t="shared" si="175"/>
        <v>6</v>
      </c>
      <c r="AJ966" s="2">
        <f t="shared" si="176"/>
        <v>1</v>
      </c>
      <c r="AK966" s="3">
        <v>1011.99999999837</v>
      </c>
      <c r="AM966" s="2">
        <v>1</v>
      </c>
      <c r="AN966">
        <v>1</v>
      </c>
      <c r="AO966">
        <v>0</v>
      </c>
      <c r="AP966">
        <v>0</v>
      </c>
      <c r="AQ966" s="2">
        <f>IF((2*G966 + M966 -P966 + 3*W966 + 2*Z966+2*AD966 + AG966+2*AJ966 + 4*AM966) &gt;=8,1,0)</f>
        <v>1</v>
      </c>
    </row>
    <row r="967" spans="1:43" x14ac:dyDescent="0.25">
      <c r="A967" t="s">
        <v>27</v>
      </c>
      <c r="B967" s="1">
        <v>40345</v>
      </c>
      <c r="C967" s="7">
        <f t="shared" si="168"/>
        <v>2010</v>
      </c>
      <c r="D967">
        <v>98.9</v>
      </c>
      <c r="E967">
        <v>76.3</v>
      </c>
      <c r="F967">
        <v>86.9</v>
      </c>
      <c r="G967" s="2">
        <f t="shared" si="177"/>
        <v>1</v>
      </c>
      <c r="H967">
        <v>98</v>
      </c>
      <c r="I967">
        <v>76.3</v>
      </c>
      <c r="J967">
        <v>86.6</v>
      </c>
      <c r="K967">
        <v>58.7</v>
      </c>
      <c r="L967">
        <v>40.4</v>
      </c>
      <c r="M967" s="2">
        <f t="shared" si="169"/>
        <v>1</v>
      </c>
      <c r="N967">
        <v>0</v>
      </c>
      <c r="P967" s="2">
        <f t="shared" si="170"/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s="2">
        <f t="shared" si="171"/>
        <v>0</v>
      </c>
      <c r="X967">
        <v>10.6</v>
      </c>
      <c r="Z967" s="2">
        <f t="shared" si="172"/>
        <v>0</v>
      </c>
      <c r="AA967">
        <v>147.5</v>
      </c>
      <c r="AB967" s="2" t="str">
        <f>CHOOSE(MATCH(AA967,{0;11;80;111;161;191;241;281;341},1),"North","NorthEast","East","SouthEast","South","SouthWest","West","NorthWest","North")</f>
        <v>SouthEast</v>
      </c>
      <c r="AC967" s="5">
        <f>CHOOSE(MATCH(AB967,{"South";"SouthEast";"SouthWest";"North";"NorthEast";"East";"West";"NorthWest"},0),1,2,3,4,5,6,7,8)</f>
        <v>2</v>
      </c>
      <c r="AD967" s="2">
        <f t="shared" si="173"/>
        <v>0</v>
      </c>
      <c r="AE967">
        <v>1012.3</v>
      </c>
      <c r="AF967" s="4" t="s">
        <v>119</v>
      </c>
      <c r="AG967" s="2">
        <f t="shared" si="174"/>
        <v>0</v>
      </c>
      <c r="AH967" t="s">
        <v>1604</v>
      </c>
      <c r="AI967" s="2">
        <f t="shared" si="175"/>
        <v>6</v>
      </c>
      <c r="AJ967" s="2">
        <f t="shared" si="176"/>
        <v>1</v>
      </c>
      <c r="AK967" s="3">
        <v>120.0000000034925</v>
      </c>
      <c r="AM967" s="2">
        <v>0</v>
      </c>
      <c r="AN967">
        <v>0</v>
      </c>
      <c r="AO967">
        <v>0.5</v>
      </c>
      <c r="AP967">
        <v>0</v>
      </c>
      <c r="AQ967" s="2">
        <f>IF((2*G967 + M967 -P967 + 3*W967 + 2*Z967+2*AD967 + AG967+2*AJ967 + 4*AM967) &gt;=8,1,0)</f>
        <v>0</v>
      </c>
    </row>
    <row r="968" spans="1:43" x14ac:dyDescent="0.25">
      <c r="A968" t="s">
        <v>27</v>
      </c>
      <c r="B968" s="1">
        <v>40352</v>
      </c>
      <c r="C968" s="7">
        <f t="shared" si="168"/>
        <v>2010</v>
      </c>
      <c r="D968">
        <v>80.599999999999994</v>
      </c>
      <c r="E968">
        <v>68.599999999999994</v>
      </c>
      <c r="F968">
        <v>73.900000000000006</v>
      </c>
      <c r="G968" s="2">
        <f t="shared" si="177"/>
        <v>1</v>
      </c>
      <c r="H968">
        <v>80.5</v>
      </c>
      <c r="I968">
        <v>68.599999999999994</v>
      </c>
      <c r="J968">
        <v>73.900000000000006</v>
      </c>
      <c r="K968">
        <v>53.5</v>
      </c>
      <c r="L968">
        <v>49.2</v>
      </c>
      <c r="M968" s="2">
        <f t="shared" si="169"/>
        <v>1</v>
      </c>
      <c r="N968">
        <v>0</v>
      </c>
      <c r="P968" s="2">
        <f t="shared" si="170"/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32.200000000000003</v>
      </c>
      <c r="W968" s="2">
        <f t="shared" si="171"/>
        <v>1</v>
      </c>
      <c r="X968">
        <v>11.9</v>
      </c>
      <c r="Z968" s="2">
        <f t="shared" si="172"/>
        <v>0</v>
      </c>
      <c r="AA968">
        <v>331.2</v>
      </c>
      <c r="AB968" s="2" t="str">
        <f>CHOOSE(MATCH(AA968,{0;11;80;111;161;191;241;281;341},1),"North","NorthEast","East","SouthEast","South","SouthWest","West","NorthWest","North")</f>
        <v>NorthWest</v>
      </c>
      <c r="AC968" s="5">
        <f>CHOOSE(MATCH(AB968,{"South";"SouthEast";"SouthWest";"North";"NorthEast";"East";"West";"NorthWest"},0),1,2,3,4,5,6,7,8)</f>
        <v>8</v>
      </c>
      <c r="AD968" s="2">
        <f t="shared" si="173"/>
        <v>1</v>
      </c>
      <c r="AE968">
        <v>1004.8</v>
      </c>
      <c r="AF968" s="4" t="s">
        <v>1588</v>
      </c>
      <c r="AG968" s="2">
        <f t="shared" si="174"/>
        <v>1</v>
      </c>
      <c r="AH968" t="s">
        <v>1605</v>
      </c>
      <c r="AI968" s="2">
        <f t="shared" si="175"/>
        <v>6</v>
      </c>
      <c r="AJ968" s="2">
        <f t="shared" si="176"/>
        <v>1</v>
      </c>
      <c r="AK968" s="3">
        <v>351.99999999487773</v>
      </c>
      <c r="AM968" s="2">
        <v>0</v>
      </c>
      <c r="AN968">
        <v>0</v>
      </c>
      <c r="AO968">
        <v>5</v>
      </c>
      <c r="AP968">
        <v>0</v>
      </c>
      <c r="AQ968" s="2">
        <f>IF((2*G968 + M968 -P968 + 3*W968 + 2*Z968+2*AD968 + AG968+2*AJ968 + 4*AM968) &gt;=8,1,0)</f>
        <v>1</v>
      </c>
    </row>
    <row r="969" spans="1:43" x14ac:dyDescent="0.25">
      <c r="A969" t="s">
        <v>27</v>
      </c>
      <c r="B969" s="1">
        <v>40352</v>
      </c>
      <c r="C969" s="7">
        <f t="shared" si="168"/>
        <v>2010</v>
      </c>
      <c r="D969">
        <v>80.599999999999994</v>
      </c>
      <c r="E969">
        <v>68.599999999999994</v>
      </c>
      <c r="F969">
        <v>73.900000000000006</v>
      </c>
      <c r="G969" s="2">
        <f t="shared" si="177"/>
        <v>1</v>
      </c>
      <c r="H969">
        <v>80.5</v>
      </c>
      <c r="I969">
        <v>68.599999999999994</v>
      </c>
      <c r="J969">
        <v>73.900000000000006</v>
      </c>
      <c r="K969">
        <v>53.5</v>
      </c>
      <c r="L969">
        <v>49.2</v>
      </c>
      <c r="M969" s="2">
        <f t="shared" si="169"/>
        <v>1</v>
      </c>
      <c r="N969">
        <v>0</v>
      </c>
      <c r="P969" s="2">
        <f t="shared" si="170"/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32.200000000000003</v>
      </c>
      <c r="W969" s="2">
        <f t="shared" si="171"/>
        <v>1</v>
      </c>
      <c r="X969">
        <v>11.9</v>
      </c>
      <c r="Z969" s="2">
        <f t="shared" si="172"/>
        <v>0</v>
      </c>
      <c r="AA969">
        <v>331.2</v>
      </c>
      <c r="AB969" s="2" t="str">
        <f>CHOOSE(MATCH(AA969,{0;11;80;111;161;191;241;281;341},1),"North","NorthEast","East","SouthEast","South","SouthWest","West","NorthWest","North")</f>
        <v>NorthWest</v>
      </c>
      <c r="AC969" s="5">
        <f>CHOOSE(MATCH(AB969,{"South";"SouthEast";"SouthWest";"North";"NorthEast";"East";"West";"NorthWest"},0),1,2,3,4,5,6,7,8)</f>
        <v>8</v>
      </c>
      <c r="AD969" s="2">
        <f t="shared" si="173"/>
        <v>1</v>
      </c>
      <c r="AE969">
        <v>1004.8</v>
      </c>
      <c r="AF969" s="4" t="s">
        <v>692</v>
      </c>
      <c r="AG969" s="2">
        <f t="shared" si="174"/>
        <v>0</v>
      </c>
      <c r="AH969" t="s">
        <v>1606</v>
      </c>
      <c r="AI969" s="2">
        <f t="shared" si="175"/>
        <v>6</v>
      </c>
      <c r="AJ969" s="2">
        <f t="shared" si="176"/>
        <v>1</v>
      </c>
      <c r="AK969" s="3">
        <v>4060.0000000011642</v>
      </c>
      <c r="AM969" s="2">
        <v>1</v>
      </c>
      <c r="AN969">
        <v>0</v>
      </c>
      <c r="AO969">
        <v>300</v>
      </c>
      <c r="AP969">
        <v>0</v>
      </c>
      <c r="AQ969" s="2">
        <f>IF((2*G969 + M969 -P969 + 3*W969 + 2*Z969+2*AD969 + AG969+2*AJ969 + 4*AM969) &gt;=8,1,0)</f>
        <v>1</v>
      </c>
    </row>
    <row r="970" spans="1:43" x14ac:dyDescent="0.25">
      <c r="A970" t="s">
        <v>27</v>
      </c>
      <c r="B970" s="1">
        <v>40355</v>
      </c>
      <c r="C970" s="7">
        <f t="shared" si="168"/>
        <v>2010</v>
      </c>
      <c r="D970">
        <v>83.4</v>
      </c>
      <c r="E970">
        <v>66.400000000000006</v>
      </c>
      <c r="F970">
        <v>75.099999999999994</v>
      </c>
      <c r="G970" s="2">
        <f t="shared" si="177"/>
        <v>1</v>
      </c>
      <c r="H970">
        <v>82.6</v>
      </c>
      <c r="I970">
        <v>66.400000000000006</v>
      </c>
      <c r="J970">
        <v>75</v>
      </c>
      <c r="K970">
        <v>58.3</v>
      </c>
      <c r="L970">
        <v>57.8</v>
      </c>
      <c r="M970" s="2">
        <f t="shared" si="169"/>
        <v>0</v>
      </c>
      <c r="N970">
        <v>0</v>
      </c>
      <c r="P970" s="2">
        <f t="shared" si="170"/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s="2">
        <f t="shared" si="171"/>
        <v>0</v>
      </c>
      <c r="X970">
        <v>14.2</v>
      </c>
      <c r="Z970" s="2">
        <f t="shared" si="172"/>
        <v>0</v>
      </c>
      <c r="AA970">
        <v>191.1</v>
      </c>
      <c r="AB970" s="2" t="str">
        <f>CHOOSE(MATCH(AA970,{0;11;80;111;161;191;241;281;341},1),"North","NorthEast","East","SouthEast","South","SouthWest","West","NorthWest","North")</f>
        <v>SouthWest</v>
      </c>
      <c r="AC970" s="5">
        <f>CHOOSE(MATCH(AB970,{"South";"SouthEast";"SouthWest";"North";"NorthEast";"East";"West";"NorthWest"},0),1,2,3,4,5,6,7,8)</f>
        <v>3</v>
      </c>
      <c r="AD970" s="2">
        <f t="shared" si="173"/>
        <v>1</v>
      </c>
      <c r="AE970">
        <v>1009</v>
      </c>
      <c r="AF970" s="4" t="s">
        <v>1429</v>
      </c>
      <c r="AG970" s="2">
        <f t="shared" si="174"/>
        <v>1</v>
      </c>
      <c r="AH970" t="s">
        <v>1607</v>
      </c>
      <c r="AI970" s="2">
        <f t="shared" si="175"/>
        <v>6</v>
      </c>
      <c r="AJ970" s="2">
        <f t="shared" si="176"/>
        <v>1</v>
      </c>
      <c r="AK970" s="3">
        <v>36.999999994877733</v>
      </c>
      <c r="AM970" s="2">
        <v>0</v>
      </c>
      <c r="AN970">
        <v>1</v>
      </c>
      <c r="AO970">
        <v>0</v>
      </c>
      <c r="AP970">
        <v>0</v>
      </c>
      <c r="AQ970" s="2">
        <f>IF((2*G970 + M970 -P970 + 3*W970 + 2*Z970+2*AD970 + AG970+2*AJ970 + 4*AM970) &gt;=8,1,0)</f>
        <v>0</v>
      </c>
    </row>
    <row r="971" spans="1:43" x14ac:dyDescent="0.25">
      <c r="A971" t="s">
        <v>27</v>
      </c>
      <c r="B971" s="1">
        <v>40356</v>
      </c>
      <c r="C971" s="7">
        <f t="shared" si="168"/>
        <v>2010</v>
      </c>
      <c r="D971">
        <v>80.900000000000006</v>
      </c>
      <c r="E971">
        <v>66.5</v>
      </c>
      <c r="F971">
        <v>73.900000000000006</v>
      </c>
      <c r="G971" s="2">
        <f t="shared" si="177"/>
        <v>1</v>
      </c>
      <c r="H971">
        <v>81.7</v>
      </c>
      <c r="I971">
        <v>66.5</v>
      </c>
      <c r="J971">
        <v>74</v>
      </c>
      <c r="K971">
        <v>61.1</v>
      </c>
      <c r="L971">
        <v>65.099999999999994</v>
      </c>
      <c r="M971" s="2">
        <f t="shared" si="169"/>
        <v>0</v>
      </c>
      <c r="N971">
        <v>0</v>
      </c>
      <c r="P971" s="2">
        <f t="shared" si="170"/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s="2">
        <f t="shared" si="171"/>
        <v>0</v>
      </c>
      <c r="X971">
        <v>8.9</v>
      </c>
      <c r="Z971" s="2">
        <f t="shared" si="172"/>
        <v>0</v>
      </c>
      <c r="AA971">
        <v>41.7</v>
      </c>
      <c r="AB971" s="2" t="str">
        <f>CHOOSE(MATCH(AA971,{0;11;80;111;161;191;241;281;341},1),"North","NorthEast","East","SouthEast","South","SouthWest","West","NorthWest","North")</f>
        <v>NorthEast</v>
      </c>
      <c r="AC971" s="5">
        <f>CHOOSE(MATCH(AB971,{"South";"SouthEast";"SouthWest";"North";"NorthEast";"East";"West";"NorthWest"},0),1,2,3,4,5,6,7,8)</f>
        <v>5</v>
      </c>
      <c r="AD971" s="2">
        <f t="shared" si="173"/>
        <v>1</v>
      </c>
      <c r="AE971">
        <v>1010.1</v>
      </c>
      <c r="AF971" s="4" t="s">
        <v>250</v>
      </c>
      <c r="AG971" s="2">
        <f t="shared" si="174"/>
        <v>0</v>
      </c>
      <c r="AH971" t="s">
        <v>1608</v>
      </c>
      <c r="AI971" s="2">
        <f t="shared" si="175"/>
        <v>6</v>
      </c>
      <c r="AJ971" s="2">
        <f t="shared" si="176"/>
        <v>1</v>
      </c>
      <c r="AK971" s="3">
        <v>3450.9999999962752</v>
      </c>
      <c r="AM971" s="2">
        <v>1</v>
      </c>
      <c r="AN971">
        <v>0</v>
      </c>
      <c r="AO971">
        <v>2</v>
      </c>
      <c r="AP971">
        <v>0</v>
      </c>
      <c r="AQ971" s="2">
        <f>IF((2*G971 + M971 -P971 + 3*W971 + 2*Z971+2*AD971 + AG971+2*AJ971 + 4*AM971) &gt;=8,1,0)</f>
        <v>1</v>
      </c>
    </row>
    <row r="972" spans="1:43" x14ac:dyDescent="0.25">
      <c r="A972" t="s">
        <v>27</v>
      </c>
      <c r="B972" s="1">
        <v>40356</v>
      </c>
      <c r="C972" s="7">
        <f t="shared" si="168"/>
        <v>2010</v>
      </c>
      <c r="D972">
        <v>80.900000000000006</v>
      </c>
      <c r="E972">
        <v>66.5</v>
      </c>
      <c r="F972">
        <v>73.900000000000006</v>
      </c>
      <c r="G972" s="2">
        <f t="shared" si="177"/>
        <v>1</v>
      </c>
      <c r="H972">
        <v>81.7</v>
      </c>
      <c r="I972">
        <v>66.5</v>
      </c>
      <c r="J972">
        <v>74</v>
      </c>
      <c r="K972">
        <v>61.1</v>
      </c>
      <c r="L972">
        <v>65.099999999999994</v>
      </c>
      <c r="M972" s="2">
        <f t="shared" si="169"/>
        <v>0</v>
      </c>
      <c r="N972">
        <v>0</v>
      </c>
      <c r="P972" s="2">
        <f t="shared" si="170"/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s="2">
        <f t="shared" si="171"/>
        <v>0</v>
      </c>
      <c r="X972">
        <v>8.9</v>
      </c>
      <c r="Z972" s="2">
        <f t="shared" si="172"/>
        <v>0</v>
      </c>
      <c r="AA972">
        <v>41.7</v>
      </c>
      <c r="AB972" s="2" t="str">
        <f>CHOOSE(MATCH(AA972,{0;11;80;111;161;191;241;281;341},1),"North","NorthEast","East","SouthEast","South","SouthWest","West","NorthWest","North")</f>
        <v>NorthEast</v>
      </c>
      <c r="AC972" s="5">
        <f>CHOOSE(MATCH(AB972,{"South";"SouthEast";"SouthWest";"North";"NorthEast";"East";"West";"NorthWest"},0),1,2,3,4,5,6,7,8)</f>
        <v>5</v>
      </c>
      <c r="AD972" s="2">
        <f t="shared" si="173"/>
        <v>1</v>
      </c>
      <c r="AE972">
        <v>1010.1</v>
      </c>
      <c r="AF972" s="4" t="s">
        <v>1609</v>
      </c>
      <c r="AG972" s="2">
        <f t="shared" si="174"/>
        <v>1</v>
      </c>
      <c r="AH972" t="s">
        <v>1610</v>
      </c>
      <c r="AI972" s="2">
        <f t="shared" si="175"/>
        <v>6</v>
      </c>
      <c r="AJ972" s="2">
        <f t="shared" si="176"/>
        <v>1</v>
      </c>
      <c r="AK972" s="3">
        <v>106.99999999254941</v>
      </c>
      <c r="AM972" s="2">
        <v>0</v>
      </c>
      <c r="AN972">
        <v>0</v>
      </c>
      <c r="AO972">
        <v>0.1</v>
      </c>
      <c r="AP972">
        <v>0</v>
      </c>
      <c r="AQ972" s="2">
        <f>IF((2*G972 + M972 -P972 + 3*W972 + 2*Z972+2*AD972 + AG972+2*AJ972 + 4*AM972) &gt;=8,1,0)</f>
        <v>0</v>
      </c>
    </row>
    <row r="973" spans="1:43" x14ac:dyDescent="0.25">
      <c r="A973" t="s">
        <v>27</v>
      </c>
      <c r="B973" s="1">
        <v>40356</v>
      </c>
      <c r="C973" s="7">
        <f t="shared" si="168"/>
        <v>2010</v>
      </c>
      <c r="D973">
        <v>80.900000000000006</v>
      </c>
      <c r="E973">
        <v>66.5</v>
      </c>
      <c r="F973">
        <v>73.900000000000006</v>
      </c>
      <c r="G973" s="2">
        <f t="shared" si="177"/>
        <v>1</v>
      </c>
      <c r="H973">
        <v>81.7</v>
      </c>
      <c r="I973">
        <v>66.5</v>
      </c>
      <c r="J973">
        <v>74</v>
      </c>
      <c r="K973">
        <v>61.1</v>
      </c>
      <c r="L973">
        <v>65.099999999999994</v>
      </c>
      <c r="M973" s="2">
        <f t="shared" si="169"/>
        <v>0</v>
      </c>
      <c r="N973">
        <v>0</v>
      </c>
      <c r="P973" s="2">
        <f t="shared" si="170"/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s="2">
        <f t="shared" si="171"/>
        <v>0</v>
      </c>
      <c r="X973">
        <v>8.9</v>
      </c>
      <c r="Z973" s="2">
        <f t="shared" si="172"/>
        <v>0</v>
      </c>
      <c r="AA973">
        <v>41.7</v>
      </c>
      <c r="AB973" s="2" t="str">
        <f>CHOOSE(MATCH(AA973,{0;11;80;111;161;191;241;281;341},1),"North","NorthEast","East","SouthEast","South","SouthWest","West","NorthWest","North")</f>
        <v>NorthEast</v>
      </c>
      <c r="AC973" s="5">
        <f>CHOOSE(MATCH(AB973,{"South";"SouthEast";"SouthWest";"North";"NorthEast";"East";"West";"NorthWest"},0),1,2,3,4,5,6,7,8)</f>
        <v>5</v>
      </c>
      <c r="AD973" s="2">
        <f t="shared" si="173"/>
        <v>1</v>
      </c>
      <c r="AE973">
        <v>1010.1</v>
      </c>
      <c r="AF973" s="4" t="s">
        <v>1440</v>
      </c>
      <c r="AG973" s="2">
        <f t="shared" si="174"/>
        <v>1</v>
      </c>
      <c r="AH973" t="s">
        <v>1611</v>
      </c>
      <c r="AI973" s="2">
        <f t="shared" si="175"/>
        <v>6</v>
      </c>
      <c r="AJ973" s="2">
        <f t="shared" si="176"/>
        <v>1</v>
      </c>
      <c r="AK973" s="3">
        <v>3386.999999997206</v>
      </c>
      <c r="AM973" s="2">
        <v>1</v>
      </c>
      <c r="AN973">
        <v>0</v>
      </c>
      <c r="AO973">
        <v>15</v>
      </c>
      <c r="AP973">
        <v>0</v>
      </c>
      <c r="AQ973" s="2">
        <f>IF((2*G973 + M973 -P973 + 3*W973 + 2*Z973+2*AD973 + AG973+2*AJ973 + 4*AM973) &gt;=8,1,0)</f>
        <v>1</v>
      </c>
    </row>
    <row r="974" spans="1:43" x14ac:dyDescent="0.25">
      <c r="A974" t="s">
        <v>27</v>
      </c>
      <c r="B974" s="1">
        <v>40356</v>
      </c>
      <c r="C974" s="7">
        <f t="shared" si="168"/>
        <v>2010</v>
      </c>
      <c r="D974">
        <v>80.900000000000006</v>
      </c>
      <c r="E974">
        <v>66.5</v>
      </c>
      <c r="F974">
        <v>73.900000000000006</v>
      </c>
      <c r="G974" s="2">
        <f t="shared" si="177"/>
        <v>1</v>
      </c>
      <c r="H974">
        <v>81.7</v>
      </c>
      <c r="I974">
        <v>66.5</v>
      </c>
      <c r="J974">
        <v>74</v>
      </c>
      <c r="K974">
        <v>61.1</v>
      </c>
      <c r="L974">
        <v>65.099999999999994</v>
      </c>
      <c r="M974" s="2">
        <f t="shared" si="169"/>
        <v>0</v>
      </c>
      <c r="N974">
        <v>0</v>
      </c>
      <c r="P974" s="2">
        <f t="shared" si="170"/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s="2">
        <f t="shared" si="171"/>
        <v>0</v>
      </c>
      <c r="X974">
        <v>8.9</v>
      </c>
      <c r="Z974" s="2">
        <f t="shared" si="172"/>
        <v>0</v>
      </c>
      <c r="AA974">
        <v>41.7</v>
      </c>
      <c r="AB974" s="2" t="str">
        <f>CHOOSE(MATCH(AA974,{0;11;80;111;161;191;241;281;341},1),"North","NorthEast","East","SouthEast","South","SouthWest","West","NorthWest","North")</f>
        <v>NorthEast</v>
      </c>
      <c r="AC974" s="5">
        <f>CHOOSE(MATCH(AB974,{"South";"SouthEast";"SouthWest";"North";"NorthEast";"East";"West";"NorthWest"},0),1,2,3,4,5,6,7,8)</f>
        <v>5</v>
      </c>
      <c r="AD974" s="2">
        <f t="shared" si="173"/>
        <v>1</v>
      </c>
      <c r="AE974">
        <v>1010.1</v>
      </c>
      <c r="AF974" s="4" t="s">
        <v>345</v>
      </c>
      <c r="AG974" s="2">
        <f t="shared" si="174"/>
        <v>1</v>
      </c>
      <c r="AH974" t="s">
        <v>1612</v>
      </c>
      <c r="AI974" s="2">
        <f t="shared" si="175"/>
        <v>6</v>
      </c>
      <c r="AJ974" s="2">
        <f t="shared" si="176"/>
        <v>1</v>
      </c>
      <c r="AK974" s="3">
        <v>1412.999999995809</v>
      </c>
      <c r="AM974" s="2">
        <v>1</v>
      </c>
      <c r="AN974">
        <v>0</v>
      </c>
      <c r="AO974">
        <v>1</v>
      </c>
      <c r="AP974">
        <v>0</v>
      </c>
      <c r="AQ974" s="2">
        <f>IF((2*G974 + M974 -P974 + 3*W974 + 2*Z974+2*AD974 + AG974+2*AJ974 + 4*AM974) &gt;=8,1,0)</f>
        <v>1</v>
      </c>
    </row>
    <row r="975" spans="1:43" x14ac:dyDescent="0.25">
      <c r="A975" t="s">
        <v>27</v>
      </c>
      <c r="B975" s="1">
        <v>40357</v>
      </c>
      <c r="C975" s="7">
        <f t="shared" si="168"/>
        <v>2010</v>
      </c>
      <c r="D975">
        <v>81.2</v>
      </c>
      <c r="E975">
        <v>65.900000000000006</v>
      </c>
      <c r="F975">
        <v>73.400000000000006</v>
      </c>
      <c r="G975" s="2">
        <f t="shared" si="177"/>
        <v>0</v>
      </c>
      <c r="H975">
        <v>81.599999999999994</v>
      </c>
      <c r="I975">
        <v>65.900000000000006</v>
      </c>
      <c r="J975">
        <v>73.400000000000006</v>
      </c>
      <c r="K975">
        <v>59.2</v>
      </c>
      <c r="L975">
        <v>62.5</v>
      </c>
      <c r="M975" s="2">
        <f t="shared" si="169"/>
        <v>0</v>
      </c>
      <c r="N975">
        <v>1.4999999999999999E-2</v>
      </c>
      <c r="P975" s="2">
        <f t="shared" si="170"/>
        <v>0</v>
      </c>
      <c r="Q975">
        <v>100</v>
      </c>
      <c r="R975">
        <v>4.17</v>
      </c>
      <c r="S975" t="s">
        <v>87</v>
      </c>
      <c r="T975">
        <v>0</v>
      </c>
      <c r="U975">
        <v>0</v>
      </c>
      <c r="V975">
        <v>0</v>
      </c>
      <c r="W975" s="2">
        <f t="shared" si="171"/>
        <v>0</v>
      </c>
      <c r="X975">
        <v>10.4</v>
      </c>
      <c r="Z975" s="2">
        <f t="shared" si="172"/>
        <v>0</v>
      </c>
      <c r="AA975">
        <v>1.8</v>
      </c>
      <c r="AB975" s="2" t="str">
        <f>CHOOSE(MATCH(AA975,{0;11;80;111;161;191;241;281;341},1),"North","NorthEast","East","SouthEast","South","SouthWest","West","NorthWest","North")</f>
        <v>North</v>
      </c>
      <c r="AC975" s="5">
        <f>CHOOSE(MATCH(AB975,{"South";"SouthEast";"SouthWest";"North";"NorthEast";"East";"West";"NorthWest"},0),1,2,3,4,5,6,7,8)</f>
        <v>4</v>
      </c>
      <c r="AD975" s="2">
        <f t="shared" si="173"/>
        <v>1</v>
      </c>
      <c r="AE975">
        <v>1011.3</v>
      </c>
      <c r="AF975" s="4" t="s">
        <v>668</v>
      </c>
      <c r="AG975" s="2">
        <f t="shared" si="174"/>
        <v>1</v>
      </c>
      <c r="AH975" t="s">
        <v>1613</v>
      </c>
      <c r="AI975" s="2">
        <f t="shared" si="175"/>
        <v>6</v>
      </c>
      <c r="AJ975" s="2">
        <f t="shared" si="176"/>
        <v>1</v>
      </c>
      <c r="AK975" s="3">
        <v>352.99999999813741</v>
      </c>
      <c r="AM975" s="2">
        <v>0</v>
      </c>
      <c r="AN975">
        <v>0</v>
      </c>
      <c r="AO975">
        <v>0.5</v>
      </c>
      <c r="AP975">
        <v>0</v>
      </c>
      <c r="AQ975" s="2">
        <f>IF((2*G975 + M975 -P975 + 3*W975 + 2*Z975+2*AD975 + AG975+2*AJ975 + 4*AM975) &gt;=8,1,0)</f>
        <v>0</v>
      </c>
    </row>
    <row r="976" spans="1:43" x14ac:dyDescent="0.25">
      <c r="A976" t="s">
        <v>27</v>
      </c>
      <c r="B976" s="1">
        <v>40358</v>
      </c>
      <c r="C976" s="7">
        <f t="shared" si="168"/>
        <v>2010</v>
      </c>
      <c r="D976">
        <v>83.4</v>
      </c>
      <c r="E976">
        <v>64.900000000000006</v>
      </c>
      <c r="F976">
        <v>75</v>
      </c>
      <c r="G976" s="2">
        <f t="shared" si="177"/>
        <v>1</v>
      </c>
      <c r="H976">
        <v>83.4</v>
      </c>
      <c r="I976">
        <v>64.900000000000006</v>
      </c>
      <c r="J976">
        <v>75.099999999999994</v>
      </c>
      <c r="K976">
        <v>60.1</v>
      </c>
      <c r="L976">
        <v>61.7</v>
      </c>
      <c r="M976" s="2">
        <f t="shared" si="169"/>
        <v>0</v>
      </c>
      <c r="N976">
        <v>0</v>
      </c>
      <c r="P976" s="2">
        <f t="shared" si="170"/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s="2">
        <f t="shared" si="171"/>
        <v>0</v>
      </c>
      <c r="X976">
        <v>11</v>
      </c>
      <c r="Z976" s="2">
        <f t="shared" si="172"/>
        <v>0</v>
      </c>
      <c r="AA976">
        <v>179.7</v>
      </c>
      <c r="AB976" s="2" t="str">
        <f>CHOOSE(MATCH(AA976,{0;11;80;111;161;191;241;281;341},1),"North","NorthEast","East","SouthEast","South","SouthWest","West","NorthWest","North")</f>
        <v>South</v>
      </c>
      <c r="AC976" s="5">
        <f>CHOOSE(MATCH(AB976,{"South";"SouthEast";"SouthWest";"North";"NorthEast";"East";"West";"NorthWest"},0),1,2,3,4,5,6,7,8)</f>
        <v>1</v>
      </c>
      <c r="AD976" s="2">
        <f t="shared" si="173"/>
        <v>0</v>
      </c>
      <c r="AE976">
        <v>1011</v>
      </c>
      <c r="AF976" s="4" t="s">
        <v>543</v>
      </c>
      <c r="AG976" s="2">
        <f t="shared" si="174"/>
        <v>0</v>
      </c>
      <c r="AH976" t="s">
        <v>1614</v>
      </c>
      <c r="AI976" s="2">
        <f t="shared" si="175"/>
        <v>6</v>
      </c>
      <c r="AJ976" s="2">
        <f t="shared" si="176"/>
        <v>1</v>
      </c>
      <c r="AK976" s="3">
        <v>61.999999992549419</v>
      </c>
      <c r="AM976" s="2">
        <v>0</v>
      </c>
      <c r="AN976">
        <v>0</v>
      </c>
      <c r="AO976">
        <v>3</v>
      </c>
      <c r="AP976">
        <v>0</v>
      </c>
      <c r="AQ976" s="2">
        <f>IF((2*G976 + M976 -P976 + 3*W976 + 2*Z976+2*AD976 + AG976+2*AJ976 + 4*AM976) &gt;=8,1,0)</f>
        <v>0</v>
      </c>
    </row>
    <row r="977" spans="1:43" x14ac:dyDescent="0.25">
      <c r="A977" t="s">
        <v>27</v>
      </c>
      <c r="B977" s="1">
        <v>40363</v>
      </c>
      <c r="C977" s="7">
        <f t="shared" si="168"/>
        <v>2010</v>
      </c>
      <c r="D977">
        <v>90.2</v>
      </c>
      <c r="E977">
        <v>71.599999999999994</v>
      </c>
      <c r="F977">
        <v>81</v>
      </c>
      <c r="G977" s="2">
        <f t="shared" si="177"/>
        <v>1</v>
      </c>
      <c r="H977">
        <v>90.1</v>
      </c>
      <c r="I977">
        <v>71.599999999999994</v>
      </c>
      <c r="J977">
        <v>81.2</v>
      </c>
      <c r="K977">
        <v>62.2</v>
      </c>
      <c r="L977">
        <v>54.7</v>
      </c>
      <c r="M977" s="2">
        <f t="shared" si="169"/>
        <v>0</v>
      </c>
      <c r="N977">
        <v>0</v>
      </c>
      <c r="P977" s="2">
        <f t="shared" si="170"/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s="2">
        <f t="shared" si="171"/>
        <v>0</v>
      </c>
      <c r="X977">
        <v>14.7</v>
      </c>
      <c r="Z977" s="2">
        <f t="shared" si="172"/>
        <v>0</v>
      </c>
      <c r="AA977">
        <v>341.3</v>
      </c>
      <c r="AB977" s="2" t="str">
        <f>CHOOSE(MATCH(AA977,{0;11;80;111;161;191;241;281;341},1),"North","NorthEast","East","SouthEast","South","SouthWest","West","NorthWest","North")</f>
        <v>North</v>
      </c>
      <c r="AC977" s="5">
        <f>CHOOSE(MATCH(AB977,{"South";"SouthEast";"SouthWest";"North";"NorthEast";"East";"West";"NorthWest"},0),1,2,3,4,5,6,7,8)</f>
        <v>4</v>
      </c>
      <c r="AD977" s="2">
        <f t="shared" si="173"/>
        <v>1</v>
      </c>
      <c r="AE977">
        <v>1011.7</v>
      </c>
      <c r="AF977" s="4" t="s">
        <v>694</v>
      </c>
      <c r="AG977" s="2">
        <f t="shared" si="174"/>
        <v>1</v>
      </c>
      <c r="AH977" t="s">
        <v>1615</v>
      </c>
      <c r="AI977" s="2">
        <f t="shared" si="175"/>
        <v>7</v>
      </c>
      <c r="AJ977" s="2">
        <f t="shared" si="176"/>
        <v>1</v>
      </c>
      <c r="AK977" s="3">
        <v>2618.0000000051218</v>
      </c>
      <c r="AM977" s="2">
        <v>1</v>
      </c>
      <c r="AN977">
        <v>0</v>
      </c>
      <c r="AO977">
        <v>10</v>
      </c>
      <c r="AP977">
        <v>0</v>
      </c>
      <c r="AQ977" s="2">
        <f>IF((2*G977 + M977 -P977 + 3*W977 + 2*Z977+2*AD977 + AG977+2*AJ977 + 4*AM977) &gt;=8,1,0)</f>
        <v>1</v>
      </c>
    </row>
    <row r="978" spans="1:43" x14ac:dyDescent="0.25">
      <c r="A978" t="s">
        <v>27</v>
      </c>
      <c r="B978" s="1">
        <v>40365</v>
      </c>
      <c r="C978" s="7">
        <f t="shared" si="168"/>
        <v>2010</v>
      </c>
      <c r="D978">
        <v>90.1</v>
      </c>
      <c r="E978">
        <v>70.5</v>
      </c>
      <c r="F978">
        <v>80.8</v>
      </c>
      <c r="G978" s="2">
        <f t="shared" si="177"/>
        <v>1</v>
      </c>
      <c r="H978">
        <v>90.2</v>
      </c>
      <c r="I978">
        <v>70.5</v>
      </c>
      <c r="J978">
        <v>80.599999999999994</v>
      </c>
      <c r="K978">
        <v>60.6</v>
      </c>
      <c r="L978">
        <v>52.6</v>
      </c>
      <c r="M978" s="2">
        <f t="shared" si="169"/>
        <v>0</v>
      </c>
      <c r="N978">
        <v>0</v>
      </c>
      <c r="P978" s="2">
        <f t="shared" si="170"/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s="2">
        <f t="shared" si="171"/>
        <v>0</v>
      </c>
      <c r="X978">
        <v>11.8</v>
      </c>
      <c r="Z978" s="2">
        <f t="shared" si="172"/>
        <v>0</v>
      </c>
      <c r="AA978">
        <v>112.1</v>
      </c>
      <c r="AB978" s="2" t="str">
        <f>CHOOSE(MATCH(AA978,{0;11;80;111;161;191;241;281;341},1),"North","NorthEast","East","SouthEast","South","SouthWest","West","NorthWest","North")</f>
        <v>SouthEast</v>
      </c>
      <c r="AC978" s="5">
        <f>CHOOSE(MATCH(AB978,{"South";"SouthEast";"SouthWest";"North";"NorthEast";"East";"West";"NorthWest"},0),1,2,3,4,5,6,7,8)</f>
        <v>2</v>
      </c>
      <c r="AD978" s="2">
        <f t="shared" si="173"/>
        <v>0</v>
      </c>
      <c r="AE978">
        <v>1011</v>
      </c>
      <c r="AF978" s="4" t="s">
        <v>1616</v>
      </c>
      <c r="AG978" s="2">
        <f t="shared" si="174"/>
        <v>0</v>
      </c>
      <c r="AH978" t="s">
        <v>1617</v>
      </c>
      <c r="AI978" s="2">
        <f t="shared" si="175"/>
        <v>7</v>
      </c>
      <c r="AJ978" s="2">
        <f t="shared" si="176"/>
        <v>1</v>
      </c>
      <c r="AK978" s="3">
        <v>250.99999999045389</v>
      </c>
      <c r="AM978" s="2">
        <v>0</v>
      </c>
      <c r="AN978">
        <v>0</v>
      </c>
      <c r="AO978">
        <v>0.2</v>
      </c>
      <c r="AP978">
        <v>0</v>
      </c>
      <c r="AQ978" s="2">
        <f>IF((2*G978 + M978 -P978 + 3*W978 + 2*Z978+2*AD978 + AG978+2*AJ978 + 4*AM978) &gt;=8,1,0)</f>
        <v>0</v>
      </c>
    </row>
    <row r="979" spans="1:43" x14ac:dyDescent="0.25">
      <c r="A979" t="s">
        <v>27</v>
      </c>
      <c r="B979" s="1">
        <v>40365</v>
      </c>
      <c r="C979" s="7">
        <f t="shared" si="168"/>
        <v>2010</v>
      </c>
      <c r="D979">
        <v>90.1</v>
      </c>
      <c r="E979">
        <v>70.5</v>
      </c>
      <c r="F979">
        <v>80.8</v>
      </c>
      <c r="G979" s="2">
        <f t="shared" si="177"/>
        <v>1</v>
      </c>
      <c r="H979">
        <v>90.2</v>
      </c>
      <c r="I979">
        <v>70.5</v>
      </c>
      <c r="J979">
        <v>80.599999999999994</v>
      </c>
      <c r="K979">
        <v>60.6</v>
      </c>
      <c r="L979">
        <v>52.6</v>
      </c>
      <c r="M979" s="2">
        <f t="shared" si="169"/>
        <v>0</v>
      </c>
      <c r="N979">
        <v>0</v>
      </c>
      <c r="P979" s="2">
        <f t="shared" si="170"/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s="2">
        <f t="shared" si="171"/>
        <v>0</v>
      </c>
      <c r="X979">
        <v>11.8</v>
      </c>
      <c r="Z979" s="2">
        <f t="shared" si="172"/>
        <v>0</v>
      </c>
      <c r="AA979">
        <v>112.1</v>
      </c>
      <c r="AB979" s="2" t="str">
        <f>CHOOSE(MATCH(AA979,{0;11;80;111;161;191;241;281;341},1),"North","NorthEast","East","SouthEast","South","SouthWest","West","NorthWest","North")</f>
        <v>SouthEast</v>
      </c>
      <c r="AC979" s="5">
        <f>CHOOSE(MATCH(AB979,{"South";"SouthEast";"SouthWest";"North";"NorthEast";"East";"West";"NorthWest"},0),1,2,3,4,5,6,7,8)</f>
        <v>2</v>
      </c>
      <c r="AD979" s="2">
        <f t="shared" si="173"/>
        <v>0</v>
      </c>
      <c r="AE979">
        <v>1011</v>
      </c>
      <c r="AF979" s="4" t="s">
        <v>272</v>
      </c>
      <c r="AG979" s="2">
        <f t="shared" si="174"/>
        <v>1</v>
      </c>
      <c r="AH979" t="s">
        <v>1618</v>
      </c>
      <c r="AI979" s="2">
        <f t="shared" si="175"/>
        <v>7</v>
      </c>
      <c r="AJ979" s="2">
        <f t="shared" si="176"/>
        <v>1</v>
      </c>
      <c r="AK979" s="3">
        <v>4711.0000000067521</v>
      </c>
      <c r="AM979" s="2">
        <v>1</v>
      </c>
      <c r="AN979">
        <v>0</v>
      </c>
      <c r="AO979">
        <v>20</v>
      </c>
      <c r="AP979">
        <v>0</v>
      </c>
      <c r="AQ979" s="2">
        <f>IF((2*G979 + M979 -P979 + 3*W979 + 2*Z979+2*AD979 + AG979+2*AJ979 + 4*AM979) &gt;=8,1,0)</f>
        <v>1</v>
      </c>
    </row>
    <row r="980" spans="1:43" x14ac:dyDescent="0.25">
      <c r="A980" t="s">
        <v>27</v>
      </c>
      <c r="B980" s="1">
        <v>40366</v>
      </c>
      <c r="C980" s="7">
        <f t="shared" si="168"/>
        <v>2010</v>
      </c>
      <c r="D980">
        <v>93.2</v>
      </c>
      <c r="E980">
        <v>71.400000000000006</v>
      </c>
      <c r="F980">
        <v>82.2</v>
      </c>
      <c r="G980" s="2">
        <f t="shared" si="177"/>
        <v>1</v>
      </c>
      <c r="H980">
        <v>91.8</v>
      </c>
      <c r="I980">
        <v>71.400000000000006</v>
      </c>
      <c r="J980">
        <v>81.8</v>
      </c>
      <c r="K980">
        <v>59.5</v>
      </c>
      <c r="L980">
        <v>48</v>
      </c>
      <c r="M980" s="2">
        <f t="shared" si="169"/>
        <v>1</v>
      </c>
      <c r="N980">
        <v>0</v>
      </c>
      <c r="P980" s="2">
        <f t="shared" si="170"/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26.4</v>
      </c>
      <c r="W980" s="2">
        <f t="shared" si="171"/>
        <v>1</v>
      </c>
      <c r="X980">
        <v>14.3</v>
      </c>
      <c r="Z980" s="2">
        <f t="shared" si="172"/>
        <v>0</v>
      </c>
      <c r="AA980">
        <v>36.5</v>
      </c>
      <c r="AB980" s="2" t="str">
        <f>CHOOSE(MATCH(AA980,{0;11;80;111;161;191;241;281;341},1),"North","NorthEast","East","SouthEast","South","SouthWest","West","NorthWest","North")</f>
        <v>NorthEast</v>
      </c>
      <c r="AC980" s="5">
        <f>CHOOSE(MATCH(AB980,{"South";"SouthEast";"SouthWest";"North";"NorthEast";"East";"West";"NorthWest"},0),1,2,3,4,5,6,7,8)</f>
        <v>5</v>
      </c>
      <c r="AD980" s="2">
        <f t="shared" si="173"/>
        <v>1</v>
      </c>
      <c r="AE980">
        <v>1011.6</v>
      </c>
      <c r="AF980" s="4" t="s">
        <v>1619</v>
      </c>
      <c r="AG980" s="2">
        <f t="shared" si="174"/>
        <v>1</v>
      </c>
      <c r="AH980" t="s">
        <v>1620</v>
      </c>
      <c r="AI980" s="2">
        <f t="shared" si="175"/>
        <v>7</v>
      </c>
      <c r="AJ980" s="2">
        <f t="shared" si="176"/>
        <v>1</v>
      </c>
      <c r="AK980" s="3">
        <v>48.000000009778887</v>
      </c>
      <c r="AM980" s="2">
        <v>0</v>
      </c>
      <c r="AN980">
        <v>0</v>
      </c>
      <c r="AO980">
        <v>0.5</v>
      </c>
      <c r="AP980">
        <v>0</v>
      </c>
      <c r="AQ980" s="2">
        <f>IF((2*G980 + M980 -P980 + 3*W980 + 2*Z980+2*AD980 + AG980+2*AJ980 + 4*AM980) &gt;=8,1,0)</f>
        <v>1</v>
      </c>
    </row>
    <row r="981" spans="1:43" x14ac:dyDescent="0.25">
      <c r="A981" t="s">
        <v>27</v>
      </c>
      <c r="B981" s="1">
        <v>40367</v>
      </c>
      <c r="C981" s="7">
        <f t="shared" si="168"/>
        <v>2010</v>
      </c>
      <c r="D981">
        <v>83</v>
      </c>
      <c r="E981">
        <v>70.7</v>
      </c>
      <c r="F981">
        <v>77.099999999999994</v>
      </c>
      <c r="G981" s="2">
        <f t="shared" si="177"/>
        <v>1</v>
      </c>
      <c r="H981">
        <v>82.3</v>
      </c>
      <c r="I981">
        <v>70.7</v>
      </c>
      <c r="J981">
        <v>77</v>
      </c>
      <c r="K981">
        <v>57.5</v>
      </c>
      <c r="L981">
        <v>52.1</v>
      </c>
      <c r="M981" s="2">
        <f t="shared" si="169"/>
        <v>0</v>
      </c>
      <c r="N981">
        <v>0</v>
      </c>
      <c r="P981" s="2">
        <f t="shared" si="170"/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28.9</v>
      </c>
      <c r="W981" s="2">
        <f t="shared" si="171"/>
        <v>1</v>
      </c>
      <c r="X981">
        <v>19.5</v>
      </c>
      <c r="Z981" s="2">
        <f t="shared" si="172"/>
        <v>1</v>
      </c>
      <c r="AA981">
        <v>6.3</v>
      </c>
      <c r="AB981" s="2" t="str">
        <f>CHOOSE(MATCH(AA981,{0;11;80;111;161;191;241;281;341},1),"North","NorthEast","East","SouthEast","South","SouthWest","West","NorthWest","North")</f>
        <v>North</v>
      </c>
      <c r="AC981" s="5">
        <f>CHOOSE(MATCH(AB981,{"South";"SouthEast";"SouthWest";"North";"NorthEast";"East";"West";"NorthWest"},0),1,2,3,4,5,6,7,8)</f>
        <v>4</v>
      </c>
      <c r="AD981" s="2">
        <f t="shared" si="173"/>
        <v>1</v>
      </c>
      <c r="AE981">
        <v>1012.2</v>
      </c>
      <c r="AF981" s="4" t="s">
        <v>272</v>
      </c>
      <c r="AG981" s="2">
        <f t="shared" si="174"/>
        <v>1</v>
      </c>
      <c r="AH981" t="s">
        <v>1621</v>
      </c>
      <c r="AI981" s="2">
        <f t="shared" si="175"/>
        <v>7</v>
      </c>
      <c r="AJ981" s="2">
        <f t="shared" si="176"/>
        <v>1</v>
      </c>
      <c r="AK981" s="3">
        <v>1291.0000000067521</v>
      </c>
      <c r="AM981" s="2">
        <v>1</v>
      </c>
      <c r="AN981">
        <v>0</v>
      </c>
      <c r="AO981">
        <v>8</v>
      </c>
      <c r="AP981">
        <v>0</v>
      </c>
      <c r="AQ981" s="2">
        <f>IF((2*G981 + M981 -P981 + 3*W981 + 2*Z981+2*AD981 + AG981+2*AJ981 + 4*AM981) &gt;=8,1,0)</f>
        <v>1</v>
      </c>
    </row>
    <row r="982" spans="1:43" x14ac:dyDescent="0.25">
      <c r="A982" t="s">
        <v>27</v>
      </c>
      <c r="B982" s="1">
        <v>40368</v>
      </c>
      <c r="C982" s="7">
        <f t="shared" si="168"/>
        <v>2010</v>
      </c>
      <c r="D982">
        <v>85.7</v>
      </c>
      <c r="E982">
        <v>68.599999999999994</v>
      </c>
      <c r="F982">
        <v>77.3</v>
      </c>
      <c r="G982" s="2">
        <f t="shared" si="177"/>
        <v>1</v>
      </c>
      <c r="H982">
        <v>83.8</v>
      </c>
      <c r="I982">
        <v>68.599999999999994</v>
      </c>
      <c r="J982">
        <v>76.7</v>
      </c>
      <c r="K982">
        <v>53.2</v>
      </c>
      <c r="L982">
        <v>44.7</v>
      </c>
      <c r="M982" s="2">
        <f t="shared" si="169"/>
        <v>1</v>
      </c>
      <c r="N982">
        <v>0</v>
      </c>
      <c r="P982" s="2">
        <f t="shared" si="170"/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32.200000000000003</v>
      </c>
      <c r="W982" s="2">
        <f t="shared" si="171"/>
        <v>1</v>
      </c>
      <c r="X982">
        <v>15.1</v>
      </c>
      <c r="Z982" s="2">
        <f t="shared" si="172"/>
        <v>0</v>
      </c>
      <c r="AA982">
        <v>358.5</v>
      </c>
      <c r="AB982" s="2" t="str">
        <f>CHOOSE(MATCH(AA982,{0;11;80;111;161;191;241;281;341},1),"North","NorthEast","East","SouthEast","South","SouthWest","West","NorthWest","North")</f>
        <v>North</v>
      </c>
      <c r="AC982" s="5">
        <f>CHOOSE(MATCH(AB982,{"South";"SouthEast";"SouthWest";"North";"NorthEast";"East";"West";"NorthWest"},0),1,2,3,4,5,6,7,8)</f>
        <v>4</v>
      </c>
      <c r="AD982" s="2">
        <f t="shared" si="173"/>
        <v>1</v>
      </c>
      <c r="AE982">
        <v>1014.5</v>
      </c>
      <c r="AF982" s="4" t="s">
        <v>359</v>
      </c>
      <c r="AG982" s="2">
        <f t="shared" si="174"/>
        <v>1</v>
      </c>
      <c r="AH982" t="s">
        <v>1622</v>
      </c>
      <c r="AI982" s="2">
        <f t="shared" si="175"/>
        <v>7</v>
      </c>
      <c r="AJ982" s="2">
        <f t="shared" si="176"/>
        <v>1</v>
      </c>
      <c r="AK982" s="3">
        <v>235.00000000116421</v>
      </c>
      <c r="AM982" s="2">
        <v>0</v>
      </c>
      <c r="AN982">
        <v>0</v>
      </c>
      <c r="AO982">
        <v>4</v>
      </c>
      <c r="AP982">
        <v>0</v>
      </c>
      <c r="AQ982" s="2">
        <f>IF((2*G982 + M982 -P982 + 3*W982 + 2*Z982+2*AD982 + AG982+2*AJ982 + 4*AM982) &gt;=8,1,0)</f>
        <v>1</v>
      </c>
    </row>
    <row r="983" spans="1:43" x14ac:dyDescent="0.25">
      <c r="A983" t="s">
        <v>27</v>
      </c>
      <c r="B983" s="1">
        <v>40369</v>
      </c>
      <c r="C983" s="7">
        <f t="shared" si="168"/>
        <v>2010</v>
      </c>
      <c r="D983">
        <v>86.7</v>
      </c>
      <c r="E983">
        <v>68.5</v>
      </c>
      <c r="F983">
        <v>78.5</v>
      </c>
      <c r="G983" s="2">
        <f t="shared" si="177"/>
        <v>1</v>
      </c>
      <c r="H983">
        <v>85.4</v>
      </c>
      <c r="I983">
        <v>68.5</v>
      </c>
      <c r="J983">
        <v>78.2</v>
      </c>
      <c r="K983">
        <v>56.7</v>
      </c>
      <c r="L983">
        <v>48.2</v>
      </c>
      <c r="M983" s="2">
        <f t="shared" si="169"/>
        <v>1</v>
      </c>
      <c r="N983">
        <v>0</v>
      </c>
      <c r="P983" s="2">
        <f t="shared" si="170"/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30</v>
      </c>
      <c r="W983" s="2">
        <f t="shared" si="171"/>
        <v>1</v>
      </c>
      <c r="X983">
        <v>16.3</v>
      </c>
      <c r="Z983" s="2">
        <f t="shared" si="172"/>
        <v>1</v>
      </c>
      <c r="AA983">
        <v>15.2</v>
      </c>
      <c r="AB983" s="2" t="str">
        <f>CHOOSE(MATCH(AA983,{0;11;80;111;161;191;241;281;341},1),"North","NorthEast","East","SouthEast","South","SouthWest","West","NorthWest","North")</f>
        <v>NorthEast</v>
      </c>
      <c r="AC983" s="5">
        <f>CHOOSE(MATCH(AB983,{"South";"SouthEast";"SouthWest";"North";"NorthEast";"East";"West";"NorthWest"},0),1,2,3,4,5,6,7,8)</f>
        <v>5</v>
      </c>
      <c r="AD983" s="2">
        <f t="shared" si="173"/>
        <v>1</v>
      </c>
      <c r="AE983">
        <v>1014.8</v>
      </c>
      <c r="AF983" s="4" t="s">
        <v>963</v>
      </c>
      <c r="AG983" s="2">
        <f t="shared" si="174"/>
        <v>0</v>
      </c>
      <c r="AH983" t="s">
        <v>1623</v>
      </c>
      <c r="AI983" s="2">
        <f t="shared" si="175"/>
        <v>7</v>
      </c>
      <c r="AJ983" s="2">
        <f t="shared" si="176"/>
        <v>1</v>
      </c>
      <c r="AK983" s="3">
        <v>241.99999999254939</v>
      </c>
      <c r="AM983" s="2">
        <v>0</v>
      </c>
      <c r="AN983">
        <v>0</v>
      </c>
      <c r="AO983">
        <v>0</v>
      </c>
      <c r="AP983">
        <v>0.1</v>
      </c>
      <c r="AQ983" s="2">
        <f>IF((2*G983 + M983 -P983 + 3*W983 + 2*Z983+2*AD983 + AG983+2*AJ983 + 4*AM983) &gt;=8,1,0)</f>
        <v>1</v>
      </c>
    </row>
    <row r="984" spans="1:43" x14ac:dyDescent="0.25">
      <c r="A984" t="s">
        <v>27</v>
      </c>
      <c r="B984" s="1">
        <v>40370</v>
      </c>
      <c r="C984" s="7">
        <f t="shared" ref="C984:C1038" si="178">YEAR(B984)</f>
        <v>2010</v>
      </c>
      <c r="D984">
        <v>88.8</v>
      </c>
      <c r="E984">
        <v>71</v>
      </c>
      <c r="F984">
        <v>80.599999999999994</v>
      </c>
      <c r="G984" s="2">
        <f t="shared" si="177"/>
        <v>1</v>
      </c>
      <c r="H984">
        <v>88.5</v>
      </c>
      <c r="I984">
        <v>71</v>
      </c>
      <c r="J984">
        <v>80.099999999999994</v>
      </c>
      <c r="K984">
        <v>57.6</v>
      </c>
      <c r="L984">
        <v>46.7</v>
      </c>
      <c r="M984" s="2">
        <f t="shared" ref="M984:M1038" si="179">IF(L984&lt;=49.3,1,0)</f>
        <v>1</v>
      </c>
      <c r="N984">
        <v>0</v>
      </c>
      <c r="P984" s="2">
        <f t="shared" ref="P984:P1038" si="180">IF(N984&lt;=0.01,1,0)</f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s="2">
        <f t="shared" ref="W984:W1038" si="181">IF(V984&lt;=10,0,1)</f>
        <v>0</v>
      </c>
      <c r="X984">
        <v>13.8</v>
      </c>
      <c r="Z984" s="2">
        <f t="shared" ref="Z984:Z1038" si="182">IF(X984&gt;=16,1,0)</f>
        <v>0</v>
      </c>
      <c r="AA984">
        <v>8</v>
      </c>
      <c r="AB984" s="2" t="str">
        <f>CHOOSE(MATCH(AA984,{0;11;80;111;161;191;241;281;341},1),"North","NorthEast","East","SouthEast","South","SouthWest","West","NorthWest","North")</f>
        <v>North</v>
      </c>
      <c r="AC984" s="5">
        <f>CHOOSE(MATCH(AB984,{"South";"SouthEast";"SouthWest";"North";"NorthEast";"East";"West";"NorthWest"},0),1,2,3,4,5,6,7,8)</f>
        <v>4</v>
      </c>
      <c r="AD984" s="2">
        <f t="shared" ref="AD984:AD1038" si="183">IF(OR(AC984=3,AC984=4,AC984=5,AC984=8),1,0)</f>
        <v>1</v>
      </c>
      <c r="AE984">
        <v>1014.5</v>
      </c>
      <c r="AF984" s="4" t="s">
        <v>1624</v>
      </c>
      <c r="AG984" s="2">
        <f t="shared" ref="AG984:AG1038" si="184">IF(TIMEVALUE(AF984)&lt;=TIME(12,30,0),0,1)</f>
        <v>1</v>
      </c>
      <c r="AH984" t="s">
        <v>1625</v>
      </c>
      <c r="AI984" s="2">
        <f t="shared" ref="AI984:AI1038" si="185">MONTH(AH984)</f>
        <v>7</v>
      </c>
      <c r="AJ984" s="2">
        <f t="shared" ref="AJ984:AJ1038" si="186">IF(OR(AI984=6,AI984=7,AI984=8),1,0)</f>
        <v>1</v>
      </c>
      <c r="AK984" s="3">
        <v>129.00000000139701</v>
      </c>
      <c r="AM984" s="2">
        <v>0</v>
      </c>
      <c r="AN984">
        <v>0</v>
      </c>
      <c r="AO984">
        <v>8</v>
      </c>
      <c r="AP984">
        <v>0</v>
      </c>
      <c r="AQ984" s="2">
        <f>IF((2*G984 + M984 -P984 + 3*W984 + 2*Z984+2*AD984 + AG984+2*AJ984 + 4*AM984) &gt;=8,1,0)</f>
        <v>0</v>
      </c>
    </row>
    <row r="985" spans="1:43" x14ac:dyDescent="0.25">
      <c r="A985" t="s">
        <v>27</v>
      </c>
      <c r="B985" s="1">
        <v>40374</v>
      </c>
      <c r="C985" s="7">
        <f t="shared" si="178"/>
        <v>2010</v>
      </c>
      <c r="D985">
        <v>94.9</v>
      </c>
      <c r="E985">
        <v>76</v>
      </c>
      <c r="F985">
        <v>86.6</v>
      </c>
      <c r="G985" s="2">
        <f t="shared" si="177"/>
        <v>1</v>
      </c>
      <c r="H985">
        <v>95.8</v>
      </c>
      <c r="I985">
        <v>76</v>
      </c>
      <c r="J985">
        <v>86.9</v>
      </c>
      <c r="K985">
        <v>61.8</v>
      </c>
      <c r="L985">
        <v>45.1</v>
      </c>
      <c r="M985" s="2">
        <f t="shared" si="179"/>
        <v>1</v>
      </c>
      <c r="N985">
        <v>0</v>
      </c>
      <c r="P985" s="2">
        <f t="shared" si="180"/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s="2">
        <f t="shared" si="181"/>
        <v>0</v>
      </c>
      <c r="X985">
        <v>15.3</v>
      </c>
      <c r="Z985" s="2">
        <f t="shared" si="182"/>
        <v>0</v>
      </c>
      <c r="AA985">
        <v>0</v>
      </c>
      <c r="AB985" s="2" t="str">
        <f>CHOOSE(MATCH(AA985,{0;11;80;111;161;191;241;281;341},1),"North","NorthEast","East","SouthEast","South","SouthWest","West","NorthWest","North")</f>
        <v>North</v>
      </c>
      <c r="AC985" s="5">
        <f>CHOOSE(MATCH(AB985,{"South";"SouthEast";"SouthWest";"North";"NorthEast";"East";"West";"NorthWest"},0),1,2,3,4,5,6,7,8)</f>
        <v>4</v>
      </c>
      <c r="AD985" s="2">
        <f t="shared" si="183"/>
        <v>1</v>
      </c>
      <c r="AE985">
        <v>1008.5</v>
      </c>
      <c r="AF985" s="4" t="s">
        <v>414</v>
      </c>
      <c r="AG985" s="2">
        <f t="shared" si="184"/>
        <v>0</v>
      </c>
      <c r="AH985" t="s">
        <v>1626</v>
      </c>
      <c r="AI985" s="2">
        <f t="shared" si="185"/>
        <v>7</v>
      </c>
      <c r="AJ985" s="2">
        <f t="shared" si="186"/>
        <v>1</v>
      </c>
      <c r="AK985" s="3">
        <v>91.999999996041879</v>
      </c>
      <c r="AM985" s="2">
        <v>0</v>
      </c>
      <c r="AN985">
        <v>0</v>
      </c>
      <c r="AO985">
        <v>0.2</v>
      </c>
      <c r="AP985">
        <v>0</v>
      </c>
      <c r="AQ985" s="2">
        <f>IF((2*G985 + M985 -P985 + 3*W985 + 2*Z985+2*AD985 + AG985+2*AJ985 + 4*AM985) &gt;=8,1,0)</f>
        <v>0</v>
      </c>
    </row>
    <row r="986" spans="1:43" x14ac:dyDescent="0.25">
      <c r="A986" t="s">
        <v>27</v>
      </c>
      <c r="B986" s="1">
        <v>40376</v>
      </c>
      <c r="C986" s="7">
        <f t="shared" si="178"/>
        <v>2010</v>
      </c>
      <c r="D986">
        <v>92.9</v>
      </c>
      <c r="E986">
        <v>81.400000000000006</v>
      </c>
      <c r="F986">
        <v>86.4</v>
      </c>
      <c r="G986" s="2">
        <f t="shared" si="177"/>
        <v>1</v>
      </c>
      <c r="H986">
        <v>90.3</v>
      </c>
      <c r="I986">
        <v>80.900000000000006</v>
      </c>
      <c r="J986">
        <v>85.2</v>
      </c>
      <c r="K986">
        <v>55</v>
      </c>
      <c r="L986">
        <v>36.6</v>
      </c>
      <c r="M986" s="2">
        <f t="shared" si="179"/>
        <v>1</v>
      </c>
      <c r="N986">
        <v>0</v>
      </c>
      <c r="P986" s="2">
        <f t="shared" si="180"/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34.5</v>
      </c>
      <c r="W986" s="2">
        <f t="shared" si="181"/>
        <v>1</v>
      </c>
      <c r="X986">
        <v>21.8</v>
      </c>
      <c r="Z986" s="2">
        <f t="shared" si="182"/>
        <v>1</v>
      </c>
      <c r="AA986">
        <v>359.4</v>
      </c>
      <c r="AB986" s="2" t="str">
        <f>CHOOSE(MATCH(AA986,{0;11;80;111;161;191;241;281;341},1),"North","NorthEast","East","SouthEast","South","SouthWest","West","NorthWest","North")</f>
        <v>North</v>
      </c>
      <c r="AC986" s="5">
        <f>CHOOSE(MATCH(AB986,{"South";"SouthEast";"SouthWest";"North";"NorthEast";"East";"West";"NorthWest"},0),1,2,3,4,5,6,7,8)</f>
        <v>4</v>
      </c>
      <c r="AD986" s="2">
        <f t="shared" si="183"/>
        <v>1</v>
      </c>
      <c r="AE986">
        <v>1012.1</v>
      </c>
      <c r="AF986" s="4" t="s">
        <v>1627</v>
      </c>
      <c r="AG986" s="2">
        <f t="shared" si="184"/>
        <v>1</v>
      </c>
      <c r="AH986" t="s">
        <v>1628</v>
      </c>
      <c r="AI986" s="2">
        <f t="shared" si="185"/>
        <v>7</v>
      </c>
      <c r="AJ986" s="2">
        <f t="shared" si="186"/>
        <v>1</v>
      </c>
      <c r="AK986" s="3">
        <v>10178.00000000512</v>
      </c>
      <c r="AM986" s="2">
        <v>1</v>
      </c>
      <c r="AN986">
        <v>1000</v>
      </c>
      <c r="AO986">
        <v>2000</v>
      </c>
      <c r="AP986">
        <v>0</v>
      </c>
      <c r="AQ986" s="2">
        <f>IF((2*G986 + M986 -P986 + 3*W986 + 2*Z986+2*AD986 + AG986+2*AJ986 + 4*AM986) &gt;=8,1,0)</f>
        <v>1</v>
      </c>
    </row>
    <row r="987" spans="1:43" x14ac:dyDescent="0.25">
      <c r="A987" t="s">
        <v>27</v>
      </c>
      <c r="B987" s="1">
        <v>40376</v>
      </c>
      <c r="C987" s="7">
        <f t="shared" si="178"/>
        <v>2010</v>
      </c>
      <c r="D987">
        <v>92.9</v>
      </c>
      <c r="E987">
        <v>81.400000000000006</v>
      </c>
      <c r="F987">
        <v>86.4</v>
      </c>
      <c r="G987" s="2">
        <f t="shared" si="177"/>
        <v>1</v>
      </c>
      <c r="H987">
        <v>90.3</v>
      </c>
      <c r="I987">
        <v>80.900000000000006</v>
      </c>
      <c r="J987">
        <v>85.2</v>
      </c>
      <c r="K987">
        <v>55</v>
      </c>
      <c r="L987">
        <v>36.6</v>
      </c>
      <c r="M987" s="2">
        <f t="shared" si="179"/>
        <v>1</v>
      </c>
      <c r="N987">
        <v>0</v>
      </c>
      <c r="P987" s="2">
        <f t="shared" si="180"/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34.5</v>
      </c>
      <c r="W987" s="2">
        <f t="shared" si="181"/>
        <v>1</v>
      </c>
      <c r="X987">
        <v>21.8</v>
      </c>
      <c r="Z987" s="2">
        <f t="shared" si="182"/>
        <v>1</v>
      </c>
      <c r="AA987">
        <v>359.4</v>
      </c>
      <c r="AB987" s="2" t="str">
        <f>CHOOSE(MATCH(AA987,{0;11;80;111;161;191;241;281;341},1),"North","NorthEast","East","SouthEast","South","SouthWest","West","NorthWest","North")</f>
        <v>North</v>
      </c>
      <c r="AC987" s="5">
        <f>CHOOSE(MATCH(AB987,{"South";"SouthEast";"SouthWest";"North";"NorthEast";"East";"West";"NorthWest"},0),1,2,3,4,5,6,7,8)</f>
        <v>4</v>
      </c>
      <c r="AD987" s="2">
        <f t="shared" si="183"/>
        <v>1</v>
      </c>
      <c r="AE987">
        <v>1012.1</v>
      </c>
      <c r="AF987" s="4" t="s">
        <v>416</v>
      </c>
      <c r="AG987" s="2">
        <f t="shared" si="184"/>
        <v>0</v>
      </c>
      <c r="AH987" t="s">
        <v>1629</v>
      </c>
      <c r="AI987" s="2">
        <f t="shared" si="185"/>
        <v>7</v>
      </c>
      <c r="AJ987" s="2">
        <f t="shared" si="186"/>
        <v>1</v>
      </c>
      <c r="AK987" s="3">
        <v>7904.9999999930151</v>
      </c>
      <c r="AM987" s="2">
        <v>1</v>
      </c>
      <c r="AN987">
        <v>50</v>
      </c>
      <c r="AO987">
        <v>100</v>
      </c>
      <c r="AP987">
        <v>0</v>
      </c>
      <c r="AQ987" s="2">
        <f>IF((2*G987 + M987 -P987 + 3*W987 + 2*Z987+2*AD987 + AG987+2*AJ987 + 4*AM987) &gt;=8,1,0)</f>
        <v>1</v>
      </c>
    </row>
    <row r="988" spans="1:43" x14ac:dyDescent="0.25">
      <c r="A988" t="s">
        <v>27</v>
      </c>
      <c r="B988" s="1">
        <v>40376</v>
      </c>
      <c r="C988" s="7">
        <f t="shared" si="178"/>
        <v>2010</v>
      </c>
      <c r="D988">
        <v>92.9</v>
      </c>
      <c r="E988">
        <v>81.400000000000006</v>
      </c>
      <c r="F988">
        <v>86.4</v>
      </c>
      <c r="G988" s="2">
        <f t="shared" si="177"/>
        <v>1</v>
      </c>
      <c r="H988">
        <v>90.3</v>
      </c>
      <c r="I988">
        <v>80.900000000000006</v>
      </c>
      <c r="J988">
        <v>85.2</v>
      </c>
      <c r="K988">
        <v>55</v>
      </c>
      <c r="L988">
        <v>36.6</v>
      </c>
      <c r="M988" s="2">
        <f t="shared" si="179"/>
        <v>1</v>
      </c>
      <c r="N988">
        <v>0</v>
      </c>
      <c r="P988" s="2">
        <f t="shared" si="180"/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34.5</v>
      </c>
      <c r="W988" s="2">
        <f t="shared" si="181"/>
        <v>1</v>
      </c>
      <c r="X988">
        <v>21.8</v>
      </c>
      <c r="Z988" s="2">
        <f t="shared" si="182"/>
        <v>1</v>
      </c>
      <c r="AA988">
        <v>359.4</v>
      </c>
      <c r="AB988" s="2" t="str">
        <f>CHOOSE(MATCH(AA988,{0;11;80;111;161;191;241;281;341},1),"North","NorthEast","East","SouthEast","South","SouthWest","West","NorthWest","North")</f>
        <v>North</v>
      </c>
      <c r="AC988" s="5">
        <f>CHOOSE(MATCH(AB988,{"South";"SouthEast";"SouthWest";"North";"NorthEast";"East";"West";"NorthWest"},0),1,2,3,4,5,6,7,8)</f>
        <v>4</v>
      </c>
      <c r="AD988" s="2">
        <f t="shared" si="183"/>
        <v>1</v>
      </c>
      <c r="AE988">
        <v>1012.1</v>
      </c>
      <c r="AF988" s="4" t="s">
        <v>215</v>
      </c>
      <c r="AG988" s="2">
        <f t="shared" si="184"/>
        <v>0</v>
      </c>
      <c r="AH988" t="s">
        <v>1630</v>
      </c>
      <c r="AI988" s="2">
        <f t="shared" si="185"/>
        <v>7</v>
      </c>
      <c r="AJ988" s="2">
        <f t="shared" si="186"/>
        <v>1</v>
      </c>
      <c r="AK988" s="3">
        <v>190.00000000116421</v>
      </c>
      <c r="AM988" s="2">
        <v>0</v>
      </c>
      <c r="AN988">
        <v>0</v>
      </c>
      <c r="AO988">
        <v>10</v>
      </c>
      <c r="AP988">
        <v>0</v>
      </c>
      <c r="AQ988" s="2">
        <f>IF((2*G988 + M988 -P988 + 3*W988 + 2*Z988+2*AD988 + AG988+2*AJ988 + 4*AM988) &gt;=8,1,0)</f>
        <v>1</v>
      </c>
    </row>
    <row r="989" spans="1:43" x14ac:dyDescent="0.25">
      <c r="A989" t="s">
        <v>27</v>
      </c>
      <c r="B989" s="1">
        <v>40377</v>
      </c>
      <c r="C989" s="7">
        <f t="shared" si="178"/>
        <v>2010</v>
      </c>
      <c r="D989">
        <v>94.9</v>
      </c>
      <c r="E989">
        <v>77.8</v>
      </c>
      <c r="F989">
        <v>86</v>
      </c>
      <c r="G989" s="2">
        <f t="shared" si="177"/>
        <v>1</v>
      </c>
      <c r="H989">
        <v>93.5</v>
      </c>
      <c r="I989">
        <v>77.8</v>
      </c>
      <c r="J989">
        <v>84.9</v>
      </c>
      <c r="K989">
        <v>54.7</v>
      </c>
      <c r="L989">
        <v>34.9</v>
      </c>
      <c r="M989" s="2">
        <f t="shared" si="179"/>
        <v>1</v>
      </c>
      <c r="N989">
        <v>0</v>
      </c>
      <c r="P989" s="2">
        <f t="shared" si="180"/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27.9</v>
      </c>
      <c r="W989" s="2">
        <f t="shared" si="181"/>
        <v>1</v>
      </c>
      <c r="X989">
        <v>16.7</v>
      </c>
      <c r="Z989" s="2">
        <f t="shared" si="182"/>
        <v>1</v>
      </c>
      <c r="AA989">
        <v>4.2</v>
      </c>
      <c r="AB989" s="2" t="str">
        <f>CHOOSE(MATCH(AA989,{0;11;80;111;161;191;241;281;341},1),"North","NorthEast","East","SouthEast","South","SouthWest","West","NorthWest","North")</f>
        <v>North</v>
      </c>
      <c r="AC989" s="5">
        <f>CHOOSE(MATCH(AB989,{"South";"SouthEast";"SouthWest";"North";"NorthEast";"East";"West";"NorthWest"},0),1,2,3,4,5,6,7,8)</f>
        <v>4</v>
      </c>
      <c r="AD989" s="2">
        <f t="shared" si="183"/>
        <v>1</v>
      </c>
      <c r="AE989">
        <v>1011.5</v>
      </c>
      <c r="AF989" s="4" t="s">
        <v>218</v>
      </c>
      <c r="AG989" s="2">
        <f t="shared" si="184"/>
        <v>1</v>
      </c>
      <c r="AH989" t="s">
        <v>1631</v>
      </c>
      <c r="AI989" s="2">
        <f t="shared" si="185"/>
        <v>7</v>
      </c>
      <c r="AJ989" s="2">
        <f t="shared" si="186"/>
        <v>1</v>
      </c>
      <c r="AK989" s="3">
        <v>1834.9999999988361</v>
      </c>
      <c r="AM989" s="2">
        <v>1</v>
      </c>
      <c r="AN989">
        <v>0</v>
      </c>
      <c r="AO989">
        <v>40</v>
      </c>
      <c r="AP989">
        <v>0</v>
      </c>
      <c r="AQ989" s="2">
        <f>IF((2*G989 + M989 -P989 + 3*W989 + 2*Z989+2*AD989 + AG989+2*AJ989 + 4*AM989) &gt;=8,1,0)</f>
        <v>1</v>
      </c>
    </row>
    <row r="990" spans="1:43" x14ac:dyDescent="0.25">
      <c r="A990" t="s">
        <v>27</v>
      </c>
      <c r="B990" s="1">
        <v>40377</v>
      </c>
      <c r="C990" s="7">
        <f t="shared" si="178"/>
        <v>2010</v>
      </c>
      <c r="D990">
        <v>94.9</v>
      </c>
      <c r="E990">
        <v>77.8</v>
      </c>
      <c r="F990">
        <v>86</v>
      </c>
      <c r="G990" s="2">
        <f t="shared" si="177"/>
        <v>1</v>
      </c>
      <c r="H990">
        <v>93.5</v>
      </c>
      <c r="I990">
        <v>77.8</v>
      </c>
      <c r="J990">
        <v>84.9</v>
      </c>
      <c r="K990">
        <v>54.7</v>
      </c>
      <c r="L990">
        <v>34.9</v>
      </c>
      <c r="M990" s="2">
        <f t="shared" si="179"/>
        <v>1</v>
      </c>
      <c r="N990">
        <v>0</v>
      </c>
      <c r="P990" s="2">
        <f t="shared" si="180"/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27.9</v>
      </c>
      <c r="W990" s="2">
        <f t="shared" si="181"/>
        <v>1</v>
      </c>
      <c r="X990">
        <v>16.7</v>
      </c>
      <c r="Z990" s="2">
        <f t="shared" si="182"/>
        <v>1</v>
      </c>
      <c r="AA990">
        <v>4.2</v>
      </c>
      <c r="AB990" s="2" t="str">
        <f>CHOOSE(MATCH(AA990,{0;11;80;111;161;191;241;281;341},1),"North","NorthEast","East","SouthEast","South","SouthWest","West","NorthWest","North")</f>
        <v>North</v>
      </c>
      <c r="AC990" s="5">
        <f>CHOOSE(MATCH(AB990,{"South";"SouthEast";"SouthWest";"North";"NorthEast";"East";"West";"NorthWest"},0),1,2,3,4,5,6,7,8)</f>
        <v>4</v>
      </c>
      <c r="AD990" s="2">
        <f t="shared" si="183"/>
        <v>1</v>
      </c>
      <c r="AE990">
        <v>1011.5</v>
      </c>
      <c r="AF990" s="4" t="s">
        <v>211</v>
      </c>
      <c r="AG990" s="2">
        <f t="shared" si="184"/>
        <v>1</v>
      </c>
      <c r="AH990" t="s">
        <v>1632</v>
      </c>
      <c r="AI990" s="2">
        <f t="shared" si="185"/>
        <v>7</v>
      </c>
      <c r="AJ990" s="2">
        <f t="shared" si="186"/>
        <v>1</v>
      </c>
      <c r="AK990" s="3">
        <v>24.99999999767169</v>
      </c>
      <c r="AM990" s="2">
        <v>0</v>
      </c>
      <c r="AN990">
        <v>0</v>
      </c>
      <c r="AO990">
        <v>0.2</v>
      </c>
      <c r="AP990">
        <v>0</v>
      </c>
      <c r="AQ990" s="2">
        <f>IF((2*G990 + M990 -P990 + 3*W990 + 2*Z990+2*AD990 + AG990+2*AJ990 + 4*AM990) &gt;=8,1,0)</f>
        <v>1</v>
      </c>
    </row>
    <row r="991" spans="1:43" x14ac:dyDescent="0.25">
      <c r="A991" t="s">
        <v>27</v>
      </c>
      <c r="B991" s="1">
        <v>40383</v>
      </c>
      <c r="C991" s="7">
        <f t="shared" si="178"/>
        <v>2010</v>
      </c>
      <c r="D991">
        <v>96.3</v>
      </c>
      <c r="E991">
        <v>78.7</v>
      </c>
      <c r="F991">
        <v>87.5</v>
      </c>
      <c r="G991" s="2">
        <f t="shared" si="177"/>
        <v>1</v>
      </c>
      <c r="H991">
        <v>96.6</v>
      </c>
      <c r="I991">
        <v>78.7</v>
      </c>
      <c r="J991">
        <v>87.3</v>
      </c>
      <c r="K991">
        <v>58.6</v>
      </c>
      <c r="L991">
        <v>38.4</v>
      </c>
      <c r="M991" s="2">
        <f t="shared" si="179"/>
        <v>1</v>
      </c>
      <c r="N991">
        <v>0</v>
      </c>
      <c r="P991" s="2">
        <f t="shared" si="180"/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s="2">
        <f t="shared" si="181"/>
        <v>0</v>
      </c>
      <c r="X991">
        <v>13.2</v>
      </c>
      <c r="Z991" s="2">
        <f t="shared" si="182"/>
        <v>0</v>
      </c>
      <c r="AA991">
        <v>156.4</v>
      </c>
      <c r="AB991" s="2" t="str">
        <f>CHOOSE(MATCH(AA991,{0;11;80;111;161;191;241;281;341},1),"North","NorthEast","East","SouthEast","South","SouthWest","West","NorthWest","North")</f>
        <v>SouthEast</v>
      </c>
      <c r="AC991" s="5">
        <f>CHOOSE(MATCH(AB991,{"South";"SouthEast";"SouthWest";"North";"NorthEast";"East";"West";"NorthWest"},0),1,2,3,4,5,6,7,8)</f>
        <v>2</v>
      </c>
      <c r="AD991" s="2">
        <f t="shared" si="183"/>
        <v>0</v>
      </c>
      <c r="AE991">
        <v>1006.7</v>
      </c>
      <c r="AF991" s="4" t="s">
        <v>1633</v>
      </c>
      <c r="AG991" s="2">
        <f t="shared" si="184"/>
        <v>1</v>
      </c>
      <c r="AH991" t="s">
        <v>1634</v>
      </c>
      <c r="AI991" s="2">
        <f t="shared" si="185"/>
        <v>7</v>
      </c>
      <c r="AJ991" s="2">
        <f t="shared" si="186"/>
        <v>1</v>
      </c>
      <c r="AK991" s="3">
        <v>57.000000007683411</v>
      </c>
      <c r="AM991" s="2">
        <v>0</v>
      </c>
      <c r="AN991">
        <v>0</v>
      </c>
      <c r="AO991">
        <v>10</v>
      </c>
      <c r="AP991">
        <v>0</v>
      </c>
      <c r="AQ991" s="2">
        <f>IF((2*G991 + M991 -P991 + 3*W991 + 2*Z991+2*AD991 + AG991+2*AJ991 + 4*AM991) &gt;=8,1,0)</f>
        <v>0</v>
      </c>
    </row>
    <row r="992" spans="1:43" x14ac:dyDescent="0.25">
      <c r="A992" t="s">
        <v>27</v>
      </c>
      <c r="B992" s="1">
        <v>40387</v>
      </c>
      <c r="C992" s="7">
        <f t="shared" si="178"/>
        <v>2010</v>
      </c>
      <c r="D992">
        <v>89.1</v>
      </c>
      <c r="E992">
        <v>72.8</v>
      </c>
      <c r="F992">
        <v>81.099999999999994</v>
      </c>
      <c r="G992" s="2">
        <f t="shared" si="177"/>
        <v>1</v>
      </c>
      <c r="H992">
        <v>86.6</v>
      </c>
      <c r="I992">
        <v>72.8</v>
      </c>
      <c r="J992">
        <v>80.099999999999994</v>
      </c>
      <c r="K992">
        <v>52.8</v>
      </c>
      <c r="L992">
        <v>38.700000000000003</v>
      </c>
      <c r="M992" s="2">
        <f t="shared" si="179"/>
        <v>1</v>
      </c>
      <c r="N992">
        <v>0</v>
      </c>
      <c r="P992" s="2">
        <f t="shared" si="180"/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s="2">
        <f t="shared" si="181"/>
        <v>0</v>
      </c>
      <c r="X992">
        <v>12.1</v>
      </c>
      <c r="Z992" s="2">
        <f t="shared" si="182"/>
        <v>0</v>
      </c>
      <c r="AA992">
        <v>337.2</v>
      </c>
      <c r="AB992" s="2" t="str">
        <f>CHOOSE(MATCH(AA992,{0;11;80;111;161;191;241;281;341},1),"North","NorthEast","East","SouthEast","South","SouthWest","West","NorthWest","North")</f>
        <v>NorthWest</v>
      </c>
      <c r="AC992" s="5">
        <f>CHOOSE(MATCH(AB992,{"South";"SouthEast";"SouthWest";"North";"NorthEast";"East";"West";"NorthWest"},0),1,2,3,4,5,6,7,8)</f>
        <v>8</v>
      </c>
      <c r="AD992" s="2">
        <f t="shared" si="183"/>
        <v>1</v>
      </c>
      <c r="AE992">
        <v>1011.7</v>
      </c>
      <c r="AF992" s="4" t="s">
        <v>489</v>
      </c>
      <c r="AG992" s="2">
        <f t="shared" si="184"/>
        <v>0</v>
      </c>
      <c r="AH992" t="s">
        <v>1635</v>
      </c>
      <c r="AI992" s="2">
        <f t="shared" si="185"/>
        <v>7</v>
      </c>
      <c r="AJ992" s="2">
        <f t="shared" si="186"/>
        <v>1</v>
      </c>
      <c r="AK992" s="3">
        <v>100.0000000011642</v>
      </c>
      <c r="AM992" s="2">
        <v>0</v>
      </c>
      <c r="AN992">
        <v>0</v>
      </c>
      <c r="AO992">
        <v>0.3</v>
      </c>
      <c r="AP992">
        <v>0</v>
      </c>
      <c r="AQ992" s="2">
        <f>IF((2*G992 + M992 -P992 + 3*W992 + 2*Z992+2*AD992 + AG992+2*AJ992 + 4*AM992) &gt;=8,1,0)</f>
        <v>0</v>
      </c>
    </row>
    <row r="993" spans="1:43" x14ac:dyDescent="0.25">
      <c r="A993" t="s">
        <v>27</v>
      </c>
      <c r="B993" s="1">
        <v>40387</v>
      </c>
      <c r="C993" s="7">
        <f t="shared" si="178"/>
        <v>2010</v>
      </c>
      <c r="D993">
        <v>89.1</v>
      </c>
      <c r="E993">
        <v>72.8</v>
      </c>
      <c r="F993">
        <v>81.099999999999994</v>
      </c>
      <c r="G993" s="2">
        <f t="shared" si="177"/>
        <v>1</v>
      </c>
      <c r="H993">
        <v>86.6</v>
      </c>
      <c r="I993">
        <v>72.8</v>
      </c>
      <c r="J993">
        <v>80.099999999999994</v>
      </c>
      <c r="K993">
        <v>52.8</v>
      </c>
      <c r="L993">
        <v>38.700000000000003</v>
      </c>
      <c r="M993" s="2">
        <f t="shared" si="179"/>
        <v>1</v>
      </c>
      <c r="N993">
        <v>0</v>
      </c>
      <c r="P993" s="2">
        <f t="shared" si="180"/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s="2">
        <f t="shared" si="181"/>
        <v>0</v>
      </c>
      <c r="X993">
        <v>12.1</v>
      </c>
      <c r="Z993" s="2">
        <f t="shared" si="182"/>
        <v>0</v>
      </c>
      <c r="AA993">
        <v>337.2</v>
      </c>
      <c r="AB993" s="2" t="str">
        <f>CHOOSE(MATCH(AA993,{0;11;80;111;161;191;241;281;341},1),"North","NorthEast","East","SouthEast","South","SouthWest","West","NorthWest","North")</f>
        <v>NorthWest</v>
      </c>
      <c r="AC993" s="5">
        <f>CHOOSE(MATCH(AB993,{"South";"SouthEast";"SouthWest";"North";"NorthEast";"East";"West";"NorthWest"},0),1,2,3,4,5,6,7,8)</f>
        <v>8</v>
      </c>
      <c r="AD993" s="2">
        <f t="shared" si="183"/>
        <v>1</v>
      </c>
      <c r="AE993">
        <v>1011.7</v>
      </c>
      <c r="AF993" s="4" t="s">
        <v>1521</v>
      </c>
      <c r="AG993" s="2">
        <f t="shared" si="184"/>
        <v>1</v>
      </c>
      <c r="AH993" t="s">
        <v>1636</v>
      </c>
      <c r="AI993" s="2">
        <f t="shared" si="185"/>
        <v>7</v>
      </c>
      <c r="AJ993" s="2">
        <f t="shared" si="186"/>
        <v>1</v>
      </c>
      <c r="AK993" s="3">
        <v>84.999999994179234</v>
      </c>
      <c r="AM993" s="2">
        <v>0</v>
      </c>
      <c r="AN993">
        <v>0</v>
      </c>
      <c r="AO993">
        <v>20</v>
      </c>
      <c r="AP993">
        <v>0</v>
      </c>
      <c r="AQ993" s="2">
        <f>IF((2*G993 + M993 -P993 + 3*W993 + 2*Z993+2*AD993 + AG993+2*AJ993 + 4*AM993) &gt;=8,1,0)</f>
        <v>0</v>
      </c>
    </row>
    <row r="994" spans="1:43" x14ac:dyDescent="0.25">
      <c r="A994" t="s">
        <v>27</v>
      </c>
      <c r="B994" s="1">
        <v>40389</v>
      </c>
      <c r="C994" s="7">
        <f t="shared" si="178"/>
        <v>2010</v>
      </c>
      <c r="D994">
        <v>90.8</v>
      </c>
      <c r="E994">
        <v>73.599999999999994</v>
      </c>
      <c r="F994">
        <v>81</v>
      </c>
      <c r="G994" s="2">
        <f t="shared" si="177"/>
        <v>1</v>
      </c>
      <c r="H994">
        <v>90</v>
      </c>
      <c r="I994">
        <v>73.599999999999994</v>
      </c>
      <c r="J994">
        <v>80.5</v>
      </c>
      <c r="K994">
        <v>55.2</v>
      </c>
      <c r="L994">
        <v>41.8</v>
      </c>
      <c r="M994" s="2">
        <f t="shared" si="179"/>
        <v>1</v>
      </c>
      <c r="N994">
        <v>0</v>
      </c>
      <c r="P994" s="2">
        <f t="shared" si="180"/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33.299999999999997</v>
      </c>
      <c r="W994" s="2">
        <f t="shared" si="181"/>
        <v>1</v>
      </c>
      <c r="X994">
        <v>18.3</v>
      </c>
      <c r="Z994" s="2">
        <f t="shared" si="182"/>
        <v>1</v>
      </c>
      <c r="AA994">
        <v>353.6</v>
      </c>
      <c r="AB994" s="2" t="str">
        <f>CHOOSE(MATCH(AA994,{0;11;80;111;161;191;241;281;341},1),"North","NorthEast","East","SouthEast","South","SouthWest","West","NorthWest","North")</f>
        <v>North</v>
      </c>
      <c r="AC994" s="5">
        <f>CHOOSE(MATCH(AB994,{"South";"SouthEast";"SouthWest";"North";"NorthEast";"East";"West";"NorthWest"},0),1,2,3,4,5,6,7,8)</f>
        <v>4</v>
      </c>
      <c r="AD994" s="2">
        <f t="shared" si="183"/>
        <v>1</v>
      </c>
      <c r="AE994">
        <v>1010.2</v>
      </c>
      <c r="AF994" s="4" t="s">
        <v>561</v>
      </c>
      <c r="AG994" s="2">
        <f t="shared" si="184"/>
        <v>1</v>
      </c>
      <c r="AH994" t="s">
        <v>1637</v>
      </c>
      <c r="AI994" s="2">
        <f t="shared" si="185"/>
        <v>7</v>
      </c>
      <c r="AJ994" s="2">
        <f t="shared" si="186"/>
        <v>1</v>
      </c>
      <c r="AK994" s="3">
        <v>169.99999999883579</v>
      </c>
      <c r="AM994" s="2">
        <v>0</v>
      </c>
      <c r="AN994">
        <v>0</v>
      </c>
      <c r="AO994">
        <v>2</v>
      </c>
      <c r="AP994">
        <v>0</v>
      </c>
      <c r="AQ994" s="2">
        <f>IF((2*G994 + M994 -P994 + 3*W994 + 2*Z994+2*AD994 + AG994+2*AJ994 + 4*AM994) &gt;=8,1,0)</f>
        <v>1</v>
      </c>
    </row>
    <row r="995" spans="1:43" x14ac:dyDescent="0.25">
      <c r="A995" t="s">
        <v>27</v>
      </c>
      <c r="B995" s="1">
        <v>40392</v>
      </c>
      <c r="C995" s="7">
        <f t="shared" si="178"/>
        <v>2010</v>
      </c>
      <c r="D995">
        <v>93.8</v>
      </c>
      <c r="E995">
        <v>73</v>
      </c>
      <c r="F995">
        <v>84.3</v>
      </c>
      <c r="G995" s="2">
        <f t="shared" si="177"/>
        <v>1</v>
      </c>
      <c r="H995">
        <v>96.7</v>
      </c>
      <c r="I995">
        <v>73</v>
      </c>
      <c r="J995">
        <v>85.1</v>
      </c>
      <c r="K995">
        <v>64.5</v>
      </c>
      <c r="L995">
        <v>53.7</v>
      </c>
      <c r="M995" s="2">
        <f t="shared" si="179"/>
        <v>0</v>
      </c>
      <c r="N995">
        <v>0</v>
      </c>
      <c r="P995" s="2">
        <f t="shared" si="180"/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24.2</v>
      </c>
      <c r="W995" s="2">
        <f t="shared" si="181"/>
        <v>1</v>
      </c>
      <c r="X995">
        <v>16.600000000000001</v>
      </c>
      <c r="Z995" s="2">
        <f t="shared" si="182"/>
        <v>1</v>
      </c>
      <c r="AA995">
        <v>9.3000000000000007</v>
      </c>
      <c r="AB995" s="2" t="str">
        <f>CHOOSE(MATCH(AA995,{0;11;80;111;161;191;241;281;341},1),"North","NorthEast","East","SouthEast","South","SouthWest","West","NorthWest","North")</f>
        <v>North</v>
      </c>
      <c r="AC995" s="5">
        <f>CHOOSE(MATCH(AB995,{"South";"SouthEast";"SouthWest";"North";"NorthEast";"East";"West";"NorthWest"},0),1,2,3,4,5,6,7,8)</f>
        <v>4</v>
      </c>
      <c r="AD995" s="2">
        <f t="shared" si="183"/>
        <v>1</v>
      </c>
      <c r="AE995">
        <v>1010.8</v>
      </c>
      <c r="AF995" s="4" t="s">
        <v>103</v>
      </c>
      <c r="AG995" s="2">
        <f t="shared" si="184"/>
        <v>1</v>
      </c>
      <c r="AH995" t="s">
        <v>1638</v>
      </c>
      <c r="AI995" s="2">
        <f t="shared" si="185"/>
        <v>8</v>
      </c>
      <c r="AJ995" s="2">
        <f t="shared" si="186"/>
        <v>1</v>
      </c>
      <c r="AK995" s="3">
        <v>229.99999999534339</v>
      </c>
      <c r="AM995" s="2">
        <v>0</v>
      </c>
      <c r="AN995">
        <v>0</v>
      </c>
      <c r="AO995">
        <v>20</v>
      </c>
      <c r="AP995">
        <v>0</v>
      </c>
      <c r="AQ995" s="2">
        <f>IF((2*G995 + M995 -P995 + 3*W995 + 2*Z995+2*AD995 + AG995+2*AJ995 + 4*AM995) &gt;=8,1,0)</f>
        <v>1</v>
      </c>
    </row>
    <row r="996" spans="1:43" x14ac:dyDescent="0.25">
      <c r="A996" t="s">
        <v>27</v>
      </c>
      <c r="B996" s="1">
        <v>40392</v>
      </c>
      <c r="C996" s="7">
        <f t="shared" si="178"/>
        <v>2010</v>
      </c>
      <c r="D996">
        <v>93.8</v>
      </c>
      <c r="E996">
        <v>73</v>
      </c>
      <c r="F996">
        <v>84.3</v>
      </c>
      <c r="G996" s="2">
        <f t="shared" si="177"/>
        <v>1</v>
      </c>
      <c r="H996">
        <v>96.7</v>
      </c>
      <c r="I996">
        <v>73</v>
      </c>
      <c r="J996">
        <v>85.1</v>
      </c>
      <c r="K996">
        <v>64.5</v>
      </c>
      <c r="L996">
        <v>53.7</v>
      </c>
      <c r="M996" s="2">
        <f t="shared" si="179"/>
        <v>0</v>
      </c>
      <c r="N996">
        <v>0</v>
      </c>
      <c r="P996" s="2">
        <f t="shared" si="180"/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24.2</v>
      </c>
      <c r="W996" s="2">
        <f t="shared" si="181"/>
        <v>1</v>
      </c>
      <c r="X996">
        <v>16.600000000000001</v>
      </c>
      <c r="Z996" s="2">
        <f t="shared" si="182"/>
        <v>1</v>
      </c>
      <c r="AA996">
        <v>9.3000000000000007</v>
      </c>
      <c r="AB996" s="2" t="str">
        <f>CHOOSE(MATCH(AA996,{0;11;80;111;161;191;241;281;341},1),"North","NorthEast","East","SouthEast","South","SouthWest","West","NorthWest","North")</f>
        <v>North</v>
      </c>
      <c r="AC996" s="5">
        <f>CHOOSE(MATCH(AB996,{"South";"SouthEast";"SouthWest";"North";"NorthEast";"East";"West";"NorthWest"},0),1,2,3,4,5,6,7,8)</f>
        <v>4</v>
      </c>
      <c r="AD996" s="2">
        <f t="shared" si="183"/>
        <v>1</v>
      </c>
      <c r="AE996">
        <v>1010.8</v>
      </c>
      <c r="AF996" s="4" t="s">
        <v>998</v>
      </c>
      <c r="AG996" s="2">
        <f t="shared" si="184"/>
        <v>1</v>
      </c>
      <c r="AH996" t="s">
        <v>1639</v>
      </c>
      <c r="AI996" s="2">
        <f t="shared" si="185"/>
        <v>8</v>
      </c>
      <c r="AJ996" s="2">
        <f t="shared" si="186"/>
        <v>1</v>
      </c>
      <c r="AK996" s="3">
        <v>2849.999999996508</v>
      </c>
      <c r="AM996" s="2">
        <v>1</v>
      </c>
      <c r="AN996">
        <v>0</v>
      </c>
      <c r="AO996">
        <v>8</v>
      </c>
      <c r="AP996">
        <v>0</v>
      </c>
      <c r="AQ996" s="2">
        <f>IF((2*G996 + M996 -P996 + 3*W996 + 2*Z996+2*AD996 + AG996+2*AJ996 + 4*AM996) &gt;=8,1,0)</f>
        <v>1</v>
      </c>
    </row>
    <row r="997" spans="1:43" x14ac:dyDescent="0.25">
      <c r="A997" t="s">
        <v>27</v>
      </c>
      <c r="B997" s="1">
        <v>40392</v>
      </c>
      <c r="C997" s="7">
        <f t="shared" si="178"/>
        <v>2010</v>
      </c>
      <c r="D997">
        <v>93.8</v>
      </c>
      <c r="E997">
        <v>73</v>
      </c>
      <c r="F997">
        <v>84.3</v>
      </c>
      <c r="G997" s="2">
        <f t="shared" si="177"/>
        <v>1</v>
      </c>
      <c r="H997">
        <v>96.7</v>
      </c>
      <c r="I997">
        <v>73</v>
      </c>
      <c r="J997">
        <v>85.1</v>
      </c>
      <c r="K997">
        <v>64.5</v>
      </c>
      <c r="L997">
        <v>53.7</v>
      </c>
      <c r="M997" s="2">
        <f t="shared" si="179"/>
        <v>0</v>
      </c>
      <c r="N997">
        <v>0</v>
      </c>
      <c r="P997" s="2">
        <f t="shared" si="180"/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24.2</v>
      </c>
      <c r="W997" s="2">
        <f t="shared" si="181"/>
        <v>1</v>
      </c>
      <c r="X997">
        <v>16.600000000000001</v>
      </c>
      <c r="Z997" s="2">
        <f t="shared" si="182"/>
        <v>1</v>
      </c>
      <c r="AA997">
        <v>9.3000000000000007</v>
      </c>
      <c r="AB997" s="2" t="str">
        <f>CHOOSE(MATCH(AA997,{0;11;80;111;161;191;241;281;341},1),"North","NorthEast","East","SouthEast","South","SouthWest","West","NorthWest","North")</f>
        <v>North</v>
      </c>
      <c r="AC997" s="5">
        <f>CHOOSE(MATCH(AB997,{"South";"SouthEast";"SouthWest";"North";"NorthEast";"East";"West";"NorthWest"},0),1,2,3,4,5,6,7,8)</f>
        <v>4</v>
      </c>
      <c r="AD997" s="2">
        <f t="shared" si="183"/>
        <v>1</v>
      </c>
      <c r="AE997">
        <v>1010.8</v>
      </c>
      <c r="AF997" s="4" t="s">
        <v>825</v>
      </c>
      <c r="AG997" s="2">
        <f t="shared" si="184"/>
        <v>1</v>
      </c>
      <c r="AH997" t="s">
        <v>1640</v>
      </c>
      <c r="AI997" s="2">
        <f t="shared" si="185"/>
        <v>8</v>
      </c>
      <c r="AJ997" s="2">
        <f t="shared" si="186"/>
        <v>1</v>
      </c>
      <c r="AK997" s="3">
        <v>302.99999999231659</v>
      </c>
      <c r="AM997" s="2">
        <v>0</v>
      </c>
      <c r="AN997">
        <v>0</v>
      </c>
      <c r="AO997">
        <v>50</v>
      </c>
      <c r="AP997">
        <v>0</v>
      </c>
      <c r="AQ997" s="2">
        <f>IF((2*G997 + M997 -P997 + 3*W997 + 2*Z997+2*AD997 + AG997+2*AJ997 + 4*AM997) &gt;=8,1,0)</f>
        <v>1</v>
      </c>
    </row>
    <row r="998" spans="1:43" x14ac:dyDescent="0.25">
      <c r="A998" t="s">
        <v>27</v>
      </c>
      <c r="B998" s="1">
        <v>40392</v>
      </c>
      <c r="C998" s="7">
        <f t="shared" si="178"/>
        <v>2010</v>
      </c>
      <c r="D998">
        <v>93.8</v>
      </c>
      <c r="E998">
        <v>73</v>
      </c>
      <c r="F998">
        <v>84.3</v>
      </c>
      <c r="G998" s="2">
        <f t="shared" si="177"/>
        <v>1</v>
      </c>
      <c r="H998">
        <v>96.7</v>
      </c>
      <c r="I998">
        <v>73</v>
      </c>
      <c r="J998">
        <v>85.1</v>
      </c>
      <c r="K998">
        <v>64.5</v>
      </c>
      <c r="L998">
        <v>53.7</v>
      </c>
      <c r="M998" s="2">
        <f t="shared" si="179"/>
        <v>0</v>
      </c>
      <c r="N998">
        <v>0</v>
      </c>
      <c r="P998" s="2">
        <f t="shared" si="180"/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24.2</v>
      </c>
      <c r="W998" s="2">
        <f t="shared" si="181"/>
        <v>1</v>
      </c>
      <c r="X998">
        <v>16.600000000000001</v>
      </c>
      <c r="Z998" s="2">
        <f t="shared" si="182"/>
        <v>1</v>
      </c>
      <c r="AA998">
        <v>9.3000000000000007</v>
      </c>
      <c r="AB998" s="2" t="str">
        <f>CHOOSE(MATCH(AA998,{0;11;80;111;161;191;241;281;341},1),"North","NorthEast","East","SouthEast","South","SouthWest","West","NorthWest","North")</f>
        <v>North</v>
      </c>
      <c r="AC998" s="5">
        <f>CHOOSE(MATCH(AB998,{"South";"SouthEast";"SouthWest";"North";"NorthEast";"East";"West";"NorthWest"},0),1,2,3,4,5,6,7,8)</f>
        <v>4</v>
      </c>
      <c r="AD998" s="2">
        <f t="shared" si="183"/>
        <v>1</v>
      </c>
      <c r="AE998">
        <v>1010.8</v>
      </c>
      <c r="AF998" s="4" t="s">
        <v>998</v>
      </c>
      <c r="AG998" s="2">
        <f t="shared" si="184"/>
        <v>1</v>
      </c>
      <c r="AH998" t="s">
        <v>1639</v>
      </c>
      <c r="AI998" s="2">
        <f t="shared" si="185"/>
        <v>8</v>
      </c>
      <c r="AJ998" s="2">
        <f t="shared" si="186"/>
        <v>1</v>
      </c>
      <c r="AK998" s="3">
        <v>519.99999999767169</v>
      </c>
      <c r="AM998" s="2">
        <v>1</v>
      </c>
      <c r="AN998">
        <v>0</v>
      </c>
      <c r="AO998">
        <v>5</v>
      </c>
      <c r="AP998">
        <v>0</v>
      </c>
      <c r="AQ998" s="2">
        <f>IF((2*G998 + M998 -P998 + 3*W998 + 2*Z998+2*AD998 + AG998+2*AJ998 + 4*AM998) &gt;=8,1,0)</f>
        <v>1</v>
      </c>
    </row>
    <row r="999" spans="1:43" x14ac:dyDescent="0.25">
      <c r="A999" t="s">
        <v>27</v>
      </c>
      <c r="B999" s="1">
        <v>40393</v>
      </c>
      <c r="C999" s="7">
        <f t="shared" si="178"/>
        <v>2010</v>
      </c>
      <c r="D999">
        <v>95</v>
      </c>
      <c r="E999">
        <v>73.7</v>
      </c>
      <c r="F999">
        <v>85.9</v>
      </c>
      <c r="G999" s="2">
        <f t="shared" si="177"/>
        <v>1</v>
      </c>
      <c r="H999">
        <v>97.7</v>
      </c>
      <c r="I999">
        <v>73.7</v>
      </c>
      <c r="J999">
        <v>87</v>
      </c>
      <c r="K999">
        <v>62.7</v>
      </c>
      <c r="L999">
        <v>46.9</v>
      </c>
      <c r="M999" s="2">
        <f t="shared" si="179"/>
        <v>1</v>
      </c>
      <c r="N999">
        <v>0</v>
      </c>
      <c r="P999" s="2">
        <f t="shared" si="180"/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31.1</v>
      </c>
      <c r="W999" s="2">
        <f t="shared" si="181"/>
        <v>1</v>
      </c>
      <c r="X999">
        <v>14.6</v>
      </c>
      <c r="Z999" s="2">
        <f t="shared" si="182"/>
        <v>0</v>
      </c>
      <c r="AA999">
        <v>349.2</v>
      </c>
      <c r="AB999" s="2" t="str">
        <f>CHOOSE(MATCH(AA999,{0;11;80;111;161;191;241;281;341},1),"North","NorthEast","East","SouthEast","South","SouthWest","West","NorthWest","North")</f>
        <v>North</v>
      </c>
      <c r="AC999" s="5">
        <f>CHOOSE(MATCH(AB999,{"South";"SouthEast";"SouthWest";"North";"NorthEast";"East";"West";"NorthWest"},0),1,2,3,4,5,6,7,8)</f>
        <v>4</v>
      </c>
      <c r="AD999" s="2">
        <f t="shared" si="183"/>
        <v>1</v>
      </c>
      <c r="AE999">
        <v>1007.4</v>
      </c>
      <c r="AF999" s="4" t="s">
        <v>1571</v>
      </c>
      <c r="AG999" s="2">
        <f t="shared" si="184"/>
        <v>1</v>
      </c>
      <c r="AH999" t="s">
        <v>1641</v>
      </c>
      <c r="AI999" s="2">
        <f t="shared" si="185"/>
        <v>8</v>
      </c>
      <c r="AJ999" s="2">
        <f t="shared" si="186"/>
        <v>1</v>
      </c>
      <c r="AK999" s="3">
        <v>238.99999999324791</v>
      </c>
      <c r="AM999" s="2">
        <v>0</v>
      </c>
      <c r="AN999">
        <v>0</v>
      </c>
      <c r="AO999">
        <v>20</v>
      </c>
      <c r="AP999">
        <v>0</v>
      </c>
      <c r="AQ999" s="2">
        <f>IF((2*G999 + M999 -P999 + 3*W999 + 2*Z999+2*AD999 + AG999+2*AJ999 + 4*AM999) &gt;=8,1,0)</f>
        <v>1</v>
      </c>
    </row>
    <row r="1000" spans="1:43" x14ac:dyDescent="0.25">
      <c r="A1000" t="s">
        <v>27</v>
      </c>
      <c r="B1000" s="1">
        <v>40398</v>
      </c>
      <c r="C1000" s="7">
        <f t="shared" si="178"/>
        <v>2010</v>
      </c>
      <c r="D1000">
        <v>92.6</v>
      </c>
      <c r="E1000">
        <v>74</v>
      </c>
      <c r="F1000">
        <v>83.1</v>
      </c>
      <c r="G1000" s="2">
        <f t="shared" si="177"/>
        <v>1</v>
      </c>
      <c r="H1000">
        <v>94.9</v>
      </c>
      <c r="I1000">
        <v>74</v>
      </c>
      <c r="J1000">
        <v>84.7</v>
      </c>
      <c r="K1000">
        <v>64.400000000000006</v>
      </c>
      <c r="L1000">
        <v>54.5</v>
      </c>
      <c r="M1000" s="2">
        <f t="shared" si="179"/>
        <v>0</v>
      </c>
      <c r="N1000">
        <v>0</v>
      </c>
      <c r="P1000" s="2">
        <f t="shared" si="180"/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s="2">
        <f t="shared" si="181"/>
        <v>0</v>
      </c>
      <c r="X1000">
        <v>13.3</v>
      </c>
      <c r="Z1000" s="2">
        <f t="shared" si="182"/>
        <v>0</v>
      </c>
      <c r="AA1000">
        <v>139.80000000000001</v>
      </c>
      <c r="AB1000" s="2" t="str">
        <f>CHOOSE(MATCH(AA1000,{0;11;80;111;161;191;241;281;341},1),"North","NorthEast","East","SouthEast","South","SouthWest","West","NorthWest","North")</f>
        <v>SouthEast</v>
      </c>
      <c r="AC1000" s="5">
        <f>CHOOSE(MATCH(AB1000,{"South";"SouthEast";"SouthWest";"North";"NorthEast";"East";"West";"NorthWest"},0),1,2,3,4,5,6,7,8)</f>
        <v>2</v>
      </c>
      <c r="AD1000" s="2">
        <f t="shared" si="183"/>
        <v>0</v>
      </c>
      <c r="AE1000">
        <v>1009.8</v>
      </c>
      <c r="AF1000" s="4" t="s">
        <v>292</v>
      </c>
      <c r="AG1000" s="2">
        <f t="shared" si="184"/>
        <v>1</v>
      </c>
      <c r="AH1000" t="s">
        <v>1642</v>
      </c>
      <c r="AI1000" s="2">
        <f t="shared" si="185"/>
        <v>8</v>
      </c>
      <c r="AJ1000" s="2">
        <f t="shared" si="186"/>
        <v>1</v>
      </c>
      <c r="AK1000" s="3">
        <v>85.000000004656613</v>
      </c>
      <c r="AM1000" s="2">
        <v>0</v>
      </c>
      <c r="AN1000">
        <v>0</v>
      </c>
      <c r="AO1000">
        <v>1</v>
      </c>
      <c r="AP1000">
        <v>0</v>
      </c>
      <c r="AQ1000" s="2">
        <f>IF((2*G1000 + M1000 -P1000 + 3*W1000 + 2*Z1000+2*AD1000 + AG1000+2*AJ1000 + 4*AM1000) &gt;=8,1,0)</f>
        <v>0</v>
      </c>
    </row>
    <row r="1001" spans="1:43" x14ac:dyDescent="0.25">
      <c r="A1001" t="s">
        <v>27</v>
      </c>
      <c r="B1001" s="1">
        <v>40399</v>
      </c>
      <c r="C1001" s="7">
        <f t="shared" si="178"/>
        <v>2010</v>
      </c>
      <c r="D1001">
        <v>94.6</v>
      </c>
      <c r="E1001">
        <v>75.599999999999994</v>
      </c>
      <c r="F1001">
        <v>85.2</v>
      </c>
      <c r="G1001" s="2">
        <f t="shared" si="177"/>
        <v>1</v>
      </c>
      <c r="H1001">
        <v>98.8</v>
      </c>
      <c r="I1001">
        <v>75.599999999999994</v>
      </c>
      <c r="J1001">
        <v>86.7</v>
      </c>
      <c r="K1001">
        <v>65</v>
      </c>
      <c r="L1001">
        <v>51.9</v>
      </c>
      <c r="M1001" s="2">
        <f t="shared" si="179"/>
        <v>0</v>
      </c>
      <c r="N1001">
        <v>8.0000000000000002E-3</v>
      </c>
      <c r="P1001" s="2">
        <f t="shared" si="180"/>
        <v>1</v>
      </c>
      <c r="Q1001">
        <v>100</v>
      </c>
      <c r="R1001">
        <v>4.17</v>
      </c>
      <c r="S1001" t="s">
        <v>87</v>
      </c>
      <c r="T1001">
        <v>0</v>
      </c>
      <c r="U1001">
        <v>0</v>
      </c>
      <c r="V1001">
        <v>0</v>
      </c>
      <c r="W1001" s="2">
        <f t="shared" si="181"/>
        <v>0</v>
      </c>
      <c r="X1001">
        <v>17.2</v>
      </c>
      <c r="Z1001" s="2">
        <f t="shared" si="182"/>
        <v>1</v>
      </c>
      <c r="AA1001">
        <v>6.1</v>
      </c>
      <c r="AB1001" s="2" t="str">
        <f>CHOOSE(MATCH(AA1001,{0;11;80;111;161;191;241;281;341},1),"North","NorthEast","East","SouthEast","South","SouthWest","West","NorthWest","North")</f>
        <v>North</v>
      </c>
      <c r="AC1001" s="5">
        <f>CHOOSE(MATCH(AB1001,{"South";"SouthEast";"SouthWest";"North";"NorthEast";"East";"West";"NorthWest"},0),1,2,3,4,5,6,7,8)</f>
        <v>4</v>
      </c>
      <c r="AD1001" s="2">
        <f t="shared" si="183"/>
        <v>1</v>
      </c>
      <c r="AE1001">
        <v>1009.3</v>
      </c>
      <c r="AF1001" s="4" t="s">
        <v>1521</v>
      </c>
      <c r="AG1001" s="2">
        <f t="shared" si="184"/>
        <v>1</v>
      </c>
      <c r="AH1001" t="s">
        <v>1643</v>
      </c>
      <c r="AI1001" s="2">
        <f t="shared" si="185"/>
        <v>8</v>
      </c>
      <c r="AJ1001" s="2">
        <f t="shared" si="186"/>
        <v>1</v>
      </c>
      <c r="AK1001" s="3">
        <v>254.99999999301511</v>
      </c>
      <c r="AM1001" s="2">
        <v>0</v>
      </c>
      <c r="AN1001">
        <v>1</v>
      </c>
      <c r="AO1001">
        <v>0</v>
      </c>
      <c r="AP1001">
        <v>0</v>
      </c>
      <c r="AQ1001" s="2">
        <f>IF((2*G1001 + M1001 -P1001 + 3*W1001 + 2*Z1001+2*AD1001 + AG1001+2*AJ1001 + 4*AM1001) &gt;=8,1,0)</f>
        <v>1</v>
      </c>
    </row>
    <row r="1002" spans="1:43" x14ac:dyDescent="0.25">
      <c r="A1002" t="s">
        <v>27</v>
      </c>
      <c r="B1002" s="1">
        <v>40402</v>
      </c>
      <c r="C1002" s="7">
        <f t="shared" si="178"/>
        <v>2010</v>
      </c>
      <c r="D1002">
        <v>96.8</v>
      </c>
      <c r="E1002">
        <v>77.900000000000006</v>
      </c>
      <c r="F1002">
        <v>86.4</v>
      </c>
      <c r="G1002" s="2">
        <f t="shared" si="177"/>
        <v>1</v>
      </c>
      <c r="H1002">
        <v>100.6</v>
      </c>
      <c r="I1002">
        <v>77.900000000000006</v>
      </c>
      <c r="J1002">
        <v>88.2</v>
      </c>
      <c r="K1002">
        <v>64.8</v>
      </c>
      <c r="L1002">
        <v>50</v>
      </c>
      <c r="M1002" s="2">
        <f t="shared" si="179"/>
        <v>0</v>
      </c>
      <c r="N1002">
        <v>0</v>
      </c>
      <c r="P1002" s="2">
        <f t="shared" si="180"/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s="2">
        <f t="shared" si="181"/>
        <v>0</v>
      </c>
      <c r="X1002">
        <v>13.3</v>
      </c>
      <c r="Z1002" s="2">
        <f t="shared" si="182"/>
        <v>0</v>
      </c>
      <c r="AA1002">
        <v>20.9</v>
      </c>
      <c r="AB1002" s="2" t="str">
        <f>CHOOSE(MATCH(AA1002,{0;11;80;111;161;191;241;281;341},1),"North","NorthEast","East","SouthEast","South","SouthWest","West","NorthWest","North")</f>
        <v>NorthEast</v>
      </c>
      <c r="AC1002" s="5">
        <f>CHOOSE(MATCH(AB1002,{"South";"SouthEast";"SouthWest";"North";"NorthEast";"East";"West";"NorthWest"},0),1,2,3,4,5,6,7,8)</f>
        <v>5</v>
      </c>
      <c r="AD1002" s="2">
        <f t="shared" si="183"/>
        <v>1</v>
      </c>
      <c r="AE1002">
        <v>1010</v>
      </c>
      <c r="AF1002" s="4" t="s">
        <v>55</v>
      </c>
      <c r="AG1002" s="2">
        <f t="shared" si="184"/>
        <v>1</v>
      </c>
      <c r="AH1002" t="s">
        <v>1644</v>
      </c>
      <c r="AI1002" s="2">
        <f t="shared" si="185"/>
        <v>8</v>
      </c>
      <c r="AJ1002" s="2">
        <f t="shared" si="186"/>
        <v>1</v>
      </c>
      <c r="AK1002" s="3">
        <v>89290.000000001164</v>
      </c>
      <c r="AM1002" s="2">
        <v>1</v>
      </c>
      <c r="AN1002">
        <v>3</v>
      </c>
      <c r="AO1002">
        <v>3</v>
      </c>
      <c r="AP1002">
        <v>0</v>
      </c>
      <c r="AQ1002" s="2">
        <f>IF((2*G1002 + M1002 -P1002 + 3*W1002 + 2*Z1002+2*AD1002 + AG1002+2*AJ1002 + 4*AM1002) &gt;=8,1,0)</f>
        <v>1</v>
      </c>
    </row>
    <row r="1003" spans="1:43" x14ac:dyDescent="0.25">
      <c r="A1003" t="s">
        <v>27</v>
      </c>
      <c r="B1003" s="1">
        <v>40405</v>
      </c>
      <c r="C1003" s="7">
        <f t="shared" si="178"/>
        <v>2010</v>
      </c>
      <c r="D1003">
        <v>99.8</v>
      </c>
      <c r="E1003">
        <v>80.900000000000006</v>
      </c>
      <c r="F1003">
        <v>89.8</v>
      </c>
      <c r="G1003" s="2">
        <f t="shared" si="177"/>
        <v>1</v>
      </c>
      <c r="H1003">
        <v>99.2</v>
      </c>
      <c r="I1003">
        <v>81.3</v>
      </c>
      <c r="J1003">
        <v>89.3</v>
      </c>
      <c r="K1003">
        <v>57.9</v>
      </c>
      <c r="L1003">
        <v>35.4</v>
      </c>
      <c r="M1003" s="2">
        <f t="shared" si="179"/>
        <v>1</v>
      </c>
      <c r="N1003">
        <v>0</v>
      </c>
      <c r="P1003" s="2">
        <f t="shared" si="180"/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30</v>
      </c>
      <c r="W1003" s="2">
        <f t="shared" si="181"/>
        <v>1</v>
      </c>
      <c r="X1003">
        <v>20.399999999999999</v>
      </c>
      <c r="Z1003" s="2">
        <f t="shared" si="182"/>
        <v>1</v>
      </c>
      <c r="AA1003">
        <v>358.3</v>
      </c>
      <c r="AB1003" s="2" t="str">
        <f>CHOOSE(MATCH(AA1003,{0;11;80;111;161;191;241;281;341},1),"North","NorthEast","East","SouthEast","South","SouthWest","West","NorthWest","North")</f>
        <v>North</v>
      </c>
      <c r="AC1003" s="5">
        <f>CHOOSE(MATCH(AB1003,{"South";"SouthEast";"SouthWest";"North";"NorthEast";"East";"West";"NorthWest"},0),1,2,3,4,5,6,7,8)</f>
        <v>4</v>
      </c>
      <c r="AD1003" s="2">
        <f t="shared" si="183"/>
        <v>1</v>
      </c>
      <c r="AE1003">
        <v>1012.5</v>
      </c>
      <c r="AF1003" s="4" t="s">
        <v>1422</v>
      </c>
      <c r="AG1003" s="2">
        <f t="shared" si="184"/>
        <v>1</v>
      </c>
      <c r="AH1003" t="s">
        <v>1645</v>
      </c>
      <c r="AI1003" s="2">
        <f t="shared" si="185"/>
        <v>8</v>
      </c>
      <c r="AJ1003" s="2">
        <f t="shared" si="186"/>
        <v>1</v>
      </c>
      <c r="AK1003" s="3">
        <v>4176.0000000020946</v>
      </c>
      <c r="AM1003" s="2">
        <v>1</v>
      </c>
      <c r="AN1003">
        <v>0</v>
      </c>
      <c r="AO1003">
        <v>150</v>
      </c>
      <c r="AP1003">
        <v>0</v>
      </c>
      <c r="AQ1003" s="2">
        <f>IF((2*G1003 + M1003 -P1003 + 3*W1003 + 2*Z1003+2*AD1003 + AG1003+2*AJ1003 + 4*AM1003) &gt;=8,1,0)</f>
        <v>1</v>
      </c>
    </row>
    <row r="1004" spans="1:43" x14ac:dyDescent="0.25">
      <c r="A1004" t="s">
        <v>27</v>
      </c>
      <c r="B1004" s="1">
        <v>40407</v>
      </c>
      <c r="C1004" s="7">
        <f t="shared" si="178"/>
        <v>2010</v>
      </c>
      <c r="D1004">
        <v>98.8</v>
      </c>
      <c r="E1004">
        <v>76.400000000000006</v>
      </c>
      <c r="F1004">
        <v>88.3</v>
      </c>
      <c r="G1004" s="2">
        <f t="shared" si="177"/>
        <v>1</v>
      </c>
      <c r="H1004">
        <v>98.2</v>
      </c>
      <c r="I1004">
        <v>76.400000000000006</v>
      </c>
      <c r="J1004">
        <v>87.6</v>
      </c>
      <c r="K1004">
        <v>54.1</v>
      </c>
      <c r="L1004">
        <v>31.7</v>
      </c>
      <c r="M1004" s="2">
        <f t="shared" si="179"/>
        <v>1</v>
      </c>
      <c r="N1004">
        <v>0</v>
      </c>
      <c r="P1004" s="2">
        <f t="shared" si="180"/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s="2">
        <f t="shared" si="181"/>
        <v>0</v>
      </c>
      <c r="X1004">
        <v>12.1</v>
      </c>
      <c r="Z1004" s="2">
        <f t="shared" si="182"/>
        <v>0</v>
      </c>
      <c r="AA1004">
        <v>170</v>
      </c>
      <c r="AB1004" s="2" t="str">
        <f>CHOOSE(MATCH(AA1004,{0;11;80;111;161;191;241;281;341},1),"North","NorthEast","East","SouthEast","South","SouthWest","West","NorthWest","North")</f>
        <v>South</v>
      </c>
      <c r="AC1004" s="5">
        <f>CHOOSE(MATCH(AB1004,{"South";"SouthEast";"SouthWest";"North";"NorthEast";"East";"West";"NorthWest"},0),1,2,3,4,5,6,7,8)</f>
        <v>1</v>
      </c>
      <c r="AD1004" s="2">
        <f t="shared" si="183"/>
        <v>0</v>
      </c>
      <c r="AE1004">
        <v>1009.3</v>
      </c>
      <c r="AF1004" s="4" t="s">
        <v>178</v>
      </c>
      <c r="AG1004" s="2">
        <f t="shared" si="184"/>
        <v>1</v>
      </c>
      <c r="AH1004" t="s">
        <v>1646</v>
      </c>
      <c r="AI1004" s="2">
        <f t="shared" si="185"/>
        <v>8</v>
      </c>
      <c r="AJ1004" s="2">
        <f t="shared" si="186"/>
        <v>1</v>
      </c>
      <c r="AK1004" s="3">
        <v>84.999999994179234</v>
      </c>
      <c r="AM1004" s="2">
        <v>0</v>
      </c>
      <c r="AN1004">
        <v>0</v>
      </c>
      <c r="AO1004">
        <v>0.1</v>
      </c>
      <c r="AP1004">
        <v>0</v>
      </c>
      <c r="AQ1004" s="2">
        <f>IF((2*G1004 + M1004 -P1004 + 3*W1004 + 2*Z1004+2*AD1004 + AG1004+2*AJ1004 + 4*AM1004) &gt;=8,1,0)</f>
        <v>0</v>
      </c>
    </row>
    <row r="1005" spans="1:43" x14ac:dyDescent="0.25">
      <c r="A1005" t="s">
        <v>27</v>
      </c>
      <c r="B1005" s="1">
        <v>40409</v>
      </c>
      <c r="C1005" s="7">
        <f t="shared" si="178"/>
        <v>2010</v>
      </c>
      <c r="D1005">
        <v>96.9</v>
      </c>
      <c r="E1005">
        <v>74</v>
      </c>
      <c r="F1005">
        <v>86.8</v>
      </c>
      <c r="G1005" s="2">
        <f t="shared" si="177"/>
        <v>1</v>
      </c>
      <c r="H1005">
        <v>98.2</v>
      </c>
      <c r="I1005">
        <v>74</v>
      </c>
      <c r="J1005">
        <v>86.8</v>
      </c>
      <c r="K1005">
        <v>59.9</v>
      </c>
      <c r="L1005">
        <v>42.2</v>
      </c>
      <c r="M1005" s="2">
        <f t="shared" si="179"/>
        <v>1</v>
      </c>
      <c r="N1005">
        <v>0</v>
      </c>
      <c r="P1005" s="2">
        <f t="shared" si="180"/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s="2">
        <f t="shared" si="181"/>
        <v>0</v>
      </c>
      <c r="X1005">
        <v>15</v>
      </c>
      <c r="Z1005" s="2">
        <f t="shared" si="182"/>
        <v>0</v>
      </c>
      <c r="AA1005">
        <v>22.1</v>
      </c>
      <c r="AB1005" s="2" t="str">
        <f>CHOOSE(MATCH(AA1005,{0;11;80;111;161;191;241;281;341},1),"North","NorthEast","East","SouthEast","South","SouthWest","West","NorthWest","North")</f>
        <v>NorthEast</v>
      </c>
      <c r="AC1005" s="5">
        <f>CHOOSE(MATCH(AB1005,{"South";"SouthEast";"SouthWest";"North";"NorthEast";"East";"West";"NorthWest"},0),1,2,3,4,5,6,7,8)</f>
        <v>5</v>
      </c>
      <c r="AD1005" s="2">
        <f t="shared" si="183"/>
        <v>1</v>
      </c>
      <c r="AE1005">
        <v>1009.6</v>
      </c>
      <c r="AF1005" s="4" t="s">
        <v>1647</v>
      </c>
      <c r="AG1005" s="2">
        <f t="shared" si="184"/>
        <v>1</v>
      </c>
      <c r="AH1005" t="s">
        <v>1648</v>
      </c>
      <c r="AI1005" s="2">
        <f t="shared" si="185"/>
        <v>8</v>
      </c>
      <c r="AJ1005" s="2">
        <f t="shared" si="186"/>
        <v>1</v>
      </c>
      <c r="AK1005" s="3">
        <v>1233.9999999990689</v>
      </c>
      <c r="AM1005" s="2">
        <v>1</v>
      </c>
      <c r="AN1005">
        <v>0</v>
      </c>
      <c r="AO1005">
        <v>8</v>
      </c>
      <c r="AP1005">
        <v>0</v>
      </c>
      <c r="AQ1005" s="2">
        <f>IF((2*G1005 + M1005 -P1005 + 3*W1005 + 2*Z1005+2*AD1005 + AG1005+2*AJ1005 + 4*AM1005) &gt;=8,1,0)</f>
        <v>1</v>
      </c>
    </row>
    <row r="1006" spans="1:43" x14ac:dyDescent="0.25">
      <c r="A1006" t="s">
        <v>27</v>
      </c>
      <c r="B1006" s="1">
        <v>40409</v>
      </c>
      <c r="C1006" s="7">
        <f t="shared" si="178"/>
        <v>2010</v>
      </c>
      <c r="D1006">
        <v>96.9</v>
      </c>
      <c r="E1006">
        <v>74</v>
      </c>
      <c r="F1006">
        <v>86.8</v>
      </c>
      <c r="G1006" s="2">
        <f t="shared" si="177"/>
        <v>1</v>
      </c>
      <c r="H1006">
        <v>98.2</v>
      </c>
      <c r="I1006">
        <v>74</v>
      </c>
      <c r="J1006">
        <v>86.8</v>
      </c>
      <c r="K1006">
        <v>59.9</v>
      </c>
      <c r="L1006">
        <v>42.2</v>
      </c>
      <c r="M1006" s="2">
        <f t="shared" si="179"/>
        <v>1</v>
      </c>
      <c r="N1006">
        <v>0</v>
      </c>
      <c r="P1006" s="2">
        <f t="shared" si="180"/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s="2">
        <f t="shared" si="181"/>
        <v>0</v>
      </c>
      <c r="X1006">
        <v>15</v>
      </c>
      <c r="Z1006" s="2">
        <f t="shared" si="182"/>
        <v>0</v>
      </c>
      <c r="AA1006">
        <v>22.1</v>
      </c>
      <c r="AB1006" s="2" t="str">
        <f>CHOOSE(MATCH(AA1006,{0;11;80;111;161;191;241;281;341},1),"North","NorthEast","East","SouthEast","South","SouthWest","West","NorthWest","North")</f>
        <v>NorthEast</v>
      </c>
      <c r="AC1006" s="5">
        <f>CHOOSE(MATCH(AB1006,{"South";"SouthEast";"SouthWest";"North";"NorthEast";"East";"West";"NorthWest"},0),1,2,3,4,5,6,7,8)</f>
        <v>5</v>
      </c>
      <c r="AD1006" s="2">
        <f t="shared" si="183"/>
        <v>1</v>
      </c>
      <c r="AE1006">
        <v>1009.6</v>
      </c>
      <c r="AF1006" s="4" t="s">
        <v>298</v>
      </c>
      <c r="AG1006" s="2">
        <f t="shared" si="184"/>
        <v>1</v>
      </c>
      <c r="AH1006" t="s">
        <v>1649</v>
      </c>
      <c r="AI1006" s="2">
        <f t="shared" si="185"/>
        <v>8</v>
      </c>
      <c r="AJ1006" s="2">
        <f t="shared" si="186"/>
        <v>1</v>
      </c>
      <c r="AK1006" s="3">
        <v>3110.0000000058212</v>
      </c>
      <c r="AM1006" s="2">
        <v>1</v>
      </c>
      <c r="AN1006">
        <v>0</v>
      </c>
      <c r="AO1006">
        <v>7.5</v>
      </c>
      <c r="AP1006">
        <v>0</v>
      </c>
      <c r="AQ1006" s="2">
        <f>IF((2*G1006 + M1006 -P1006 + 3*W1006 + 2*Z1006+2*AD1006 + AG1006+2*AJ1006 + 4*AM1006) &gt;=8,1,0)</f>
        <v>1</v>
      </c>
    </row>
    <row r="1007" spans="1:43" x14ac:dyDescent="0.25">
      <c r="A1007" t="s">
        <v>27</v>
      </c>
      <c r="B1007" s="1">
        <v>40412</v>
      </c>
      <c r="C1007" s="7">
        <f t="shared" si="178"/>
        <v>2010</v>
      </c>
      <c r="D1007">
        <v>87</v>
      </c>
      <c r="E1007">
        <v>76.3</v>
      </c>
      <c r="F1007">
        <v>80.900000000000006</v>
      </c>
      <c r="G1007" s="2">
        <f t="shared" si="177"/>
        <v>1</v>
      </c>
      <c r="H1007">
        <v>84.6</v>
      </c>
      <c r="I1007">
        <v>76.3</v>
      </c>
      <c r="J1007">
        <v>80.3</v>
      </c>
      <c r="K1007">
        <v>54.3</v>
      </c>
      <c r="L1007">
        <v>40.700000000000003</v>
      </c>
      <c r="M1007" s="2">
        <f t="shared" si="179"/>
        <v>1</v>
      </c>
      <c r="N1007">
        <v>0</v>
      </c>
      <c r="P1007" s="2">
        <f t="shared" si="180"/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42.5</v>
      </c>
      <c r="W1007" s="2">
        <f t="shared" si="181"/>
        <v>1</v>
      </c>
      <c r="X1007">
        <v>25.3</v>
      </c>
      <c r="Z1007" s="2">
        <f t="shared" si="182"/>
        <v>1</v>
      </c>
      <c r="AA1007">
        <v>358.2</v>
      </c>
      <c r="AB1007" s="2" t="str">
        <f>CHOOSE(MATCH(AA1007,{0;11;80;111;161;191;241;281;341},1),"North","NorthEast","East","SouthEast","South","SouthWest","West","NorthWest","North")</f>
        <v>North</v>
      </c>
      <c r="AC1007" s="5">
        <f>CHOOSE(MATCH(AB1007,{"South";"SouthEast";"SouthWest";"North";"NorthEast";"East";"West";"NorthWest"},0),1,2,3,4,5,6,7,8)</f>
        <v>4</v>
      </c>
      <c r="AD1007" s="2">
        <f t="shared" si="183"/>
        <v>1</v>
      </c>
      <c r="AE1007">
        <v>1013.6</v>
      </c>
      <c r="AF1007" s="4" t="s">
        <v>1650</v>
      </c>
      <c r="AG1007" s="2">
        <f t="shared" si="184"/>
        <v>1</v>
      </c>
      <c r="AH1007" t="s">
        <v>1651</v>
      </c>
      <c r="AI1007" s="2">
        <f t="shared" si="185"/>
        <v>8</v>
      </c>
      <c r="AJ1007" s="2">
        <f t="shared" si="186"/>
        <v>1</v>
      </c>
      <c r="AK1007" s="3">
        <v>1001.999999997206</v>
      </c>
      <c r="AM1007" s="2">
        <v>1</v>
      </c>
      <c r="AN1007">
        <v>0</v>
      </c>
      <c r="AO1007">
        <v>3.5</v>
      </c>
      <c r="AP1007">
        <v>0</v>
      </c>
      <c r="AQ1007" s="2">
        <f>IF((2*G1007 + M1007 -P1007 + 3*W1007 + 2*Z1007+2*AD1007 + AG1007+2*AJ1007 + 4*AM1007) &gt;=8,1,0)</f>
        <v>1</v>
      </c>
    </row>
    <row r="1008" spans="1:43" x14ac:dyDescent="0.25">
      <c r="A1008" t="s">
        <v>27</v>
      </c>
      <c r="B1008" s="1">
        <v>40412</v>
      </c>
      <c r="C1008" s="7">
        <f t="shared" si="178"/>
        <v>2010</v>
      </c>
      <c r="D1008">
        <v>87</v>
      </c>
      <c r="E1008">
        <v>76.3</v>
      </c>
      <c r="F1008">
        <v>80.900000000000006</v>
      </c>
      <c r="G1008" s="2">
        <f t="shared" si="177"/>
        <v>1</v>
      </c>
      <c r="H1008">
        <v>84.6</v>
      </c>
      <c r="I1008">
        <v>76.3</v>
      </c>
      <c r="J1008">
        <v>80.3</v>
      </c>
      <c r="K1008">
        <v>54.3</v>
      </c>
      <c r="L1008">
        <v>40.700000000000003</v>
      </c>
      <c r="M1008" s="2">
        <f t="shared" si="179"/>
        <v>1</v>
      </c>
      <c r="N1008">
        <v>0</v>
      </c>
      <c r="P1008" s="2">
        <f t="shared" si="180"/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42.5</v>
      </c>
      <c r="W1008" s="2">
        <f t="shared" si="181"/>
        <v>1</v>
      </c>
      <c r="X1008">
        <v>25.3</v>
      </c>
      <c r="Z1008" s="2">
        <f t="shared" si="182"/>
        <v>1</v>
      </c>
      <c r="AA1008">
        <v>358.2</v>
      </c>
      <c r="AB1008" s="2" t="str">
        <f>CHOOSE(MATCH(AA1008,{0;11;80;111;161;191;241;281;341},1),"North","NorthEast","East","SouthEast","South","SouthWest","West","NorthWest","North")</f>
        <v>North</v>
      </c>
      <c r="AC1008" s="5">
        <f>CHOOSE(MATCH(AB1008,{"South";"SouthEast";"SouthWest";"North";"NorthEast";"East";"West";"NorthWest"},0),1,2,3,4,5,6,7,8)</f>
        <v>4</v>
      </c>
      <c r="AD1008" s="2">
        <f t="shared" si="183"/>
        <v>1</v>
      </c>
      <c r="AE1008">
        <v>1013.6</v>
      </c>
      <c r="AF1008" s="4" t="s">
        <v>532</v>
      </c>
      <c r="AG1008" s="2">
        <f t="shared" si="184"/>
        <v>1</v>
      </c>
      <c r="AH1008" t="s">
        <v>1652</v>
      </c>
      <c r="AI1008" s="2">
        <f t="shared" si="185"/>
        <v>8</v>
      </c>
      <c r="AJ1008" s="2">
        <f t="shared" si="186"/>
        <v>1</v>
      </c>
      <c r="AK1008" s="3">
        <v>1007.999999995809</v>
      </c>
      <c r="AM1008" s="2">
        <v>1</v>
      </c>
      <c r="AN1008">
        <v>0</v>
      </c>
      <c r="AO1008">
        <v>5</v>
      </c>
      <c r="AP1008">
        <v>0</v>
      </c>
      <c r="AQ1008" s="2">
        <f>IF((2*G1008 + M1008 -P1008 + 3*W1008 + 2*Z1008+2*AD1008 + AG1008+2*AJ1008 + 4*AM1008) &gt;=8,1,0)</f>
        <v>1</v>
      </c>
    </row>
    <row r="1009" spans="1:43" x14ac:dyDescent="0.25">
      <c r="A1009" t="s">
        <v>27</v>
      </c>
      <c r="B1009" s="1">
        <v>40414</v>
      </c>
      <c r="C1009" s="7">
        <f t="shared" si="178"/>
        <v>2010</v>
      </c>
      <c r="D1009">
        <v>90.2</v>
      </c>
      <c r="E1009">
        <v>74.3</v>
      </c>
      <c r="F1009">
        <v>81.599999999999994</v>
      </c>
      <c r="G1009" s="2">
        <f t="shared" si="177"/>
        <v>1</v>
      </c>
      <c r="H1009">
        <v>89.4</v>
      </c>
      <c r="I1009">
        <v>74.3</v>
      </c>
      <c r="J1009">
        <v>81.3</v>
      </c>
      <c r="K1009">
        <v>58.6</v>
      </c>
      <c r="L1009">
        <v>46.5</v>
      </c>
      <c r="M1009" s="2">
        <f t="shared" si="179"/>
        <v>1</v>
      </c>
      <c r="N1009">
        <v>0</v>
      </c>
      <c r="P1009" s="2">
        <f t="shared" si="180"/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26.4</v>
      </c>
      <c r="W1009" s="2">
        <f t="shared" si="181"/>
        <v>1</v>
      </c>
      <c r="X1009">
        <v>15.6</v>
      </c>
      <c r="Z1009" s="2">
        <f t="shared" si="182"/>
        <v>0</v>
      </c>
      <c r="AA1009">
        <v>0.4</v>
      </c>
      <c r="AB1009" s="2" t="str">
        <f>CHOOSE(MATCH(AA1009,{0;11;80;111;161;191;241;281;341},1),"North","NorthEast","East","SouthEast","South","SouthWest","West","NorthWest","North")</f>
        <v>North</v>
      </c>
      <c r="AC1009" s="5">
        <f>CHOOSE(MATCH(AB1009,{"South";"SouthEast";"SouthWest";"North";"NorthEast";"East";"West";"NorthWest"},0),1,2,3,4,5,6,7,8)</f>
        <v>4</v>
      </c>
      <c r="AD1009" s="2">
        <f t="shared" si="183"/>
        <v>1</v>
      </c>
      <c r="AE1009">
        <v>1010.9</v>
      </c>
      <c r="AF1009" s="4" t="s">
        <v>1653</v>
      </c>
      <c r="AG1009" s="2">
        <f t="shared" si="184"/>
        <v>1</v>
      </c>
      <c r="AH1009" t="s">
        <v>1654</v>
      </c>
      <c r="AI1009" s="2">
        <f t="shared" si="185"/>
        <v>8</v>
      </c>
      <c r="AJ1009" s="2">
        <f t="shared" si="186"/>
        <v>1</v>
      </c>
      <c r="AK1009" s="3">
        <v>13.00000000046566</v>
      </c>
      <c r="AM1009" s="2">
        <v>0</v>
      </c>
      <c r="AN1009">
        <v>0</v>
      </c>
      <c r="AO1009">
        <v>0.5</v>
      </c>
      <c r="AP1009">
        <v>0</v>
      </c>
      <c r="AQ1009" s="2">
        <f>IF((2*G1009 + M1009 -P1009 + 3*W1009 + 2*Z1009+2*AD1009 + AG1009+2*AJ1009 + 4*AM1009) &gt;=8,1,0)</f>
        <v>1</v>
      </c>
    </row>
    <row r="1010" spans="1:43" x14ac:dyDescent="0.25">
      <c r="A1010" t="s">
        <v>27</v>
      </c>
      <c r="B1010" s="1">
        <v>40415</v>
      </c>
      <c r="C1010" s="7">
        <f t="shared" si="178"/>
        <v>2010</v>
      </c>
      <c r="D1010">
        <v>94.7</v>
      </c>
      <c r="E1010">
        <v>69</v>
      </c>
      <c r="F1010">
        <v>82.2</v>
      </c>
      <c r="G1010" s="2">
        <f t="shared" si="177"/>
        <v>1</v>
      </c>
      <c r="H1010">
        <v>92.5</v>
      </c>
      <c r="I1010">
        <v>69</v>
      </c>
      <c r="J1010">
        <v>81.8</v>
      </c>
      <c r="K1010">
        <v>57.7</v>
      </c>
      <c r="L1010">
        <v>45</v>
      </c>
      <c r="M1010" s="2">
        <f t="shared" si="179"/>
        <v>1</v>
      </c>
      <c r="N1010">
        <v>0</v>
      </c>
      <c r="P1010" s="2">
        <f t="shared" si="180"/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23</v>
      </c>
      <c r="W1010" s="2">
        <f t="shared" si="181"/>
        <v>1</v>
      </c>
      <c r="X1010">
        <v>15.6</v>
      </c>
      <c r="Z1010" s="2">
        <f t="shared" si="182"/>
        <v>0</v>
      </c>
      <c r="AA1010">
        <v>15.5</v>
      </c>
      <c r="AB1010" s="2" t="str">
        <f>CHOOSE(MATCH(AA1010,{0;11;80;111;161;191;241;281;341},1),"North","NorthEast","East","SouthEast","South","SouthWest","West","NorthWest","North")</f>
        <v>NorthEast</v>
      </c>
      <c r="AC1010" s="5">
        <f>CHOOSE(MATCH(AB1010,{"South";"SouthEast";"SouthWest";"North";"NorthEast";"East";"West";"NorthWest"},0),1,2,3,4,5,6,7,8)</f>
        <v>5</v>
      </c>
      <c r="AD1010" s="2">
        <f t="shared" si="183"/>
        <v>1</v>
      </c>
      <c r="AE1010">
        <v>1010.6</v>
      </c>
      <c r="AF1010" s="4" t="s">
        <v>1655</v>
      </c>
      <c r="AG1010" s="2">
        <f t="shared" si="184"/>
        <v>1</v>
      </c>
      <c r="AH1010" t="s">
        <v>1656</v>
      </c>
      <c r="AI1010" s="2">
        <f t="shared" si="185"/>
        <v>8</v>
      </c>
      <c r="AJ1010" s="2">
        <f t="shared" si="186"/>
        <v>1</v>
      </c>
      <c r="AK1010" s="3">
        <v>92.000000006519258</v>
      </c>
      <c r="AM1010" s="2">
        <v>0</v>
      </c>
      <c r="AN1010">
        <v>0</v>
      </c>
      <c r="AO1010">
        <v>4</v>
      </c>
      <c r="AP1010">
        <v>0</v>
      </c>
      <c r="AQ1010" s="2">
        <f>IF((2*G1010 + M1010 -P1010 + 3*W1010 + 2*Z1010+2*AD1010 + AG1010+2*AJ1010 + 4*AM1010) &gt;=8,1,0)</f>
        <v>1</v>
      </c>
    </row>
    <row r="1011" spans="1:43" x14ac:dyDescent="0.25">
      <c r="A1011" t="s">
        <v>27</v>
      </c>
      <c r="B1011" s="1">
        <v>40416</v>
      </c>
      <c r="C1011" s="7">
        <f t="shared" si="178"/>
        <v>2010</v>
      </c>
      <c r="D1011">
        <v>97.5</v>
      </c>
      <c r="E1011">
        <v>71.2</v>
      </c>
      <c r="F1011">
        <v>85.1</v>
      </c>
      <c r="G1011" s="2">
        <f t="shared" si="177"/>
        <v>1</v>
      </c>
      <c r="H1011">
        <v>96.5</v>
      </c>
      <c r="I1011">
        <v>71.2</v>
      </c>
      <c r="J1011">
        <v>84.3</v>
      </c>
      <c r="K1011">
        <v>56.4</v>
      </c>
      <c r="L1011">
        <v>39.299999999999997</v>
      </c>
      <c r="M1011" s="2">
        <f t="shared" si="179"/>
        <v>1</v>
      </c>
      <c r="N1011">
        <v>0</v>
      </c>
      <c r="P1011" s="2">
        <f t="shared" si="180"/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26.4</v>
      </c>
      <c r="W1011" s="2">
        <f t="shared" si="181"/>
        <v>1</v>
      </c>
      <c r="X1011">
        <v>16.7</v>
      </c>
      <c r="Z1011" s="2">
        <f t="shared" si="182"/>
        <v>1</v>
      </c>
      <c r="AA1011">
        <v>5.5</v>
      </c>
      <c r="AB1011" s="2" t="str">
        <f>CHOOSE(MATCH(AA1011,{0;11;80;111;161;191;241;281;341},1),"North","NorthEast","East","SouthEast","South","SouthWest","West","NorthWest","North")</f>
        <v>North</v>
      </c>
      <c r="AC1011" s="5">
        <f>CHOOSE(MATCH(AB1011,{"South";"SouthEast";"SouthWest";"North";"NorthEast";"East";"West";"NorthWest"},0),1,2,3,4,5,6,7,8)</f>
        <v>4</v>
      </c>
      <c r="AD1011" s="2">
        <f t="shared" si="183"/>
        <v>1</v>
      </c>
      <c r="AE1011">
        <v>1011.2</v>
      </c>
      <c r="AF1011" s="4" t="s">
        <v>1657</v>
      </c>
      <c r="AG1011" s="2">
        <f t="shared" si="184"/>
        <v>0</v>
      </c>
      <c r="AH1011" t="s">
        <v>1658</v>
      </c>
      <c r="AI1011" s="2">
        <f t="shared" si="185"/>
        <v>8</v>
      </c>
      <c r="AJ1011" s="2">
        <f t="shared" si="186"/>
        <v>1</v>
      </c>
      <c r="AK1011" s="3">
        <v>20.00000000232831</v>
      </c>
      <c r="AM1011" s="2">
        <v>0</v>
      </c>
      <c r="AN1011">
        <v>1</v>
      </c>
      <c r="AO1011">
        <v>0</v>
      </c>
      <c r="AP1011">
        <v>0</v>
      </c>
      <c r="AQ1011" s="2">
        <f>IF((2*G1011 + M1011 -P1011 + 3*W1011 + 2*Z1011+2*AD1011 + AG1011+2*AJ1011 + 4*AM1011) &gt;=8,1,0)</f>
        <v>1</v>
      </c>
    </row>
    <row r="1012" spans="1:43" x14ac:dyDescent="0.25">
      <c r="A1012" t="s">
        <v>27</v>
      </c>
      <c r="B1012" s="1">
        <v>40417</v>
      </c>
      <c r="C1012" s="7">
        <f t="shared" si="178"/>
        <v>2010</v>
      </c>
      <c r="D1012">
        <v>96</v>
      </c>
      <c r="E1012">
        <v>80.099999999999994</v>
      </c>
      <c r="F1012">
        <v>86.9</v>
      </c>
      <c r="G1012" s="2">
        <f t="shared" si="177"/>
        <v>1</v>
      </c>
      <c r="H1012">
        <v>94.4</v>
      </c>
      <c r="I1012">
        <v>81.099999999999994</v>
      </c>
      <c r="J1012">
        <v>86.3</v>
      </c>
      <c r="K1012">
        <v>58.3</v>
      </c>
      <c r="L1012">
        <v>39</v>
      </c>
      <c r="M1012" s="2">
        <f t="shared" si="179"/>
        <v>1</v>
      </c>
      <c r="N1012">
        <v>0</v>
      </c>
      <c r="P1012" s="2">
        <f t="shared" si="180"/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30</v>
      </c>
      <c r="W1012" s="2">
        <f t="shared" si="181"/>
        <v>1</v>
      </c>
      <c r="X1012">
        <v>19.2</v>
      </c>
      <c r="Z1012" s="2">
        <f t="shared" si="182"/>
        <v>1</v>
      </c>
      <c r="AA1012">
        <v>0.8</v>
      </c>
      <c r="AB1012" s="2" t="str">
        <f>CHOOSE(MATCH(AA1012,{0;11;80;111;161;191;241;281;341},1),"North","NorthEast","East","SouthEast","South","SouthWest","West","NorthWest","North")</f>
        <v>North</v>
      </c>
      <c r="AC1012" s="5">
        <f>CHOOSE(MATCH(AB1012,{"South";"SouthEast";"SouthWest";"North";"NorthEast";"East";"West";"NorthWest"},0),1,2,3,4,5,6,7,8)</f>
        <v>4</v>
      </c>
      <c r="AD1012" s="2">
        <f t="shared" si="183"/>
        <v>1</v>
      </c>
      <c r="AE1012">
        <v>1010.6</v>
      </c>
      <c r="AF1012" s="4" t="s">
        <v>1011</v>
      </c>
      <c r="AG1012" s="2">
        <f t="shared" si="184"/>
        <v>0</v>
      </c>
      <c r="AH1012" t="s">
        <v>1659</v>
      </c>
      <c r="AI1012" s="2">
        <f t="shared" si="185"/>
        <v>8</v>
      </c>
      <c r="AJ1012" s="2">
        <f t="shared" si="186"/>
        <v>1</v>
      </c>
      <c r="AK1012" s="3">
        <v>59.99999999650754</v>
      </c>
      <c r="AM1012" s="2">
        <v>0</v>
      </c>
      <c r="AN1012">
        <v>0</v>
      </c>
      <c r="AO1012">
        <v>0.5</v>
      </c>
      <c r="AP1012">
        <v>0</v>
      </c>
      <c r="AQ1012" s="2">
        <f>IF((2*G1012 + M1012 -P1012 + 3*W1012 + 2*Z1012+2*AD1012 + AG1012+2*AJ1012 + 4*AM1012) &gt;=8,1,0)</f>
        <v>1</v>
      </c>
    </row>
    <row r="1013" spans="1:43" x14ac:dyDescent="0.25">
      <c r="A1013" t="s">
        <v>27</v>
      </c>
      <c r="B1013" s="1">
        <v>40421</v>
      </c>
      <c r="C1013" s="7">
        <f t="shared" si="178"/>
        <v>2010</v>
      </c>
      <c r="D1013">
        <v>92.2</v>
      </c>
      <c r="E1013">
        <v>74.2</v>
      </c>
      <c r="F1013">
        <v>82.7</v>
      </c>
      <c r="G1013" s="2">
        <f t="shared" si="177"/>
        <v>1</v>
      </c>
      <c r="H1013">
        <v>90.9</v>
      </c>
      <c r="I1013">
        <v>74.2</v>
      </c>
      <c r="J1013">
        <v>82.1</v>
      </c>
      <c r="K1013">
        <v>59.6</v>
      </c>
      <c r="L1013">
        <v>48.5</v>
      </c>
      <c r="M1013" s="2">
        <f t="shared" si="179"/>
        <v>1</v>
      </c>
      <c r="N1013">
        <v>0</v>
      </c>
      <c r="P1013" s="2">
        <f t="shared" si="180"/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25.3</v>
      </c>
      <c r="W1013" s="2">
        <f t="shared" si="181"/>
        <v>1</v>
      </c>
      <c r="X1013">
        <v>16.2</v>
      </c>
      <c r="Z1013" s="2">
        <f t="shared" si="182"/>
        <v>1</v>
      </c>
      <c r="AA1013">
        <v>266.39999999999998</v>
      </c>
      <c r="AB1013" s="2" t="str">
        <f>CHOOSE(MATCH(AA1013,{0;11;80;111;161;191;241;281;341},1),"North","NorthEast","East","SouthEast","South","SouthWest","West","NorthWest","North")</f>
        <v>West</v>
      </c>
      <c r="AC1013" s="5">
        <f>CHOOSE(MATCH(AB1013,{"South";"SouthEast";"SouthWest";"North";"NorthEast";"East";"West";"NorthWest"},0),1,2,3,4,5,6,7,8)</f>
        <v>7</v>
      </c>
      <c r="AD1013" s="2">
        <f t="shared" si="183"/>
        <v>0</v>
      </c>
      <c r="AE1013">
        <v>1002.8</v>
      </c>
      <c r="AF1013" s="4" t="s">
        <v>1660</v>
      </c>
      <c r="AG1013" s="2">
        <f t="shared" si="184"/>
        <v>1</v>
      </c>
      <c r="AH1013" t="s">
        <v>1661</v>
      </c>
      <c r="AI1013" s="2">
        <f t="shared" si="185"/>
        <v>8</v>
      </c>
      <c r="AJ1013" s="2">
        <f t="shared" si="186"/>
        <v>1</v>
      </c>
      <c r="AK1013" s="3">
        <v>1593.9999999990689</v>
      </c>
      <c r="AM1013" s="2">
        <v>1</v>
      </c>
      <c r="AN1013">
        <v>0</v>
      </c>
      <c r="AO1013">
        <v>20</v>
      </c>
      <c r="AP1013">
        <v>0</v>
      </c>
      <c r="AQ1013" s="2">
        <f>IF((2*G1013 + M1013 -P1013 + 3*W1013 + 2*Z1013+2*AD1013 + AG1013+2*AJ1013 + 4*AM1013) &gt;=8,1,0)</f>
        <v>1</v>
      </c>
    </row>
    <row r="1014" spans="1:43" x14ac:dyDescent="0.25">
      <c r="A1014" t="s">
        <v>27</v>
      </c>
      <c r="B1014" s="1">
        <v>40422</v>
      </c>
      <c r="C1014" s="7">
        <f t="shared" si="178"/>
        <v>2010</v>
      </c>
      <c r="D1014">
        <v>85.7</v>
      </c>
      <c r="E1014">
        <v>72.599999999999994</v>
      </c>
      <c r="F1014">
        <v>78.8</v>
      </c>
      <c r="G1014" s="2">
        <f t="shared" si="177"/>
        <v>1</v>
      </c>
      <c r="H1014">
        <v>82.6</v>
      </c>
      <c r="I1014">
        <v>72.599999999999994</v>
      </c>
      <c r="J1014">
        <v>78</v>
      </c>
      <c r="K1014">
        <v>47.3</v>
      </c>
      <c r="L1014">
        <v>34.4</v>
      </c>
      <c r="M1014" s="2">
        <f t="shared" si="179"/>
        <v>1</v>
      </c>
      <c r="N1014">
        <v>0</v>
      </c>
      <c r="P1014" s="2">
        <f t="shared" si="180"/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39.1</v>
      </c>
      <c r="W1014" s="2">
        <f t="shared" si="181"/>
        <v>1</v>
      </c>
      <c r="X1014">
        <v>14.9</v>
      </c>
      <c r="Z1014" s="2">
        <f t="shared" si="182"/>
        <v>0</v>
      </c>
      <c r="AA1014">
        <v>328.7</v>
      </c>
      <c r="AB1014" s="2" t="str">
        <f>CHOOSE(MATCH(AA1014,{0;11;80;111;161;191;241;281;341},1),"North","NorthEast","East","SouthEast","South","SouthWest","West","NorthWest","North")</f>
        <v>NorthWest</v>
      </c>
      <c r="AC1014" s="5">
        <f>CHOOSE(MATCH(AB1014,{"South";"SouthEast";"SouthWest";"North";"NorthEast";"East";"West";"NorthWest"},0),1,2,3,4,5,6,7,8)</f>
        <v>8</v>
      </c>
      <c r="AD1014" s="2">
        <f t="shared" si="183"/>
        <v>1</v>
      </c>
      <c r="AE1014">
        <v>1005.7</v>
      </c>
      <c r="AF1014" s="4" t="s">
        <v>561</v>
      </c>
      <c r="AG1014" s="2">
        <f t="shared" si="184"/>
        <v>1</v>
      </c>
      <c r="AH1014" t="s">
        <v>1662</v>
      </c>
      <c r="AI1014" s="2">
        <f t="shared" si="185"/>
        <v>9</v>
      </c>
      <c r="AJ1014" s="2">
        <f t="shared" si="186"/>
        <v>0</v>
      </c>
      <c r="AK1014" s="3">
        <v>299.99999999301508</v>
      </c>
      <c r="AM1014" s="2">
        <v>0</v>
      </c>
      <c r="AN1014">
        <v>0</v>
      </c>
      <c r="AO1014">
        <v>2</v>
      </c>
      <c r="AP1014">
        <v>0</v>
      </c>
      <c r="AQ1014" s="2">
        <f>IF((2*G1014 + M1014 -P1014 + 3*W1014 + 2*Z1014+2*AD1014 + AG1014+2*AJ1014 + 4*AM1014) &gt;=8,1,0)</f>
        <v>1</v>
      </c>
    </row>
    <row r="1015" spans="1:43" x14ac:dyDescent="0.25">
      <c r="A1015" t="s">
        <v>27</v>
      </c>
      <c r="B1015" s="1">
        <v>40422</v>
      </c>
      <c r="C1015" s="7">
        <f t="shared" si="178"/>
        <v>2010</v>
      </c>
      <c r="D1015">
        <v>85.7</v>
      </c>
      <c r="E1015">
        <v>72.599999999999994</v>
      </c>
      <c r="F1015">
        <v>78.8</v>
      </c>
      <c r="G1015" s="2">
        <f t="shared" si="177"/>
        <v>1</v>
      </c>
      <c r="H1015">
        <v>82.6</v>
      </c>
      <c r="I1015">
        <v>72.599999999999994</v>
      </c>
      <c r="J1015">
        <v>78</v>
      </c>
      <c r="K1015">
        <v>47.3</v>
      </c>
      <c r="L1015">
        <v>34.4</v>
      </c>
      <c r="M1015" s="2">
        <f t="shared" si="179"/>
        <v>1</v>
      </c>
      <c r="N1015">
        <v>0</v>
      </c>
      <c r="P1015" s="2">
        <f t="shared" si="180"/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39.1</v>
      </c>
      <c r="W1015" s="2">
        <f t="shared" si="181"/>
        <v>1</v>
      </c>
      <c r="X1015">
        <v>14.9</v>
      </c>
      <c r="Z1015" s="2">
        <f t="shared" si="182"/>
        <v>0</v>
      </c>
      <c r="AA1015">
        <v>328.7</v>
      </c>
      <c r="AB1015" s="2" t="str">
        <f>CHOOSE(MATCH(AA1015,{0;11;80;111;161;191;241;281;341},1),"North","NorthEast","East","SouthEast","South","SouthWest","West","NorthWest","North")</f>
        <v>NorthWest</v>
      </c>
      <c r="AC1015" s="5">
        <f>CHOOSE(MATCH(AB1015,{"South";"SouthEast";"SouthWest";"North";"NorthEast";"East";"West";"NorthWest"},0),1,2,3,4,5,6,7,8)</f>
        <v>8</v>
      </c>
      <c r="AD1015" s="2">
        <f t="shared" si="183"/>
        <v>1</v>
      </c>
      <c r="AE1015">
        <v>1005.7</v>
      </c>
      <c r="AF1015" s="4" t="s">
        <v>357</v>
      </c>
      <c r="AG1015" s="2">
        <f t="shared" si="184"/>
        <v>0</v>
      </c>
      <c r="AH1015" t="s">
        <v>1663</v>
      </c>
      <c r="AI1015" s="2">
        <f t="shared" si="185"/>
        <v>9</v>
      </c>
      <c r="AJ1015" s="2">
        <f t="shared" si="186"/>
        <v>0</v>
      </c>
      <c r="AK1015" s="3">
        <v>2970</v>
      </c>
      <c r="AM1015" s="2">
        <v>1</v>
      </c>
      <c r="AN1015">
        <v>0</v>
      </c>
      <c r="AO1015">
        <v>30</v>
      </c>
      <c r="AP1015">
        <v>0</v>
      </c>
      <c r="AQ1015" s="2">
        <f>IF((2*G1015 + M1015 -P1015 + 3*W1015 + 2*Z1015+2*AD1015 + AG1015+2*AJ1015 + 4*AM1015) &gt;=8,1,0)</f>
        <v>1</v>
      </c>
    </row>
    <row r="1016" spans="1:43" x14ac:dyDescent="0.25">
      <c r="A1016" t="s">
        <v>27</v>
      </c>
      <c r="B1016" s="1">
        <v>40428</v>
      </c>
      <c r="C1016" s="7">
        <f t="shared" si="178"/>
        <v>2010</v>
      </c>
      <c r="D1016">
        <v>84.4</v>
      </c>
      <c r="E1016">
        <v>67.400000000000006</v>
      </c>
      <c r="F1016">
        <v>75.8</v>
      </c>
      <c r="G1016" s="2">
        <f t="shared" si="177"/>
        <v>1</v>
      </c>
      <c r="H1016">
        <v>83.7</v>
      </c>
      <c r="I1016">
        <v>67.400000000000006</v>
      </c>
      <c r="J1016">
        <v>75.599999999999994</v>
      </c>
      <c r="K1016">
        <v>57</v>
      </c>
      <c r="L1016">
        <v>53.2</v>
      </c>
      <c r="M1016" s="2">
        <f t="shared" si="179"/>
        <v>0</v>
      </c>
      <c r="N1016">
        <v>0</v>
      </c>
      <c r="P1016" s="2">
        <f t="shared" si="180"/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s="2">
        <f t="shared" si="181"/>
        <v>0</v>
      </c>
      <c r="X1016">
        <v>13.3</v>
      </c>
      <c r="Z1016" s="2">
        <f t="shared" si="182"/>
        <v>0</v>
      </c>
      <c r="AA1016">
        <v>9.3000000000000007</v>
      </c>
      <c r="AB1016" s="2" t="str">
        <f>CHOOSE(MATCH(AA1016,{0;11;80;111;161;191;241;281;341},1),"North","NorthEast","East","SouthEast","South","SouthWest","West","NorthWest","North")</f>
        <v>North</v>
      </c>
      <c r="AC1016" s="5">
        <f>CHOOSE(MATCH(AB1016,{"South";"SouthEast";"SouthWest";"North";"NorthEast";"East";"West";"NorthWest"},0),1,2,3,4,5,6,7,8)</f>
        <v>4</v>
      </c>
      <c r="AD1016" s="2">
        <f t="shared" si="183"/>
        <v>1</v>
      </c>
      <c r="AE1016">
        <v>1014</v>
      </c>
      <c r="AF1016" s="4" t="s">
        <v>1664</v>
      </c>
      <c r="AG1016" s="2">
        <f t="shared" si="184"/>
        <v>0</v>
      </c>
      <c r="AH1016" t="s">
        <v>1665</v>
      </c>
      <c r="AI1016" s="2">
        <f t="shared" si="185"/>
        <v>9</v>
      </c>
      <c r="AJ1016" s="2">
        <f t="shared" si="186"/>
        <v>0</v>
      </c>
      <c r="AK1016" s="3">
        <v>552.00000000768341</v>
      </c>
      <c r="AM1016" s="2">
        <v>1</v>
      </c>
      <c r="AN1016">
        <v>0</v>
      </c>
      <c r="AO1016">
        <v>2</v>
      </c>
      <c r="AP1016">
        <v>0</v>
      </c>
      <c r="AQ1016" s="2">
        <f>IF((2*G1016 + M1016 -P1016 + 3*W1016 + 2*Z1016+2*AD1016 + AG1016+2*AJ1016 + 4*AM1016) &gt;=8,1,0)</f>
        <v>0</v>
      </c>
    </row>
    <row r="1017" spans="1:43" x14ac:dyDescent="0.25">
      <c r="A1017" t="s">
        <v>27</v>
      </c>
      <c r="B1017" s="1">
        <v>40431</v>
      </c>
      <c r="C1017" s="7">
        <f t="shared" si="178"/>
        <v>2010</v>
      </c>
      <c r="D1017">
        <v>87.6</v>
      </c>
      <c r="E1017">
        <v>67</v>
      </c>
      <c r="F1017">
        <v>77</v>
      </c>
      <c r="G1017" s="2">
        <f t="shared" si="177"/>
        <v>1</v>
      </c>
      <c r="H1017">
        <v>87.6</v>
      </c>
      <c r="I1017">
        <v>67</v>
      </c>
      <c r="J1017">
        <v>77.099999999999994</v>
      </c>
      <c r="K1017">
        <v>57</v>
      </c>
      <c r="L1017">
        <v>50.5</v>
      </c>
      <c r="M1017" s="2">
        <f t="shared" si="179"/>
        <v>0</v>
      </c>
      <c r="N1017">
        <v>0</v>
      </c>
      <c r="P1017" s="2">
        <f t="shared" si="180"/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32.200000000000003</v>
      </c>
      <c r="W1017" s="2">
        <f t="shared" si="181"/>
        <v>1</v>
      </c>
      <c r="X1017">
        <v>18.2</v>
      </c>
      <c r="Z1017" s="2">
        <f t="shared" si="182"/>
        <v>1</v>
      </c>
      <c r="AA1017">
        <v>354.1</v>
      </c>
      <c r="AB1017" s="2" t="str">
        <f>CHOOSE(MATCH(AA1017,{0;11;80;111;161;191;241;281;341},1),"North","NorthEast","East","SouthEast","South","SouthWest","West","NorthWest","North")</f>
        <v>North</v>
      </c>
      <c r="AC1017" s="5">
        <f>CHOOSE(MATCH(AB1017,{"South";"SouthEast";"SouthWest";"North";"NorthEast";"East";"West";"NorthWest"},0),1,2,3,4,5,6,7,8)</f>
        <v>4</v>
      </c>
      <c r="AD1017" s="2">
        <f t="shared" si="183"/>
        <v>1</v>
      </c>
      <c r="AE1017">
        <v>1010.3</v>
      </c>
      <c r="AF1017" s="4" t="s">
        <v>1666</v>
      </c>
      <c r="AG1017" s="2">
        <f t="shared" si="184"/>
        <v>1</v>
      </c>
      <c r="AH1017" t="s">
        <v>1667</v>
      </c>
      <c r="AI1017" s="2">
        <f t="shared" si="185"/>
        <v>9</v>
      </c>
      <c r="AJ1017" s="2">
        <f t="shared" si="186"/>
        <v>0</v>
      </c>
      <c r="AK1017" s="3">
        <v>169.0000000060536</v>
      </c>
      <c r="AM1017" s="2">
        <v>0</v>
      </c>
      <c r="AN1017">
        <v>0</v>
      </c>
      <c r="AO1017">
        <v>1</v>
      </c>
      <c r="AP1017">
        <v>0</v>
      </c>
      <c r="AQ1017" s="2">
        <f>IF((2*G1017 + M1017 -P1017 + 3*W1017 + 2*Z1017+2*AD1017 + AG1017+2*AJ1017 + 4*AM1017) &gt;=8,1,0)</f>
        <v>1</v>
      </c>
    </row>
    <row r="1018" spans="1:43" x14ac:dyDescent="0.25">
      <c r="A1018" t="s">
        <v>27</v>
      </c>
      <c r="B1018" s="1">
        <v>40437</v>
      </c>
      <c r="C1018" s="7">
        <f t="shared" si="178"/>
        <v>2010</v>
      </c>
      <c r="D1018">
        <v>87</v>
      </c>
      <c r="E1018">
        <v>65.2</v>
      </c>
      <c r="F1018">
        <v>75.7</v>
      </c>
      <c r="G1018" s="2">
        <f t="shared" si="177"/>
        <v>1</v>
      </c>
      <c r="H1018">
        <v>83.9</v>
      </c>
      <c r="I1018">
        <v>65.2</v>
      </c>
      <c r="J1018">
        <v>74.900000000000006</v>
      </c>
      <c r="K1018">
        <v>48.1</v>
      </c>
      <c r="L1018">
        <v>39.4</v>
      </c>
      <c r="M1018" s="2">
        <f t="shared" si="179"/>
        <v>1</v>
      </c>
      <c r="N1018">
        <v>0</v>
      </c>
      <c r="P1018" s="2">
        <f t="shared" si="180"/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17.2</v>
      </c>
      <c r="W1018" s="2">
        <f t="shared" si="181"/>
        <v>1</v>
      </c>
      <c r="X1018">
        <v>13.4</v>
      </c>
      <c r="Z1018" s="2">
        <f t="shared" si="182"/>
        <v>0</v>
      </c>
      <c r="AA1018">
        <v>352.6</v>
      </c>
      <c r="AB1018" s="2" t="str">
        <f>CHOOSE(MATCH(AA1018,{0;11;80;111;161;191;241;281;341},1),"North","NorthEast","East","SouthEast","South","SouthWest","West","NorthWest","North")</f>
        <v>North</v>
      </c>
      <c r="AC1018" s="5">
        <f>CHOOSE(MATCH(AB1018,{"South";"SouthEast";"SouthWest";"North";"NorthEast";"East";"West";"NorthWest"},0),1,2,3,4,5,6,7,8)</f>
        <v>4</v>
      </c>
      <c r="AD1018" s="2">
        <f t="shared" si="183"/>
        <v>1</v>
      </c>
      <c r="AE1018">
        <v>1013.4</v>
      </c>
      <c r="AF1018" s="4" t="s">
        <v>1668</v>
      </c>
      <c r="AG1018" s="2">
        <f t="shared" si="184"/>
        <v>1</v>
      </c>
      <c r="AH1018" t="s">
        <v>1669</v>
      </c>
      <c r="AI1018" s="2">
        <f t="shared" si="185"/>
        <v>9</v>
      </c>
      <c r="AJ1018" s="2">
        <f t="shared" si="186"/>
        <v>0</v>
      </c>
      <c r="AK1018" s="3">
        <v>31.999999999534339</v>
      </c>
      <c r="AM1018" s="2">
        <v>0</v>
      </c>
      <c r="AN1018">
        <v>0</v>
      </c>
      <c r="AO1018">
        <v>0.5</v>
      </c>
      <c r="AP1018">
        <v>0</v>
      </c>
      <c r="AQ1018" s="2">
        <f>IF((2*G1018 + M1018 -P1018 + 3*W1018 + 2*Z1018+2*AD1018 + AG1018+2*AJ1018 + 4*AM1018) &gt;=8,1,0)</f>
        <v>1</v>
      </c>
    </row>
    <row r="1019" spans="1:43" x14ac:dyDescent="0.25">
      <c r="A1019" t="s">
        <v>27</v>
      </c>
      <c r="B1019" s="1">
        <v>40448</v>
      </c>
      <c r="C1019" s="7">
        <f t="shared" si="178"/>
        <v>2010</v>
      </c>
      <c r="D1019">
        <v>82.6</v>
      </c>
      <c r="E1019">
        <v>67.099999999999994</v>
      </c>
      <c r="F1019">
        <v>75.099999999999994</v>
      </c>
      <c r="G1019" s="2">
        <f t="shared" si="177"/>
        <v>1</v>
      </c>
      <c r="H1019">
        <v>81.7</v>
      </c>
      <c r="I1019">
        <v>67.099999999999994</v>
      </c>
      <c r="J1019">
        <v>74.900000000000006</v>
      </c>
      <c r="K1019">
        <v>57</v>
      </c>
      <c r="L1019">
        <v>54.8</v>
      </c>
      <c r="M1019" s="2">
        <f t="shared" si="179"/>
        <v>0</v>
      </c>
      <c r="N1019">
        <v>0</v>
      </c>
      <c r="P1019" s="2">
        <f t="shared" si="180"/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s="2">
        <f t="shared" si="181"/>
        <v>0</v>
      </c>
      <c r="X1019">
        <v>15</v>
      </c>
      <c r="Z1019" s="2">
        <f t="shared" si="182"/>
        <v>0</v>
      </c>
      <c r="AA1019">
        <v>240.6</v>
      </c>
      <c r="AB1019" s="2" t="str">
        <f>CHOOSE(MATCH(AA1019,{0;11;80;111;161;191;241;281;341},1),"North","NorthEast","East","SouthEast","South","SouthWest","West","NorthWest","North")</f>
        <v>SouthWest</v>
      </c>
      <c r="AC1019" s="5">
        <f>CHOOSE(MATCH(AB1019,{"South";"SouthEast";"SouthWest";"North";"NorthEast";"East";"West";"NorthWest"},0),1,2,3,4,5,6,7,8)</f>
        <v>3</v>
      </c>
      <c r="AD1019" s="2">
        <f t="shared" si="183"/>
        <v>1</v>
      </c>
      <c r="AE1019">
        <v>1013.2</v>
      </c>
      <c r="AF1019" s="4" t="s">
        <v>959</v>
      </c>
      <c r="AG1019" s="2">
        <f t="shared" si="184"/>
        <v>1</v>
      </c>
      <c r="AH1019" t="s">
        <v>1670</v>
      </c>
      <c r="AI1019" s="2">
        <f t="shared" si="185"/>
        <v>9</v>
      </c>
      <c r="AJ1019" s="2">
        <f t="shared" si="186"/>
        <v>0</v>
      </c>
      <c r="AK1019" s="3">
        <v>52.000000001862652</v>
      </c>
      <c r="AM1019" s="2">
        <v>0</v>
      </c>
      <c r="AN1019">
        <v>0</v>
      </c>
      <c r="AO1019">
        <v>0.2</v>
      </c>
      <c r="AP1019">
        <v>0</v>
      </c>
      <c r="AQ1019" s="2">
        <f>IF((2*G1019 + M1019 -P1019 + 3*W1019 + 2*Z1019+2*AD1019 + AG1019+2*AJ1019 + 4*AM1019) &gt;=8,1,0)</f>
        <v>0</v>
      </c>
    </row>
    <row r="1020" spans="1:43" x14ac:dyDescent="0.25">
      <c r="A1020" t="s">
        <v>27</v>
      </c>
      <c r="B1020" s="1">
        <v>40448</v>
      </c>
      <c r="C1020" s="7">
        <f t="shared" si="178"/>
        <v>2010</v>
      </c>
      <c r="D1020">
        <v>82.6</v>
      </c>
      <c r="E1020">
        <v>67.099999999999994</v>
      </c>
      <c r="F1020">
        <v>75.099999999999994</v>
      </c>
      <c r="G1020" s="2">
        <f t="shared" si="177"/>
        <v>1</v>
      </c>
      <c r="H1020">
        <v>81.7</v>
      </c>
      <c r="I1020">
        <v>67.099999999999994</v>
      </c>
      <c r="J1020">
        <v>74.900000000000006</v>
      </c>
      <c r="K1020">
        <v>57</v>
      </c>
      <c r="L1020">
        <v>54.8</v>
      </c>
      <c r="M1020" s="2">
        <f t="shared" si="179"/>
        <v>0</v>
      </c>
      <c r="N1020">
        <v>0</v>
      </c>
      <c r="P1020" s="2">
        <f t="shared" si="180"/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s="2">
        <f t="shared" si="181"/>
        <v>0</v>
      </c>
      <c r="X1020">
        <v>15</v>
      </c>
      <c r="Z1020" s="2">
        <f t="shared" si="182"/>
        <v>0</v>
      </c>
      <c r="AA1020">
        <v>240.6</v>
      </c>
      <c r="AB1020" s="2" t="str">
        <f>CHOOSE(MATCH(AA1020,{0;11;80;111;161;191;241;281;341},1),"North","NorthEast","East","SouthEast","South","SouthWest","West","NorthWest","North")</f>
        <v>SouthWest</v>
      </c>
      <c r="AC1020" s="5">
        <f>CHOOSE(MATCH(AB1020,{"South";"SouthEast";"SouthWest";"North";"NorthEast";"East";"West";"NorthWest"},0),1,2,3,4,5,6,7,8)</f>
        <v>3</v>
      </c>
      <c r="AD1020" s="2">
        <f t="shared" si="183"/>
        <v>1</v>
      </c>
      <c r="AE1020">
        <v>1013.2</v>
      </c>
      <c r="AF1020" s="4" t="s">
        <v>92</v>
      </c>
      <c r="AG1020" s="2">
        <f t="shared" si="184"/>
        <v>1</v>
      </c>
      <c r="AH1020" t="s">
        <v>1671</v>
      </c>
      <c r="AI1020" s="2">
        <f t="shared" si="185"/>
        <v>9</v>
      </c>
      <c r="AJ1020" s="2">
        <f t="shared" si="186"/>
        <v>0</v>
      </c>
      <c r="AK1020" s="3">
        <v>100.0000000011642</v>
      </c>
      <c r="AM1020" s="2">
        <v>0</v>
      </c>
      <c r="AN1020">
        <v>0</v>
      </c>
      <c r="AO1020">
        <v>3</v>
      </c>
      <c r="AP1020">
        <v>0</v>
      </c>
      <c r="AQ1020" s="2">
        <f>IF((2*G1020 + M1020 -P1020 + 3*W1020 + 2*Z1020+2*AD1020 + AG1020+2*AJ1020 + 4*AM1020) &gt;=8,1,0)</f>
        <v>0</v>
      </c>
    </row>
    <row r="1021" spans="1:43" x14ac:dyDescent="0.25">
      <c r="A1021" t="s">
        <v>27</v>
      </c>
      <c r="B1021" s="1">
        <v>40455</v>
      </c>
      <c r="C1021" s="7">
        <f t="shared" si="178"/>
        <v>2010</v>
      </c>
      <c r="D1021">
        <v>76.400000000000006</v>
      </c>
      <c r="E1021">
        <v>59</v>
      </c>
      <c r="F1021">
        <v>67</v>
      </c>
      <c r="G1021" s="2">
        <f t="shared" si="177"/>
        <v>0</v>
      </c>
      <c r="H1021">
        <v>76.400000000000006</v>
      </c>
      <c r="I1021">
        <v>59</v>
      </c>
      <c r="J1021">
        <v>67</v>
      </c>
      <c r="K1021">
        <v>51.1</v>
      </c>
      <c r="L1021">
        <v>57.6</v>
      </c>
      <c r="M1021" s="2">
        <f t="shared" si="179"/>
        <v>0</v>
      </c>
      <c r="N1021">
        <v>0</v>
      </c>
      <c r="P1021" s="2">
        <f t="shared" si="180"/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s="2">
        <f t="shared" si="181"/>
        <v>0</v>
      </c>
      <c r="X1021">
        <v>12.6</v>
      </c>
      <c r="Z1021" s="2">
        <f t="shared" si="182"/>
        <v>0</v>
      </c>
      <c r="AA1021">
        <v>20.7</v>
      </c>
      <c r="AB1021" s="2" t="str">
        <f>CHOOSE(MATCH(AA1021,{0;11;80;111;161;191;241;281;341},1),"North","NorthEast","East","SouthEast","South","SouthWest","West","NorthWest","North")</f>
        <v>NorthEast</v>
      </c>
      <c r="AC1021" s="5">
        <f>CHOOSE(MATCH(AB1021,{"South";"SouthEast";"SouthWest";"North";"NorthEast";"East";"West";"NorthWest"},0),1,2,3,4,5,6,7,8)</f>
        <v>5</v>
      </c>
      <c r="AD1021" s="2">
        <f t="shared" si="183"/>
        <v>1</v>
      </c>
      <c r="AE1021">
        <v>1019</v>
      </c>
      <c r="AF1021" s="4" t="s">
        <v>240</v>
      </c>
      <c r="AG1021" s="2">
        <f t="shared" si="184"/>
        <v>1</v>
      </c>
      <c r="AH1021" t="s">
        <v>1672</v>
      </c>
      <c r="AI1021" s="2">
        <f t="shared" si="185"/>
        <v>10</v>
      </c>
      <c r="AJ1021" s="2">
        <f t="shared" si="186"/>
        <v>0</v>
      </c>
      <c r="AK1021" s="3">
        <v>114.99999999767169</v>
      </c>
      <c r="AM1021" s="2">
        <v>0</v>
      </c>
      <c r="AN1021">
        <v>0</v>
      </c>
      <c r="AO1021">
        <v>1</v>
      </c>
      <c r="AP1021">
        <v>0</v>
      </c>
      <c r="AQ1021" s="2">
        <f>IF((2*G1021 + M1021 -P1021 + 3*W1021 + 2*Z1021+2*AD1021 + AG1021+2*AJ1021 + 4*AM1021) &gt;=8,1,0)</f>
        <v>0</v>
      </c>
    </row>
    <row r="1022" spans="1:43" x14ac:dyDescent="0.25">
      <c r="A1022" t="s">
        <v>27</v>
      </c>
      <c r="B1022" s="1">
        <v>40466</v>
      </c>
      <c r="C1022" s="7">
        <f t="shared" si="178"/>
        <v>2010</v>
      </c>
      <c r="D1022">
        <v>75.7</v>
      </c>
      <c r="E1022">
        <v>59.6</v>
      </c>
      <c r="F1022">
        <v>67.400000000000006</v>
      </c>
      <c r="G1022" s="2">
        <f t="shared" si="177"/>
        <v>0</v>
      </c>
      <c r="H1022">
        <v>75.7</v>
      </c>
      <c r="I1022">
        <v>59.6</v>
      </c>
      <c r="J1022">
        <v>67.400000000000006</v>
      </c>
      <c r="K1022">
        <v>59.2</v>
      </c>
      <c r="L1022">
        <v>76.900000000000006</v>
      </c>
      <c r="M1022" s="2">
        <f t="shared" si="179"/>
        <v>0</v>
      </c>
      <c r="N1022">
        <v>0</v>
      </c>
      <c r="P1022" s="2">
        <f t="shared" si="180"/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s="2">
        <f t="shared" si="181"/>
        <v>0</v>
      </c>
      <c r="X1022">
        <v>10.3</v>
      </c>
      <c r="Z1022" s="2">
        <f t="shared" si="182"/>
        <v>0</v>
      </c>
      <c r="AA1022">
        <v>327.60000000000002</v>
      </c>
      <c r="AB1022" s="2" t="str">
        <f>CHOOSE(MATCH(AA1022,{0;11;80;111;161;191;241;281;341},1),"North","NorthEast","East","SouthEast","South","SouthWest","West","NorthWest","North")</f>
        <v>NorthWest</v>
      </c>
      <c r="AC1022" s="5">
        <f>CHOOSE(MATCH(AB1022,{"South";"SouthEast";"SouthWest";"North";"NorthEast";"East";"West";"NorthWest"},0),1,2,3,4,5,6,7,8)</f>
        <v>8</v>
      </c>
      <c r="AD1022" s="2">
        <f t="shared" si="183"/>
        <v>1</v>
      </c>
      <c r="AE1022">
        <v>1005.8</v>
      </c>
      <c r="AF1022" s="4" t="s">
        <v>1673</v>
      </c>
      <c r="AG1022" s="2">
        <f t="shared" si="184"/>
        <v>1</v>
      </c>
      <c r="AH1022" t="s">
        <v>1674</v>
      </c>
      <c r="AI1022" s="2">
        <f t="shared" si="185"/>
        <v>10</v>
      </c>
      <c r="AJ1022" s="2">
        <f t="shared" si="186"/>
        <v>0</v>
      </c>
      <c r="AK1022" s="3">
        <v>105.9999999997672</v>
      </c>
      <c r="AM1022" s="2">
        <v>0</v>
      </c>
      <c r="AN1022">
        <v>0</v>
      </c>
      <c r="AO1022">
        <v>0.5</v>
      </c>
      <c r="AP1022">
        <v>0</v>
      </c>
      <c r="AQ1022" s="2">
        <f>IF((2*G1022 + M1022 -P1022 + 3*W1022 + 2*Z1022+2*AD1022 + AG1022+2*AJ1022 + 4*AM1022) &gt;=8,1,0)</f>
        <v>0</v>
      </c>
    </row>
    <row r="1023" spans="1:43" x14ac:dyDescent="0.25">
      <c r="A1023" t="s">
        <v>27</v>
      </c>
      <c r="B1023" s="1">
        <v>40493</v>
      </c>
      <c r="C1023" s="7">
        <f t="shared" si="178"/>
        <v>2010</v>
      </c>
      <c r="D1023">
        <v>74.3</v>
      </c>
      <c r="E1023">
        <v>59.6</v>
      </c>
      <c r="F1023">
        <v>66.8</v>
      </c>
      <c r="G1023" s="2">
        <f t="shared" si="177"/>
        <v>0</v>
      </c>
      <c r="H1023">
        <v>74.3</v>
      </c>
      <c r="I1023">
        <v>59.6</v>
      </c>
      <c r="J1023">
        <v>66.8</v>
      </c>
      <c r="K1023">
        <v>57.5</v>
      </c>
      <c r="L1023">
        <v>72.400000000000006</v>
      </c>
      <c r="M1023" s="2">
        <f t="shared" si="179"/>
        <v>0</v>
      </c>
      <c r="N1023">
        <v>0</v>
      </c>
      <c r="P1023" s="2">
        <f t="shared" si="180"/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s="2">
        <f t="shared" si="181"/>
        <v>0</v>
      </c>
      <c r="X1023">
        <v>11.6</v>
      </c>
      <c r="Z1023" s="2">
        <f t="shared" si="182"/>
        <v>0</v>
      </c>
      <c r="AA1023">
        <v>204.5</v>
      </c>
      <c r="AB1023" s="2" t="str">
        <f>CHOOSE(MATCH(AA1023,{0;11;80;111;161;191;241;281;341},1),"North","NorthEast","East","SouthEast","South","SouthWest","West","NorthWest","North")</f>
        <v>SouthWest</v>
      </c>
      <c r="AC1023" s="5">
        <f>CHOOSE(MATCH(AB1023,{"South";"SouthEast";"SouthWest";"North";"NorthEast";"East";"West";"NorthWest"},0),1,2,3,4,5,6,7,8)</f>
        <v>3</v>
      </c>
      <c r="AD1023" s="2">
        <f t="shared" si="183"/>
        <v>1</v>
      </c>
      <c r="AE1023">
        <v>1014.6</v>
      </c>
      <c r="AF1023" s="4" t="s">
        <v>1675</v>
      </c>
      <c r="AG1023" s="2">
        <f t="shared" si="184"/>
        <v>0</v>
      </c>
      <c r="AH1023" t="s">
        <v>1676</v>
      </c>
      <c r="AI1023" s="2">
        <f t="shared" si="185"/>
        <v>11</v>
      </c>
      <c r="AJ1023" s="2">
        <f t="shared" si="186"/>
        <v>0</v>
      </c>
      <c r="AK1023" s="3">
        <v>326.99999999720598</v>
      </c>
      <c r="AM1023" s="2">
        <v>0</v>
      </c>
      <c r="AN1023">
        <v>0</v>
      </c>
      <c r="AO1023">
        <v>1</v>
      </c>
      <c r="AP1023">
        <v>0</v>
      </c>
      <c r="AQ1023" s="2">
        <f>IF((2*G1023 + M1023 -P1023 + 3*W1023 + 2*Z1023+2*AD1023 + AG1023+2*AJ1023 + 4*AM1023) &gt;=8,1,0)</f>
        <v>0</v>
      </c>
    </row>
    <row r="1024" spans="1:43" x14ac:dyDescent="0.25">
      <c r="A1024" t="s">
        <v>27</v>
      </c>
      <c r="B1024" s="1">
        <v>40507</v>
      </c>
      <c r="C1024" s="7">
        <f t="shared" si="178"/>
        <v>2010</v>
      </c>
      <c r="D1024">
        <v>65.3</v>
      </c>
      <c r="E1024">
        <v>51.8</v>
      </c>
      <c r="F1024">
        <v>58.6</v>
      </c>
      <c r="G1024" s="2">
        <f t="shared" si="177"/>
        <v>0</v>
      </c>
      <c r="H1024">
        <v>65.3</v>
      </c>
      <c r="I1024">
        <v>51.8</v>
      </c>
      <c r="J1024">
        <v>58.6</v>
      </c>
      <c r="K1024">
        <v>46.7</v>
      </c>
      <c r="L1024">
        <v>65.400000000000006</v>
      </c>
      <c r="M1024" s="2">
        <f t="shared" si="179"/>
        <v>0</v>
      </c>
      <c r="N1024">
        <v>0</v>
      </c>
      <c r="P1024" s="2">
        <f t="shared" si="180"/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s="2">
        <f t="shared" si="181"/>
        <v>0</v>
      </c>
      <c r="X1024">
        <v>10</v>
      </c>
      <c r="Z1024" s="2">
        <f t="shared" si="182"/>
        <v>0</v>
      </c>
      <c r="AA1024">
        <v>264.7</v>
      </c>
      <c r="AB1024" s="2" t="str">
        <f>CHOOSE(MATCH(AA1024,{0;11;80;111;161;191;241;281;341},1),"North","NorthEast","East","SouthEast","South","SouthWest","West","NorthWest","North")</f>
        <v>West</v>
      </c>
      <c r="AC1024" s="5">
        <f>CHOOSE(MATCH(AB1024,{"South";"SouthEast";"SouthWest";"North";"NorthEast";"East";"West";"NorthWest"},0),1,2,3,4,5,6,7,8)</f>
        <v>7</v>
      </c>
      <c r="AD1024" s="2">
        <f t="shared" si="183"/>
        <v>0</v>
      </c>
      <c r="AE1024">
        <v>1009.9</v>
      </c>
      <c r="AF1024" s="4" t="s">
        <v>561</v>
      </c>
      <c r="AG1024" s="2">
        <f t="shared" si="184"/>
        <v>1</v>
      </c>
      <c r="AH1024" t="s">
        <v>1677</v>
      </c>
      <c r="AI1024" s="2">
        <f t="shared" si="185"/>
        <v>11</v>
      </c>
      <c r="AJ1024" s="2">
        <f t="shared" si="186"/>
        <v>0</v>
      </c>
      <c r="AK1024" s="3">
        <v>193.99999999324791</v>
      </c>
      <c r="AM1024" s="2">
        <v>0</v>
      </c>
      <c r="AN1024">
        <v>0</v>
      </c>
      <c r="AO1024">
        <v>0.5</v>
      </c>
      <c r="AP1024">
        <v>0</v>
      </c>
      <c r="AQ1024" s="2">
        <f>IF((2*G1024 + M1024 -P1024 + 3*W1024 + 2*Z1024+2*AD1024 + AG1024+2*AJ1024 + 4*AM1024) &gt;=8,1,0)</f>
        <v>0</v>
      </c>
    </row>
    <row r="1025" spans="1:43" x14ac:dyDescent="0.25">
      <c r="A1025" t="s">
        <v>27</v>
      </c>
      <c r="B1025" s="1">
        <v>40507</v>
      </c>
      <c r="C1025" s="7">
        <f t="shared" si="178"/>
        <v>2010</v>
      </c>
      <c r="D1025">
        <v>65.3</v>
      </c>
      <c r="E1025">
        <v>51.8</v>
      </c>
      <c r="F1025">
        <v>58.6</v>
      </c>
      <c r="G1025" s="2">
        <f t="shared" ref="G1025:G1088" si="187">IF(F1025&lt;=73.6,0,1)</f>
        <v>0</v>
      </c>
      <c r="H1025">
        <v>65.3</v>
      </c>
      <c r="I1025">
        <v>51.8</v>
      </c>
      <c r="J1025">
        <v>58.6</v>
      </c>
      <c r="K1025">
        <v>46.7</v>
      </c>
      <c r="L1025">
        <v>65.400000000000006</v>
      </c>
      <c r="M1025" s="2">
        <f t="shared" si="179"/>
        <v>0</v>
      </c>
      <c r="N1025">
        <v>0</v>
      </c>
      <c r="P1025" s="2">
        <f t="shared" si="180"/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s="2">
        <f t="shared" si="181"/>
        <v>0</v>
      </c>
      <c r="X1025">
        <v>10</v>
      </c>
      <c r="Z1025" s="2">
        <f t="shared" si="182"/>
        <v>0</v>
      </c>
      <c r="AA1025">
        <v>264.7</v>
      </c>
      <c r="AB1025" s="2" t="str">
        <f>CHOOSE(MATCH(AA1025,{0;11;80;111;161;191;241;281;341},1),"North","NorthEast","East","SouthEast","South","SouthWest","West","NorthWest","North")</f>
        <v>West</v>
      </c>
      <c r="AC1025" s="5">
        <f>CHOOSE(MATCH(AB1025,{"South";"SouthEast";"SouthWest";"North";"NorthEast";"East";"West";"NorthWest"},0),1,2,3,4,5,6,7,8)</f>
        <v>7</v>
      </c>
      <c r="AD1025" s="2">
        <f t="shared" si="183"/>
        <v>0</v>
      </c>
      <c r="AE1025">
        <v>1009.9</v>
      </c>
      <c r="AF1025" s="4" t="s">
        <v>221</v>
      </c>
      <c r="AG1025" s="2">
        <f t="shared" si="184"/>
        <v>1</v>
      </c>
      <c r="AH1025" t="s">
        <v>1678</v>
      </c>
      <c r="AI1025" s="2">
        <f t="shared" si="185"/>
        <v>11</v>
      </c>
      <c r="AJ1025" s="2">
        <f t="shared" si="186"/>
        <v>0</v>
      </c>
      <c r="AK1025" s="3">
        <v>31.000000006752089</v>
      </c>
      <c r="AM1025" s="2">
        <v>0</v>
      </c>
      <c r="AN1025">
        <v>0</v>
      </c>
      <c r="AO1025">
        <v>0.1</v>
      </c>
      <c r="AP1025">
        <v>0</v>
      </c>
      <c r="AQ1025" s="2">
        <f>IF((2*G1025 + M1025 -P1025 + 3*W1025 + 2*Z1025+2*AD1025 + AG1025+2*AJ1025 + 4*AM1025) &gt;=8,1,0)</f>
        <v>0</v>
      </c>
    </row>
    <row r="1026" spans="1:43" x14ac:dyDescent="0.25">
      <c r="A1026" t="s">
        <v>27</v>
      </c>
      <c r="B1026" s="1">
        <v>40510</v>
      </c>
      <c r="C1026" s="7">
        <f t="shared" si="178"/>
        <v>2010</v>
      </c>
      <c r="D1026">
        <v>72.5</v>
      </c>
      <c r="E1026">
        <v>57.9</v>
      </c>
      <c r="F1026">
        <v>65.8</v>
      </c>
      <c r="G1026" s="2">
        <f t="shared" si="187"/>
        <v>0</v>
      </c>
      <c r="H1026">
        <v>72.5</v>
      </c>
      <c r="I1026">
        <v>57.9</v>
      </c>
      <c r="J1026">
        <v>65.8</v>
      </c>
      <c r="K1026">
        <v>57.4</v>
      </c>
      <c r="L1026">
        <v>75.400000000000006</v>
      </c>
      <c r="M1026" s="2">
        <f t="shared" si="179"/>
        <v>0</v>
      </c>
      <c r="N1026">
        <v>0</v>
      </c>
      <c r="P1026" s="2">
        <f t="shared" si="180"/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s="2">
        <f t="shared" si="181"/>
        <v>0</v>
      </c>
      <c r="X1026">
        <v>16.899999999999999</v>
      </c>
      <c r="Z1026" s="2">
        <f t="shared" si="182"/>
        <v>1</v>
      </c>
      <c r="AA1026">
        <v>181.1</v>
      </c>
      <c r="AB1026" s="2" t="str">
        <f>CHOOSE(MATCH(AA1026,{0;11;80;111;161;191;241;281;341},1),"North","NorthEast","East","SouthEast","South","SouthWest","West","NorthWest","North")</f>
        <v>South</v>
      </c>
      <c r="AC1026" s="5">
        <f>CHOOSE(MATCH(AB1026,{"South";"SouthEast";"SouthWest";"North";"NorthEast";"East";"West";"NorthWest"},0),1,2,3,4,5,6,7,8)</f>
        <v>1</v>
      </c>
      <c r="AD1026" s="2">
        <f t="shared" si="183"/>
        <v>0</v>
      </c>
      <c r="AE1026">
        <v>1012.1</v>
      </c>
      <c r="AF1026" s="4" t="s">
        <v>310</v>
      </c>
      <c r="AG1026" s="2">
        <f t="shared" si="184"/>
        <v>0</v>
      </c>
      <c r="AH1026" t="s">
        <v>1679</v>
      </c>
      <c r="AI1026" s="2">
        <f t="shared" si="185"/>
        <v>11</v>
      </c>
      <c r="AJ1026" s="2">
        <f t="shared" si="186"/>
        <v>0</v>
      </c>
      <c r="AK1026" s="3">
        <v>119.99999999301509</v>
      </c>
      <c r="AM1026" s="2">
        <v>0</v>
      </c>
      <c r="AN1026">
        <v>1</v>
      </c>
      <c r="AO1026">
        <v>0</v>
      </c>
      <c r="AP1026">
        <v>0</v>
      </c>
      <c r="AQ1026" s="2">
        <f>IF((2*G1026 + M1026 -P1026 + 3*W1026 + 2*Z1026+2*AD1026 + AG1026+2*AJ1026 + 4*AM1026) &gt;=8,1,0)</f>
        <v>0</v>
      </c>
    </row>
    <row r="1027" spans="1:43" x14ac:dyDescent="0.25">
      <c r="A1027" t="s">
        <v>27</v>
      </c>
      <c r="B1027" s="1">
        <v>40517</v>
      </c>
      <c r="C1027" s="7">
        <f t="shared" si="178"/>
        <v>2010</v>
      </c>
      <c r="D1027">
        <v>62.3</v>
      </c>
      <c r="E1027">
        <v>46.1</v>
      </c>
      <c r="F1027">
        <v>55.6</v>
      </c>
      <c r="G1027" s="2">
        <f t="shared" si="187"/>
        <v>0</v>
      </c>
      <c r="H1027">
        <v>62.3</v>
      </c>
      <c r="I1027">
        <v>44.7</v>
      </c>
      <c r="J1027">
        <v>55.3</v>
      </c>
      <c r="K1027">
        <v>35.4</v>
      </c>
      <c r="L1027">
        <v>47.6</v>
      </c>
      <c r="M1027" s="2">
        <f t="shared" si="179"/>
        <v>1</v>
      </c>
      <c r="N1027">
        <v>0</v>
      </c>
      <c r="P1027" s="2">
        <f t="shared" si="180"/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30</v>
      </c>
      <c r="W1027" s="2">
        <f t="shared" si="181"/>
        <v>1</v>
      </c>
      <c r="X1027">
        <v>13.4</v>
      </c>
      <c r="Z1027" s="2">
        <f t="shared" si="182"/>
        <v>0</v>
      </c>
      <c r="AA1027">
        <v>319.3</v>
      </c>
      <c r="AB1027" s="2" t="str">
        <f>CHOOSE(MATCH(AA1027,{0;11;80;111;161;191;241;281;341},1),"North","NorthEast","East","SouthEast","South","SouthWest","West","NorthWest","North")</f>
        <v>NorthWest</v>
      </c>
      <c r="AC1027" s="5">
        <f>CHOOSE(MATCH(AB1027,{"South";"SouthEast";"SouthWest";"North";"NorthEast";"East";"West";"NorthWest"},0),1,2,3,4,5,6,7,8)</f>
        <v>8</v>
      </c>
      <c r="AD1027" s="2">
        <f t="shared" si="183"/>
        <v>1</v>
      </c>
      <c r="AE1027">
        <v>1016.9</v>
      </c>
      <c r="AF1027" s="4" t="s">
        <v>868</v>
      </c>
      <c r="AG1027" s="2">
        <f t="shared" si="184"/>
        <v>0</v>
      </c>
      <c r="AH1027" t="s">
        <v>1680</v>
      </c>
      <c r="AI1027" s="2">
        <f t="shared" si="185"/>
        <v>12</v>
      </c>
      <c r="AJ1027" s="2">
        <f t="shared" si="186"/>
        <v>0</v>
      </c>
      <c r="AK1027" s="3">
        <v>220.00000000465661</v>
      </c>
      <c r="AM1027" s="2">
        <v>0</v>
      </c>
      <c r="AN1027">
        <v>0</v>
      </c>
      <c r="AO1027">
        <v>1.5</v>
      </c>
      <c r="AP1027">
        <v>0</v>
      </c>
      <c r="AQ1027" s="2">
        <f>IF((2*G1027 + M1027 -P1027 + 3*W1027 + 2*Z1027+2*AD1027 + AG1027+2*AJ1027 + 4*AM1027) &gt;=8,1,0)</f>
        <v>0</v>
      </c>
    </row>
    <row r="1028" spans="1:43" x14ac:dyDescent="0.25">
      <c r="A1028" t="s">
        <v>27</v>
      </c>
      <c r="B1028" s="1">
        <v>40522</v>
      </c>
      <c r="C1028" s="7">
        <f t="shared" si="178"/>
        <v>2010</v>
      </c>
      <c r="D1028">
        <v>66</v>
      </c>
      <c r="E1028">
        <v>42.7</v>
      </c>
      <c r="F1028">
        <v>55.6</v>
      </c>
      <c r="G1028" s="2">
        <f t="shared" si="187"/>
        <v>0</v>
      </c>
      <c r="H1028">
        <v>66</v>
      </c>
      <c r="I1028">
        <v>33.5</v>
      </c>
      <c r="J1028">
        <v>52.8</v>
      </c>
      <c r="K1028">
        <v>41.7</v>
      </c>
      <c r="L1028">
        <v>59.8</v>
      </c>
      <c r="M1028" s="2">
        <f t="shared" si="179"/>
        <v>0</v>
      </c>
      <c r="N1028">
        <v>0</v>
      </c>
      <c r="P1028" s="2">
        <f t="shared" si="180"/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46.1</v>
      </c>
      <c r="W1028" s="2">
        <f t="shared" si="181"/>
        <v>1</v>
      </c>
      <c r="X1028">
        <v>22.4</v>
      </c>
      <c r="Z1028" s="2">
        <f t="shared" si="182"/>
        <v>1</v>
      </c>
      <c r="AA1028">
        <v>330</v>
      </c>
      <c r="AB1028" s="2" t="str">
        <f>CHOOSE(MATCH(AA1028,{0;11;80;111;161;191;241;281;341},1),"North","NorthEast","East","SouthEast","South","SouthWest","West","NorthWest","North")</f>
        <v>NorthWest</v>
      </c>
      <c r="AC1028" s="5">
        <f>CHOOSE(MATCH(AB1028,{"South";"SouthEast";"SouthWest";"North";"NorthEast";"East";"West";"NorthWest"},0),1,2,3,4,5,6,7,8)</f>
        <v>8</v>
      </c>
      <c r="AD1028" s="2">
        <f t="shared" si="183"/>
        <v>1</v>
      </c>
      <c r="AE1028">
        <v>1004.3</v>
      </c>
      <c r="AF1028" s="4" t="s">
        <v>345</v>
      </c>
      <c r="AG1028" s="2">
        <f t="shared" si="184"/>
        <v>1</v>
      </c>
      <c r="AH1028" t="s">
        <v>1681</v>
      </c>
      <c r="AI1028" s="2">
        <f t="shared" si="185"/>
        <v>12</v>
      </c>
      <c r="AJ1028" s="2">
        <f t="shared" si="186"/>
        <v>0</v>
      </c>
      <c r="AK1028" s="3">
        <v>180</v>
      </c>
      <c r="AM1028" s="2">
        <v>0</v>
      </c>
      <c r="AN1028">
        <v>1</v>
      </c>
      <c r="AO1028">
        <v>0</v>
      </c>
      <c r="AP1028">
        <v>0</v>
      </c>
      <c r="AQ1028" s="2">
        <f>IF((2*G1028 + M1028 -P1028 + 3*W1028 + 2*Z1028+2*AD1028 + AG1028+2*AJ1028 + 4*AM1028) &gt;=8,1,0)</f>
        <v>0</v>
      </c>
    </row>
    <row r="1029" spans="1:43" x14ac:dyDescent="0.25">
      <c r="A1029" t="s">
        <v>27</v>
      </c>
      <c r="B1029" s="1">
        <v>40523</v>
      </c>
      <c r="C1029" s="7">
        <f t="shared" si="178"/>
        <v>2010</v>
      </c>
      <c r="D1029">
        <v>39.200000000000003</v>
      </c>
      <c r="E1029">
        <v>34</v>
      </c>
      <c r="F1029">
        <v>36.200000000000003</v>
      </c>
      <c r="G1029" s="2">
        <f t="shared" si="187"/>
        <v>0</v>
      </c>
      <c r="H1029">
        <v>28.9</v>
      </c>
      <c r="I1029">
        <v>21.9</v>
      </c>
      <c r="J1029">
        <v>25.5</v>
      </c>
      <c r="K1029">
        <v>25.4</v>
      </c>
      <c r="L1029">
        <v>65.099999999999994</v>
      </c>
      <c r="M1029" s="2">
        <f t="shared" si="179"/>
        <v>0</v>
      </c>
      <c r="N1029">
        <v>2.9940000000000002</v>
      </c>
      <c r="P1029" s="2">
        <f t="shared" si="180"/>
        <v>0</v>
      </c>
      <c r="Q1029">
        <v>100</v>
      </c>
      <c r="R1029">
        <v>4.17</v>
      </c>
      <c r="S1029" t="s">
        <v>87</v>
      </c>
      <c r="T1029">
        <v>0.3</v>
      </c>
      <c r="U1029">
        <v>0</v>
      </c>
      <c r="V1029">
        <v>50.6</v>
      </c>
      <c r="W1029" s="2">
        <f t="shared" si="181"/>
        <v>1</v>
      </c>
      <c r="X1029">
        <v>22.9</v>
      </c>
      <c r="Z1029" s="2">
        <f t="shared" si="182"/>
        <v>1</v>
      </c>
      <c r="AA1029">
        <v>328</v>
      </c>
      <c r="AB1029" s="2" t="str">
        <f>CHOOSE(MATCH(AA1029,{0;11;80;111;161;191;241;281;341},1),"North","NorthEast","East","SouthEast","South","SouthWest","West","NorthWest","North")</f>
        <v>NorthWest</v>
      </c>
      <c r="AC1029" s="5">
        <f>CHOOSE(MATCH(AB1029,{"South";"SouthEast";"SouthWest";"North";"NorthEast";"East";"West";"NorthWest"},0),1,2,3,4,5,6,7,8)</f>
        <v>8</v>
      </c>
      <c r="AD1029" s="2">
        <f t="shared" si="183"/>
        <v>1</v>
      </c>
      <c r="AE1029">
        <v>1008.7</v>
      </c>
      <c r="AF1029" s="4" t="s">
        <v>1362</v>
      </c>
      <c r="AG1029" s="2">
        <f t="shared" si="184"/>
        <v>0</v>
      </c>
      <c r="AH1029" t="s">
        <v>1682</v>
      </c>
      <c r="AI1029" s="2">
        <f t="shared" si="185"/>
        <v>12</v>
      </c>
      <c r="AJ1029" s="2">
        <f t="shared" si="186"/>
        <v>0</v>
      </c>
      <c r="AK1029" s="3">
        <v>2940.9999999997672</v>
      </c>
      <c r="AM1029" s="2">
        <v>1</v>
      </c>
      <c r="AN1029">
        <v>0</v>
      </c>
      <c r="AO1029">
        <v>20</v>
      </c>
      <c r="AP1029">
        <v>0</v>
      </c>
      <c r="AQ1029" s="2">
        <f>IF((2*G1029 + M1029 -P1029 + 3*W1029 + 2*Z1029+2*AD1029 + AG1029+2*AJ1029 + 4*AM1029) &gt;=8,1,0)</f>
        <v>1</v>
      </c>
    </row>
    <row r="1030" spans="1:43" x14ac:dyDescent="0.25">
      <c r="A1030" t="s">
        <v>27</v>
      </c>
      <c r="B1030" s="1">
        <v>40537</v>
      </c>
      <c r="C1030" s="7">
        <f t="shared" si="178"/>
        <v>2010</v>
      </c>
      <c r="D1030">
        <v>66.599999999999994</v>
      </c>
      <c r="E1030">
        <v>57.5</v>
      </c>
      <c r="F1030">
        <v>62.7</v>
      </c>
      <c r="G1030" s="2">
        <f t="shared" si="187"/>
        <v>0</v>
      </c>
      <c r="H1030">
        <v>66.599999999999994</v>
      </c>
      <c r="I1030">
        <v>57.5</v>
      </c>
      <c r="J1030">
        <v>62.7</v>
      </c>
      <c r="K1030">
        <v>51.4</v>
      </c>
      <c r="L1030">
        <v>67</v>
      </c>
      <c r="M1030" s="2">
        <f t="shared" si="179"/>
        <v>0</v>
      </c>
      <c r="N1030">
        <v>0</v>
      </c>
      <c r="P1030" s="2">
        <f t="shared" si="180"/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26.4</v>
      </c>
      <c r="W1030" s="2">
        <f t="shared" si="181"/>
        <v>1</v>
      </c>
      <c r="X1030">
        <v>20.6</v>
      </c>
      <c r="Z1030" s="2">
        <f t="shared" si="182"/>
        <v>1</v>
      </c>
      <c r="AA1030">
        <v>198.3</v>
      </c>
      <c r="AB1030" s="2" t="str">
        <f>CHOOSE(MATCH(AA1030,{0;11;80;111;161;191;241;281;341},1),"North","NorthEast","East","SouthEast","South","SouthWest","West","NorthWest","North")</f>
        <v>SouthWest</v>
      </c>
      <c r="AC1030" s="5">
        <f>CHOOSE(MATCH(AB1030,{"South";"SouthEast";"SouthWest";"North";"NorthEast";"East";"West";"NorthWest"},0),1,2,3,4,5,6,7,8)</f>
        <v>3</v>
      </c>
      <c r="AD1030" s="2">
        <f t="shared" si="183"/>
        <v>1</v>
      </c>
      <c r="AE1030">
        <v>1007.7</v>
      </c>
      <c r="AF1030" s="4" t="s">
        <v>617</v>
      </c>
      <c r="AG1030" s="2">
        <f t="shared" si="184"/>
        <v>1</v>
      </c>
      <c r="AH1030" t="s">
        <v>1683</v>
      </c>
      <c r="AI1030" s="2">
        <f t="shared" si="185"/>
        <v>12</v>
      </c>
      <c r="AJ1030" s="2">
        <f t="shared" si="186"/>
        <v>0</v>
      </c>
      <c r="AK1030" s="3">
        <v>29.000000000232831</v>
      </c>
      <c r="AM1030" s="2">
        <v>0</v>
      </c>
      <c r="AN1030">
        <v>0</v>
      </c>
      <c r="AO1030">
        <v>0.2</v>
      </c>
      <c r="AP1030">
        <v>0</v>
      </c>
      <c r="AQ1030" s="2">
        <f>IF((2*G1030 + M1030 -P1030 + 3*W1030 + 2*Z1030+2*AD1030 + AG1030+2*AJ1030 + 4*AM1030) &gt;=8,1,0)</f>
        <v>0</v>
      </c>
    </row>
    <row r="1031" spans="1:43" x14ac:dyDescent="0.25">
      <c r="A1031" t="s">
        <v>27</v>
      </c>
      <c r="B1031" s="1">
        <v>40538</v>
      </c>
      <c r="C1031" s="7">
        <f t="shared" si="178"/>
        <v>2010</v>
      </c>
      <c r="D1031">
        <v>64.8</v>
      </c>
      <c r="E1031">
        <v>51.6</v>
      </c>
      <c r="F1031">
        <v>57.8</v>
      </c>
      <c r="G1031" s="2">
        <f t="shared" si="187"/>
        <v>0</v>
      </c>
      <c r="H1031">
        <v>64.8</v>
      </c>
      <c r="I1031">
        <v>51.6</v>
      </c>
      <c r="J1031">
        <v>57.8</v>
      </c>
      <c r="K1031">
        <v>49.7</v>
      </c>
      <c r="L1031">
        <v>74.8</v>
      </c>
      <c r="M1031" s="2">
        <f t="shared" si="179"/>
        <v>0</v>
      </c>
      <c r="N1031">
        <v>0</v>
      </c>
      <c r="P1031" s="2">
        <f t="shared" si="180"/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s="2">
        <f t="shared" si="181"/>
        <v>0</v>
      </c>
      <c r="X1031">
        <v>5.9</v>
      </c>
      <c r="Z1031" s="2">
        <f t="shared" si="182"/>
        <v>0</v>
      </c>
      <c r="AA1031">
        <v>261.10000000000002</v>
      </c>
      <c r="AB1031" s="2" t="str">
        <f>CHOOSE(MATCH(AA1031,{0;11;80;111;161;191;241;281;341},1),"North","NorthEast","East","SouthEast","South","SouthWest","West","NorthWest","North")</f>
        <v>West</v>
      </c>
      <c r="AC1031" s="5">
        <f>CHOOSE(MATCH(AB1031,{"South";"SouthEast";"SouthWest";"North";"NorthEast";"East";"West";"NorthWest"},0),1,2,3,4,5,6,7,8)</f>
        <v>7</v>
      </c>
      <c r="AD1031" s="2">
        <f t="shared" si="183"/>
        <v>0</v>
      </c>
      <c r="AE1031">
        <v>1011.2</v>
      </c>
      <c r="AF1031" s="4" t="s">
        <v>213</v>
      </c>
      <c r="AG1031" s="2">
        <f t="shared" si="184"/>
        <v>0</v>
      </c>
      <c r="AH1031" t="s">
        <v>1684</v>
      </c>
      <c r="AI1031" s="2">
        <f t="shared" si="185"/>
        <v>12</v>
      </c>
      <c r="AJ1031" s="2">
        <f t="shared" si="186"/>
        <v>0</v>
      </c>
      <c r="AK1031" s="3">
        <v>124.9999999988358</v>
      </c>
      <c r="AM1031" s="2">
        <v>0</v>
      </c>
      <c r="AN1031">
        <v>0</v>
      </c>
      <c r="AO1031">
        <v>5</v>
      </c>
      <c r="AP1031">
        <v>0</v>
      </c>
      <c r="AQ1031" s="2">
        <f>IF((2*G1031 + M1031 -P1031 + 3*W1031 + 2*Z1031+2*AD1031 + AG1031+2*AJ1031 + 4*AM1031) &gt;=8,1,0)</f>
        <v>0</v>
      </c>
    </row>
    <row r="1032" spans="1:43" x14ac:dyDescent="0.25">
      <c r="A1032" t="s">
        <v>27</v>
      </c>
      <c r="B1032" s="1">
        <v>40539</v>
      </c>
      <c r="C1032" s="7">
        <f t="shared" si="178"/>
        <v>2010</v>
      </c>
      <c r="D1032">
        <v>60.8</v>
      </c>
      <c r="E1032">
        <v>52.8</v>
      </c>
      <c r="F1032">
        <v>56.9</v>
      </c>
      <c r="G1032" s="2">
        <f t="shared" si="187"/>
        <v>0</v>
      </c>
      <c r="H1032">
        <v>60.8</v>
      </c>
      <c r="I1032">
        <v>52.8</v>
      </c>
      <c r="J1032">
        <v>56.9</v>
      </c>
      <c r="K1032">
        <v>53.2</v>
      </c>
      <c r="L1032">
        <v>87.4</v>
      </c>
      <c r="M1032" s="2">
        <f t="shared" si="179"/>
        <v>0</v>
      </c>
      <c r="N1032">
        <v>3.9E-2</v>
      </c>
      <c r="P1032" s="2">
        <f t="shared" si="180"/>
        <v>0</v>
      </c>
      <c r="Q1032">
        <v>100</v>
      </c>
      <c r="R1032">
        <v>8.33</v>
      </c>
      <c r="S1032" t="s">
        <v>87</v>
      </c>
      <c r="T1032">
        <v>0</v>
      </c>
      <c r="U1032">
        <v>0</v>
      </c>
      <c r="V1032">
        <v>0</v>
      </c>
      <c r="W1032" s="2">
        <f t="shared" si="181"/>
        <v>0</v>
      </c>
      <c r="X1032">
        <v>5.3</v>
      </c>
      <c r="Z1032" s="2">
        <f t="shared" si="182"/>
        <v>0</v>
      </c>
      <c r="AA1032">
        <v>336.8</v>
      </c>
      <c r="AB1032" s="2" t="str">
        <f>CHOOSE(MATCH(AA1032,{0;11;80;111;161;191;241;281;341},1),"North","NorthEast","East","SouthEast","South","SouthWest","West","NorthWest","North")</f>
        <v>NorthWest</v>
      </c>
      <c r="AC1032" s="5">
        <f>CHOOSE(MATCH(AB1032,{"South";"SouthEast";"SouthWest";"North";"NorthEast";"East";"West";"NorthWest"},0),1,2,3,4,5,6,7,8)</f>
        <v>8</v>
      </c>
      <c r="AD1032" s="2">
        <f t="shared" si="183"/>
        <v>1</v>
      </c>
      <c r="AE1032">
        <v>1012.8</v>
      </c>
      <c r="AF1032" s="4" t="s">
        <v>797</v>
      </c>
      <c r="AG1032" s="2">
        <f t="shared" si="184"/>
        <v>0</v>
      </c>
      <c r="AH1032" t="s">
        <v>1685</v>
      </c>
      <c r="AI1032" s="2">
        <f t="shared" si="185"/>
        <v>12</v>
      </c>
      <c r="AJ1032" s="2">
        <f t="shared" si="186"/>
        <v>0</v>
      </c>
      <c r="AK1032" s="3">
        <v>65.000000002328306</v>
      </c>
      <c r="AM1032" s="2">
        <v>0</v>
      </c>
      <c r="AN1032">
        <v>0</v>
      </c>
      <c r="AO1032">
        <v>3</v>
      </c>
      <c r="AP1032">
        <v>0</v>
      </c>
      <c r="AQ1032" s="2">
        <f>IF((2*G1032 + M1032 -P1032 + 3*W1032 + 2*Z1032+2*AD1032 + AG1032+2*AJ1032 + 4*AM1032) &gt;=8,1,0)</f>
        <v>0</v>
      </c>
    </row>
    <row r="1033" spans="1:43" x14ac:dyDescent="0.25">
      <c r="A1033" t="s">
        <v>27</v>
      </c>
      <c r="B1033" s="1">
        <v>40587</v>
      </c>
      <c r="C1033" s="7">
        <f t="shared" si="178"/>
        <v>2011</v>
      </c>
      <c r="D1033">
        <v>62.4</v>
      </c>
      <c r="E1033">
        <v>41.5</v>
      </c>
      <c r="F1033">
        <v>51.4</v>
      </c>
      <c r="G1033" s="2">
        <f t="shared" si="187"/>
        <v>0</v>
      </c>
      <c r="H1033">
        <v>62.4</v>
      </c>
      <c r="I1033">
        <v>41.5</v>
      </c>
      <c r="J1033">
        <v>51.2</v>
      </c>
      <c r="K1033">
        <v>40.4</v>
      </c>
      <c r="L1033">
        <v>67.599999999999994</v>
      </c>
      <c r="M1033" s="2">
        <f t="shared" si="179"/>
        <v>0</v>
      </c>
      <c r="N1033">
        <v>0</v>
      </c>
      <c r="O1033">
        <f>AVERAGE(N1033:N1107)</f>
        <v>2.826666666666667E-3</v>
      </c>
      <c r="P1033" s="2">
        <f t="shared" si="180"/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s="2">
        <f t="shared" si="181"/>
        <v>0</v>
      </c>
      <c r="X1033">
        <v>8.3000000000000007</v>
      </c>
      <c r="Y1033">
        <f>AVERAGE(X1033:X1107)</f>
        <v>17.290666666666667</v>
      </c>
      <c r="Z1033" s="2">
        <f t="shared" si="182"/>
        <v>0</v>
      </c>
      <c r="AA1033">
        <v>283</v>
      </c>
      <c r="AB1033" s="2" t="str">
        <f>CHOOSE(MATCH(AA1033,{0;11;80;111;161;191;241;281;341},1),"North","NorthEast","East","SouthEast","South","SouthWest","West","NorthWest","North")</f>
        <v>NorthWest</v>
      </c>
      <c r="AC1033" s="5">
        <f>CHOOSE(MATCH(AB1033,{"South";"SouthEast";"SouthWest";"North";"NorthEast";"East";"West";"NorthWest"},0),1,2,3,4,5,6,7,8)</f>
        <v>8</v>
      </c>
      <c r="AD1033" s="2">
        <f t="shared" si="183"/>
        <v>1</v>
      </c>
      <c r="AE1033">
        <v>1014.5</v>
      </c>
      <c r="AF1033" s="4" t="s">
        <v>1687</v>
      </c>
      <c r="AG1033" s="2">
        <f t="shared" si="184"/>
        <v>0</v>
      </c>
      <c r="AH1033" t="s">
        <v>1688</v>
      </c>
      <c r="AI1033" s="2">
        <f t="shared" si="185"/>
        <v>2</v>
      </c>
      <c r="AJ1033" s="2">
        <f t="shared" si="186"/>
        <v>0</v>
      </c>
      <c r="AK1033" s="3">
        <v>76.000000006752089</v>
      </c>
      <c r="AL1033" s="3">
        <f>AVERAGE(AK1033:AK1107)</f>
        <v>954.61333333323705</v>
      </c>
      <c r="AM1033" s="2">
        <v>0</v>
      </c>
      <c r="AN1033">
        <v>0</v>
      </c>
      <c r="AO1033">
        <v>3</v>
      </c>
      <c r="AP1033">
        <v>0</v>
      </c>
      <c r="AQ1033" s="2">
        <f>IF((2*G1033 + M1033 -P1033 + 3*W1033 + 2*Z1033+2*AD1033 + AG1033+2*AJ1033 + 4*AM1033) &gt;=8,1,0)</f>
        <v>0</v>
      </c>
    </row>
    <row r="1034" spans="1:43" x14ac:dyDescent="0.25">
      <c r="A1034" t="s">
        <v>27</v>
      </c>
      <c r="B1034" s="1">
        <v>40624</v>
      </c>
      <c r="C1034" s="7">
        <f t="shared" si="178"/>
        <v>2011</v>
      </c>
      <c r="D1034">
        <v>53.8</v>
      </c>
      <c r="E1034">
        <v>46.1</v>
      </c>
      <c r="F1034">
        <v>48.4</v>
      </c>
      <c r="G1034" s="2">
        <f t="shared" si="187"/>
        <v>0</v>
      </c>
      <c r="H1034">
        <v>53.8</v>
      </c>
      <c r="I1034">
        <v>39.700000000000003</v>
      </c>
      <c r="J1034">
        <v>43.9</v>
      </c>
      <c r="K1034">
        <v>30.5</v>
      </c>
      <c r="L1034">
        <v>50.1</v>
      </c>
      <c r="M1034" s="2">
        <f t="shared" si="179"/>
        <v>0</v>
      </c>
      <c r="N1034">
        <v>0</v>
      </c>
      <c r="P1034" s="2">
        <f t="shared" si="180"/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36.6</v>
      </c>
      <c r="W1034" s="2">
        <f t="shared" si="181"/>
        <v>1</v>
      </c>
      <c r="X1034">
        <v>21.5</v>
      </c>
      <c r="Z1034" s="2">
        <f t="shared" si="182"/>
        <v>1</v>
      </c>
      <c r="AA1034">
        <v>356.4</v>
      </c>
      <c r="AB1034" s="2" t="str">
        <f>CHOOSE(MATCH(AA1034,{0;11;80;111;161;191;241;281;341},1),"North","NorthEast","East","SouthEast","South","SouthWest","West","NorthWest","North")</f>
        <v>North</v>
      </c>
      <c r="AC1034" s="5">
        <f>CHOOSE(MATCH(AB1034,{"South";"SouthEast";"SouthWest";"North";"NorthEast";"East";"West";"NorthWest"},0),1,2,3,4,5,6,7,8)</f>
        <v>4</v>
      </c>
      <c r="AD1034" s="2">
        <f t="shared" si="183"/>
        <v>1</v>
      </c>
      <c r="AE1034">
        <v>1026.5999999999999</v>
      </c>
      <c r="AF1034" s="4" t="s">
        <v>1689</v>
      </c>
      <c r="AG1034" s="2">
        <f t="shared" si="184"/>
        <v>1</v>
      </c>
      <c r="AH1034" t="s">
        <v>1690</v>
      </c>
      <c r="AI1034" s="2">
        <f t="shared" si="185"/>
        <v>3</v>
      </c>
      <c r="AJ1034" s="2">
        <f t="shared" si="186"/>
        <v>0</v>
      </c>
      <c r="AK1034" s="3">
        <v>111.9999999983702</v>
      </c>
      <c r="AM1034" s="2">
        <v>0</v>
      </c>
      <c r="AN1034">
        <v>0</v>
      </c>
      <c r="AO1034">
        <v>0.5</v>
      </c>
      <c r="AP1034">
        <v>0</v>
      </c>
      <c r="AQ1034" s="2">
        <f>IF((2*G1034 + M1034 -P1034 + 3*W1034 + 2*Z1034+2*AD1034 + AG1034+2*AJ1034 + 4*AM1034) &gt;=8,1,0)</f>
        <v>0</v>
      </c>
    </row>
    <row r="1035" spans="1:43" x14ac:dyDescent="0.25">
      <c r="A1035" t="s">
        <v>27</v>
      </c>
      <c r="B1035" s="1">
        <v>40629</v>
      </c>
      <c r="C1035" s="7">
        <f t="shared" si="178"/>
        <v>2011</v>
      </c>
      <c r="D1035">
        <v>67.900000000000006</v>
      </c>
      <c r="E1035">
        <v>53.7</v>
      </c>
      <c r="F1035">
        <v>59.7</v>
      </c>
      <c r="G1035" s="2">
        <f t="shared" si="187"/>
        <v>0</v>
      </c>
      <c r="H1035">
        <v>67.900000000000006</v>
      </c>
      <c r="I1035">
        <v>53.7</v>
      </c>
      <c r="J1035">
        <v>59.7</v>
      </c>
      <c r="K1035">
        <v>43.8</v>
      </c>
      <c r="L1035">
        <v>56.4</v>
      </c>
      <c r="M1035" s="2">
        <f t="shared" si="179"/>
        <v>0</v>
      </c>
      <c r="N1035">
        <v>0</v>
      </c>
      <c r="P1035" s="2">
        <f t="shared" si="180"/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s="2">
        <f t="shared" si="181"/>
        <v>0</v>
      </c>
      <c r="X1035">
        <v>14.4</v>
      </c>
      <c r="Z1035" s="2">
        <f t="shared" si="182"/>
        <v>0</v>
      </c>
      <c r="AA1035">
        <v>264.5</v>
      </c>
      <c r="AB1035" s="2" t="str">
        <f>CHOOSE(MATCH(AA1035,{0;11;80;111;161;191;241;281;341},1),"North","NorthEast","East","SouthEast","South","SouthWest","West","NorthWest","North")</f>
        <v>West</v>
      </c>
      <c r="AC1035" s="5">
        <f>CHOOSE(MATCH(AB1035,{"South";"SouthEast";"SouthWest";"North";"NorthEast";"East";"West";"NorthWest"},0),1,2,3,4,5,6,7,8)</f>
        <v>7</v>
      </c>
      <c r="AD1035" s="2">
        <f t="shared" si="183"/>
        <v>0</v>
      </c>
      <c r="AE1035">
        <v>1017.5</v>
      </c>
      <c r="AF1035" s="4" t="s">
        <v>1691</v>
      </c>
      <c r="AG1035" s="2">
        <f t="shared" si="184"/>
        <v>1</v>
      </c>
      <c r="AH1035" t="s">
        <v>1692</v>
      </c>
      <c r="AI1035" s="2">
        <f t="shared" si="185"/>
        <v>3</v>
      </c>
      <c r="AJ1035" s="2">
        <f t="shared" si="186"/>
        <v>0</v>
      </c>
      <c r="AK1035" s="3">
        <v>107.99999999580901</v>
      </c>
      <c r="AM1035" s="2">
        <v>0</v>
      </c>
      <c r="AN1035">
        <v>0.1</v>
      </c>
      <c r="AO1035">
        <v>0</v>
      </c>
      <c r="AP1035">
        <v>0</v>
      </c>
      <c r="AQ1035" s="2">
        <f>IF((2*G1035 + M1035 -P1035 + 3*W1035 + 2*Z1035+2*AD1035 + AG1035+2*AJ1035 + 4*AM1035) &gt;=8,1,0)</f>
        <v>0</v>
      </c>
    </row>
    <row r="1036" spans="1:43" x14ac:dyDescent="0.25">
      <c r="A1036" t="s">
        <v>27</v>
      </c>
      <c r="B1036" s="1">
        <v>40642</v>
      </c>
      <c r="C1036" s="7">
        <f t="shared" si="178"/>
        <v>2011</v>
      </c>
      <c r="D1036">
        <v>77.7</v>
      </c>
      <c r="E1036">
        <v>54.5</v>
      </c>
      <c r="F1036">
        <v>65.599999999999994</v>
      </c>
      <c r="G1036" s="2">
        <f t="shared" si="187"/>
        <v>0</v>
      </c>
      <c r="H1036">
        <v>77.7</v>
      </c>
      <c r="I1036">
        <v>54.5</v>
      </c>
      <c r="J1036">
        <v>65.599999999999994</v>
      </c>
      <c r="K1036">
        <v>50.2</v>
      </c>
      <c r="L1036">
        <v>60</v>
      </c>
      <c r="M1036" s="2">
        <f t="shared" si="179"/>
        <v>0</v>
      </c>
      <c r="N1036">
        <v>0</v>
      </c>
      <c r="P1036" s="2">
        <f t="shared" si="180"/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26.4</v>
      </c>
      <c r="W1036" s="2">
        <f t="shared" si="181"/>
        <v>1</v>
      </c>
      <c r="X1036">
        <v>14.3</v>
      </c>
      <c r="Z1036" s="2">
        <f t="shared" si="182"/>
        <v>0</v>
      </c>
      <c r="AA1036">
        <v>185</v>
      </c>
      <c r="AB1036" s="2" t="str">
        <f>CHOOSE(MATCH(AA1036,{0;11;80;111;161;191;241;281;341},1),"North","NorthEast","East","SouthEast","South","SouthWest","West","NorthWest","North")</f>
        <v>South</v>
      </c>
      <c r="AC1036" s="5">
        <f>CHOOSE(MATCH(AB1036,{"South";"SouthEast";"SouthWest";"North";"NorthEast";"East";"West";"NorthWest"},0),1,2,3,4,5,6,7,8)</f>
        <v>1</v>
      </c>
      <c r="AD1036" s="2">
        <f t="shared" si="183"/>
        <v>0</v>
      </c>
      <c r="AE1036">
        <v>1008.4</v>
      </c>
      <c r="AF1036" s="4" t="s">
        <v>1693</v>
      </c>
      <c r="AG1036" s="2">
        <f t="shared" si="184"/>
        <v>1</v>
      </c>
      <c r="AH1036" t="s">
        <v>1694</v>
      </c>
      <c r="AI1036" s="2">
        <f t="shared" si="185"/>
        <v>4</v>
      </c>
      <c r="AJ1036" s="2">
        <f t="shared" si="186"/>
        <v>0</v>
      </c>
      <c r="AK1036" s="3">
        <v>24.00000000488944</v>
      </c>
      <c r="AM1036" s="2">
        <v>0</v>
      </c>
      <c r="AN1036">
        <v>0</v>
      </c>
      <c r="AO1036">
        <v>0.1</v>
      </c>
      <c r="AP1036">
        <v>0</v>
      </c>
      <c r="AQ1036" s="2">
        <f>IF((2*G1036 + M1036 -P1036 + 3*W1036 + 2*Z1036+2*AD1036 + AG1036+2*AJ1036 + 4*AM1036) &gt;=8,1,0)</f>
        <v>0</v>
      </c>
    </row>
    <row r="1037" spans="1:43" x14ac:dyDescent="0.25">
      <c r="A1037" t="s">
        <v>27</v>
      </c>
      <c r="B1037" s="1">
        <v>40645</v>
      </c>
      <c r="C1037" s="7">
        <f t="shared" si="178"/>
        <v>2011</v>
      </c>
      <c r="D1037">
        <v>63.4</v>
      </c>
      <c r="E1037">
        <v>39.1</v>
      </c>
      <c r="F1037">
        <v>53.6</v>
      </c>
      <c r="G1037" s="2">
        <f t="shared" si="187"/>
        <v>0</v>
      </c>
      <c r="H1037">
        <v>63.4</v>
      </c>
      <c r="I1037">
        <v>36.9</v>
      </c>
      <c r="J1037">
        <v>52.9</v>
      </c>
      <c r="K1037">
        <v>39.700000000000003</v>
      </c>
      <c r="L1037">
        <v>60.2</v>
      </c>
      <c r="M1037" s="2">
        <f t="shared" si="179"/>
        <v>0</v>
      </c>
      <c r="N1037">
        <v>0</v>
      </c>
      <c r="P1037" s="2">
        <f t="shared" si="180"/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s="2">
        <f t="shared" si="181"/>
        <v>0</v>
      </c>
      <c r="X1037">
        <v>15.1</v>
      </c>
      <c r="Z1037" s="2">
        <f t="shared" si="182"/>
        <v>0</v>
      </c>
      <c r="AA1037">
        <v>201.4</v>
      </c>
      <c r="AB1037" s="2" t="str">
        <f>CHOOSE(MATCH(AA1037,{0;11;80;111;161;191;241;281;341},1),"North","NorthEast","East","SouthEast","South","SouthWest","West","NorthWest","North")</f>
        <v>SouthWest</v>
      </c>
      <c r="AC1037" s="5">
        <f>CHOOSE(MATCH(AB1037,{"South";"SouthEast";"SouthWest";"North";"NorthEast";"East";"West";"NorthWest"},0),1,2,3,4,5,6,7,8)</f>
        <v>3</v>
      </c>
      <c r="AD1037" s="2">
        <f t="shared" si="183"/>
        <v>1</v>
      </c>
      <c r="AE1037">
        <v>1016</v>
      </c>
      <c r="AF1037" s="4" t="s">
        <v>1695</v>
      </c>
      <c r="AG1037" s="2">
        <f t="shared" si="184"/>
        <v>0</v>
      </c>
      <c r="AH1037" t="s">
        <v>1696</v>
      </c>
      <c r="AI1037" s="2">
        <f t="shared" si="185"/>
        <v>4</v>
      </c>
      <c r="AJ1037" s="2">
        <f t="shared" si="186"/>
        <v>0</v>
      </c>
      <c r="AK1037" s="3">
        <v>351.00000000209548</v>
      </c>
      <c r="AM1037" s="2">
        <v>0</v>
      </c>
      <c r="AN1037">
        <v>0</v>
      </c>
      <c r="AO1037">
        <v>2</v>
      </c>
      <c r="AP1037">
        <v>0</v>
      </c>
      <c r="AQ1037" s="2">
        <f>IF((2*G1037 + M1037 -P1037 + 3*W1037 + 2*Z1037+2*AD1037 + AG1037+2*AJ1037 + 4*AM1037) &gt;=8,1,0)</f>
        <v>0</v>
      </c>
    </row>
    <row r="1038" spans="1:43" x14ac:dyDescent="0.25">
      <c r="A1038" t="s">
        <v>27</v>
      </c>
      <c r="B1038" s="1">
        <v>40648</v>
      </c>
      <c r="C1038" s="7">
        <f t="shared" si="178"/>
        <v>2011</v>
      </c>
      <c r="D1038">
        <v>64.099999999999994</v>
      </c>
      <c r="E1038">
        <v>42.8</v>
      </c>
      <c r="F1038">
        <v>55.9</v>
      </c>
      <c r="G1038" s="2">
        <f t="shared" si="187"/>
        <v>0</v>
      </c>
      <c r="H1038">
        <v>64.099999999999994</v>
      </c>
      <c r="I1038">
        <v>42.8</v>
      </c>
      <c r="J1038">
        <v>55.9</v>
      </c>
      <c r="K1038">
        <v>42.6</v>
      </c>
      <c r="L1038">
        <v>61.8</v>
      </c>
      <c r="M1038" s="2">
        <f t="shared" si="179"/>
        <v>0</v>
      </c>
      <c r="N1038">
        <v>0</v>
      </c>
      <c r="P1038" s="2">
        <f t="shared" si="180"/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s="2">
        <f t="shared" si="181"/>
        <v>0</v>
      </c>
      <c r="X1038">
        <v>11</v>
      </c>
      <c r="Z1038" s="2">
        <f t="shared" si="182"/>
        <v>0</v>
      </c>
      <c r="AA1038">
        <v>82.9</v>
      </c>
      <c r="AB1038" s="2" t="str">
        <f>CHOOSE(MATCH(AA1038,{0;11;80;111;161;191;241;281;341},1),"North","NorthEast","East","SouthEast","South","SouthWest","West","NorthWest","North")</f>
        <v>East</v>
      </c>
      <c r="AC1038" s="5">
        <f>CHOOSE(MATCH(AB1038,{"South";"SouthEast";"SouthWest";"North";"NorthEast";"East";"West";"NorthWest"},0),1,2,3,4,5,6,7,8)</f>
        <v>6</v>
      </c>
      <c r="AD1038" s="2">
        <f t="shared" si="183"/>
        <v>0</v>
      </c>
      <c r="AE1038">
        <v>1011.8</v>
      </c>
      <c r="AF1038" s="4" t="s">
        <v>1030</v>
      </c>
      <c r="AG1038" s="2">
        <f t="shared" si="184"/>
        <v>1</v>
      </c>
      <c r="AH1038" t="s">
        <v>1697</v>
      </c>
      <c r="AI1038" s="2">
        <f t="shared" si="185"/>
        <v>4</v>
      </c>
      <c r="AJ1038" s="2">
        <f t="shared" si="186"/>
        <v>0</v>
      </c>
      <c r="AK1038" s="3">
        <v>39.999999994179227</v>
      </c>
      <c r="AM1038" s="2">
        <v>0</v>
      </c>
      <c r="AN1038">
        <v>0</v>
      </c>
      <c r="AO1038">
        <v>0.2</v>
      </c>
      <c r="AP1038">
        <v>0</v>
      </c>
      <c r="AQ1038" s="2">
        <f>IF((2*G1038 + M1038 -P1038 + 3*W1038 + 2*Z1038+2*AD1038 + AG1038+2*AJ1038 + 4*AM1038) &gt;=8,1,0)</f>
        <v>0</v>
      </c>
    </row>
    <row r="1039" spans="1:43" x14ac:dyDescent="0.25">
      <c r="A1039" t="s">
        <v>27</v>
      </c>
      <c r="B1039" s="1">
        <v>40656</v>
      </c>
      <c r="C1039" s="7">
        <f t="shared" ref="C1039:C1098" si="188">YEAR(B1039)</f>
        <v>2011</v>
      </c>
      <c r="D1039">
        <v>67.3</v>
      </c>
      <c r="E1039">
        <v>49</v>
      </c>
      <c r="F1039">
        <v>57.3</v>
      </c>
      <c r="G1039" s="2">
        <f t="shared" si="187"/>
        <v>0</v>
      </c>
      <c r="H1039">
        <v>67.3</v>
      </c>
      <c r="I1039">
        <v>44</v>
      </c>
      <c r="J1039">
        <v>56.9</v>
      </c>
      <c r="K1039">
        <v>35.299999999999997</v>
      </c>
      <c r="L1039">
        <v>43.8</v>
      </c>
      <c r="M1039" s="2">
        <f t="shared" ref="M1039:M1098" si="189">IF(L1039&lt;=49.3,1,0)</f>
        <v>1</v>
      </c>
      <c r="N1039">
        <v>0</v>
      </c>
      <c r="P1039" s="2">
        <f t="shared" ref="P1039:P1098" si="190">IF(N1039&lt;=0.01,1,0)</f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28.9</v>
      </c>
      <c r="W1039" s="2">
        <f t="shared" ref="W1039:W1098" si="191">IF(V1039&lt;=10,0,1)</f>
        <v>1</v>
      </c>
      <c r="X1039">
        <v>17.7</v>
      </c>
      <c r="Z1039" s="2">
        <f t="shared" ref="Z1039:Z1098" si="192">IF(X1039&gt;=16,1,0)</f>
        <v>1</v>
      </c>
      <c r="AA1039">
        <v>3.7</v>
      </c>
      <c r="AB1039" s="2" t="str">
        <f>CHOOSE(MATCH(AA1039,{0;11;80;111;161;191;241;281;341},1),"North","NorthEast","East","SouthEast","South","SouthWest","West","NorthWest","North")</f>
        <v>North</v>
      </c>
      <c r="AC1039" s="5">
        <f>CHOOSE(MATCH(AB1039,{"South";"SouthEast";"SouthWest";"North";"NorthEast";"East";"West";"NorthWest"},0),1,2,3,4,5,6,7,8)</f>
        <v>4</v>
      </c>
      <c r="AD1039" s="2">
        <f t="shared" ref="AD1039:AD1098" si="193">IF(OR(AC1039=3,AC1039=4,AC1039=5,AC1039=8),1,0)</f>
        <v>1</v>
      </c>
      <c r="AE1039">
        <v>1016.1</v>
      </c>
      <c r="AF1039" s="4" t="s">
        <v>1698</v>
      </c>
      <c r="AG1039" s="2">
        <f t="shared" ref="AG1039:AG1098" si="194">IF(TIMEVALUE(AF1039)&lt;=TIME(12,30,0),0,1)</f>
        <v>1</v>
      </c>
      <c r="AH1039" t="s">
        <v>1699</v>
      </c>
      <c r="AI1039" s="2">
        <f t="shared" ref="AI1039:AI1098" si="195">MONTH(AH1039)</f>
        <v>4</v>
      </c>
      <c r="AJ1039" s="2">
        <f t="shared" ref="AJ1039:AJ1098" si="196">IF(OR(AI1039=6,AI1039=7,AI1039=8),1,0)</f>
        <v>0</v>
      </c>
      <c r="AK1039" s="3">
        <v>87.000000000698492</v>
      </c>
      <c r="AM1039" s="2">
        <v>0</v>
      </c>
      <c r="AN1039">
        <v>0</v>
      </c>
      <c r="AO1039">
        <v>2</v>
      </c>
      <c r="AP1039">
        <v>0</v>
      </c>
      <c r="AQ1039" s="2">
        <f>IF((2*G1039 + M1039 -P1039 + 3*W1039 + 2*Z1039+2*AD1039 + AG1039+2*AJ1039 + 4*AM1039) &gt;=8,1,0)</f>
        <v>1</v>
      </c>
    </row>
    <row r="1040" spans="1:43" x14ac:dyDescent="0.25">
      <c r="A1040" t="s">
        <v>27</v>
      </c>
      <c r="B1040" s="1">
        <v>40657</v>
      </c>
      <c r="C1040" s="7">
        <f t="shared" si="188"/>
        <v>2011</v>
      </c>
      <c r="D1040">
        <v>65.8</v>
      </c>
      <c r="E1040">
        <v>48.7</v>
      </c>
      <c r="F1040">
        <v>57.3</v>
      </c>
      <c r="G1040" s="2">
        <f t="shared" si="187"/>
        <v>0</v>
      </c>
      <c r="H1040">
        <v>65.8</v>
      </c>
      <c r="I1040">
        <v>47</v>
      </c>
      <c r="J1040">
        <v>57.1</v>
      </c>
      <c r="K1040">
        <v>37.5</v>
      </c>
      <c r="L1040">
        <v>48</v>
      </c>
      <c r="M1040" s="2">
        <f t="shared" si="189"/>
        <v>1</v>
      </c>
      <c r="N1040">
        <v>0</v>
      </c>
      <c r="P1040" s="2">
        <f t="shared" si="190"/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s="2">
        <f t="shared" si="191"/>
        <v>0</v>
      </c>
      <c r="X1040">
        <v>16.399999999999999</v>
      </c>
      <c r="Z1040" s="2">
        <f t="shared" si="192"/>
        <v>1</v>
      </c>
      <c r="AA1040">
        <v>13.6</v>
      </c>
      <c r="AB1040" s="2" t="str">
        <f>CHOOSE(MATCH(AA1040,{0;11;80;111;161;191;241;281;341},1),"North","NorthEast","East","SouthEast","South","SouthWest","West","NorthWest","North")</f>
        <v>NorthEast</v>
      </c>
      <c r="AC1040" s="5">
        <f>CHOOSE(MATCH(AB1040,{"South";"SouthEast";"SouthWest";"North";"NorthEast";"East";"West";"NorthWest"},0),1,2,3,4,5,6,7,8)</f>
        <v>5</v>
      </c>
      <c r="AD1040" s="2">
        <f t="shared" si="193"/>
        <v>1</v>
      </c>
      <c r="AE1040">
        <v>1018.6</v>
      </c>
      <c r="AF1040" s="4" t="s">
        <v>1700</v>
      </c>
      <c r="AG1040" s="2">
        <f t="shared" si="194"/>
        <v>0</v>
      </c>
      <c r="AH1040" t="s">
        <v>1701</v>
      </c>
      <c r="AI1040" s="2">
        <f t="shared" si="195"/>
        <v>4</v>
      </c>
      <c r="AJ1040" s="2">
        <f t="shared" si="196"/>
        <v>0</v>
      </c>
      <c r="AK1040" s="3">
        <v>49.999999995343387</v>
      </c>
      <c r="AM1040" s="2">
        <v>0</v>
      </c>
      <c r="AN1040">
        <v>0</v>
      </c>
      <c r="AO1040">
        <v>0.1</v>
      </c>
      <c r="AP1040">
        <v>0</v>
      </c>
      <c r="AQ1040" s="2">
        <f>IF((2*G1040 + M1040 -P1040 + 3*W1040 + 2*Z1040+2*AD1040 + AG1040+2*AJ1040 + 4*AM1040) &gt;=8,1,0)</f>
        <v>0</v>
      </c>
    </row>
    <row r="1041" spans="1:43" x14ac:dyDescent="0.25">
      <c r="A1041" t="s">
        <v>27</v>
      </c>
      <c r="B1041" s="1">
        <v>40657</v>
      </c>
      <c r="C1041" s="7">
        <f t="shared" si="188"/>
        <v>2011</v>
      </c>
      <c r="D1041">
        <v>65.8</v>
      </c>
      <c r="E1041">
        <v>48.7</v>
      </c>
      <c r="F1041">
        <v>57.3</v>
      </c>
      <c r="G1041" s="2">
        <f t="shared" si="187"/>
        <v>0</v>
      </c>
      <c r="H1041">
        <v>65.8</v>
      </c>
      <c r="I1041">
        <v>47</v>
      </c>
      <c r="J1041">
        <v>57.1</v>
      </c>
      <c r="K1041">
        <v>37.5</v>
      </c>
      <c r="L1041">
        <v>48</v>
      </c>
      <c r="M1041" s="2">
        <f t="shared" si="189"/>
        <v>1</v>
      </c>
      <c r="N1041">
        <v>0</v>
      </c>
      <c r="P1041" s="2">
        <f t="shared" si="190"/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s="2">
        <f t="shared" si="191"/>
        <v>0</v>
      </c>
      <c r="X1041">
        <v>16.399999999999999</v>
      </c>
      <c r="Z1041" s="2">
        <f t="shared" si="192"/>
        <v>1</v>
      </c>
      <c r="AA1041">
        <v>13.6</v>
      </c>
      <c r="AB1041" s="2" t="str">
        <f>CHOOSE(MATCH(AA1041,{0;11;80;111;161;191;241;281;341},1),"North","NorthEast","East","SouthEast","South","SouthWest","West","NorthWest","North")</f>
        <v>NorthEast</v>
      </c>
      <c r="AC1041" s="5">
        <f>CHOOSE(MATCH(AB1041,{"South";"SouthEast";"SouthWest";"North";"NorthEast";"East";"West";"NorthWest"},0),1,2,3,4,5,6,7,8)</f>
        <v>5</v>
      </c>
      <c r="AD1041" s="2">
        <f t="shared" si="193"/>
        <v>1</v>
      </c>
      <c r="AE1041">
        <v>1018.6</v>
      </c>
      <c r="AF1041" s="4" t="s">
        <v>1702</v>
      </c>
      <c r="AG1041" s="2">
        <f t="shared" si="194"/>
        <v>0</v>
      </c>
      <c r="AH1041" t="s">
        <v>1703</v>
      </c>
      <c r="AI1041" s="2">
        <f t="shared" si="195"/>
        <v>4</v>
      </c>
      <c r="AJ1041" s="2">
        <f t="shared" si="196"/>
        <v>0</v>
      </c>
      <c r="AK1041" s="3">
        <v>91.000000003259629</v>
      </c>
      <c r="AM1041" s="2">
        <v>0</v>
      </c>
      <c r="AN1041">
        <v>0</v>
      </c>
      <c r="AO1041">
        <v>0.1</v>
      </c>
      <c r="AP1041">
        <v>0</v>
      </c>
      <c r="AQ1041" s="2">
        <f>IF((2*G1041 + M1041 -P1041 + 3*W1041 + 2*Z1041+2*AD1041 + AG1041+2*AJ1041 + 4*AM1041) &gt;=8,1,0)</f>
        <v>0</v>
      </c>
    </row>
    <row r="1042" spans="1:43" x14ac:dyDescent="0.25">
      <c r="A1042" t="s">
        <v>27</v>
      </c>
      <c r="B1042" s="1">
        <v>40666</v>
      </c>
      <c r="C1042" s="7">
        <f t="shared" si="188"/>
        <v>2011</v>
      </c>
      <c r="D1042">
        <v>73.400000000000006</v>
      </c>
      <c r="E1042">
        <v>60.6</v>
      </c>
      <c r="F1042">
        <v>65.900000000000006</v>
      </c>
      <c r="G1042" s="2">
        <f t="shared" si="187"/>
        <v>0</v>
      </c>
      <c r="H1042">
        <v>73.400000000000006</v>
      </c>
      <c r="I1042">
        <v>60.6</v>
      </c>
      <c r="J1042">
        <v>65.900000000000006</v>
      </c>
      <c r="K1042">
        <v>56.9</v>
      </c>
      <c r="L1042">
        <v>73.5</v>
      </c>
      <c r="M1042" s="2">
        <f t="shared" si="189"/>
        <v>0</v>
      </c>
      <c r="N1042">
        <v>1.4999999999999999E-2</v>
      </c>
      <c r="P1042" s="2">
        <f t="shared" si="190"/>
        <v>0</v>
      </c>
      <c r="Q1042">
        <v>100</v>
      </c>
      <c r="R1042">
        <v>4.17</v>
      </c>
      <c r="S1042" t="s">
        <v>87</v>
      </c>
      <c r="T1042">
        <v>0</v>
      </c>
      <c r="U1042">
        <v>0</v>
      </c>
      <c r="V1042">
        <v>0</v>
      </c>
      <c r="W1042" s="2">
        <f t="shared" si="191"/>
        <v>0</v>
      </c>
      <c r="X1042">
        <v>11.6</v>
      </c>
      <c r="Z1042" s="2">
        <f t="shared" si="192"/>
        <v>0</v>
      </c>
      <c r="AA1042">
        <v>179.5</v>
      </c>
      <c r="AB1042" s="2" t="str">
        <f>CHOOSE(MATCH(AA1042,{0;11;80;111;161;191;241;281;341},1),"North","NorthEast","East","SouthEast","South","SouthWest","West","NorthWest","North")</f>
        <v>South</v>
      </c>
      <c r="AC1042" s="5">
        <f>CHOOSE(MATCH(AB1042,{"South";"SouthEast";"SouthWest";"North";"NorthEast";"East";"West";"NorthWest"},0),1,2,3,4,5,6,7,8)</f>
        <v>1</v>
      </c>
      <c r="AD1042" s="2">
        <f t="shared" si="193"/>
        <v>0</v>
      </c>
      <c r="AE1042">
        <v>1006.7</v>
      </c>
      <c r="AF1042" s="4" t="s">
        <v>1704</v>
      </c>
      <c r="AG1042" s="2">
        <f t="shared" si="194"/>
        <v>1</v>
      </c>
      <c r="AH1042" t="s">
        <v>1705</v>
      </c>
      <c r="AI1042" s="2">
        <f t="shared" si="195"/>
        <v>5</v>
      </c>
      <c r="AJ1042" s="2">
        <f t="shared" si="196"/>
        <v>0</v>
      </c>
      <c r="AK1042" s="3">
        <v>94.999999995343387</v>
      </c>
      <c r="AM1042" s="2">
        <v>0</v>
      </c>
      <c r="AN1042">
        <v>0</v>
      </c>
      <c r="AO1042">
        <v>0.1</v>
      </c>
      <c r="AP1042">
        <v>0</v>
      </c>
      <c r="AQ1042" s="2">
        <f>IF((2*G1042 + M1042 -P1042 + 3*W1042 + 2*Z1042+2*AD1042 + AG1042+2*AJ1042 + 4*AM1042) &gt;=8,1,0)</f>
        <v>0</v>
      </c>
    </row>
    <row r="1043" spans="1:43" x14ac:dyDescent="0.25">
      <c r="A1043" t="s">
        <v>27</v>
      </c>
      <c r="B1043" s="1">
        <v>40678</v>
      </c>
      <c r="C1043" s="7">
        <f t="shared" si="188"/>
        <v>2011</v>
      </c>
      <c r="D1043">
        <v>78.900000000000006</v>
      </c>
      <c r="E1043">
        <v>51.4</v>
      </c>
      <c r="F1043">
        <v>66.400000000000006</v>
      </c>
      <c r="G1043" s="2">
        <f t="shared" si="187"/>
        <v>0</v>
      </c>
      <c r="H1043">
        <v>78.900000000000006</v>
      </c>
      <c r="I1043">
        <v>51.4</v>
      </c>
      <c r="J1043">
        <v>66.400000000000006</v>
      </c>
      <c r="K1043">
        <v>46.6</v>
      </c>
      <c r="L1043">
        <v>52.1</v>
      </c>
      <c r="M1043" s="2">
        <f t="shared" si="189"/>
        <v>0</v>
      </c>
      <c r="N1043">
        <v>0</v>
      </c>
      <c r="P1043" s="2">
        <f t="shared" si="190"/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s="2">
        <f t="shared" si="191"/>
        <v>0</v>
      </c>
      <c r="X1043">
        <v>11.5</v>
      </c>
      <c r="Z1043" s="2">
        <f t="shared" si="192"/>
        <v>0</v>
      </c>
      <c r="AA1043">
        <v>213.8</v>
      </c>
      <c r="AB1043" s="2" t="str">
        <f>CHOOSE(MATCH(AA1043,{0;11;80;111;161;191;241;281;341},1),"North","NorthEast","East","SouthEast","South","SouthWest","West","NorthWest","North")</f>
        <v>SouthWest</v>
      </c>
      <c r="AC1043" s="5">
        <f>CHOOSE(MATCH(AB1043,{"South";"SouthEast";"SouthWest";"North";"NorthEast";"East";"West";"NorthWest"},0),1,2,3,4,5,6,7,8)</f>
        <v>3</v>
      </c>
      <c r="AD1043" s="2">
        <f t="shared" si="193"/>
        <v>1</v>
      </c>
      <c r="AE1043">
        <v>1015.7</v>
      </c>
      <c r="AF1043" s="4" t="s">
        <v>1706</v>
      </c>
      <c r="AG1043" s="2">
        <f t="shared" si="194"/>
        <v>1</v>
      </c>
      <c r="AH1043" t="s">
        <v>1707</v>
      </c>
      <c r="AI1043" s="2">
        <f t="shared" si="195"/>
        <v>5</v>
      </c>
      <c r="AJ1043" s="2">
        <f t="shared" si="196"/>
        <v>0</v>
      </c>
      <c r="AK1043" s="3">
        <v>33.000000002793968</v>
      </c>
      <c r="AM1043" s="2">
        <v>0</v>
      </c>
      <c r="AN1043">
        <v>0</v>
      </c>
      <c r="AO1043">
        <v>0.3</v>
      </c>
      <c r="AP1043">
        <v>0</v>
      </c>
      <c r="AQ1043" s="2">
        <f>IF((2*G1043 + M1043 -P1043 + 3*W1043 + 2*Z1043+2*AD1043 + AG1043+2*AJ1043 + 4*AM1043) &gt;=8,1,0)</f>
        <v>0</v>
      </c>
    </row>
    <row r="1044" spans="1:43" x14ac:dyDescent="0.25">
      <c r="A1044" t="s">
        <v>27</v>
      </c>
      <c r="B1044" s="1">
        <v>40678</v>
      </c>
      <c r="C1044" s="7">
        <f t="shared" si="188"/>
        <v>2011</v>
      </c>
      <c r="D1044">
        <v>78.900000000000006</v>
      </c>
      <c r="E1044">
        <v>51.4</v>
      </c>
      <c r="F1044">
        <v>66.400000000000006</v>
      </c>
      <c r="G1044" s="2">
        <f t="shared" si="187"/>
        <v>0</v>
      </c>
      <c r="H1044">
        <v>78.900000000000006</v>
      </c>
      <c r="I1044">
        <v>51.4</v>
      </c>
      <c r="J1044">
        <v>66.400000000000006</v>
      </c>
      <c r="K1044">
        <v>46.6</v>
      </c>
      <c r="L1044">
        <v>52.1</v>
      </c>
      <c r="M1044" s="2">
        <f t="shared" si="189"/>
        <v>0</v>
      </c>
      <c r="N1044">
        <v>0</v>
      </c>
      <c r="P1044" s="2">
        <f t="shared" si="190"/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s="2">
        <f t="shared" si="191"/>
        <v>0</v>
      </c>
      <c r="X1044">
        <v>11.5</v>
      </c>
      <c r="Z1044" s="2">
        <f t="shared" si="192"/>
        <v>0</v>
      </c>
      <c r="AA1044">
        <v>213.8</v>
      </c>
      <c r="AB1044" s="2" t="str">
        <f>CHOOSE(MATCH(AA1044,{0;11;80;111;161;191;241;281;341},1),"North","NorthEast","East","SouthEast","South","SouthWest","West","NorthWest","North")</f>
        <v>SouthWest</v>
      </c>
      <c r="AC1044" s="5">
        <f>CHOOSE(MATCH(AB1044,{"South";"SouthEast";"SouthWest";"North";"NorthEast";"East";"West";"NorthWest"},0),1,2,3,4,5,6,7,8)</f>
        <v>3</v>
      </c>
      <c r="AD1044" s="2">
        <f t="shared" si="193"/>
        <v>1</v>
      </c>
      <c r="AE1044">
        <v>1015.7</v>
      </c>
      <c r="AF1044" s="4" t="s">
        <v>1708</v>
      </c>
      <c r="AG1044" s="2">
        <f t="shared" si="194"/>
        <v>1</v>
      </c>
      <c r="AH1044" t="s">
        <v>1709</v>
      </c>
      <c r="AI1044" s="2">
        <f t="shared" si="195"/>
        <v>5</v>
      </c>
      <c r="AJ1044" s="2">
        <f t="shared" si="196"/>
        <v>0</v>
      </c>
      <c r="AK1044" s="3">
        <v>72.000000004190952</v>
      </c>
      <c r="AM1044" s="2">
        <v>0</v>
      </c>
      <c r="AN1044">
        <v>0</v>
      </c>
      <c r="AO1044">
        <v>0.1</v>
      </c>
      <c r="AP1044">
        <v>0</v>
      </c>
      <c r="AQ1044" s="2">
        <f>IF((2*G1044 + M1044 -P1044 + 3*W1044 + 2*Z1044+2*AD1044 + AG1044+2*AJ1044 + 4*AM1044) &gt;=8,1,0)</f>
        <v>0</v>
      </c>
    </row>
    <row r="1045" spans="1:43" x14ac:dyDescent="0.25">
      <c r="A1045" t="s">
        <v>27</v>
      </c>
      <c r="B1045" s="1">
        <v>40700</v>
      </c>
      <c r="C1045" s="7">
        <f t="shared" si="188"/>
        <v>2011</v>
      </c>
      <c r="D1045">
        <v>86.6</v>
      </c>
      <c r="E1045">
        <v>64</v>
      </c>
      <c r="F1045">
        <v>75.8</v>
      </c>
      <c r="G1045" s="2">
        <f t="shared" si="187"/>
        <v>1</v>
      </c>
      <c r="H1045">
        <v>84.7</v>
      </c>
      <c r="I1045">
        <v>64</v>
      </c>
      <c r="J1045">
        <v>75.3</v>
      </c>
      <c r="K1045">
        <v>55.4</v>
      </c>
      <c r="L1045">
        <v>52.1</v>
      </c>
      <c r="M1045" s="2">
        <f t="shared" si="189"/>
        <v>0</v>
      </c>
      <c r="N1045">
        <v>0</v>
      </c>
      <c r="P1045" s="2">
        <f t="shared" si="190"/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24.2</v>
      </c>
      <c r="W1045" s="2">
        <f t="shared" si="191"/>
        <v>1</v>
      </c>
      <c r="X1045">
        <v>13</v>
      </c>
      <c r="Z1045" s="2">
        <f t="shared" si="192"/>
        <v>0</v>
      </c>
      <c r="AA1045">
        <v>10.4</v>
      </c>
      <c r="AB1045" s="2" t="str">
        <f>CHOOSE(MATCH(AA1045,{0;11;80;111;161;191;241;281;341},1),"North","NorthEast","East","SouthEast","South","SouthWest","West","NorthWest","North")</f>
        <v>North</v>
      </c>
      <c r="AC1045" s="5">
        <f>CHOOSE(MATCH(AB1045,{"South";"SouthEast";"SouthWest";"North";"NorthEast";"East";"West";"NorthWest"},0),1,2,3,4,5,6,7,8)</f>
        <v>4</v>
      </c>
      <c r="AD1045" s="2">
        <f t="shared" si="193"/>
        <v>1</v>
      </c>
      <c r="AE1045">
        <v>1012.2</v>
      </c>
      <c r="AF1045" s="4" t="s">
        <v>1710</v>
      </c>
      <c r="AG1045" s="2">
        <f t="shared" si="194"/>
        <v>0</v>
      </c>
      <c r="AH1045" t="s">
        <v>1711</v>
      </c>
      <c r="AI1045" s="2">
        <f t="shared" si="195"/>
        <v>6</v>
      </c>
      <c r="AJ1045" s="2">
        <f t="shared" si="196"/>
        <v>1</v>
      </c>
      <c r="AK1045" s="3">
        <v>34.999999998835847</v>
      </c>
      <c r="AM1045" s="2">
        <v>0</v>
      </c>
      <c r="AN1045">
        <v>0</v>
      </c>
      <c r="AO1045">
        <v>0</v>
      </c>
      <c r="AP1045">
        <v>0.1</v>
      </c>
      <c r="AQ1045" s="2">
        <f>IF((2*G1045 + M1045 -P1045 + 3*W1045 + 2*Z1045+2*AD1045 + AG1045+2*AJ1045 + 4*AM1045) &gt;=8,1,0)</f>
        <v>1</v>
      </c>
    </row>
    <row r="1046" spans="1:43" x14ac:dyDescent="0.25">
      <c r="A1046" t="s">
        <v>27</v>
      </c>
      <c r="B1046" s="1">
        <v>40708</v>
      </c>
      <c r="C1046" s="7">
        <f t="shared" si="188"/>
        <v>2011</v>
      </c>
      <c r="D1046">
        <v>79.7</v>
      </c>
      <c r="E1046">
        <v>60.6</v>
      </c>
      <c r="F1046">
        <v>71.400000000000006</v>
      </c>
      <c r="G1046" s="2">
        <f t="shared" si="187"/>
        <v>0</v>
      </c>
      <c r="H1046">
        <v>79.7</v>
      </c>
      <c r="I1046">
        <v>60.6</v>
      </c>
      <c r="J1046">
        <v>71.400000000000006</v>
      </c>
      <c r="K1046">
        <v>58.9</v>
      </c>
      <c r="L1046">
        <v>66.8</v>
      </c>
      <c r="M1046" s="2">
        <f t="shared" si="189"/>
        <v>0</v>
      </c>
      <c r="N1046">
        <v>0</v>
      </c>
      <c r="P1046" s="2">
        <f t="shared" si="190"/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21.9</v>
      </c>
      <c r="W1046" s="2">
        <f t="shared" si="191"/>
        <v>1</v>
      </c>
      <c r="X1046">
        <v>12.5</v>
      </c>
      <c r="Z1046" s="2">
        <f t="shared" si="192"/>
        <v>0</v>
      </c>
      <c r="AA1046">
        <v>162.1</v>
      </c>
      <c r="AB1046" s="2" t="str">
        <f>CHOOSE(MATCH(AA1046,{0;11;80;111;161;191;241;281;341},1),"North","NorthEast","East","SouthEast","South","SouthWest","West","NorthWest","North")</f>
        <v>South</v>
      </c>
      <c r="AC1046" s="5">
        <f>CHOOSE(MATCH(AB1046,{"South";"SouthEast";"SouthWest";"North";"NorthEast";"East";"West";"NorthWest"},0),1,2,3,4,5,6,7,8)</f>
        <v>1</v>
      </c>
      <c r="AD1046" s="2">
        <f t="shared" si="193"/>
        <v>0</v>
      </c>
      <c r="AE1046">
        <v>1011.6</v>
      </c>
      <c r="AF1046" s="4" t="s">
        <v>1712</v>
      </c>
      <c r="AG1046" s="2">
        <f t="shared" si="194"/>
        <v>0</v>
      </c>
      <c r="AH1046" t="s">
        <v>1713</v>
      </c>
      <c r="AI1046" s="2">
        <f t="shared" si="195"/>
        <v>6</v>
      </c>
      <c r="AJ1046" s="2">
        <f t="shared" si="196"/>
        <v>1</v>
      </c>
      <c r="AK1046" s="3">
        <v>76.999999999534339</v>
      </c>
      <c r="AM1046" s="2">
        <v>0</v>
      </c>
      <c r="AN1046">
        <v>0</v>
      </c>
      <c r="AO1046">
        <v>5</v>
      </c>
      <c r="AP1046">
        <v>0</v>
      </c>
      <c r="AQ1046" s="2">
        <f>IF((2*G1046 + M1046 -P1046 + 3*W1046 + 2*Z1046+2*AD1046 + AG1046+2*AJ1046 + 4*AM1046) &gt;=8,1,0)</f>
        <v>0</v>
      </c>
    </row>
    <row r="1047" spans="1:43" x14ac:dyDescent="0.25">
      <c r="A1047" t="s">
        <v>27</v>
      </c>
      <c r="B1047" s="1">
        <v>40714</v>
      </c>
      <c r="C1047" s="7">
        <f t="shared" si="188"/>
        <v>2011</v>
      </c>
      <c r="D1047">
        <v>90.5</v>
      </c>
      <c r="E1047">
        <v>66.900000000000006</v>
      </c>
      <c r="F1047">
        <v>79.7</v>
      </c>
      <c r="G1047" s="2">
        <f t="shared" si="187"/>
        <v>1</v>
      </c>
      <c r="H1047">
        <v>89.3</v>
      </c>
      <c r="I1047">
        <v>66.900000000000006</v>
      </c>
      <c r="J1047">
        <v>79.3</v>
      </c>
      <c r="K1047">
        <v>58.7</v>
      </c>
      <c r="L1047">
        <v>50.7</v>
      </c>
      <c r="M1047" s="2">
        <f t="shared" si="189"/>
        <v>0</v>
      </c>
      <c r="N1047">
        <v>0</v>
      </c>
      <c r="P1047" s="2">
        <f t="shared" si="190"/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s="2">
        <f t="shared" si="191"/>
        <v>0</v>
      </c>
      <c r="X1047">
        <v>11.4</v>
      </c>
      <c r="Z1047" s="2">
        <f t="shared" si="192"/>
        <v>0</v>
      </c>
      <c r="AA1047">
        <v>112.4</v>
      </c>
      <c r="AB1047" s="2" t="str">
        <f>CHOOSE(MATCH(AA1047,{0;11;80;111;161;191;241;281;341},1),"North","NorthEast","East","SouthEast","South","SouthWest","West","NorthWest","North")</f>
        <v>SouthEast</v>
      </c>
      <c r="AC1047" s="5">
        <f>CHOOSE(MATCH(AB1047,{"South";"SouthEast";"SouthWest";"North";"NorthEast";"East";"West";"NorthWest"},0),1,2,3,4,5,6,7,8)</f>
        <v>2</v>
      </c>
      <c r="AD1047" s="2">
        <f t="shared" si="193"/>
        <v>0</v>
      </c>
      <c r="AE1047">
        <v>1010.2</v>
      </c>
      <c r="AF1047" s="4" t="s">
        <v>1714</v>
      </c>
      <c r="AG1047" s="2">
        <f t="shared" si="194"/>
        <v>0</v>
      </c>
      <c r="AH1047" t="s">
        <v>1715</v>
      </c>
      <c r="AI1047" s="2">
        <f t="shared" si="195"/>
        <v>6</v>
      </c>
      <c r="AJ1047" s="2">
        <f t="shared" si="196"/>
        <v>1</v>
      </c>
      <c r="AK1047" s="3">
        <v>58.999999993247911</v>
      </c>
      <c r="AM1047" s="2">
        <v>0</v>
      </c>
      <c r="AN1047">
        <v>0</v>
      </c>
      <c r="AO1047">
        <v>40</v>
      </c>
      <c r="AP1047">
        <v>0</v>
      </c>
      <c r="AQ1047" s="2">
        <f>IF((2*G1047 + M1047 -P1047 + 3*W1047 + 2*Z1047+2*AD1047 + AG1047+2*AJ1047 + 4*AM1047) &gt;=8,1,0)</f>
        <v>0</v>
      </c>
    </row>
    <row r="1048" spans="1:43" x14ac:dyDescent="0.25">
      <c r="A1048" t="s">
        <v>27</v>
      </c>
      <c r="B1048" s="1">
        <v>40716</v>
      </c>
      <c r="C1048" s="7">
        <f t="shared" si="188"/>
        <v>2011</v>
      </c>
      <c r="D1048">
        <v>86.8</v>
      </c>
      <c r="E1048">
        <v>70.7</v>
      </c>
      <c r="F1048">
        <v>78.400000000000006</v>
      </c>
      <c r="G1048" s="2">
        <f t="shared" si="187"/>
        <v>1</v>
      </c>
      <c r="H1048">
        <v>84.2</v>
      </c>
      <c r="I1048">
        <v>70.7</v>
      </c>
      <c r="J1048">
        <v>77.5</v>
      </c>
      <c r="K1048">
        <v>49.8</v>
      </c>
      <c r="L1048">
        <v>38.1</v>
      </c>
      <c r="M1048" s="2">
        <f t="shared" si="189"/>
        <v>1</v>
      </c>
      <c r="N1048">
        <v>0</v>
      </c>
      <c r="P1048" s="2">
        <f t="shared" si="190"/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38</v>
      </c>
      <c r="W1048" s="2">
        <f t="shared" si="191"/>
        <v>1</v>
      </c>
      <c r="X1048">
        <v>20.399999999999999</v>
      </c>
      <c r="Z1048" s="2">
        <f t="shared" si="192"/>
        <v>1</v>
      </c>
      <c r="AA1048">
        <v>0.8</v>
      </c>
      <c r="AB1048" s="2" t="str">
        <f>CHOOSE(MATCH(AA1048,{0;11;80;111;161;191;241;281;341},1),"North","NorthEast","East","SouthEast","South","SouthWest","West","NorthWest","North")</f>
        <v>North</v>
      </c>
      <c r="AC1048" s="5">
        <f>CHOOSE(MATCH(AB1048,{"South";"SouthEast";"SouthWest";"North";"NorthEast";"East";"West";"NorthWest"},0),1,2,3,4,5,6,7,8)</f>
        <v>4</v>
      </c>
      <c r="AD1048" s="2">
        <f t="shared" si="193"/>
        <v>1</v>
      </c>
      <c r="AE1048">
        <v>1017.6</v>
      </c>
      <c r="AF1048" s="4" t="s">
        <v>1233</v>
      </c>
      <c r="AG1048" s="2">
        <f t="shared" si="194"/>
        <v>1</v>
      </c>
      <c r="AH1048" t="s">
        <v>1716</v>
      </c>
      <c r="AI1048" s="2">
        <f t="shared" si="195"/>
        <v>6</v>
      </c>
      <c r="AJ1048" s="2">
        <f t="shared" si="196"/>
        <v>1</v>
      </c>
      <c r="AK1048" s="3">
        <v>2738.0000000086152</v>
      </c>
      <c r="AM1048" s="2">
        <v>1</v>
      </c>
      <c r="AN1048">
        <v>8</v>
      </c>
      <c r="AO1048">
        <v>7</v>
      </c>
      <c r="AP1048">
        <v>0</v>
      </c>
      <c r="AQ1048" s="2">
        <f>IF((2*G1048 + M1048 -P1048 + 3*W1048 + 2*Z1048+2*AD1048 + AG1048+2*AJ1048 + 4*AM1048) &gt;=8,1,0)</f>
        <v>1</v>
      </c>
    </row>
    <row r="1049" spans="1:43" x14ac:dyDescent="0.25">
      <c r="A1049" t="s">
        <v>27</v>
      </c>
      <c r="B1049" s="1">
        <v>40717</v>
      </c>
      <c r="C1049" s="7">
        <f t="shared" si="188"/>
        <v>2011</v>
      </c>
      <c r="D1049">
        <v>90</v>
      </c>
      <c r="E1049">
        <v>73.599999999999994</v>
      </c>
      <c r="F1049">
        <v>81.099999999999994</v>
      </c>
      <c r="G1049" s="2">
        <f t="shared" si="187"/>
        <v>1</v>
      </c>
      <c r="H1049">
        <v>86.7</v>
      </c>
      <c r="I1049">
        <v>73.599999999999994</v>
      </c>
      <c r="J1049">
        <v>79.8</v>
      </c>
      <c r="K1049">
        <v>48.5</v>
      </c>
      <c r="L1049">
        <v>32.799999999999997</v>
      </c>
      <c r="M1049" s="2">
        <f t="shared" si="189"/>
        <v>1</v>
      </c>
      <c r="N1049">
        <v>0</v>
      </c>
      <c r="P1049" s="2">
        <f t="shared" si="190"/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34.4</v>
      </c>
      <c r="W1049" s="2">
        <f t="shared" si="191"/>
        <v>1</v>
      </c>
      <c r="X1049">
        <v>20.8</v>
      </c>
      <c r="Z1049" s="2">
        <f t="shared" si="192"/>
        <v>1</v>
      </c>
      <c r="AA1049">
        <v>355.1</v>
      </c>
      <c r="AB1049" s="2" t="str">
        <f>CHOOSE(MATCH(AA1049,{0;11;80;111;161;191;241;281;341},1),"North","NorthEast","East","SouthEast","South","SouthWest","West","NorthWest","North")</f>
        <v>North</v>
      </c>
      <c r="AC1049" s="5">
        <f>CHOOSE(MATCH(AB1049,{"South";"SouthEast";"SouthWest";"North";"NorthEast";"East";"West";"NorthWest"},0),1,2,3,4,5,6,7,8)</f>
        <v>4</v>
      </c>
      <c r="AD1049" s="2">
        <f t="shared" si="193"/>
        <v>1</v>
      </c>
      <c r="AE1049">
        <v>1014.4</v>
      </c>
      <c r="AF1049" s="4" t="s">
        <v>1717</v>
      </c>
      <c r="AG1049" s="2">
        <f t="shared" si="194"/>
        <v>1</v>
      </c>
      <c r="AH1049" t="s">
        <v>1718</v>
      </c>
      <c r="AI1049" s="2">
        <f t="shared" si="195"/>
        <v>6</v>
      </c>
      <c r="AJ1049" s="2">
        <f t="shared" si="196"/>
        <v>1</v>
      </c>
      <c r="AK1049" s="3">
        <v>197.99999999580899</v>
      </c>
      <c r="AM1049" s="2">
        <v>0</v>
      </c>
      <c r="AN1049">
        <v>0</v>
      </c>
      <c r="AO1049">
        <v>1</v>
      </c>
      <c r="AP1049">
        <v>0</v>
      </c>
      <c r="AQ1049" s="2">
        <f>IF((2*G1049 + M1049 -P1049 + 3*W1049 + 2*Z1049+2*AD1049 + AG1049+2*AJ1049 + 4*AM1049) &gt;=8,1,0)</f>
        <v>1</v>
      </c>
    </row>
    <row r="1050" spans="1:43" x14ac:dyDescent="0.25">
      <c r="A1050" t="s">
        <v>27</v>
      </c>
      <c r="B1050" s="1">
        <v>40718</v>
      </c>
      <c r="C1050" s="7">
        <f t="shared" si="188"/>
        <v>2011</v>
      </c>
      <c r="D1050">
        <v>92.1</v>
      </c>
      <c r="E1050">
        <v>75.2</v>
      </c>
      <c r="F1050">
        <v>82.7</v>
      </c>
      <c r="G1050" s="2">
        <f t="shared" si="187"/>
        <v>1</v>
      </c>
      <c r="H1050">
        <v>89.6</v>
      </c>
      <c r="I1050">
        <v>75.2</v>
      </c>
      <c r="J1050">
        <v>81.5</v>
      </c>
      <c r="K1050">
        <v>50.2</v>
      </c>
      <c r="L1050">
        <v>32.799999999999997</v>
      </c>
      <c r="M1050" s="2">
        <f t="shared" si="189"/>
        <v>1</v>
      </c>
      <c r="N1050">
        <v>0</v>
      </c>
      <c r="P1050" s="2">
        <f t="shared" si="190"/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27.5</v>
      </c>
      <c r="W1050" s="2">
        <f t="shared" si="191"/>
        <v>1</v>
      </c>
      <c r="X1050">
        <v>19</v>
      </c>
      <c r="Z1050" s="2">
        <f t="shared" si="192"/>
        <v>1</v>
      </c>
      <c r="AA1050">
        <v>0.7</v>
      </c>
      <c r="AB1050" s="2" t="str">
        <f>CHOOSE(MATCH(AA1050,{0;11;80;111;161;191;241;281;341},1),"North","NorthEast","East","SouthEast","South","SouthWest","West","NorthWest","North")</f>
        <v>North</v>
      </c>
      <c r="AC1050" s="5">
        <f>CHOOSE(MATCH(AB1050,{"South";"SouthEast";"SouthWest";"North";"NorthEast";"East";"West";"NorthWest"},0),1,2,3,4,5,6,7,8)</f>
        <v>4</v>
      </c>
      <c r="AD1050" s="2">
        <f t="shared" si="193"/>
        <v>1</v>
      </c>
      <c r="AE1050">
        <v>1011.6</v>
      </c>
      <c r="AF1050" s="4" t="s">
        <v>1186</v>
      </c>
      <c r="AG1050" s="2">
        <f t="shared" si="194"/>
        <v>1</v>
      </c>
      <c r="AH1050" t="s">
        <v>1719</v>
      </c>
      <c r="AI1050" s="2">
        <f t="shared" si="195"/>
        <v>6</v>
      </c>
      <c r="AJ1050" s="2">
        <f t="shared" si="196"/>
        <v>1</v>
      </c>
      <c r="AK1050" s="3">
        <v>20.00000000232831</v>
      </c>
      <c r="AM1050" s="2">
        <v>0</v>
      </c>
      <c r="AN1050">
        <v>0</v>
      </c>
      <c r="AO1050">
        <v>1</v>
      </c>
      <c r="AP1050">
        <v>0</v>
      </c>
      <c r="AQ1050" s="2">
        <f>IF((2*G1050 + M1050 -P1050 + 3*W1050 + 2*Z1050+2*AD1050 + AG1050+2*AJ1050 + 4*AM1050) &gt;=8,1,0)</f>
        <v>1</v>
      </c>
    </row>
    <row r="1051" spans="1:43" x14ac:dyDescent="0.25">
      <c r="A1051" t="s">
        <v>27</v>
      </c>
      <c r="B1051" s="1">
        <v>40718</v>
      </c>
      <c r="C1051" s="7">
        <f t="shared" si="188"/>
        <v>2011</v>
      </c>
      <c r="D1051">
        <v>92.1</v>
      </c>
      <c r="E1051">
        <v>75.2</v>
      </c>
      <c r="F1051">
        <v>82.7</v>
      </c>
      <c r="G1051" s="2">
        <f t="shared" si="187"/>
        <v>1</v>
      </c>
      <c r="H1051">
        <v>89.6</v>
      </c>
      <c r="I1051">
        <v>75.2</v>
      </c>
      <c r="J1051">
        <v>81.5</v>
      </c>
      <c r="K1051">
        <v>50.2</v>
      </c>
      <c r="L1051">
        <v>32.799999999999997</v>
      </c>
      <c r="M1051" s="2">
        <f t="shared" si="189"/>
        <v>1</v>
      </c>
      <c r="N1051">
        <v>0</v>
      </c>
      <c r="P1051" s="2">
        <f t="shared" si="190"/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27.5</v>
      </c>
      <c r="W1051" s="2">
        <f t="shared" si="191"/>
        <v>1</v>
      </c>
      <c r="X1051">
        <v>19</v>
      </c>
      <c r="Z1051" s="2">
        <f t="shared" si="192"/>
        <v>1</v>
      </c>
      <c r="AA1051">
        <v>0.7</v>
      </c>
      <c r="AB1051" s="2" t="str">
        <f>CHOOSE(MATCH(AA1051,{0;11;80;111;161;191;241;281;341},1),"North","NorthEast","East","SouthEast","South","SouthWest","West","NorthWest","North")</f>
        <v>North</v>
      </c>
      <c r="AC1051" s="5">
        <f>CHOOSE(MATCH(AB1051,{"South";"SouthEast";"SouthWest";"North";"NorthEast";"East";"West";"NorthWest"},0),1,2,3,4,5,6,7,8)</f>
        <v>4</v>
      </c>
      <c r="AD1051" s="2">
        <f t="shared" si="193"/>
        <v>1</v>
      </c>
      <c r="AE1051">
        <v>1011.6</v>
      </c>
      <c r="AF1051" s="4" t="s">
        <v>1720</v>
      </c>
      <c r="AG1051" s="2">
        <f t="shared" si="194"/>
        <v>0</v>
      </c>
      <c r="AH1051" t="s">
        <v>1721</v>
      </c>
      <c r="AI1051" s="2">
        <f t="shared" si="195"/>
        <v>6</v>
      </c>
      <c r="AJ1051" s="2">
        <f t="shared" si="196"/>
        <v>1</v>
      </c>
      <c r="AK1051" s="3">
        <v>15180.000000006979</v>
      </c>
      <c r="AM1051" s="2">
        <v>1</v>
      </c>
      <c r="AN1051">
        <v>0</v>
      </c>
      <c r="AO1051">
        <v>0.5</v>
      </c>
      <c r="AP1051">
        <v>0</v>
      </c>
      <c r="AQ1051" s="2">
        <f>IF((2*G1051 + M1051 -P1051 + 3*W1051 + 2*Z1051+2*AD1051 + AG1051+2*AJ1051 + 4*AM1051) &gt;=8,1,0)</f>
        <v>1</v>
      </c>
    </row>
    <row r="1052" spans="1:43" x14ac:dyDescent="0.25">
      <c r="A1052" t="s">
        <v>27</v>
      </c>
      <c r="B1052" s="1">
        <v>40719</v>
      </c>
      <c r="C1052" s="7">
        <f t="shared" si="188"/>
        <v>2011</v>
      </c>
      <c r="D1052">
        <v>89.7</v>
      </c>
      <c r="E1052">
        <v>67.599999999999994</v>
      </c>
      <c r="F1052">
        <v>80.400000000000006</v>
      </c>
      <c r="G1052" s="2">
        <f t="shared" si="187"/>
        <v>1</v>
      </c>
      <c r="H1052">
        <v>89.4</v>
      </c>
      <c r="I1052">
        <v>67.599999999999994</v>
      </c>
      <c r="J1052">
        <v>80.099999999999994</v>
      </c>
      <c r="K1052">
        <v>56.2</v>
      </c>
      <c r="L1052">
        <v>44.4</v>
      </c>
      <c r="M1052" s="2">
        <f t="shared" si="189"/>
        <v>1</v>
      </c>
      <c r="N1052">
        <v>0</v>
      </c>
      <c r="P1052" s="2">
        <f t="shared" si="190"/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s="2">
        <f t="shared" si="191"/>
        <v>0</v>
      </c>
      <c r="X1052">
        <v>16.7</v>
      </c>
      <c r="Z1052" s="2">
        <f t="shared" si="192"/>
        <v>1</v>
      </c>
      <c r="AA1052">
        <v>79.8</v>
      </c>
      <c r="AB1052" s="2" t="str">
        <f>CHOOSE(MATCH(AA1052,{0;11;80;111;161;191;241;281;341},1),"North","NorthEast","East","SouthEast","South","SouthWest","West","NorthWest","North")</f>
        <v>NorthEast</v>
      </c>
      <c r="AC1052" s="5">
        <f>CHOOSE(MATCH(AB1052,{"South";"SouthEast";"SouthWest";"North";"NorthEast";"East";"West";"NorthWest"},0),1,2,3,4,5,6,7,8)</f>
        <v>5</v>
      </c>
      <c r="AD1052" s="2">
        <f t="shared" si="193"/>
        <v>1</v>
      </c>
      <c r="AE1052">
        <v>1008.6</v>
      </c>
      <c r="AF1052" s="4" t="s">
        <v>1135</v>
      </c>
      <c r="AG1052" s="2">
        <f t="shared" si="194"/>
        <v>1</v>
      </c>
      <c r="AH1052" t="s">
        <v>1722</v>
      </c>
      <c r="AI1052" s="2">
        <f t="shared" si="195"/>
        <v>6</v>
      </c>
      <c r="AJ1052" s="2">
        <f t="shared" si="196"/>
        <v>1</v>
      </c>
      <c r="AK1052" s="3">
        <v>881.00000000093132</v>
      </c>
      <c r="AM1052" s="2">
        <v>1</v>
      </c>
      <c r="AN1052">
        <v>0</v>
      </c>
      <c r="AO1052">
        <v>25</v>
      </c>
      <c r="AP1052">
        <v>0</v>
      </c>
      <c r="AQ1052" s="2">
        <f>IF((2*G1052 + M1052 -P1052 + 3*W1052 + 2*Z1052+2*AD1052 + AG1052+2*AJ1052 + 4*AM1052) &gt;=8,1,0)</f>
        <v>1</v>
      </c>
    </row>
    <row r="1053" spans="1:43" x14ac:dyDescent="0.25">
      <c r="A1053" t="s">
        <v>27</v>
      </c>
      <c r="B1053" s="1">
        <v>40720</v>
      </c>
      <c r="C1053" s="7">
        <f t="shared" si="188"/>
        <v>2011</v>
      </c>
      <c r="D1053">
        <v>78.599999999999994</v>
      </c>
      <c r="E1053">
        <v>67.8</v>
      </c>
      <c r="F1053">
        <v>73.7</v>
      </c>
      <c r="G1053" s="2">
        <f t="shared" si="187"/>
        <v>1</v>
      </c>
      <c r="H1053">
        <v>78.599999999999994</v>
      </c>
      <c r="I1053">
        <v>67.8</v>
      </c>
      <c r="J1053">
        <v>73.7</v>
      </c>
      <c r="K1053">
        <v>52.4</v>
      </c>
      <c r="L1053">
        <v>48.7</v>
      </c>
      <c r="M1053" s="2">
        <f t="shared" si="189"/>
        <v>1</v>
      </c>
      <c r="N1053">
        <v>0</v>
      </c>
      <c r="P1053" s="2">
        <f t="shared" si="190"/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33.299999999999997</v>
      </c>
      <c r="W1053" s="2">
        <f t="shared" si="191"/>
        <v>1</v>
      </c>
      <c r="X1053">
        <v>19.100000000000001</v>
      </c>
      <c r="Z1053" s="2">
        <f t="shared" si="192"/>
        <v>1</v>
      </c>
      <c r="AA1053">
        <v>3.3</v>
      </c>
      <c r="AB1053" s="2" t="str">
        <f>CHOOSE(MATCH(AA1053,{0;11;80;111;161;191;241;281;341},1),"North","NorthEast","East","SouthEast","South","SouthWest","West","NorthWest","North")</f>
        <v>North</v>
      </c>
      <c r="AC1053" s="5">
        <f>CHOOSE(MATCH(AB1053,{"South";"SouthEast";"SouthWest";"North";"NorthEast";"East";"West";"NorthWest"},0),1,2,3,4,5,6,7,8)</f>
        <v>4</v>
      </c>
      <c r="AD1053" s="2">
        <f t="shared" si="193"/>
        <v>1</v>
      </c>
      <c r="AE1053">
        <v>1012.4</v>
      </c>
      <c r="AF1053" s="4" t="s">
        <v>1723</v>
      </c>
      <c r="AG1053" s="2">
        <f t="shared" si="194"/>
        <v>1</v>
      </c>
      <c r="AH1053" t="s">
        <v>1724</v>
      </c>
      <c r="AI1053" s="2">
        <f t="shared" si="195"/>
        <v>6</v>
      </c>
      <c r="AJ1053" s="2">
        <f t="shared" si="196"/>
        <v>1</v>
      </c>
      <c r="AK1053" s="3">
        <v>496.99999999604188</v>
      </c>
      <c r="AM1053" s="2">
        <v>1</v>
      </c>
      <c r="AN1053">
        <v>2</v>
      </c>
      <c r="AO1053">
        <v>0</v>
      </c>
      <c r="AP1053">
        <v>0</v>
      </c>
      <c r="AQ1053" s="2">
        <f>IF((2*G1053 + M1053 -P1053 + 3*W1053 + 2*Z1053+2*AD1053 + AG1053+2*AJ1053 + 4*AM1053) &gt;=8,1,0)</f>
        <v>1</v>
      </c>
    </row>
    <row r="1054" spans="1:43" x14ac:dyDescent="0.25">
      <c r="A1054" t="s">
        <v>27</v>
      </c>
      <c r="B1054" s="1">
        <v>40720</v>
      </c>
      <c r="C1054" s="7">
        <f t="shared" si="188"/>
        <v>2011</v>
      </c>
      <c r="D1054">
        <v>78.599999999999994</v>
      </c>
      <c r="E1054">
        <v>67.8</v>
      </c>
      <c r="F1054">
        <v>73.7</v>
      </c>
      <c r="G1054" s="2">
        <f t="shared" si="187"/>
        <v>1</v>
      </c>
      <c r="H1054">
        <v>78.599999999999994</v>
      </c>
      <c r="I1054">
        <v>67.8</v>
      </c>
      <c r="J1054">
        <v>73.7</v>
      </c>
      <c r="K1054">
        <v>52.4</v>
      </c>
      <c r="L1054">
        <v>48.7</v>
      </c>
      <c r="M1054" s="2">
        <f t="shared" si="189"/>
        <v>1</v>
      </c>
      <c r="N1054">
        <v>0</v>
      </c>
      <c r="P1054" s="2">
        <f t="shared" si="190"/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33.299999999999997</v>
      </c>
      <c r="W1054" s="2">
        <f t="shared" si="191"/>
        <v>1</v>
      </c>
      <c r="X1054">
        <v>19.100000000000001</v>
      </c>
      <c r="Z1054" s="2">
        <f t="shared" si="192"/>
        <v>1</v>
      </c>
      <c r="AA1054">
        <v>3.3</v>
      </c>
      <c r="AB1054" s="2" t="str">
        <f>CHOOSE(MATCH(AA1054,{0;11;80;111;161;191;241;281;341},1),"North","NorthEast","East","SouthEast","South","SouthWest","West","NorthWest","North")</f>
        <v>North</v>
      </c>
      <c r="AC1054" s="5">
        <f>CHOOSE(MATCH(AB1054,{"South";"SouthEast";"SouthWest";"North";"NorthEast";"East";"West";"NorthWest"},0),1,2,3,4,5,6,7,8)</f>
        <v>4</v>
      </c>
      <c r="AD1054" s="2">
        <f t="shared" si="193"/>
        <v>1</v>
      </c>
      <c r="AE1054">
        <v>1012.4</v>
      </c>
      <c r="AF1054" s="4" t="s">
        <v>1082</v>
      </c>
      <c r="AG1054" s="2">
        <f t="shared" si="194"/>
        <v>1</v>
      </c>
      <c r="AH1054" t="s">
        <v>1725</v>
      </c>
      <c r="AI1054" s="2">
        <f t="shared" si="195"/>
        <v>6</v>
      </c>
      <c r="AJ1054" s="2">
        <f t="shared" si="196"/>
        <v>1</v>
      </c>
      <c r="AK1054" s="3">
        <v>1525.0000000046571</v>
      </c>
      <c r="AM1054" s="2">
        <v>1</v>
      </c>
      <c r="AN1054">
        <v>25</v>
      </c>
      <c r="AO1054">
        <v>0</v>
      </c>
      <c r="AP1054">
        <v>0</v>
      </c>
      <c r="AQ1054" s="2">
        <f>IF((2*G1054 + M1054 -P1054 + 3*W1054 + 2*Z1054+2*AD1054 + AG1054+2*AJ1054 + 4*AM1054) &gt;=8,1,0)</f>
        <v>1</v>
      </c>
    </row>
    <row r="1055" spans="1:43" x14ac:dyDescent="0.25">
      <c r="A1055" t="s">
        <v>27</v>
      </c>
      <c r="B1055" s="1">
        <v>40720</v>
      </c>
      <c r="C1055" s="7">
        <f t="shared" si="188"/>
        <v>2011</v>
      </c>
      <c r="D1055">
        <v>78.599999999999994</v>
      </c>
      <c r="E1055">
        <v>67.8</v>
      </c>
      <c r="F1055">
        <v>73.7</v>
      </c>
      <c r="G1055" s="2">
        <f t="shared" si="187"/>
        <v>1</v>
      </c>
      <c r="H1055">
        <v>78.599999999999994</v>
      </c>
      <c r="I1055">
        <v>67.8</v>
      </c>
      <c r="J1055">
        <v>73.7</v>
      </c>
      <c r="K1055">
        <v>52.4</v>
      </c>
      <c r="L1055">
        <v>48.7</v>
      </c>
      <c r="M1055" s="2">
        <f t="shared" si="189"/>
        <v>1</v>
      </c>
      <c r="N1055">
        <v>0</v>
      </c>
      <c r="P1055" s="2">
        <f t="shared" si="190"/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33.299999999999997</v>
      </c>
      <c r="W1055" s="2">
        <f t="shared" si="191"/>
        <v>1</v>
      </c>
      <c r="X1055">
        <v>19.100000000000001</v>
      </c>
      <c r="Z1055" s="2">
        <f t="shared" si="192"/>
        <v>1</v>
      </c>
      <c r="AA1055">
        <v>3.3</v>
      </c>
      <c r="AB1055" s="2" t="str">
        <f>CHOOSE(MATCH(AA1055,{0;11;80;111;161;191;241;281;341},1),"North","NorthEast","East","SouthEast","South","SouthWest","West","NorthWest","North")</f>
        <v>North</v>
      </c>
      <c r="AC1055" s="5">
        <f>CHOOSE(MATCH(AB1055,{"South";"SouthEast";"SouthWest";"North";"NorthEast";"East";"West";"NorthWest"},0),1,2,3,4,5,6,7,8)</f>
        <v>4</v>
      </c>
      <c r="AD1055" s="2">
        <f t="shared" si="193"/>
        <v>1</v>
      </c>
      <c r="AE1055">
        <v>1012.4</v>
      </c>
      <c r="AF1055" s="4" t="s">
        <v>1726</v>
      </c>
      <c r="AG1055" s="2">
        <f t="shared" si="194"/>
        <v>1</v>
      </c>
      <c r="AH1055" t="s">
        <v>1727</v>
      </c>
      <c r="AI1055" s="2">
        <f t="shared" si="195"/>
        <v>6</v>
      </c>
      <c r="AJ1055" s="2">
        <f t="shared" si="196"/>
        <v>1</v>
      </c>
      <c r="AK1055" s="3">
        <v>1348.0000000039579</v>
      </c>
      <c r="AM1055" s="2">
        <v>1</v>
      </c>
      <c r="AN1055">
        <v>25</v>
      </c>
      <c r="AO1055">
        <v>0</v>
      </c>
      <c r="AP1055">
        <v>0</v>
      </c>
      <c r="AQ1055" s="2">
        <f>IF((2*G1055 + M1055 -P1055 + 3*W1055 + 2*Z1055+2*AD1055 + AG1055+2*AJ1055 + 4*AM1055) &gt;=8,1,0)</f>
        <v>1</v>
      </c>
    </row>
    <row r="1056" spans="1:43" x14ac:dyDescent="0.25">
      <c r="A1056" t="s">
        <v>27</v>
      </c>
      <c r="B1056" s="1">
        <v>40720</v>
      </c>
      <c r="C1056" s="7">
        <f t="shared" si="188"/>
        <v>2011</v>
      </c>
      <c r="D1056">
        <v>78.599999999999994</v>
      </c>
      <c r="E1056">
        <v>67.8</v>
      </c>
      <c r="F1056">
        <v>73.7</v>
      </c>
      <c r="G1056" s="2">
        <f t="shared" si="187"/>
        <v>1</v>
      </c>
      <c r="H1056">
        <v>78.599999999999994</v>
      </c>
      <c r="I1056">
        <v>67.8</v>
      </c>
      <c r="J1056">
        <v>73.7</v>
      </c>
      <c r="K1056">
        <v>52.4</v>
      </c>
      <c r="L1056">
        <v>48.7</v>
      </c>
      <c r="M1056" s="2">
        <f t="shared" si="189"/>
        <v>1</v>
      </c>
      <c r="N1056">
        <v>0</v>
      </c>
      <c r="P1056" s="2">
        <f t="shared" si="190"/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33.299999999999997</v>
      </c>
      <c r="W1056" s="2">
        <f t="shared" si="191"/>
        <v>1</v>
      </c>
      <c r="X1056">
        <v>19.100000000000001</v>
      </c>
      <c r="Z1056" s="2">
        <f t="shared" si="192"/>
        <v>1</v>
      </c>
      <c r="AA1056">
        <v>3.3</v>
      </c>
      <c r="AB1056" s="2" t="str">
        <f>CHOOSE(MATCH(AA1056,{0;11;80;111;161;191;241;281;341},1),"North","NorthEast","East","SouthEast","South","SouthWest","West","NorthWest","North")</f>
        <v>North</v>
      </c>
      <c r="AC1056" s="5">
        <f>CHOOSE(MATCH(AB1056,{"South";"SouthEast";"SouthWest";"North";"NorthEast";"East";"West";"NorthWest"},0),1,2,3,4,5,6,7,8)</f>
        <v>4</v>
      </c>
      <c r="AD1056" s="2">
        <f t="shared" si="193"/>
        <v>1</v>
      </c>
      <c r="AE1056">
        <v>1012.4</v>
      </c>
      <c r="AF1056" s="4" t="s">
        <v>1082</v>
      </c>
      <c r="AG1056" s="2">
        <f t="shared" si="194"/>
        <v>1</v>
      </c>
      <c r="AH1056" t="s">
        <v>1725</v>
      </c>
      <c r="AI1056" s="2">
        <f t="shared" si="195"/>
        <v>6</v>
      </c>
      <c r="AJ1056" s="2">
        <f t="shared" si="196"/>
        <v>1</v>
      </c>
      <c r="AK1056" s="3">
        <v>110.00000000232831</v>
      </c>
      <c r="AM1056" s="2">
        <v>0</v>
      </c>
      <c r="AN1056">
        <v>0</v>
      </c>
      <c r="AO1056">
        <v>0.5</v>
      </c>
      <c r="AP1056">
        <v>0</v>
      </c>
      <c r="AQ1056" s="2">
        <f>IF((2*G1056 + M1056 -P1056 + 3*W1056 + 2*Z1056+2*AD1056 + AG1056+2*AJ1056 + 4*AM1056) &gt;=8,1,0)</f>
        <v>1</v>
      </c>
    </row>
    <row r="1057" spans="1:43" x14ac:dyDescent="0.25">
      <c r="A1057" t="s">
        <v>27</v>
      </c>
      <c r="B1057" s="1">
        <v>40720</v>
      </c>
      <c r="C1057" s="7">
        <f t="shared" si="188"/>
        <v>2011</v>
      </c>
      <c r="D1057">
        <v>78.599999999999994</v>
      </c>
      <c r="E1057">
        <v>67.8</v>
      </c>
      <c r="F1057">
        <v>73.7</v>
      </c>
      <c r="G1057" s="2">
        <f t="shared" si="187"/>
        <v>1</v>
      </c>
      <c r="H1057">
        <v>78.599999999999994</v>
      </c>
      <c r="I1057">
        <v>67.8</v>
      </c>
      <c r="J1057">
        <v>73.7</v>
      </c>
      <c r="K1057">
        <v>52.4</v>
      </c>
      <c r="L1057">
        <v>48.7</v>
      </c>
      <c r="M1057" s="2">
        <f t="shared" si="189"/>
        <v>1</v>
      </c>
      <c r="N1057">
        <v>0</v>
      </c>
      <c r="P1057" s="2">
        <f t="shared" si="190"/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33.299999999999997</v>
      </c>
      <c r="W1057" s="2">
        <f t="shared" si="191"/>
        <v>1</v>
      </c>
      <c r="X1057">
        <v>19.100000000000001</v>
      </c>
      <c r="Z1057" s="2">
        <f t="shared" si="192"/>
        <v>1</v>
      </c>
      <c r="AA1057">
        <v>3.3</v>
      </c>
      <c r="AB1057" s="2" t="str">
        <f>CHOOSE(MATCH(AA1057,{0;11;80;111;161;191;241;281;341},1),"North","NorthEast","East","SouthEast","South","SouthWest","West","NorthWest","North")</f>
        <v>North</v>
      </c>
      <c r="AC1057" s="5">
        <f>CHOOSE(MATCH(AB1057,{"South";"SouthEast";"SouthWest";"North";"NorthEast";"East";"West";"NorthWest"},0),1,2,3,4,5,6,7,8)</f>
        <v>4</v>
      </c>
      <c r="AD1057" s="2">
        <f t="shared" si="193"/>
        <v>1</v>
      </c>
      <c r="AE1057">
        <v>1012.4</v>
      </c>
      <c r="AF1057" s="4" t="s">
        <v>1728</v>
      </c>
      <c r="AG1057" s="2">
        <f t="shared" si="194"/>
        <v>0</v>
      </c>
      <c r="AH1057" t="s">
        <v>1729</v>
      </c>
      <c r="AI1057" s="2">
        <f t="shared" si="195"/>
        <v>6</v>
      </c>
      <c r="AJ1057" s="2">
        <f t="shared" si="196"/>
        <v>1</v>
      </c>
      <c r="AK1057" s="3">
        <v>1350</v>
      </c>
      <c r="AM1057" s="2">
        <v>1</v>
      </c>
      <c r="AN1057">
        <v>0</v>
      </c>
      <c r="AO1057">
        <v>250</v>
      </c>
      <c r="AP1057">
        <v>0</v>
      </c>
      <c r="AQ1057" s="2">
        <f>IF((2*G1057 + M1057 -P1057 + 3*W1057 + 2*Z1057+2*AD1057 + AG1057+2*AJ1057 + 4*AM1057) &gt;=8,1,0)</f>
        <v>1</v>
      </c>
    </row>
    <row r="1058" spans="1:43" x14ac:dyDescent="0.25">
      <c r="A1058" t="s">
        <v>27</v>
      </c>
      <c r="B1058" s="1">
        <v>40721</v>
      </c>
      <c r="C1058" s="7">
        <f t="shared" si="188"/>
        <v>2011</v>
      </c>
      <c r="D1058">
        <v>79.400000000000006</v>
      </c>
      <c r="E1058">
        <v>63.1</v>
      </c>
      <c r="F1058">
        <v>71.900000000000006</v>
      </c>
      <c r="G1058" s="2">
        <f t="shared" si="187"/>
        <v>0</v>
      </c>
      <c r="H1058">
        <v>79.400000000000006</v>
      </c>
      <c r="I1058">
        <v>63.1</v>
      </c>
      <c r="J1058">
        <v>71.900000000000006</v>
      </c>
      <c r="K1058">
        <v>45.3</v>
      </c>
      <c r="L1058">
        <v>39.299999999999997</v>
      </c>
      <c r="M1058" s="2">
        <f t="shared" si="189"/>
        <v>1</v>
      </c>
      <c r="N1058">
        <v>0</v>
      </c>
      <c r="P1058" s="2">
        <f t="shared" si="190"/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28.9</v>
      </c>
      <c r="W1058" s="2">
        <f t="shared" si="191"/>
        <v>1</v>
      </c>
      <c r="X1058">
        <v>15</v>
      </c>
      <c r="Z1058" s="2">
        <f t="shared" si="192"/>
        <v>0</v>
      </c>
      <c r="AA1058">
        <v>356.1</v>
      </c>
      <c r="AB1058" s="2" t="str">
        <f>CHOOSE(MATCH(AA1058,{0;11;80;111;161;191;241;281;341},1),"North","NorthEast","East","SouthEast","South","SouthWest","West","NorthWest","North")</f>
        <v>North</v>
      </c>
      <c r="AC1058" s="5">
        <f>CHOOSE(MATCH(AB1058,{"South";"SouthEast";"SouthWest";"North";"NorthEast";"East";"West";"NorthWest"},0),1,2,3,4,5,6,7,8)</f>
        <v>4</v>
      </c>
      <c r="AD1058" s="2">
        <f t="shared" si="193"/>
        <v>1</v>
      </c>
      <c r="AE1058">
        <v>1013.1</v>
      </c>
      <c r="AF1058" s="4" t="s">
        <v>1730</v>
      </c>
      <c r="AG1058" s="2">
        <f t="shared" si="194"/>
        <v>1</v>
      </c>
      <c r="AH1058" t="s">
        <v>1731</v>
      </c>
      <c r="AI1058" s="2">
        <f t="shared" si="195"/>
        <v>6</v>
      </c>
      <c r="AJ1058" s="2">
        <f t="shared" si="196"/>
        <v>1</v>
      </c>
      <c r="AK1058" s="3">
        <v>936.00000000209548</v>
      </c>
      <c r="AM1058" s="2">
        <v>1</v>
      </c>
      <c r="AN1058">
        <v>0</v>
      </c>
      <c r="AO1058">
        <v>6</v>
      </c>
      <c r="AP1058">
        <v>0</v>
      </c>
      <c r="AQ1058" s="2">
        <f>IF((2*G1058 + M1058 -P1058 + 3*W1058 + 2*Z1058+2*AD1058 + AG1058+2*AJ1058 + 4*AM1058) &gt;=8,1,0)</f>
        <v>1</v>
      </c>
    </row>
    <row r="1059" spans="1:43" x14ac:dyDescent="0.25">
      <c r="A1059" t="s">
        <v>27</v>
      </c>
      <c r="B1059" s="1">
        <v>40725</v>
      </c>
      <c r="C1059" s="7">
        <f t="shared" si="188"/>
        <v>2011</v>
      </c>
      <c r="D1059">
        <v>88.5</v>
      </c>
      <c r="E1059">
        <v>66.3</v>
      </c>
      <c r="F1059">
        <v>77.599999999999994</v>
      </c>
      <c r="G1059" s="2">
        <f t="shared" si="187"/>
        <v>1</v>
      </c>
      <c r="H1059">
        <v>87</v>
      </c>
      <c r="I1059">
        <v>66.3</v>
      </c>
      <c r="J1059">
        <v>77.599999999999994</v>
      </c>
      <c r="K1059">
        <v>60.3</v>
      </c>
      <c r="L1059">
        <v>57.4</v>
      </c>
      <c r="M1059" s="2">
        <f t="shared" si="189"/>
        <v>0</v>
      </c>
      <c r="N1059">
        <v>0</v>
      </c>
      <c r="P1059" s="2">
        <f t="shared" si="190"/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s="2">
        <f t="shared" si="191"/>
        <v>0</v>
      </c>
      <c r="X1059">
        <v>11.7</v>
      </c>
      <c r="Z1059" s="2">
        <f t="shared" si="192"/>
        <v>0</v>
      </c>
      <c r="AA1059">
        <v>126.3</v>
      </c>
      <c r="AB1059" s="2" t="str">
        <f>CHOOSE(MATCH(AA1059,{0;11;80;111;161;191;241;281;341},1),"North","NorthEast","East","SouthEast","South","SouthWest","West","NorthWest","North")</f>
        <v>SouthEast</v>
      </c>
      <c r="AC1059" s="5">
        <f>CHOOSE(MATCH(AB1059,{"South";"SouthEast";"SouthWest";"North";"NorthEast";"East";"West";"NorthWest"},0),1,2,3,4,5,6,7,8)</f>
        <v>2</v>
      </c>
      <c r="AD1059" s="2">
        <f t="shared" si="193"/>
        <v>0</v>
      </c>
      <c r="AE1059">
        <v>1008.4</v>
      </c>
      <c r="AF1059" s="4" t="s">
        <v>1700</v>
      </c>
      <c r="AG1059" s="2">
        <f t="shared" si="194"/>
        <v>0</v>
      </c>
      <c r="AH1059" t="s">
        <v>1732</v>
      </c>
      <c r="AI1059" s="2">
        <f t="shared" si="195"/>
        <v>7</v>
      </c>
      <c r="AJ1059" s="2">
        <f t="shared" si="196"/>
        <v>1</v>
      </c>
      <c r="AK1059" s="3">
        <v>255.00000000349249</v>
      </c>
      <c r="AM1059" s="2">
        <v>0</v>
      </c>
      <c r="AN1059">
        <v>0</v>
      </c>
      <c r="AO1059">
        <v>0.3</v>
      </c>
      <c r="AP1059">
        <v>0</v>
      </c>
      <c r="AQ1059" s="2">
        <f>IF((2*G1059 + M1059 -P1059 + 3*W1059 + 2*Z1059+2*AD1059 + AG1059+2*AJ1059 + 4*AM1059) &gt;=8,1,0)</f>
        <v>0</v>
      </c>
    </row>
    <row r="1060" spans="1:43" x14ac:dyDescent="0.25">
      <c r="A1060" t="s">
        <v>27</v>
      </c>
      <c r="B1060" s="1">
        <v>40735</v>
      </c>
      <c r="C1060" s="7">
        <f t="shared" si="188"/>
        <v>2011</v>
      </c>
      <c r="D1060">
        <v>95.9</v>
      </c>
      <c r="E1060">
        <v>81.599999999999994</v>
      </c>
      <c r="F1060">
        <v>87.4</v>
      </c>
      <c r="G1060" s="2">
        <f t="shared" si="187"/>
        <v>1</v>
      </c>
      <c r="H1060">
        <v>94.9</v>
      </c>
      <c r="I1060">
        <v>80.599999999999994</v>
      </c>
      <c r="J1060">
        <v>85.5</v>
      </c>
      <c r="K1060">
        <v>51.6</v>
      </c>
      <c r="L1060">
        <v>29.7</v>
      </c>
      <c r="M1060" s="2">
        <f t="shared" si="189"/>
        <v>1</v>
      </c>
      <c r="N1060">
        <v>0</v>
      </c>
      <c r="P1060" s="2">
        <f t="shared" si="190"/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26.4</v>
      </c>
      <c r="W1060" s="2">
        <f t="shared" si="191"/>
        <v>1</v>
      </c>
      <c r="X1060">
        <v>20.9</v>
      </c>
      <c r="Z1060" s="2">
        <f t="shared" si="192"/>
        <v>1</v>
      </c>
      <c r="AA1060">
        <v>355.4</v>
      </c>
      <c r="AB1060" s="2" t="str">
        <f>CHOOSE(MATCH(AA1060,{0;11;80;111;161;191;241;281;341},1),"North","NorthEast","East","SouthEast","South","SouthWest","West","NorthWest","North")</f>
        <v>North</v>
      </c>
      <c r="AC1060" s="5">
        <f>CHOOSE(MATCH(AB1060,{"South";"SouthEast";"SouthWest";"North";"NorthEast";"East";"West";"NorthWest"},0),1,2,3,4,5,6,7,8)</f>
        <v>4</v>
      </c>
      <c r="AD1060" s="2">
        <f t="shared" si="193"/>
        <v>1</v>
      </c>
      <c r="AE1060">
        <v>1010.6</v>
      </c>
      <c r="AF1060" s="4" t="s">
        <v>1733</v>
      </c>
      <c r="AG1060" s="2">
        <f t="shared" si="194"/>
        <v>1</v>
      </c>
      <c r="AH1060" t="s">
        <v>1734</v>
      </c>
      <c r="AI1060" s="2">
        <f t="shared" si="195"/>
        <v>7</v>
      </c>
      <c r="AJ1060" s="2">
        <f t="shared" si="196"/>
        <v>1</v>
      </c>
      <c r="AK1060" s="3">
        <v>1530</v>
      </c>
      <c r="AM1060" s="2">
        <v>1</v>
      </c>
      <c r="AN1060">
        <v>0</v>
      </c>
      <c r="AO1060">
        <v>5</v>
      </c>
      <c r="AP1060">
        <v>0</v>
      </c>
      <c r="AQ1060" s="2">
        <f>IF((2*G1060 + M1060 -P1060 + 3*W1060 + 2*Z1060+2*AD1060 + AG1060+2*AJ1060 + 4*AM1060) &gt;=8,1,0)</f>
        <v>1</v>
      </c>
    </row>
    <row r="1061" spans="1:43" x14ac:dyDescent="0.25">
      <c r="A1061" t="s">
        <v>27</v>
      </c>
      <c r="B1061" s="1">
        <v>40736</v>
      </c>
      <c r="C1061" s="7">
        <f t="shared" si="188"/>
        <v>2011</v>
      </c>
      <c r="D1061">
        <v>93.8</v>
      </c>
      <c r="E1061">
        <v>78</v>
      </c>
      <c r="F1061">
        <v>85.6</v>
      </c>
      <c r="G1061" s="2">
        <f t="shared" si="187"/>
        <v>1</v>
      </c>
      <c r="H1061">
        <v>91.3</v>
      </c>
      <c r="I1061">
        <v>78</v>
      </c>
      <c r="J1061">
        <v>84.2</v>
      </c>
      <c r="K1061">
        <v>53.7</v>
      </c>
      <c r="L1061">
        <v>34.4</v>
      </c>
      <c r="M1061" s="2">
        <f t="shared" si="189"/>
        <v>1</v>
      </c>
      <c r="N1061">
        <v>0</v>
      </c>
      <c r="P1061" s="2">
        <f t="shared" si="190"/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36.9</v>
      </c>
      <c r="W1061" s="2">
        <f t="shared" si="191"/>
        <v>1</v>
      </c>
      <c r="X1061">
        <v>21.7</v>
      </c>
      <c r="Z1061" s="2">
        <f t="shared" si="192"/>
        <v>1</v>
      </c>
      <c r="AA1061">
        <v>0.6</v>
      </c>
      <c r="AB1061" s="2" t="str">
        <f>CHOOSE(MATCH(AA1061,{0;11;80;111;161;191;241;281;341},1),"North","NorthEast","East","SouthEast","South","SouthWest","West","NorthWest","North")</f>
        <v>North</v>
      </c>
      <c r="AC1061" s="5">
        <f>CHOOSE(MATCH(AB1061,{"South";"SouthEast";"SouthWest";"North";"NorthEast";"East";"West";"NorthWest"},0),1,2,3,4,5,6,7,8)</f>
        <v>4</v>
      </c>
      <c r="AD1061" s="2">
        <f t="shared" si="193"/>
        <v>1</v>
      </c>
      <c r="AE1061">
        <v>1010.2</v>
      </c>
      <c r="AF1061" s="4" t="s">
        <v>1735</v>
      </c>
      <c r="AG1061" s="2">
        <f t="shared" si="194"/>
        <v>1</v>
      </c>
      <c r="AH1061" t="s">
        <v>1736</v>
      </c>
      <c r="AI1061" s="2">
        <f t="shared" si="195"/>
        <v>7</v>
      </c>
      <c r="AJ1061" s="2">
        <f t="shared" si="196"/>
        <v>1</v>
      </c>
      <c r="AK1061" s="3">
        <v>52.999999994644902</v>
      </c>
      <c r="AM1061" s="2">
        <v>0</v>
      </c>
      <c r="AN1061">
        <v>0</v>
      </c>
      <c r="AO1061">
        <v>4</v>
      </c>
      <c r="AP1061">
        <v>0</v>
      </c>
      <c r="AQ1061" s="2">
        <f>IF((2*G1061 + M1061 -P1061 + 3*W1061 + 2*Z1061+2*AD1061 + AG1061+2*AJ1061 + 4*AM1061) &gt;=8,1,0)</f>
        <v>1</v>
      </c>
    </row>
    <row r="1062" spans="1:43" x14ac:dyDescent="0.25">
      <c r="A1062" t="s">
        <v>27</v>
      </c>
      <c r="B1062" s="1">
        <v>40737</v>
      </c>
      <c r="C1062" s="7">
        <f t="shared" si="188"/>
        <v>2011</v>
      </c>
      <c r="D1062">
        <v>93.9</v>
      </c>
      <c r="E1062">
        <v>78.8</v>
      </c>
      <c r="F1062">
        <v>86</v>
      </c>
      <c r="G1062" s="2">
        <f t="shared" si="187"/>
        <v>1</v>
      </c>
      <c r="H1062">
        <v>92</v>
      </c>
      <c r="I1062">
        <v>78.8</v>
      </c>
      <c r="J1062">
        <v>85</v>
      </c>
      <c r="K1062">
        <v>56.4</v>
      </c>
      <c r="L1062">
        <v>37.299999999999997</v>
      </c>
      <c r="M1062" s="2">
        <f t="shared" si="189"/>
        <v>1</v>
      </c>
      <c r="N1062">
        <v>0</v>
      </c>
      <c r="P1062" s="2">
        <f t="shared" si="190"/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33.299999999999997</v>
      </c>
      <c r="W1062" s="2">
        <f t="shared" si="191"/>
        <v>1</v>
      </c>
      <c r="X1062">
        <v>18.399999999999999</v>
      </c>
      <c r="Z1062" s="2">
        <f t="shared" si="192"/>
        <v>1</v>
      </c>
      <c r="AA1062">
        <v>3.3</v>
      </c>
      <c r="AB1062" s="2" t="str">
        <f>CHOOSE(MATCH(AA1062,{0;11;80;111;161;191;241;281;341},1),"North","NorthEast","East","SouthEast","South","SouthWest","West","NorthWest","North")</f>
        <v>North</v>
      </c>
      <c r="AC1062" s="5">
        <f>CHOOSE(MATCH(AB1062,{"South";"SouthEast";"SouthWest";"North";"NorthEast";"East";"West";"NorthWest"},0),1,2,3,4,5,6,7,8)</f>
        <v>4</v>
      </c>
      <c r="AD1062" s="2">
        <f t="shared" si="193"/>
        <v>1</v>
      </c>
      <c r="AE1062">
        <v>1010.1</v>
      </c>
      <c r="AF1062" s="4" t="s">
        <v>1737</v>
      </c>
      <c r="AG1062" s="2">
        <f t="shared" si="194"/>
        <v>0</v>
      </c>
      <c r="AH1062" t="s">
        <v>1738</v>
      </c>
      <c r="AI1062" s="2">
        <f t="shared" si="195"/>
        <v>7</v>
      </c>
      <c r="AJ1062" s="2">
        <f t="shared" si="196"/>
        <v>1</v>
      </c>
      <c r="AK1062" s="3">
        <v>1876.9999999995341</v>
      </c>
      <c r="AM1062" s="2">
        <v>1</v>
      </c>
      <c r="AN1062">
        <v>0</v>
      </c>
      <c r="AO1062">
        <v>50</v>
      </c>
      <c r="AP1062">
        <v>0</v>
      </c>
      <c r="AQ1062" s="2">
        <f>IF((2*G1062 + M1062 -P1062 + 3*W1062 + 2*Z1062+2*AD1062 + AG1062+2*AJ1062 + 4*AM1062) &gt;=8,1,0)</f>
        <v>1</v>
      </c>
    </row>
    <row r="1063" spans="1:43" x14ac:dyDescent="0.25">
      <c r="A1063" t="s">
        <v>27</v>
      </c>
      <c r="B1063" s="1">
        <v>40737</v>
      </c>
      <c r="C1063" s="7">
        <f t="shared" si="188"/>
        <v>2011</v>
      </c>
      <c r="D1063">
        <v>93.9</v>
      </c>
      <c r="E1063">
        <v>78.8</v>
      </c>
      <c r="F1063">
        <v>86</v>
      </c>
      <c r="G1063" s="2">
        <f t="shared" si="187"/>
        <v>1</v>
      </c>
      <c r="H1063">
        <v>92</v>
      </c>
      <c r="I1063">
        <v>78.8</v>
      </c>
      <c r="J1063">
        <v>85</v>
      </c>
      <c r="K1063">
        <v>56.4</v>
      </c>
      <c r="L1063">
        <v>37.299999999999997</v>
      </c>
      <c r="M1063" s="2">
        <f t="shared" si="189"/>
        <v>1</v>
      </c>
      <c r="N1063">
        <v>0</v>
      </c>
      <c r="P1063" s="2">
        <f t="shared" si="190"/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33.299999999999997</v>
      </c>
      <c r="W1063" s="2">
        <f t="shared" si="191"/>
        <v>1</v>
      </c>
      <c r="X1063">
        <v>18.399999999999999</v>
      </c>
      <c r="Z1063" s="2">
        <f t="shared" si="192"/>
        <v>1</v>
      </c>
      <c r="AA1063">
        <v>3.3</v>
      </c>
      <c r="AB1063" s="2" t="str">
        <f>CHOOSE(MATCH(AA1063,{0;11;80;111;161;191;241;281;341},1),"North","NorthEast","East","SouthEast","South","SouthWest","West","NorthWest","North")</f>
        <v>North</v>
      </c>
      <c r="AC1063" s="5">
        <f>CHOOSE(MATCH(AB1063,{"South";"SouthEast";"SouthWest";"North";"NorthEast";"East";"West";"NorthWest"},0),1,2,3,4,5,6,7,8)</f>
        <v>4</v>
      </c>
      <c r="AD1063" s="2">
        <f t="shared" si="193"/>
        <v>1</v>
      </c>
      <c r="AE1063">
        <v>1010.1</v>
      </c>
      <c r="AF1063" s="4" t="s">
        <v>1739</v>
      </c>
      <c r="AG1063" s="2">
        <f t="shared" si="194"/>
        <v>1</v>
      </c>
      <c r="AH1063" t="s">
        <v>1740</v>
      </c>
      <c r="AI1063" s="2">
        <f t="shared" si="195"/>
        <v>7</v>
      </c>
      <c r="AJ1063" s="2">
        <f t="shared" si="196"/>
        <v>1</v>
      </c>
      <c r="AK1063" s="3">
        <v>637.00000000186265</v>
      </c>
      <c r="AM1063" s="2">
        <v>1</v>
      </c>
      <c r="AN1063">
        <v>0</v>
      </c>
      <c r="AO1063">
        <v>2</v>
      </c>
      <c r="AP1063">
        <v>0</v>
      </c>
      <c r="AQ1063" s="2">
        <f>IF((2*G1063 + M1063 -P1063 + 3*W1063 + 2*Z1063+2*AD1063 + AG1063+2*AJ1063 + 4*AM1063) &gt;=8,1,0)</f>
        <v>1</v>
      </c>
    </row>
    <row r="1064" spans="1:43" x14ac:dyDescent="0.25">
      <c r="A1064" t="s">
        <v>27</v>
      </c>
      <c r="B1064" s="1">
        <v>40748</v>
      </c>
      <c r="C1064" s="7">
        <f t="shared" si="188"/>
        <v>2011</v>
      </c>
      <c r="D1064">
        <v>92.3</v>
      </c>
      <c r="E1064">
        <v>69.400000000000006</v>
      </c>
      <c r="F1064">
        <v>81.3</v>
      </c>
      <c r="G1064" s="2">
        <f t="shared" si="187"/>
        <v>1</v>
      </c>
      <c r="H1064">
        <v>90.2</v>
      </c>
      <c r="I1064">
        <v>69.400000000000006</v>
      </c>
      <c r="J1064">
        <v>80.900000000000006</v>
      </c>
      <c r="K1064">
        <v>57.9</v>
      </c>
      <c r="L1064">
        <v>46.9</v>
      </c>
      <c r="M1064" s="2">
        <f t="shared" si="189"/>
        <v>1</v>
      </c>
      <c r="N1064">
        <v>0</v>
      </c>
      <c r="P1064" s="2">
        <f t="shared" si="190"/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s="2">
        <f t="shared" si="191"/>
        <v>0</v>
      </c>
      <c r="X1064">
        <v>11.1</v>
      </c>
      <c r="Z1064" s="2">
        <f t="shared" si="192"/>
        <v>0</v>
      </c>
      <c r="AA1064">
        <v>122.9</v>
      </c>
      <c r="AB1064" s="2" t="str">
        <f>CHOOSE(MATCH(AA1064,{0;11;80;111;161;191;241;281;341},1),"North","NorthEast","East","SouthEast","South","SouthWest","West","NorthWest","North")</f>
        <v>SouthEast</v>
      </c>
      <c r="AC1064" s="5">
        <f>CHOOSE(MATCH(AB1064,{"South";"SouthEast";"SouthWest";"North";"NorthEast";"East";"West";"NorthWest"},0),1,2,3,4,5,6,7,8)</f>
        <v>2</v>
      </c>
      <c r="AD1064" s="2">
        <f t="shared" si="193"/>
        <v>0</v>
      </c>
      <c r="AE1064">
        <v>1003.3</v>
      </c>
      <c r="AF1064" s="4" t="s">
        <v>1125</v>
      </c>
      <c r="AG1064" s="2">
        <f t="shared" si="194"/>
        <v>0</v>
      </c>
      <c r="AH1064" t="s">
        <v>1742</v>
      </c>
      <c r="AI1064" s="2">
        <f t="shared" si="195"/>
        <v>7</v>
      </c>
      <c r="AJ1064" s="2">
        <f t="shared" si="196"/>
        <v>1</v>
      </c>
      <c r="AK1064" s="3">
        <v>100.0000000011642</v>
      </c>
      <c r="AM1064" s="2">
        <v>0</v>
      </c>
      <c r="AN1064">
        <v>0</v>
      </c>
      <c r="AO1064">
        <v>20</v>
      </c>
      <c r="AP1064">
        <v>0</v>
      </c>
      <c r="AQ1064" s="2">
        <f>IF((2*G1064 + M1064 -P1064 + 3*W1064 + 2*Z1064+2*AD1064 + AG1064+2*AJ1064 + 4*AM1064) &gt;=8,1,0)</f>
        <v>0</v>
      </c>
    </row>
    <row r="1065" spans="1:43" x14ac:dyDescent="0.25">
      <c r="A1065" t="s">
        <v>27</v>
      </c>
      <c r="B1065" s="1">
        <v>40748</v>
      </c>
      <c r="C1065" s="7">
        <f t="shared" si="188"/>
        <v>2011</v>
      </c>
      <c r="D1065">
        <v>92.3</v>
      </c>
      <c r="E1065">
        <v>69.400000000000006</v>
      </c>
      <c r="F1065">
        <v>81.3</v>
      </c>
      <c r="G1065" s="2">
        <f t="shared" si="187"/>
        <v>1</v>
      </c>
      <c r="H1065">
        <v>90.2</v>
      </c>
      <c r="I1065">
        <v>69.400000000000006</v>
      </c>
      <c r="J1065">
        <v>80.900000000000006</v>
      </c>
      <c r="K1065">
        <v>57.9</v>
      </c>
      <c r="L1065">
        <v>46.9</v>
      </c>
      <c r="M1065" s="2">
        <f t="shared" si="189"/>
        <v>1</v>
      </c>
      <c r="N1065">
        <v>0</v>
      </c>
      <c r="P1065" s="2">
        <f t="shared" si="190"/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s="2">
        <f t="shared" si="191"/>
        <v>0</v>
      </c>
      <c r="X1065">
        <v>11.1</v>
      </c>
      <c r="Z1065" s="2">
        <f t="shared" si="192"/>
        <v>0</v>
      </c>
      <c r="AA1065">
        <v>122.9</v>
      </c>
      <c r="AB1065" s="2" t="str">
        <f>CHOOSE(MATCH(AA1065,{0;11;80;111;161;191;241;281;341},1),"North","NorthEast","East","SouthEast","South","SouthWest","West","NorthWest","North")</f>
        <v>SouthEast</v>
      </c>
      <c r="AC1065" s="5">
        <f>CHOOSE(MATCH(AB1065,{"South";"SouthEast";"SouthWest";"North";"NorthEast";"East";"West";"NorthWest"},0),1,2,3,4,5,6,7,8)</f>
        <v>2</v>
      </c>
      <c r="AD1065" s="2">
        <f t="shared" si="193"/>
        <v>0</v>
      </c>
      <c r="AE1065">
        <v>1003.3</v>
      </c>
      <c r="AF1065" s="4" t="s">
        <v>1743</v>
      </c>
      <c r="AG1065" s="2">
        <f t="shared" si="194"/>
        <v>0</v>
      </c>
      <c r="AH1065" t="s">
        <v>1744</v>
      </c>
      <c r="AI1065" s="2">
        <f t="shared" si="195"/>
        <v>7</v>
      </c>
      <c r="AJ1065" s="2">
        <f t="shared" si="196"/>
        <v>1</v>
      </c>
      <c r="AK1065" s="3">
        <v>69.999999997671694</v>
      </c>
      <c r="AM1065" s="2">
        <v>0</v>
      </c>
      <c r="AN1065">
        <v>0</v>
      </c>
      <c r="AO1065">
        <v>2</v>
      </c>
      <c r="AP1065">
        <v>0</v>
      </c>
      <c r="AQ1065" s="2">
        <f>IF((2*G1065 + M1065 -P1065 + 3*W1065 + 2*Z1065+2*AD1065 + AG1065+2*AJ1065 + 4*AM1065) &gt;=8,1,0)</f>
        <v>0</v>
      </c>
    </row>
    <row r="1066" spans="1:43" x14ac:dyDescent="0.25">
      <c r="A1066" t="s">
        <v>27</v>
      </c>
      <c r="B1066" s="1">
        <v>40752</v>
      </c>
      <c r="C1066" s="7">
        <f t="shared" si="188"/>
        <v>2011</v>
      </c>
      <c r="D1066">
        <v>93.3</v>
      </c>
      <c r="E1066">
        <v>67.599999999999994</v>
      </c>
      <c r="F1066">
        <v>82.4</v>
      </c>
      <c r="G1066" s="2">
        <f t="shared" si="187"/>
        <v>1</v>
      </c>
      <c r="H1066">
        <v>91.2</v>
      </c>
      <c r="I1066">
        <v>67.599999999999994</v>
      </c>
      <c r="J1066">
        <v>81.599999999999994</v>
      </c>
      <c r="K1066">
        <v>56.8</v>
      </c>
      <c r="L1066">
        <v>44.2</v>
      </c>
      <c r="M1066" s="2">
        <f t="shared" si="189"/>
        <v>1</v>
      </c>
      <c r="N1066">
        <v>0</v>
      </c>
      <c r="P1066" s="2">
        <f t="shared" si="190"/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s="2">
        <f t="shared" si="191"/>
        <v>0</v>
      </c>
      <c r="X1066">
        <v>14.9</v>
      </c>
      <c r="Z1066" s="2">
        <f t="shared" si="192"/>
        <v>0</v>
      </c>
      <c r="AA1066">
        <v>55.4</v>
      </c>
      <c r="AB1066" s="2" t="str">
        <f>CHOOSE(MATCH(AA1066,{0;11;80;111;161;191;241;281;341},1),"North","NorthEast","East","SouthEast","South","SouthWest","West","NorthWest","North")</f>
        <v>NorthEast</v>
      </c>
      <c r="AC1066" s="5">
        <f>CHOOSE(MATCH(AB1066,{"South";"SouthEast";"SouthWest";"North";"NorthEast";"East";"West";"NorthWest"},0),1,2,3,4,5,6,7,8)</f>
        <v>5</v>
      </c>
      <c r="AD1066" s="2">
        <f t="shared" si="193"/>
        <v>1</v>
      </c>
      <c r="AE1066">
        <v>1012.8</v>
      </c>
      <c r="AF1066" s="4" t="s">
        <v>1745</v>
      </c>
      <c r="AG1066" s="2">
        <f t="shared" si="194"/>
        <v>0</v>
      </c>
      <c r="AH1066" t="s">
        <v>1746</v>
      </c>
      <c r="AI1066" s="2">
        <f t="shared" si="195"/>
        <v>7</v>
      </c>
      <c r="AJ1066" s="2">
        <f t="shared" si="196"/>
        <v>1</v>
      </c>
      <c r="AK1066" s="3">
        <v>121.9999999995343</v>
      </c>
      <c r="AM1066" s="2">
        <v>0</v>
      </c>
      <c r="AN1066">
        <v>2</v>
      </c>
      <c r="AO1066">
        <v>0</v>
      </c>
      <c r="AP1066">
        <v>0</v>
      </c>
      <c r="AQ1066" s="2">
        <f>IF((2*G1066 + M1066 -P1066 + 3*W1066 + 2*Z1066+2*AD1066 + AG1066+2*AJ1066 + 4*AM1066) &gt;=8,1,0)</f>
        <v>0</v>
      </c>
    </row>
    <row r="1067" spans="1:43" x14ac:dyDescent="0.25">
      <c r="A1067" t="s">
        <v>27</v>
      </c>
      <c r="B1067" s="1">
        <v>40756</v>
      </c>
      <c r="C1067" s="7">
        <f t="shared" si="188"/>
        <v>2011</v>
      </c>
      <c r="D1067">
        <v>90.5</v>
      </c>
      <c r="E1067">
        <v>72.099999999999994</v>
      </c>
      <c r="F1067">
        <v>81.2</v>
      </c>
      <c r="G1067" s="2">
        <f t="shared" si="187"/>
        <v>1</v>
      </c>
      <c r="H1067">
        <v>91.4</v>
      </c>
      <c r="I1067">
        <v>72.099999999999994</v>
      </c>
      <c r="J1067">
        <v>81.7</v>
      </c>
      <c r="K1067">
        <v>62.8</v>
      </c>
      <c r="L1067">
        <v>55</v>
      </c>
      <c r="M1067" s="2">
        <f t="shared" si="189"/>
        <v>0</v>
      </c>
      <c r="N1067">
        <v>0</v>
      </c>
      <c r="P1067" s="2">
        <f t="shared" si="190"/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s="2">
        <f t="shared" si="191"/>
        <v>0</v>
      </c>
      <c r="X1067">
        <v>10.7</v>
      </c>
      <c r="Z1067" s="2">
        <f t="shared" si="192"/>
        <v>0</v>
      </c>
      <c r="AA1067">
        <v>99.4</v>
      </c>
      <c r="AB1067" s="2" t="str">
        <f>CHOOSE(MATCH(AA1067,{0;11;80;111;161;191;241;281;341},1),"North","NorthEast","East","SouthEast","South","SouthWest","West","NorthWest","North")</f>
        <v>East</v>
      </c>
      <c r="AC1067" s="5">
        <f>CHOOSE(MATCH(AB1067,{"South";"SouthEast";"SouthWest";"North";"NorthEast";"East";"West";"NorthWest"},0),1,2,3,4,5,6,7,8)</f>
        <v>6</v>
      </c>
      <c r="AD1067" s="2">
        <f t="shared" si="193"/>
        <v>0</v>
      </c>
      <c r="AE1067">
        <v>1007.8</v>
      </c>
      <c r="AF1067" s="4" t="s">
        <v>1747</v>
      </c>
      <c r="AG1067" s="2">
        <f t="shared" si="194"/>
        <v>0</v>
      </c>
      <c r="AH1067" t="s">
        <v>1748</v>
      </c>
      <c r="AI1067" s="2">
        <f t="shared" si="195"/>
        <v>8</v>
      </c>
      <c r="AJ1067" s="2">
        <f t="shared" si="196"/>
        <v>1</v>
      </c>
      <c r="AK1067" s="3">
        <v>40.999999997438863</v>
      </c>
      <c r="AM1067" s="2">
        <v>0</v>
      </c>
      <c r="AN1067">
        <v>0</v>
      </c>
      <c r="AO1067">
        <v>0.1</v>
      </c>
      <c r="AP1067">
        <v>0</v>
      </c>
      <c r="AQ1067" s="2">
        <f>IF((2*G1067 + M1067 -P1067 + 3*W1067 + 2*Z1067+2*AD1067 + AG1067+2*AJ1067 + 4*AM1067) &gt;=8,1,0)</f>
        <v>0</v>
      </c>
    </row>
    <row r="1068" spans="1:43" x14ac:dyDescent="0.25">
      <c r="A1068" t="s">
        <v>27</v>
      </c>
      <c r="B1068" s="1">
        <v>40757</v>
      </c>
      <c r="C1068" s="7">
        <f t="shared" si="188"/>
        <v>2011</v>
      </c>
      <c r="D1068">
        <v>90.2</v>
      </c>
      <c r="E1068">
        <v>73.900000000000006</v>
      </c>
      <c r="F1068">
        <v>82.2</v>
      </c>
      <c r="G1068" s="2">
        <f t="shared" si="187"/>
        <v>1</v>
      </c>
      <c r="H1068">
        <v>89.8</v>
      </c>
      <c r="I1068">
        <v>73.900000000000006</v>
      </c>
      <c r="J1068">
        <v>82.1</v>
      </c>
      <c r="K1068">
        <v>60.5</v>
      </c>
      <c r="L1068">
        <v>49.1</v>
      </c>
      <c r="M1068" s="2">
        <f t="shared" si="189"/>
        <v>1</v>
      </c>
      <c r="N1068">
        <v>0</v>
      </c>
      <c r="P1068" s="2">
        <f t="shared" si="190"/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s="2">
        <f t="shared" si="191"/>
        <v>0</v>
      </c>
      <c r="X1068">
        <v>15.5</v>
      </c>
      <c r="Z1068" s="2">
        <f t="shared" si="192"/>
        <v>0</v>
      </c>
      <c r="AA1068">
        <v>358.5</v>
      </c>
      <c r="AB1068" s="2" t="str">
        <f>CHOOSE(MATCH(AA1068,{0;11;80;111;161;191;241;281;341},1),"North","NorthEast","East","SouthEast","South","SouthWest","West","NorthWest","North")</f>
        <v>North</v>
      </c>
      <c r="AC1068" s="5">
        <f>CHOOSE(MATCH(AB1068,{"South";"SouthEast";"SouthWest";"North";"NorthEast";"East";"West";"NorthWest"},0),1,2,3,4,5,6,7,8)</f>
        <v>4</v>
      </c>
      <c r="AD1068" s="2">
        <f t="shared" si="193"/>
        <v>1</v>
      </c>
      <c r="AE1068">
        <v>1010</v>
      </c>
      <c r="AF1068" s="4" t="s">
        <v>1749</v>
      </c>
      <c r="AG1068" s="2">
        <f t="shared" si="194"/>
        <v>1</v>
      </c>
      <c r="AH1068" t="s">
        <v>1750</v>
      </c>
      <c r="AI1068" s="2">
        <f t="shared" si="195"/>
        <v>8</v>
      </c>
      <c r="AJ1068" s="2">
        <f t="shared" si="196"/>
        <v>1</v>
      </c>
      <c r="AK1068" s="3">
        <v>366.99999999138532</v>
      </c>
      <c r="AM1068" s="2">
        <v>1</v>
      </c>
      <c r="AN1068">
        <v>2</v>
      </c>
      <c r="AO1068">
        <v>0</v>
      </c>
      <c r="AP1068">
        <v>0</v>
      </c>
      <c r="AQ1068" s="2">
        <f>IF((2*G1068 + M1068 -P1068 + 3*W1068 + 2*Z1068+2*AD1068 + AG1068+2*AJ1068 + 4*AM1068) &gt;=8,1,0)</f>
        <v>1</v>
      </c>
    </row>
    <row r="1069" spans="1:43" x14ac:dyDescent="0.25">
      <c r="A1069" t="s">
        <v>27</v>
      </c>
      <c r="B1069" s="1">
        <v>40757</v>
      </c>
      <c r="C1069" s="7">
        <f t="shared" si="188"/>
        <v>2011</v>
      </c>
      <c r="D1069">
        <v>90.2</v>
      </c>
      <c r="E1069">
        <v>73.900000000000006</v>
      </c>
      <c r="F1069">
        <v>82.2</v>
      </c>
      <c r="G1069" s="2">
        <f t="shared" si="187"/>
        <v>1</v>
      </c>
      <c r="H1069">
        <v>89.8</v>
      </c>
      <c r="I1069">
        <v>73.900000000000006</v>
      </c>
      <c r="J1069">
        <v>82.1</v>
      </c>
      <c r="K1069">
        <v>60.5</v>
      </c>
      <c r="L1069">
        <v>49.1</v>
      </c>
      <c r="M1069" s="2">
        <f t="shared" si="189"/>
        <v>1</v>
      </c>
      <c r="N1069">
        <v>0</v>
      </c>
      <c r="P1069" s="2">
        <f t="shared" si="190"/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s="2">
        <f t="shared" si="191"/>
        <v>0</v>
      </c>
      <c r="X1069">
        <v>15.5</v>
      </c>
      <c r="Z1069" s="2">
        <f t="shared" si="192"/>
        <v>0</v>
      </c>
      <c r="AA1069">
        <v>358.5</v>
      </c>
      <c r="AB1069" s="2" t="str">
        <f>CHOOSE(MATCH(AA1069,{0;11;80;111;161;191;241;281;341},1),"North","NorthEast","East","SouthEast","South","SouthWest","West","NorthWest","North")</f>
        <v>North</v>
      </c>
      <c r="AC1069" s="5">
        <f>CHOOSE(MATCH(AB1069,{"South";"SouthEast";"SouthWest";"North";"NorthEast";"East";"West";"NorthWest"},0),1,2,3,4,5,6,7,8)</f>
        <v>4</v>
      </c>
      <c r="AD1069" s="2">
        <f t="shared" si="193"/>
        <v>1</v>
      </c>
      <c r="AE1069">
        <v>1010</v>
      </c>
      <c r="AF1069" s="4" t="s">
        <v>1751</v>
      </c>
      <c r="AG1069" s="2">
        <f t="shared" si="194"/>
        <v>1</v>
      </c>
      <c r="AH1069" t="s">
        <v>1752</v>
      </c>
      <c r="AI1069" s="2">
        <f t="shared" si="195"/>
        <v>8</v>
      </c>
      <c r="AJ1069" s="2">
        <f t="shared" si="196"/>
        <v>1</v>
      </c>
      <c r="AK1069" s="3">
        <v>290.99999999511061</v>
      </c>
      <c r="AM1069" s="2">
        <v>0</v>
      </c>
      <c r="AN1069">
        <v>2</v>
      </c>
      <c r="AO1069">
        <v>0</v>
      </c>
      <c r="AP1069">
        <v>0</v>
      </c>
      <c r="AQ1069" s="2">
        <f>IF((2*G1069 + M1069 -P1069 + 3*W1069 + 2*Z1069+2*AD1069 + AG1069+2*AJ1069 + 4*AM1069) &gt;=8,1,0)</f>
        <v>0</v>
      </c>
    </row>
    <row r="1070" spans="1:43" x14ac:dyDescent="0.25">
      <c r="A1070" t="s">
        <v>27</v>
      </c>
      <c r="B1070" s="1">
        <v>40758</v>
      </c>
      <c r="C1070" s="7">
        <f t="shared" si="188"/>
        <v>2011</v>
      </c>
      <c r="D1070">
        <v>90.3</v>
      </c>
      <c r="E1070">
        <v>72.3</v>
      </c>
      <c r="F1070">
        <v>82</v>
      </c>
      <c r="G1070" s="2">
        <f t="shared" si="187"/>
        <v>1</v>
      </c>
      <c r="H1070">
        <v>89.4</v>
      </c>
      <c r="I1070">
        <v>72.3</v>
      </c>
      <c r="J1070">
        <v>81.599999999999994</v>
      </c>
      <c r="K1070">
        <v>59</v>
      </c>
      <c r="L1070">
        <v>47</v>
      </c>
      <c r="M1070" s="2">
        <f t="shared" si="189"/>
        <v>1</v>
      </c>
      <c r="N1070">
        <v>0</v>
      </c>
      <c r="P1070" s="2">
        <f t="shared" si="190"/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26.4</v>
      </c>
      <c r="W1070" s="2">
        <f t="shared" si="191"/>
        <v>1</v>
      </c>
      <c r="X1070">
        <v>16.399999999999999</v>
      </c>
      <c r="Z1070" s="2">
        <f t="shared" si="192"/>
        <v>1</v>
      </c>
      <c r="AA1070">
        <v>358.6</v>
      </c>
      <c r="AB1070" s="2" t="str">
        <f>CHOOSE(MATCH(AA1070,{0;11;80;111;161;191;241;281;341},1),"North","NorthEast","East","SouthEast","South","SouthWest","West","NorthWest","North")</f>
        <v>North</v>
      </c>
      <c r="AC1070" s="5">
        <f>CHOOSE(MATCH(AB1070,{"South";"SouthEast";"SouthWest";"North";"NorthEast";"East";"West";"NorthWest"},0),1,2,3,4,5,6,7,8)</f>
        <v>4</v>
      </c>
      <c r="AD1070" s="2">
        <f t="shared" si="193"/>
        <v>1</v>
      </c>
      <c r="AE1070">
        <v>1012.7</v>
      </c>
      <c r="AF1070" s="4" t="s">
        <v>1753</v>
      </c>
      <c r="AG1070" s="2">
        <f t="shared" si="194"/>
        <v>1</v>
      </c>
      <c r="AH1070" t="s">
        <v>1754</v>
      </c>
      <c r="AI1070" s="2">
        <f t="shared" si="195"/>
        <v>8</v>
      </c>
      <c r="AJ1070" s="2">
        <f t="shared" si="196"/>
        <v>1</v>
      </c>
      <c r="AK1070" s="3">
        <v>200.00000000232831</v>
      </c>
      <c r="AM1070" s="2">
        <v>0</v>
      </c>
      <c r="AN1070">
        <v>0</v>
      </c>
      <c r="AO1070">
        <v>1.5</v>
      </c>
      <c r="AP1070">
        <v>0</v>
      </c>
      <c r="AQ1070" s="2">
        <f>IF((2*G1070 + M1070 -P1070 + 3*W1070 + 2*Z1070+2*AD1070 + AG1070+2*AJ1070 + 4*AM1070) &gt;=8,1,0)</f>
        <v>1</v>
      </c>
    </row>
    <row r="1071" spans="1:43" x14ac:dyDescent="0.25">
      <c r="A1071" t="s">
        <v>27</v>
      </c>
      <c r="B1071" s="1">
        <v>40759</v>
      </c>
      <c r="C1071" s="7">
        <f t="shared" si="188"/>
        <v>2011</v>
      </c>
      <c r="D1071">
        <v>90.4</v>
      </c>
      <c r="E1071">
        <v>76.2</v>
      </c>
      <c r="F1071">
        <v>83.2</v>
      </c>
      <c r="G1071" s="2">
        <f t="shared" si="187"/>
        <v>1</v>
      </c>
      <c r="H1071">
        <v>90.2</v>
      </c>
      <c r="I1071">
        <v>76.2</v>
      </c>
      <c r="J1071">
        <v>82.6</v>
      </c>
      <c r="K1071">
        <v>57.2</v>
      </c>
      <c r="L1071">
        <v>42</v>
      </c>
      <c r="M1071" s="2">
        <f t="shared" si="189"/>
        <v>1</v>
      </c>
      <c r="N1071">
        <v>0</v>
      </c>
      <c r="P1071" s="2">
        <f t="shared" si="190"/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s="2">
        <f t="shared" si="191"/>
        <v>0</v>
      </c>
      <c r="X1071">
        <v>15.9</v>
      </c>
      <c r="Z1071" s="2">
        <f t="shared" si="192"/>
        <v>0</v>
      </c>
      <c r="AA1071">
        <v>3.2</v>
      </c>
      <c r="AB1071" s="2" t="str">
        <f>CHOOSE(MATCH(AA1071,{0;11;80;111;161;191;241;281;341},1),"North","NorthEast","East","SouthEast","South","SouthWest","West","NorthWest","North")</f>
        <v>North</v>
      </c>
      <c r="AC1071" s="5">
        <f>CHOOSE(MATCH(AB1071,{"South";"SouthEast";"SouthWest";"North";"NorthEast";"East";"West";"NorthWest"},0),1,2,3,4,5,6,7,8)</f>
        <v>4</v>
      </c>
      <c r="AD1071" s="2">
        <f t="shared" si="193"/>
        <v>1</v>
      </c>
      <c r="AE1071">
        <v>1012</v>
      </c>
      <c r="AF1071" s="4" t="s">
        <v>1755</v>
      </c>
      <c r="AG1071" s="2">
        <f t="shared" si="194"/>
        <v>1</v>
      </c>
      <c r="AH1071" t="s">
        <v>1756</v>
      </c>
      <c r="AI1071" s="2">
        <f t="shared" si="195"/>
        <v>8</v>
      </c>
      <c r="AJ1071" s="2">
        <f t="shared" si="196"/>
        <v>1</v>
      </c>
      <c r="AK1071" s="3">
        <v>199.9999999918509</v>
      </c>
      <c r="AM1071" s="2">
        <v>0</v>
      </c>
      <c r="AN1071">
        <v>0</v>
      </c>
      <c r="AO1071">
        <v>1</v>
      </c>
      <c r="AP1071">
        <v>0</v>
      </c>
      <c r="AQ1071" s="2">
        <f>IF((2*G1071 + M1071 -P1071 + 3*W1071 + 2*Z1071+2*AD1071 + AG1071+2*AJ1071 + 4*AM1071) &gt;=8,1,0)</f>
        <v>0</v>
      </c>
    </row>
    <row r="1072" spans="1:43" x14ac:dyDescent="0.25">
      <c r="A1072" t="s">
        <v>27</v>
      </c>
      <c r="B1072" s="1">
        <v>40759</v>
      </c>
      <c r="C1072" s="7">
        <f t="shared" si="188"/>
        <v>2011</v>
      </c>
      <c r="D1072">
        <v>90.4</v>
      </c>
      <c r="E1072">
        <v>76.2</v>
      </c>
      <c r="F1072">
        <v>83.2</v>
      </c>
      <c r="G1072" s="2">
        <f t="shared" si="187"/>
        <v>1</v>
      </c>
      <c r="H1072">
        <v>90.2</v>
      </c>
      <c r="I1072">
        <v>76.2</v>
      </c>
      <c r="J1072">
        <v>82.6</v>
      </c>
      <c r="K1072">
        <v>57.2</v>
      </c>
      <c r="L1072">
        <v>42</v>
      </c>
      <c r="M1072" s="2">
        <f t="shared" si="189"/>
        <v>1</v>
      </c>
      <c r="N1072">
        <v>0</v>
      </c>
      <c r="P1072" s="2">
        <f t="shared" si="190"/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s="2">
        <f t="shared" si="191"/>
        <v>0</v>
      </c>
      <c r="X1072">
        <v>15.9</v>
      </c>
      <c r="Z1072" s="2">
        <f t="shared" si="192"/>
        <v>0</v>
      </c>
      <c r="AA1072">
        <v>3.2</v>
      </c>
      <c r="AB1072" s="2" t="str">
        <f>CHOOSE(MATCH(AA1072,{0;11;80;111;161;191;241;281;341},1),"North","NorthEast","East","SouthEast","South","SouthWest","West","NorthWest","North")</f>
        <v>North</v>
      </c>
      <c r="AC1072" s="5">
        <f>CHOOSE(MATCH(AB1072,{"South";"SouthEast";"SouthWest";"North";"NorthEast";"East";"West";"NorthWest"},0),1,2,3,4,5,6,7,8)</f>
        <v>4</v>
      </c>
      <c r="AD1072" s="2">
        <f t="shared" si="193"/>
        <v>1</v>
      </c>
      <c r="AE1072">
        <v>1012</v>
      </c>
      <c r="AF1072" s="4" t="s">
        <v>1757</v>
      </c>
      <c r="AG1072" s="2">
        <f t="shared" si="194"/>
        <v>1</v>
      </c>
      <c r="AH1072" t="s">
        <v>1758</v>
      </c>
      <c r="AI1072" s="2">
        <f t="shared" si="195"/>
        <v>8</v>
      </c>
      <c r="AJ1072" s="2">
        <f t="shared" si="196"/>
        <v>1</v>
      </c>
      <c r="AK1072" s="3">
        <v>135</v>
      </c>
      <c r="AM1072" s="2">
        <v>0</v>
      </c>
      <c r="AN1072">
        <v>0</v>
      </c>
      <c r="AO1072">
        <v>1</v>
      </c>
      <c r="AP1072">
        <v>0</v>
      </c>
      <c r="AQ1072" s="2">
        <f>IF((2*G1072 + M1072 -P1072 + 3*W1072 + 2*Z1072+2*AD1072 + AG1072+2*AJ1072 + 4*AM1072) &gt;=8,1,0)</f>
        <v>0</v>
      </c>
    </row>
    <row r="1073" spans="1:43" x14ac:dyDescent="0.25">
      <c r="A1073" t="s">
        <v>27</v>
      </c>
      <c r="B1073" s="1">
        <v>40765</v>
      </c>
      <c r="C1073" s="7">
        <f t="shared" si="188"/>
        <v>2011</v>
      </c>
      <c r="D1073">
        <v>92.2</v>
      </c>
      <c r="E1073">
        <v>69.8</v>
      </c>
      <c r="F1073">
        <v>82.6</v>
      </c>
      <c r="G1073" s="2">
        <f t="shared" si="187"/>
        <v>1</v>
      </c>
      <c r="H1073">
        <v>94.4</v>
      </c>
      <c r="I1073">
        <v>69.8</v>
      </c>
      <c r="J1073">
        <v>83.2</v>
      </c>
      <c r="K1073">
        <v>62.7</v>
      </c>
      <c r="L1073">
        <v>52.8</v>
      </c>
      <c r="M1073" s="2">
        <f t="shared" si="189"/>
        <v>0</v>
      </c>
      <c r="N1073">
        <v>0</v>
      </c>
      <c r="P1073" s="2">
        <f t="shared" si="190"/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s="2">
        <f t="shared" si="191"/>
        <v>0</v>
      </c>
      <c r="X1073">
        <v>19.3</v>
      </c>
      <c r="Z1073" s="2">
        <f t="shared" si="192"/>
        <v>1</v>
      </c>
      <c r="AA1073">
        <v>92.4</v>
      </c>
      <c r="AB1073" s="2" t="str">
        <f>CHOOSE(MATCH(AA1073,{0;11;80;111;161;191;241;281;341},1),"North","NorthEast","East","SouthEast","South","SouthWest","West","NorthWest","North")</f>
        <v>East</v>
      </c>
      <c r="AC1073" s="5">
        <f>CHOOSE(MATCH(AB1073,{"South";"SouthEast";"SouthWest";"North";"NorthEast";"East";"West";"NorthWest"},0),1,2,3,4,5,6,7,8)</f>
        <v>6</v>
      </c>
      <c r="AD1073" s="2">
        <f t="shared" si="193"/>
        <v>0</v>
      </c>
      <c r="AE1073">
        <v>1006.1</v>
      </c>
      <c r="AF1073" s="4" t="s">
        <v>1268</v>
      </c>
      <c r="AG1073" s="2">
        <f t="shared" si="194"/>
        <v>0</v>
      </c>
      <c r="AH1073" t="s">
        <v>1759</v>
      </c>
      <c r="AI1073" s="2">
        <f t="shared" si="195"/>
        <v>8</v>
      </c>
      <c r="AJ1073" s="2">
        <f t="shared" si="196"/>
        <v>1</v>
      </c>
      <c r="AK1073" s="3">
        <v>374.99999999650748</v>
      </c>
      <c r="AM1073" s="2">
        <v>1</v>
      </c>
      <c r="AN1073">
        <v>0</v>
      </c>
      <c r="AO1073">
        <v>0.3</v>
      </c>
      <c r="AP1073">
        <v>0</v>
      </c>
      <c r="AQ1073" s="2">
        <f>IF((2*G1073 + M1073 -P1073 + 3*W1073 + 2*Z1073+2*AD1073 + AG1073+2*AJ1073 + 4*AM1073) &gt;=8,1,0)</f>
        <v>1</v>
      </c>
    </row>
    <row r="1074" spans="1:43" x14ac:dyDescent="0.25">
      <c r="A1074" t="s">
        <v>27</v>
      </c>
      <c r="B1074" s="1">
        <v>40774</v>
      </c>
      <c r="C1074" s="7">
        <f t="shared" si="188"/>
        <v>2011</v>
      </c>
      <c r="D1074">
        <v>90</v>
      </c>
      <c r="E1074">
        <v>77.900000000000006</v>
      </c>
      <c r="F1074">
        <v>83.1</v>
      </c>
      <c r="G1074" s="2">
        <f t="shared" si="187"/>
        <v>1</v>
      </c>
      <c r="H1074">
        <v>88</v>
      </c>
      <c r="I1074">
        <v>77.900000000000006</v>
      </c>
      <c r="J1074">
        <v>82.2</v>
      </c>
      <c r="K1074">
        <v>54.2</v>
      </c>
      <c r="L1074">
        <v>37.5</v>
      </c>
      <c r="M1074" s="2">
        <f t="shared" si="189"/>
        <v>1</v>
      </c>
      <c r="N1074">
        <v>0</v>
      </c>
      <c r="P1074" s="2">
        <f t="shared" si="190"/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27.5</v>
      </c>
      <c r="W1074" s="2">
        <f t="shared" si="191"/>
        <v>1</v>
      </c>
      <c r="X1074">
        <v>17.899999999999999</v>
      </c>
      <c r="Z1074" s="2">
        <f t="shared" si="192"/>
        <v>1</v>
      </c>
      <c r="AA1074">
        <v>1.6</v>
      </c>
      <c r="AB1074" s="2" t="str">
        <f>CHOOSE(MATCH(AA1074,{0;11;80;111;161;191;241;281;341},1),"North","NorthEast","East","SouthEast","South","SouthWest","West","NorthWest","North")</f>
        <v>North</v>
      </c>
      <c r="AC1074" s="5">
        <f>CHOOSE(MATCH(AB1074,{"South";"SouthEast";"SouthWest";"North";"NorthEast";"East";"West";"NorthWest"},0),1,2,3,4,5,6,7,8)</f>
        <v>4</v>
      </c>
      <c r="AD1074" s="2">
        <f t="shared" si="193"/>
        <v>1</v>
      </c>
      <c r="AE1074">
        <v>1015.2</v>
      </c>
      <c r="AF1074" s="4" t="s">
        <v>1760</v>
      </c>
      <c r="AG1074" s="2">
        <f t="shared" si="194"/>
        <v>1</v>
      </c>
      <c r="AH1074" t="s">
        <v>1761</v>
      </c>
      <c r="AI1074" s="2">
        <f t="shared" si="195"/>
        <v>8</v>
      </c>
      <c r="AJ1074" s="2">
        <f t="shared" si="196"/>
        <v>1</v>
      </c>
      <c r="AK1074" s="3">
        <v>393.00000000279402</v>
      </c>
      <c r="AM1074" s="2">
        <v>1</v>
      </c>
      <c r="AN1074">
        <v>0</v>
      </c>
      <c r="AO1074">
        <v>8</v>
      </c>
      <c r="AP1074">
        <v>0</v>
      </c>
      <c r="AQ1074" s="2">
        <f>IF((2*G1074 + M1074 -P1074 + 3*W1074 + 2*Z1074+2*AD1074 + AG1074+2*AJ1074 + 4*AM1074) &gt;=8,1,0)</f>
        <v>1</v>
      </c>
    </row>
    <row r="1075" spans="1:43" x14ac:dyDescent="0.25">
      <c r="A1075" t="s">
        <v>27</v>
      </c>
      <c r="B1075" s="1">
        <v>40776</v>
      </c>
      <c r="C1075" s="7">
        <f t="shared" si="188"/>
        <v>2011</v>
      </c>
      <c r="D1075">
        <v>92.7</v>
      </c>
      <c r="E1075">
        <v>77.099999999999994</v>
      </c>
      <c r="F1075">
        <v>84.2</v>
      </c>
      <c r="G1075" s="2">
        <f t="shared" si="187"/>
        <v>1</v>
      </c>
      <c r="H1075">
        <v>90.7</v>
      </c>
      <c r="I1075">
        <v>77.099999999999994</v>
      </c>
      <c r="J1075">
        <v>83.2</v>
      </c>
      <c r="K1075">
        <v>54.2</v>
      </c>
      <c r="L1075">
        <v>36.200000000000003</v>
      </c>
      <c r="M1075" s="2">
        <f t="shared" si="189"/>
        <v>1</v>
      </c>
      <c r="N1075">
        <v>0</v>
      </c>
      <c r="P1075" s="2">
        <f t="shared" si="190"/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34.4</v>
      </c>
      <c r="W1075" s="2">
        <f t="shared" si="191"/>
        <v>1</v>
      </c>
      <c r="X1075">
        <v>57.6</v>
      </c>
      <c r="Z1075" s="2">
        <f t="shared" si="192"/>
        <v>1</v>
      </c>
      <c r="AA1075">
        <v>354</v>
      </c>
      <c r="AB1075" s="2" t="str">
        <f>CHOOSE(MATCH(AA1075,{0;11;80;111;161;191;241;281;341},1),"North","NorthEast","East","SouthEast","South","SouthWest","West","NorthWest","North")</f>
        <v>North</v>
      </c>
      <c r="AC1075" s="5">
        <f>CHOOSE(MATCH(AB1075,{"South";"SouthEast";"SouthWest";"North";"NorthEast";"East";"West";"NorthWest"},0),1,2,3,4,5,6,7,8)</f>
        <v>4</v>
      </c>
      <c r="AD1075" s="2">
        <f t="shared" si="193"/>
        <v>1</v>
      </c>
      <c r="AE1075">
        <v>1013.2</v>
      </c>
      <c r="AF1075" s="4" t="s">
        <v>1762</v>
      </c>
      <c r="AG1075" s="2">
        <f t="shared" si="194"/>
        <v>1</v>
      </c>
      <c r="AH1075" t="s">
        <v>1763</v>
      </c>
      <c r="AI1075" s="2">
        <f t="shared" si="195"/>
        <v>8</v>
      </c>
      <c r="AJ1075" s="2">
        <f t="shared" si="196"/>
        <v>1</v>
      </c>
      <c r="AK1075" s="3">
        <v>2704.9999999953429</v>
      </c>
      <c r="AM1075" s="2">
        <v>1</v>
      </c>
      <c r="AN1075">
        <v>0</v>
      </c>
      <c r="AO1075">
        <v>20</v>
      </c>
      <c r="AP1075">
        <v>0</v>
      </c>
      <c r="AQ1075" s="2">
        <f>IF((2*G1075 + M1075 -P1075 + 3*W1075 + 2*Z1075+2*AD1075 + AG1075+2*AJ1075 + 4*AM1075) &gt;=8,1,0)</f>
        <v>1</v>
      </c>
    </row>
    <row r="1076" spans="1:43" x14ac:dyDescent="0.25">
      <c r="A1076" t="s">
        <v>27</v>
      </c>
      <c r="B1076" s="1">
        <v>40776</v>
      </c>
      <c r="C1076" s="7">
        <f t="shared" si="188"/>
        <v>2011</v>
      </c>
      <c r="D1076">
        <v>92.7</v>
      </c>
      <c r="E1076">
        <v>77.099999999999994</v>
      </c>
      <c r="F1076">
        <v>84.2</v>
      </c>
      <c r="G1076" s="2">
        <f t="shared" si="187"/>
        <v>1</v>
      </c>
      <c r="H1076">
        <v>90.7</v>
      </c>
      <c r="I1076">
        <v>77.099999999999994</v>
      </c>
      <c r="J1076">
        <v>83.2</v>
      </c>
      <c r="K1076">
        <v>54.2</v>
      </c>
      <c r="L1076">
        <v>36.200000000000003</v>
      </c>
      <c r="M1076" s="2">
        <f t="shared" si="189"/>
        <v>1</v>
      </c>
      <c r="N1076">
        <v>0</v>
      </c>
      <c r="P1076" s="2">
        <f t="shared" si="190"/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34.4</v>
      </c>
      <c r="W1076" s="2">
        <f t="shared" si="191"/>
        <v>1</v>
      </c>
      <c r="X1076">
        <v>57.6</v>
      </c>
      <c r="Z1076" s="2">
        <f t="shared" si="192"/>
        <v>1</v>
      </c>
      <c r="AA1076">
        <v>354</v>
      </c>
      <c r="AB1076" s="2" t="str">
        <f>CHOOSE(MATCH(AA1076,{0;11;80;111;161;191;241;281;341},1),"North","NorthEast","East","SouthEast","South","SouthWest","West","NorthWest","North")</f>
        <v>North</v>
      </c>
      <c r="AC1076" s="5">
        <f>CHOOSE(MATCH(AB1076,{"South";"SouthEast";"SouthWest";"North";"NorthEast";"East";"West";"NorthWest"},0),1,2,3,4,5,6,7,8)</f>
        <v>4</v>
      </c>
      <c r="AD1076" s="2">
        <f t="shared" si="193"/>
        <v>1</v>
      </c>
      <c r="AE1076">
        <v>1013.2</v>
      </c>
      <c r="AF1076" s="4" t="s">
        <v>1058</v>
      </c>
      <c r="AG1076" s="2">
        <f t="shared" si="194"/>
        <v>1</v>
      </c>
      <c r="AH1076" t="s">
        <v>1764</v>
      </c>
      <c r="AI1076" s="2">
        <f t="shared" si="195"/>
        <v>8</v>
      </c>
      <c r="AJ1076" s="2">
        <f t="shared" si="196"/>
        <v>1</v>
      </c>
      <c r="AK1076" s="3">
        <v>1305</v>
      </c>
      <c r="AM1076" s="2">
        <v>1</v>
      </c>
      <c r="AN1076">
        <v>10</v>
      </c>
      <c r="AO1076">
        <v>0</v>
      </c>
      <c r="AP1076">
        <v>0</v>
      </c>
      <c r="AQ1076" s="2">
        <f>IF((2*G1076 + M1076 -P1076 + 3*W1076 + 2*Z1076+2*AD1076 + AG1076+2*AJ1076 + 4*AM1076) &gt;=8,1,0)</f>
        <v>1</v>
      </c>
    </row>
    <row r="1077" spans="1:43" x14ac:dyDescent="0.25">
      <c r="A1077" t="s">
        <v>27</v>
      </c>
      <c r="B1077" s="1">
        <v>40779</v>
      </c>
      <c r="C1077" s="7">
        <f t="shared" si="188"/>
        <v>2011</v>
      </c>
      <c r="D1077">
        <v>93.7</v>
      </c>
      <c r="E1077">
        <v>79.3</v>
      </c>
      <c r="F1077">
        <v>84.9</v>
      </c>
      <c r="G1077" s="2">
        <f t="shared" si="187"/>
        <v>1</v>
      </c>
      <c r="H1077">
        <v>90.4</v>
      </c>
      <c r="I1077">
        <v>79.3</v>
      </c>
      <c r="J1077">
        <v>83.4</v>
      </c>
      <c r="K1077">
        <v>51.1</v>
      </c>
      <c r="L1077">
        <v>31.8</v>
      </c>
      <c r="M1077" s="2">
        <f t="shared" si="189"/>
        <v>1</v>
      </c>
      <c r="N1077">
        <v>0</v>
      </c>
      <c r="P1077" s="2">
        <f t="shared" si="190"/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31.1</v>
      </c>
      <c r="W1077" s="2">
        <f t="shared" si="191"/>
        <v>1</v>
      </c>
      <c r="X1077">
        <v>19.600000000000001</v>
      </c>
      <c r="Z1077" s="2">
        <f t="shared" si="192"/>
        <v>1</v>
      </c>
      <c r="AA1077">
        <v>355.6</v>
      </c>
      <c r="AB1077" s="2" t="str">
        <f>CHOOSE(MATCH(AA1077,{0;11;80;111;161;191;241;281;341},1),"North","NorthEast","East","SouthEast","South","SouthWest","West","NorthWest","North")</f>
        <v>North</v>
      </c>
      <c r="AC1077" s="5">
        <f>CHOOSE(MATCH(AB1077,{"South";"SouthEast";"SouthWest";"North";"NorthEast";"East";"West";"NorthWest"},0),1,2,3,4,5,6,7,8)</f>
        <v>4</v>
      </c>
      <c r="AD1077" s="2">
        <f t="shared" si="193"/>
        <v>1</v>
      </c>
      <c r="AE1077">
        <v>1013.1</v>
      </c>
      <c r="AF1077" s="4" t="s">
        <v>1765</v>
      </c>
      <c r="AG1077" s="2">
        <f t="shared" si="194"/>
        <v>1</v>
      </c>
      <c r="AH1077" t="s">
        <v>1766</v>
      </c>
      <c r="AI1077" s="2">
        <f t="shared" si="195"/>
        <v>8</v>
      </c>
      <c r="AJ1077" s="2">
        <f t="shared" si="196"/>
        <v>1</v>
      </c>
      <c r="AK1077" s="3">
        <v>888.99999999557622</v>
      </c>
      <c r="AM1077" s="2">
        <v>1</v>
      </c>
      <c r="AN1077">
        <v>0</v>
      </c>
      <c r="AO1077">
        <v>16</v>
      </c>
      <c r="AP1077">
        <v>0</v>
      </c>
      <c r="AQ1077" s="2">
        <f>IF((2*G1077 + M1077 -P1077 + 3*W1077 + 2*Z1077+2*AD1077 + AG1077+2*AJ1077 + 4*AM1077) &gt;=8,1,0)</f>
        <v>1</v>
      </c>
    </row>
    <row r="1078" spans="1:43" x14ac:dyDescent="0.25">
      <c r="A1078" t="s">
        <v>27</v>
      </c>
      <c r="B1078" s="1">
        <v>40779</v>
      </c>
      <c r="C1078" s="7">
        <f t="shared" si="188"/>
        <v>2011</v>
      </c>
      <c r="D1078">
        <v>93.7</v>
      </c>
      <c r="E1078">
        <v>79.3</v>
      </c>
      <c r="F1078">
        <v>84.9</v>
      </c>
      <c r="G1078" s="2">
        <f t="shared" si="187"/>
        <v>1</v>
      </c>
      <c r="H1078">
        <v>90.4</v>
      </c>
      <c r="I1078">
        <v>79.3</v>
      </c>
      <c r="J1078">
        <v>83.4</v>
      </c>
      <c r="K1078">
        <v>51.1</v>
      </c>
      <c r="L1078">
        <v>31.8</v>
      </c>
      <c r="M1078" s="2">
        <f t="shared" si="189"/>
        <v>1</v>
      </c>
      <c r="N1078">
        <v>0</v>
      </c>
      <c r="P1078" s="2">
        <f t="shared" si="190"/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31.1</v>
      </c>
      <c r="W1078" s="2">
        <f t="shared" si="191"/>
        <v>1</v>
      </c>
      <c r="X1078">
        <v>19.600000000000001</v>
      </c>
      <c r="Z1078" s="2">
        <f t="shared" si="192"/>
        <v>1</v>
      </c>
      <c r="AA1078">
        <v>355.6</v>
      </c>
      <c r="AB1078" s="2" t="str">
        <f>CHOOSE(MATCH(AA1078,{0;11;80;111;161;191;241;281;341},1),"North","NorthEast","East","SouthEast","South","SouthWest","West","NorthWest","North")</f>
        <v>North</v>
      </c>
      <c r="AC1078" s="5">
        <f>CHOOSE(MATCH(AB1078,{"South";"SouthEast";"SouthWest";"North";"NorthEast";"East";"West";"NorthWest"},0),1,2,3,4,5,6,7,8)</f>
        <v>4</v>
      </c>
      <c r="AD1078" s="2">
        <f t="shared" si="193"/>
        <v>1</v>
      </c>
      <c r="AE1078">
        <v>1013.1</v>
      </c>
      <c r="AF1078" s="4" t="s">
        <v>1767</v>
      </c>
      <c r="AG1078" s="2">
        <f t="shared" si="194"/>
        <v>1</v>
      </c>
      <c r="AH1078" t="s">
        <v>1768</v>
      </c>
      <c r="AI1078" s="2">
        <f t="shared" si="195"/>
        <v>8</v>
      </c>
      <c r="AJ1078" s="2">
        <f t="shared" si="196"/>
        <v>1</v>
      </c>
      <c r="AK1078" s="3">
        <v>2135.0000000023279</v>
      </c>
      <c r="AM1078" s="2">
        <v>1</v>
      </c>
      <c r="AN1078">
        <v>0</v>
      </c>
      <c r="AO1078">
        <v>10</v>
      </c>
      <c r="AP1078">
        <v>0</v>
      </c>
      <c r="AQ1078" s="2">
        <f>IF((2*G1078 + M1078 -P1078 + 3*W1078 + 2*Z1078+2*AD1078 + AG1078+2*AJ1078 + 4*AM1078) &gt;=8,1,0)</f>
        <v>1</v>
      </c>
    </row>
    <row r="1079" spans="1:43" x14ac:dyDescent="0.25">
      <c r="A1079" t="s">
        <v>27</v>
      </c>
      <c r="B1079" s="1">
        <v>40780</v>
      </c>
      <c r="C1079" s="7">
        <f t="shared" si="188"/>
        <v>2011</v>
      </c>
      <c r="D1079">
        <v>92.4</v>
      </c>
      <c r="E1079">
        <v>77.8</v>
      </c>
      <c r="F1079">
        <v>84.7</v>
      </c>
      <c r="G1079" s="2">
        <f t="shared" si="187"/>
        <v>1</v>
      </c>
      <c r="H1079">
        <v>89.8</v>
      </c>
      <c r="I1079">
        <v>77.8</v>
      </c>
      <c r="J1079">
        <v>83.7</v>
      </c>
      <c r="K1079">
        <v>55.4</v>
      </c>
      <c r="L1079">
        <v>37.5</v>
      </c>
      <c r="M1079" s="2">
        <f t="shared" si="189"/>
        <v>1</v>
      </c>
      <c r="N1079">
        <v>0</v>
      </c>
      <c r="P1079" s="2">
        <f t="shared" si="190"/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38.299999999999997</v>
      </c>
      <c r="W1079" s="2">
        <f t="shared" si="191"/>
        <v>1</v>
      </c>
      <c r="X1079">
        <v>22.4</v>
      </c>
      <c r="Z1079" s="2">
        <f t="shared" si="192"/>
        <v>1</v>
      </c>
      <c r="AA1079">
        <v>0.6</v>
      </c>
      <c r="AB1079" s="2" t="str">
        <f>CHOOSE(MATCH(AA1079,{0;11;80;111;161;191;241;281;341},1),"North","NorthEast","East","SouthEast","South","SouthWest","West","NorthWest","North")</f>
        <v>North</v>
      </c>
      <c r="AC1079" s="5">
        <f>CHOOSE(MATCH(AB1079,{"South";"SouthEast";"SouthWest";"North";"NorthEast";"East";"West";"NorthWest"},0),1,2,3,4,5,6,7,8)</f>
        <v>4</v>
      </c>
      <c r="AD1079" s="2">
        <f t="shared" si="193"/>
        <v>1</v>
      </c>
      <c r="AE1079">
        <v>1011.9</v>
      </c>
      <c r="AF1079" s="4" t="s">
        <v>1135</v>
      </c>
      <c r="AG1079" s="2">
        <f t="shared" si="194"/>
        <v>1</v>
      </c>
      <c r="AH1079" t="s">
        <v>1769</v>
      </c>
      <c r="AI1079" s="2">
        <f t="shared" si="195"/>
        <v>8</v>
      </c>
      <c r="AJ1079" s="2">
        <f t="shared" si="196"/>
        <v>1</v>
      </c>
      <c r="AK1079" s="3">
        <v>4136.0000000079162</v>
      </c>
      <c r="AM1079" s="2">
        <v>1</v>
      </c>
      <c r="AN1079">
        <v>0</v>
      </c>
      <c r="AO1079">
        <v>450</v>
      </c>
      <c r="AP1079">
        <v>0</v>
      </c>
      <c r="AQ1079" s="2">
        <f>IF((2*G1079 + M1079 -P1079 + 3*W1079 + 2*Z1079+2*AD1079 + AG1079+2*AJ1079 + 4*AM1079) &gt;=8,1,0)</f>
        <v>1</v>
      </c>
    </row>
    <row r="1080" spans="1:43" x14ac:dyDescent="0.25">
      <c r="A1080" t="s">
        <v>27</v>
      </c>
      <c r="B1080" s="1">
        <v>40781</v>
      </c>
      <c r="C1080" s="7">
        <f t="shared" si="188"/>
        <v>2011</v>
      </c>
      <c r="D1080">
        <v>88.8</v>
      </c>
      <c r="E1080">
        <v>76.8</v>
      </c>
      <c r="F1080">
        <v>81.900000000000006</v>
      </c>
      <c r="G1080" s="2">
        <f t="shared" si="187"/>
        <v>1</v>
      </c>
      <c r="H1080">
        <v>86.3</v>
      </c>
      <c r="I1080">
        <v>76.8</v>
      </c>
      <c r="J1080">
        <v>81.099999999999994</v>
      </c>
      <c r="K1080">
        <v>53.3</v>
      </c>
      <c r="L1080">
        <v>37.9</v>
      </c>
      <c r="M1080" s="2">
        <f t="shared" si="189"/>
        <v>1</v>
      </c>
      <c r="N1080">
        <v>0</v>
      </c>
      <c r="P1080" s="2">
        <f t="shared" si="190"/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34.4</v>
      </c>
      <c r="W1080" s="2">
        <f t="shared" si="191"/>
        <v>1</v>
      </c>
      <c r="X1080">
        <v>20.5</v>
      </c>
      <c r="Z1080" s="2">
        <f t="shared" si="192"/>
        <v>1</v>
      </c>
      <c r="AA1080">
        <v>354.9</v>
      </c>
      <c r="AB1080" s="2" t="str">
        <f>CHOOSE(MATCH(AA1080,{0;11;80;111;161;191;241;281;341},1),"North","NorthEast","East","SouthEast","South","SouthWest","West","NorthWest","North")</f>
        <v>North</v>
      </c>
      <c r="AC1080" s="5">
        <f>CHOOSE(MATCH(AB1080,{"South";"SouthEast";"SouthWest";"North";"NorthEast";"East";"West";"NorthWest"},0),1,2,3,4,5,6,7,8)</f>
        <v>4</v>
      </c>
      <c r="AD1080" s="2">
        <f t="shared" si="193"/>
        <v>1</v>
      </c>
      <c r="AE1080">
        <v>1011.9</v>
      </c>
      <c r="AF1080" s="4" t="s">
        <v>1770</v>
      </c>
      <c r="AG1080" s="2">
        <f t="shared" si="194"/>
        <v>0</v>
      </c>
      <c r="AH1080" t="s">
        <v>1771</v>
      </c>
      <c r="AI1080" s="2">
        <f t="shared" si="195"/>
        <v>8</v>
      </c>
      <c r="AJ1080" s="2">
        <f t="shared" si="196"/>
        <v>1</v>
      </c>
      <c r="AK1080" s="3">
        <v>197.0000000030268</v>
      </c>
      <c r="AM1080" s="2">
        <v>0</v>
      </c>
      <c r="AN1080">
        <v>0</v>
      </c>
      <c r="AO1080">
        <v>0.8</v>
      </c>
      <c r="AP1080">
        <v>0</v>
      </c>
      <c r="AQ1080" s="2">
        <f>IF((2*G1080 + M1080 -P1080 + 3*W1080 + 2*Z1080+2*AD1080 + AG1080+2*AJ1080 + 4*AM1080) &gt;=8,1,0)</f>
        <v>1</v>
      </c>
    </row>
    <row r="1081" spans="1:43" x14ac:dyDescent="0.25">
      <c r="A1081" t="s">
        <v>27</v>
      </c>
      <c r="B1081" s="1">
        <v>40781</v>
      </c>
      <c r="C1081" s="7">
        <f t="shared" si="188"/>
        <v>2011</v>
      </c>
      <c r="D1081">
        <v>88.8</v>
      </c>
      <c r="E1081">
        <v>76.8</v>
      </c>
      <c r="F1081">
        <v>81.900000000000006</v>
      </c>
      <c r="G1081" s="2">
        <f t="shared" si="187"/>
        <v>1</v>
      </c>
      <c r="H1081">
        <v>86.3</v>
      </c>
      <c r="I1081">
        <v>76.8</v>
      </c>
      <c r="J1081">
        <v>81.099999999999994</v>
      </c>
      <c r="K1081">
        <v>53.3</v>
      </c>
      <c r="L1081">
        <v>37.9</v>
      </c>
      <c r="M1081" s="2">
        <f t="shared" si="189"/>
        <v>1</v>
      </c>
      <c r="N1081">
        <v>0</v>
      </c>
      <c r="P1081" s="2">
        <f t="shared" si="190"/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34.4</v>
      </c>
      <c r="W1081" s="2">
        <f t="shared" si="191"/>
        <v>1</v>
      </c>
      <c r="X1081">
        <v>20.5</v>
      </c>
      <c r="Z1081" s="2">
        <f t="shared" si="192"/>
        <v>1</v>
      </c>
      <c r="AA1081">
        <v>354.9</v>
      </c>
      <c r="AB1081" s="2" t="str">
        <f>CHOOSE(MATCH(AA1081,{0;11;80;111;161;191;241;281;341},1),"North","NorthEast","East","SouthEast","South","SouthWest","West","NorthWest","North")</f>
        <v>North</v>
      </c>
      <c r="AC1081" s="5">
        <f>CHOOSE(MATCH(AB1081,{"South";"SouthEast";"SouthWest";"North";"NorthEast";"East";"West";"NorthWest"},0),1,2,3,4,5,6,7,8)</f>
        <v>4</v>
      </c>
      <c r="AD1081" s="2">
        <f t="shared" si="193"/>
        <v>1</v>
      </c>
      <c r="AE1081">
        <v>1011.9</v>
      </c>
      <c r="AF1081" s="4" t="s">
        <v>1772</v>
      </c>
      <c r="AG1081" s="2">
        <f t="shared" si="194"/>
        <v>0</v>
      </c>
      <c r="AH1081" t="s">
        <v>1773</v>
      </c>
      <c r="AI1081" s="2">
        <f t="shared" si="195"/>
        <v>8</v>
      </c>
      <c r="AJ1081" s="2">
        <f t="shared" si="196"/>
        <v>1</v>
      </c>
      <c r="AK1081" s="3">
        <v>3299.999999996508</v>
      </c>
      <c r="AM1081" s="2">
        <v>1</v>
      </c>
      <c r="AN1081">
        <v>0</v>
      </c>
      <c r="AO1081">
        <v>80</v>
      </c>
      <c r="AP1081">
        <v>0</v>
      </c>
      <c r="AQ1081" s="2">
        <f>IF((2*G1081 + M1081 -P1081 + 3*W1081 + 2*Z1081+2*AD1081 + AG1081+2*AJ1081 + 4*AM1081) &gt;=8,1,0)</f>
        <v>1</v>
      </c>
    </row>
    <row r="1082" spans="1:43" x14ac:dyDescent="0.25">
      <c r="A1082" t="s">
        <v>27</v>
      </c>
      <c r="B1082" s="1">
        <v>40781</v>
      </c>
      <c r="C1082" s="7">
        <f t="shared" si="188"/>
        <v>2011</v>
      </c>
      <c r="D1082">
        <v>88.8</v>
      </c>
      <c r="E1082">
        <v>76.8</v>
      </c>
      <c r="F1082">
        <v>81.900000000000006</v>
      </c>
      <c r="G1082" s="2">
        <f t="shared" si="187"/>
        <v>1</v>
      </c>
      <c r="H1082">
        <v>86.3</v>
      </c>
      <c r="I1082">
        <v>76.8</v>
      </c>
      <c r="J1082">
        <v>81.099999999999994</v>
      </c>
      <c r="K1082">
        <v>53.3</v>
      </c>
      <c r="L1082">
        <v>37.9</v>
      </c>
      <c r="M1082" s="2">
        <f t="shared" si="189"/>
        <v>1</v>
      </c>
      <c r="N1082">
        <v>0</v>
      </c>
      <c r="P1082" s="2">
        <f t="shared" si="190"/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34.4</v>
      </c>
      <c r="W1082" s="2">
        <f t="shared" si="191"/>
        <v>1</v>
      </c>
      <c r="X1082">
        <v>20.5</v>
      </c>
      <c r="Z1082" s="2">
        <f t="shared" si="192"/>
        <v>1</v>
      </c>
      <c r="AA1082">
        <v>354.9</v>
      </c>
      <c r="AB1082" s="2" t="str">
        <f>CHOOSE(MATCH(AA1082,{0;11;80;111;161;191;241;281;341},1),"North","NorthEast","East","SouthEast","South","SouthWest","West","NorthWest","North")</f>
        <v>North</v>
      </c>
      <c r="AC1082" s="5">
        <f>CHOOSE(MATCH(AB1082,{"South";"SouthEast";"SouthWest";"North";"NorthEast";"East";"West";"NorthWest"},0),1,2,3,4,5,6,7,8)</f>
        <v>4</v>
      </c>
      <c r="AD1082" s="2">
        <f t="shared" si="193"/>
        <v>1</v>
      </c>
      <c r="AE1082">
        <v>1011.9</v>
      </c>
      <c r="AF1082" s="4" t="s">
        <v>1774</v>
      </c>
      <c r="AG1082" s="2">
        <f t="shared" si="194"/>
        <v>1</v>
      </c>
      <c r="AH1082" t="s">
        <v>1775</v>
      </c>
      <c r="AI1082" s="2">
        <f t="shared" si="195"/>
        <v>8</v>
      </c>
      <c r="AJ1082" s="2">
        <f t="shared" si="196"/>
        <v>1</v>
      </c>
      <c r="AK1082" s="3">
        <v>4624.9999999988358</v>
      </c>
      <c r="AM1082" s="2">
        <v>1</v>
      </c>
      <c r="AN1082">
        <v>0</v>
      </c>
      <c r="AO1082">
        <v>25</v>
      </c>
      <c r="AP1082">
        <v>0</v>
      </c>
      <c r="AQ1082" s="2">
        <f>IF((2*G1082 + M1082 -P1082 + 3*W1082 + 2*Z1082+2*AD1082 + AG1082+2*AJ1082 + 4*AM1082) &gt;=8,1,0)</f>
        <v>1</v>
      </c>
    </row>
    <row r="1083" spans="1:43" x14ac:dyDescent="0.25">
      <c r="A1083" t="s">
        <v>27</v>
      </c>
      <c r="B1083" s="1">
        <v>40786</v>
      </c>
      <c r="C1083" s="7">
        <f t="shared" si="188"/>
        <v>2011</v>
      </c>
      <c r="D1083">
        <v>87.9</v>
      </c>
      <c r="E1083">
        <v>66.8</v>
      </c>
      <c r="F1083">
        <v>77.900000000000006</v>
      </c>
      <c r="G1083" s="2">
        <f t="shared" si="187"/>
        <v>1</v>
      </c>
      <c r="H1083">
        <v>89.2</v>
      </c>
      <c r="I1083">
        <v>66.8</v>
      </c>
      <c r="J1083">
        <v>78.599999999999994</v>
      </c>
      <c r="K1083">
        <v>63.8</v>
      </c>
      <c r="L1083">
        <v>63</v>
      </c>
      <c r="M1083" s="2">
        <f t="shared" si="189"/>
        <v>0</v>
      </c>
      <c r="N1083">
        <v>0</v>
      </c>
      <c r="P1083" s="2">
        <f t="shared" si="190"/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s="2">
        <f t="shared" si="191"/>
        <v>0</v>
      </c>
      <c r="X1083">
        <v>10.199999999999999</v>
      </c>
      <c r="Z1083" s="2">
        <f t="shared" si="192"/>
        <v>0</v>
      </c>
      <c r="AA1083">
        <v>137.19999999999999</v>
      </c>
      <c r="AB1083" s="2" t="str">
        <f>CHOOSE(MATCH(AA1083,{0;11;80;111;161;191;241;281;341},1),"North","NorthEast","East","SouthEast","South","SouthWest","West","NorthWest","North")</f>
        <v>SouthEast</v>
      </c>
      <c r="AC1083" s="5">
        <f>CHOOSE(MATCH(AB1083,{"South";"SouthEast";"SouthWest";"North";"NorthEast";"East";"West";"NorthWest"},0),1,2,3,4,5,6,7,8)</f>
        <v>2</v>
      </c>
      <c r="AD1083" s="2">
        <f t="shared" si="193"/>
        <v>0</v>
      </c>
      <c r="AE1083">
        <v>1010.3</v>
      </c>
      <c r="AF1083" s="4" t="s">
        <v>1776</v>
      </c>
      <c r="AG1083" s="2">
        <f t="shared" si="194"/>
        <v>0</v>
      </c>
      <c r="AH1083" t="s">
        <v>1777</v>
      </c>
      <c r="AI1083" s="2">
        <f t="shared" si="195"/>
        <v>8</v>
      </c>
      <c r="AJ1083" s="2">
        <f t="shared" si="196"/>
        <v>1</v>
      </c>
      <c r="AK1083" s="3">
        <v>370.00000000116421</v>
      </c>
      <c r="AM1083" s="2">
        <v>1</v>
      </c>
      <c r="AN1083">
        <v>0</v>
      </c>
      <c r="AO1083">
        <v>1</v>
      </c>
      <c r="AP1083">
        <v>0</v>
      </c>
      <c r="AQ1083" s="2">
        <f>IF((2*G1083 + M1083 -P1083 + 3*W1083 + 2*Z1083+2*AD1083 + AG1083+2*AJ1083 + 4*AM1083) &gt;=8,1,0)</f>
        <v>0</v>
      </c>
    </row>
    <row r="1084" spans="1:43" x14ac:dyDescent="0.25">
      <c r="A1084" t="s">
        <v>27</v>
      </c>
      <c r="B1084" s="1">
        <v>40788</v>
      </c>
      <c r="C1084" s="7">
        <f t="shared" si="188"/>
        <v>2011</v>
      </c>
      <c r="D1084">
        <v>92.5</v>
      </c>
      <c r="E1084">
        <v>67.900000000000006</v>
      </c>
      <c r="F1084">
        <v>80.599999999999994</v>
      </c>
      <c r="G1084" s="2">
        <f t="shared" si="187"/>
        <v>1</v>
      </c>
      <c r="H1084">
        <v>89.9</v>
      </c>
      <c r="I1084">
        <v>67.900000000000006</v>
      </c>
      <c r="J1084">
        <v>80</v>
      </c>
      <c r="K1084">
        <v>56.8</v>
      </c>
      <c r="L1084">
        <v>46.2</v>
      </c>
      <c r="M1084" s="2">
        <f t="shared" si="189"/>
        <v>1</v>
      </c>
      <c r="N1084">
        <v>0</v>
      </c>
      <c r="P1084" s="2">
        <f t="shared" si="190"/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s="2">
        <f t="shared" si="191"/>
        <v>0</v>
      </c>
      <c r="X1084">
        <v>9.4</v>
      </c>
      <c r="Z1084" s="2">
        <f t="shared" si="192"/>
        <v>0</v>
      </c>
      <c r="AA1084">
        <v>136.19999999999999</v>
      </c>
      <c r="AB1084" s="2" t="str">
        <f>CHOOSE(MATCH(AA1084,{0;11;80;111;161;191;241;281;341},1),"North","NorthEast","East","SouthEast","South","SouthWest","West","NorthWest","North")</f>
        <v>SouthEast</v>
      </c>
      <c r="AC1084" s="5">
        <f>CHOOSE(MATCH(AB1084,{"South";"SouthEast";"SouthWest";"North";"NorthEast";"East";"West";"NorthWest"},0),1,2,3,4,5,6,7,8)</f>
        <v>2</v>
      </c>
      <c r="AD1084" s="2">
        <f t="shared" si="193"/>
        <v>0</v>
      </c>
      <c r="AE1084">
        <v>1011.3</v>
      </c>
      <c r="AF1084" s="4" t="s">
        <v>1778</v>
      </c>
      <c r="AG1084" s="2">
        <f t="shared" si="194"/>
        <v>1</v>
      </c>
      <c r="AH1084" t="s">
        <v>1779</v>
      </c>
      <c r="AI1084" s="2">
        <f t="shared" si="195"/>
        <v>9</v>
      </c>
      <c r="AJ1084" s="2">
        <f t="shared" si="196"/>
        <v>0</v>
      </c>
      <c r="AK1084" s="3">
        <v>149.99999999650751</v>
      </c>
      <c r="AM1084" s="2">
        <v>0</v>
      </c>
      <c r="AN1084">
        <v>0</v>
      </c>
      <c r="AO1084">
        <v>6</v>
      </c>
      <c r="AP1084">
        <v>0</v>
      </c>
      <c r="AQ1084" s="2">
        <f>IF((2*G1084 + M1084 -P1084 + 3*W1084 + 2*Z1084+2*AD1084 + AG1084+2*AJ1084 + 4*AM1084) &gt;=8,1,0)</f>
        <v>0</v>
      </c>
    </row>
    <row r="1085" spans="1:43" x14ac:dyDescent="0.25">
      <c r="A1085" t="s">
        <v>27</v>
      </c>
      <c r="B1085" s="1">
        <v>40799</v>
      </c>
      <c r="C1085" s="7">
        <f t="shared" si="188"/>
        <v>2011</v>
      </c>
      <c r="D1085">
        <v>91.8</v>
      </c>
      <c r="E1085">
        <v>69</v>
      </c>
      <c r="F1085">
        <v>80.3</v>
      </c>
      <c r="G1085" s="2">
        <f t="shared" si="187"/>
        <v>1</v>
      </c>
      <c r="H1085">
        <v>88.7</v>
      </c>
      <c r="I1085">
        <v>69</v>
      </c>
      <c r="J1085">
        <v>79.2</v>
      </c>
      <c r="K1085">
        <v>50.2</v>
      </c>
      <c r="L1085">
        <v>37</v>
      </c>
      <c r="M1085" s="2">
        <f t="shared" si="189"/>
        <v>1</v>
      </c>
      <c r="N1085">
        <v>0</v>
      </c>
      <c r="P1085" s="2">
        <f t="shared" si="190"/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s="2">
        <f t="shared" si="191"/>
        <v>0</v>
      </c>
      <c r="X1085">
        <v>18.100000000000001</v>
      </c>
      <c r="Z1085" s="2">
        <f t="shared" si="192"/>
        <v>1</v>
      </c>
      <c r="AA1085">
        <v>1.1000000000000001</v>
      </c>
      <c r="AB1085" s="2" t="str">
        <f>CHOOSE(MATCH(AA1085,{0;11;80;111;161;191;241;281;341},1),"North","NorthEast","East","SouthEast","South","SouthWest","West","NorthWest","North")</f>
        <v>North</v>
      </c>
      <c r="AC1085" s="5">
        <f>CHOOSE(MATCH(AB1085,{"South";"SouthEast";"SouthWest";"North";"NorthEast";"East";"West";"NorthWest"},0),1,2,3,4,5,6,7,8)</f>
        <v>4</v>
      </c>
      <c r="AD1085" s="2">
        <f t="shared" si="193"/>
        <v>1</v>
      </c>
      <c r="AE1085">
        <v>1011.3</v>
      </c>
      <c r="AF1085" s="4" t="s">
        <v>1781</v>
      </c>
      <c r="AG1085" s="2">
        <f t="shared" si="194"/>
        <v>0</v>
      </c>
      <c r="AH1085" t="s">
        <v>1782</v>
      </c>
      <c r="AI1085" s="2">
        <f t="shared" si="195"/>
        <v>9</v>
      </c>
      <c r="AJ1085" s="2">
        <f t="shared" si="196"/>
        <v>0</v>
      </c>
      <c r="AK1085" s="3">
        <v>853.00000000395812</v>
      </c>
      <c r="AM1085" s="2">
        <v>1</v>
      </c>
      <c r="AN1085">
        <v>0</v>
      </c>
      <c r="AO1085">
        <v>0.1</v>
      </c>
      <c r="AP1085">
        <v>0</v>
      </c>
      <c r="AQ1085" s="2">
        <f>IF((2*G1085 + M1085 -P1085 + 3*W1085 + 2*Z1085+2*AD1085 + AG1085+2*AJ1085 + 4*AM1085) &gt;=8,1,0)</f>
        <v>1</v>
      </c>
    </row>
    <row r="1086" spans="1:43" x14ac:dyDescent="0.25">
      <c r="A1086" t="s">
        <v>27</v>
      </c>
      <c r="B1086" s="1">
        <v>40800</v>
      </c>
      <c r="C1086" s="7">
        <f t="shared" si="188"/>
        <v>2011</v>
      </c>
      <c r="D1086">
        <v>93</v>
      </c>
      <c r="E1086">
        <v>71.400000000000006</v>
      </c>
      <c r="F1086">
        <v>82.1</v>
      </c>
      <c r="G1086" s="2">
        <f t="shared" si="187"/>
        <v>1</v>
      </c>
      <c r="H1086">
        <v>89.1</v>
      </c>
      <c r="I1086">
        <v>71.400000000000006</v>
      </c>
      <c r="J1086">
        <v>80.400000000000006</v>
      </c>
      <c r="K1086">
        <v>42.5</v>
      </c>
      <c r="L1086">
        <v>25.6</v>
      </c>
      <c r="M1086" s="2">
        <f t="shared" si="189"/>
        <v>1</v>
      </c>
      <c r="N1086">
        <v>0</v>
      </c>
      <c r="P1086" s="2">
        <f t="shared" si="190"/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s="2">
        <f t="shared" si="191"/>
        <v>0</v>
      </c>
      <c r="X1086">
        <v>15.2</v>
      </c>
      <c r="Z1086" s="2">
        <f t="shared" si="192"/>
        <v>0</v>
      </c>
      <c r="AA1086">
        <v>347</v>
      </c>
      <c r="AB1086" s="2" t="str">
        <f>CHOOSE(MATCH(AA1086,{0;11;80;111;161;191;241;281;341},1),"North","NorthEast","East","SouthEast","South","SouthWest","West","NorthWest","North")</f>
        <v>North</v>
      </c>
      <c r="AC1086" s="5">
        <f>CHOOSE(MATCH(AB1086,{"South";"SouthEast";"SouthWest";"North";"NorthEast";"East";"West";"NorthWest"},0),1,2,3,4,5,6,7,8)</f>
        <v>4</v>
      </c>
      <c r="AD1086" s="2">
        <f t="shared" si="193"/>
        <v>1</v>
      </c>
      <c r="AE1086">
        <v>1011.8</v>
      </c>
      <c r="AF1086" s="4" t="s">
        <v>1783</v>
      </c>
      <c r="AG1086" s="2">
        <f t="shared" si="194"/>
        <v>0</v>
      </c>
      <c r="AH1086" t="s">
        <v>1784</v>
      </c>
      <c r="AI1086" s="2">
        <f t="shared" si="195"/>
        <v>9</v>
      </c>
      <c r="AJ1086" s="2">
        <f t="shared" si="196"/>
        <v>0</v>
      </c>
      <c r="AK1086" s="3">
        <v>59.99999999650754</v>
      </c>
      <c r="AM1086" s="2">
        <v>0</v>
      </c>
      <c r="AN1086">
        <v>0</v>
      </c>
      <c r="AO1086">
        <v>0.3</v>
      </c>
      <c r="AP1086">
        <v>0</v>
      </c>
      <c r="AQ1086" s="2">
        <f>IF((2*G1086 + M1086 -P1086 + 3*W1086 + 2*Z1086+2*AD1086 + AG1086+2*AJ1086 + 4*AM1086) &gt;=8,1,0)</f>
        <v>0</v>
      </c>
    </row>
    <row r="1087" spans="1:43" x14ac:dyDescent="0.25">
      <c r="A1087" t="s">
        <v>27</v>
      </c>
      <c r="B1087" s="1">
        <v>40804</v>
      </c>
      <c r="C1087" s="7">
        <f t="shared" si="188"/>
        <v>2011</v>
      </c>
      <c r="D1087">
        <v>90.6</v>
      </c>
      <c r="E1087">
        <v>76.099999999999994</v>
      </c>
      <c r="F1087">
        <v>81.7</v>
      </c>
      <c r="G1087" s="2">
        <f t="shared" si="187"/>
        <v>1</v>
      </c>
      <c r="H1087">
        <v>87.9</v>
      </c>
      <c r="I1087">
        <v>76.099999999999994</v>
      </c>
      <c r="J1087">
        <v>80.7</v>
      </c>
      <c r="K1087">
        <v>50.9</v>
      </c>
      <c r="L1087">
        <v>34.9</v>
      </c>
      <c r="M1087" s="2">
        <f t="shared" si="189"/>
        <v>1</v>
      </c>
      <c r="N1087">
        <v>0</v>
      </c>
      <c r="P1087" s="2">
        <f t="shared" si="190"/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s="2">
        <f t="shared" si="191"/>
        <v>0</v>
      </c>
      <c r="X1087">
        <v>15.4</v>
      </c>
      <c r="Z1087" s="2">
        <f t="shared" si="192"/>
        <v>0</v>
      </c>
      <c r="AA1087">
        <v>356.3</v>
      </c>
      <c r="AB1087" s="2" t="str">
        <f>CHOOSE(MATCH(AA1087,{0;11;80;111;161;191;241;281;341},1),"North","NorthEast","East","SouthEast","South","SouthWest","West","NorthWest","North")</f>
        <v>North</v>
      </c>
      <c r="AC1087" s="5">
        <f>CHOOSE(MATCH(AB1087,{"South";"SouthEast";"SouthWest";"North";"NorthEast";"East";"West";"NorthWest"},0),1,2,3,4,5,6,7,8)</f>
        <v>4</v>
      </c>
      <c r="AD1087" s="2">
        <f t="shared" si="193"/>
        <v>1</v>
      </c>
      <c r="AE1087">
        <v>1010.4</v>
      </c>
      <c r="AF1087" s="4" t="s">
        <v>1785</v>
      </c>
      <c r="AG1087" s="2">
        <f t="shared" si="194"/>
        <v>1</v>
      </c>
      <c r="AH1087" t="s">
        <v>1786</v>
      </c>
      <c r="AI1087" s="2">
        <f t="shared" si="195"/>
        <v>9</v>
      </c>
      <c r="AJ1087" s="2">
        <f t="shared" si="196"/>
        <v>0</v>
      </c>
      <c r="AK1087" s="3">
        <v>329.99999999650748</v>
      </c>
      <c r="AM1087" s="2">
        <v>0</v>
      </c>
      <c r="AN1087">
        <v>0</v>
      </c>
      <c r="AO1087">
        <v>6</v>
      </c>
      <c r="AP1087">
        <v>0</v>
      </c>
      <c r="AQ1087" s="2">
        <f>IF((2*G1087 + M1087 -P1087 + 3*W1087 + 2*Z1087+2*AD1087 + AG1087+2*AJ1087 + 4*AM1087) &gt;=8,1,0)</f>
        <v>0</v>
      </c>
    </row>
    <row r="1088" spans="1:43" x14ac:dyDescent="0.25">
      <c r="A1088" t="s">
        <v>27</v>
      </c>
      <c r="B1088" s="1">
        <v>40806</v>
      </c>
      <c r="C1088" s="7">
        <f t="shared" si="188"/>
        <v>2011</v>
      </c>
      <c r="D1088">
        <v>84.2</v>
      </c>
      <c r="E1088">
        <v>65</v>
      </c>
      <c r="F1088">
        <v>73.099999999999994</v>
      </c>
      <c r="G1088" s="2">
        <f t="shared" si="187"/>
        <v>0</v>
      </c>
      <c r="H1088">
        <v>84.7</v>
      </c>
      <c r="I1088">
        <v>65</v>
      </c>
      <c r="J1088">
        <v>73.400000000000006</v>
      </c>
      <c r="K1088">
        <v>61.7</v>
      </c>
      <c r="L1088">
        <v>68.5</v>
      </c>
      <c r="M1088" s="2">
        <f t="shared" si="189"/>
        <v>0</v>
      </c>
      <c r="N1088">
        <v>0.03</v>
      </c>
      <c r="P1088" s="2">
        <f t="shared" si="190"/>
        <v>0</v>
      </c>
      <c r="Q1088">
        <v>100</v>
      </c>
      <c r="R1088">
        <v>4.17</v>
      </c>
      <c r="S1088" t="s">
        <v>87</v>
      </c>
      <c r="T1088">
        <v>0</v>
      </c>
      <c r="U1088">
        <v>0</v>
      </c>
      <c r="V1088">
        <v>0</v>
      </c>
      <c r="W1088" s="2">
        <f t="shared" si="191"/>
        <v>0</v>
      </c>
      <c r="X1088">
        <v>9.8000000000000007</v>
      </c>
      <c r="Z1088" s="2">
        <f t="shared" si="192"/>
        <v>0</v>
      </c>
      <c r="AA1088">
        <v>52.3</v>
      </c>
      <c r="AB1088" s="2" t="str">
        <f>CHOOSE(MATCH(AA1088,{0;11;80;111;161;191;241;281;341},1),"North","NorthEast","East","SouthEast","South","SouthWest","West","NorthWest","North")</f>
        <v>NorthEast</v>
      </c>
      <c r="AC1088" s="5">
        <f>CHOOSE(MATCH(AB1088,{"South";"SouthEast";"SouthWest";"North";"NorthEast";"East";"West";"NorthWest"},0),1,2,3,4,5,6,7,8)</f>
        <v>5</v>
      </c>
      <c r="AD1088" s="2">
        <f t="shared" si="193"/>
        <v>1</v>
      </c>
      <c r="AE1088">
        <v>1012.2</v>
      </c>
      <c r="AF1088" s="4" t="s">
        <v>1787</v>
      </c>
      <c r="AG1088" s="2">
        <f t="shared" si="194"/>
        <v>1</v>
      </c>
      <c r="AH1088" t="s">
        <v>1788</v>
      </c>
      <c r="AI1088" s="2">
        <f t="shared" si="195"/>
        <v>9</v>
      </c>
      <c r="AJ1088" s="2">
        <f t="shared" si="196"/>
        <v>0</v>
      </c>
      <c r="AK1088" s="3">
        <v>45</v>
      </c>
      <c r="AM1088" s="2">
        <v>0</v>
      </c>
      <c r="AN1088">
        <v>0</v>
      </c>
      <c r="AO1088">
        <v>10</v>
      </c>
      <c r="AP1088">
        <v>0</v>
      </c>
      <c r="AQ1088" s="2">
        <f>IF((2*G1088 + M1088 -P1088 + 3*W1088 + 2*Z1088+2*AD1088 + AG1088+2*AJ1088 + 4*AM1088) &gt;=8,1,0)</f>
        <v>0</v>
      </c>
    </row>
    <row r="1089" spans="1:43" x14ac:dyDescent="0.25">
      <c r="A1089" t="s">
        <v>27</v>
      </c>
      <c r="B1089" s="1">
        <v>40807</v>
      </c>
      <c r="C1089" s="7">
        <f t="shared" si="188"/>
        <v>2011</v>
      </c>
      <c r="D1089">
        <v>80.099999999999994</v>
      </c>
      <c r="E1089">
        <v>66</v>
      </c>
      <c r="F1089">
        <v>72.5</v>
      </c>
      <c r="G1089" s="2">
        <f t="shared" ref="G1089:G1150" si="197">IF(F1089&lt;=73.6,0,1)</f>
        <v>0</v>
      </c>
      <c r="H1089">
        <v>79.900000000000006</v>
      </c>
      <c r="I1089">
        <v>66</v>
      </c>
      <c r="J1089">
        <v>72.5</v>
      </c>
      <c r="K1089">
        <v>58.5</v>
      </c>
      <c r="L1089">
        <v>63.7</v>
      </c>
      <c r="M1089" s="2">
        <f t="shared" si="189"/>
        <v>0</v>
      </c>
      <c r="N1089">
        <v>0.03</v>
      </c>
      <c r="P1089" s="2">
        <f t="shared" si="190"/>
        <v>0</v>
      </c>
      <c r="Q1089">
        <v>100</v>
      </c>
      <c r="R1089">
        <v>4.17</v>
      </c>
      <c r="S1089" t="s">
        <v>87</v>
      </c>
      <c r="T1089">
        <v>0</v>
      </c>
      <c r="U1089">
        <v>0</v>
      </c>
      <c r="V1089">
        <v>0</v>
      </c>
      <c r="W1089" s="2">
        <f t="shared" si="191"/>
        <v>0</v>
      </c>
      <c r="X1089">
        <v>15.6</v>
      </c>
      <c r="Z1089" s="2">
        <f t="shared" si="192"/>
        <v>0</v>
      </c>
      <c r="AA1089">
        <v>328</v>
      </c>
      <c r="AB1089" s="2" t="str">
        <f>CHOOSE(MATCH(AA1089,{0;11;80;111;161;191;241;281;341},1),"North","NorthEast","East","SouthEast","South","SouthWest","West","NorthWest","North")</f>
        <v>NorthWest</v>
      </c>
      <c r="AC1089" s="5">
        <f>CHOOSE(MATCH(AB1089,{"South";"SouthEast";"SouthWest";"North";"NorthEast";"East";"West";"NorthWest"},0),1,2,3,4,5,6,7,8)</f>
        <v>8</v>
      </c>
      <c r="AD1089" s="2">
        <f t="shared" si="193"/>
        <v>1</v>
      </c>
      <c r="AE1089">
        <v>1007.4</v>
      </c>
      <c r="AF1089" s="4" t="s">
        <v>1134</v>
      </c>
      <c r="AG1089" s="2">
        <f t="shared" si="194"/>
        <v>1</v>
      </c>
      <c r="AH1089" t="s">
        <v>1789</v>
      </c>
      <c r="AI1089" s="2">
        <f t="shared" si="195"/>
        <v>9</v>
      </c>
      <c r="AJ1089" s="2">
        <f t="shared" si="196"/>
        <v>0</v>
      </c>
      <c r="AK1089" s="3">
        <v>403.99999999674043</v>
      </c>
      <c r="AM1089" s="2">
        <v>1</v>
      </c>
      <c r="AN1089">
        <v>0</v>
      </c>
      <c r="AO1089">
        <v>3</v>
      </c>
      <c r="AP1089">
        <v>0</v>
      </c>
      <c r="AQ1089" s="2">
        <f>IF((2*G1089 + M1089 -P1089 + 3*W1089 + 2*Z1089+2*AD1089 + AG1089+2*AJ1089 + 4*AM1089) &gt;=8,1,0)</f>
        <v>0</v>
      </c>
    </row>
    <row r="1090" spans="1:43" x14ac:dyDescent="0.25">
      <c r="A1090" t="s">
        <v>27</v>
      </c>
      <c r="B1090" s="1">
        <v>40810</v>
      </c>
      <c r="C1090" s="7">
        <f t="shared" si="188"/>
        <v>2011</v>
      </c>
      <c r="D1090">
        <v>85.9</v>
      </c>
      <c r="E1090">
        <v>63.7</v>
      </c>
      <c r="F1090">
        <v>74.2</v>
      </c>
      <c r="G1090" s="2">
        <f t="shared" si="197"/>
        <v>1</v>
      </c>
      <c r="H1090">
        <v>83.1</v>
      </c>
      <c r="I1090">
        <v>63.7</v>
      </c>
      <c r="J1090">
        <v>73.599999999999994</v>
      </c>
      <c r="K1090">
        <v>46.1</v>
      </c>
      <c r="L1090">
        <v>38</v>
      </c>
      <c r="M1090" s="2">
        <f t="shared" si="189"/>
        <v>1</v>
      </c>
      <c r="N1090">
        <v>0</v>
      </c>
      <c r="P1090" s="2">
        <f t="shared" si="190"/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s="2">
        <f t="shared" si="191"/>
        <v>0</v>
      </c>
      <c r="X1090">
        <v>13.8</v>
      </c>
      <c r="Z1090" s="2">
        <f t="shared" si="192"/>
        <v>0</v>
      </c>
      <c r="AA1090">
        <v>2.5</v>
      </c>
      <c r="AB1090" s="2" t="str">
        <f>CHOOSE(MATCH(AA1090,{0;11;80;111;161;191;241;281;341},1),"North","NorthEast","East","SouthEast","South","SouthWest","West","NorthWest","North")</f>
        <v>North</v>
      </c>
      <c r="AC1090" s="5">
        <f>CHOOSE(MATCH(AB1090,{"South";"SouthEast";"SouthWest";"North";"NorthEast";"East";"West";"NorthWest"},0),1,2,3,4,5,6,7,8)</f>
        <v>4</v>
      </c>
      <c r="AD1090" s="2">
        <f t="shared" si="193"/>
        <v>1</v>
      </c>
      <c r="AE1090">
        <v>1013.4</v>
      </c>
      <c r="AF1090" s="4" t="s">
        <v>1790</v>
      </c>
      <c r="AG1090" s="2">
        <f t="shared" si="194"/>
        <v>0</v>
      </c>
      <c r="AH1090" t="s">
        <v>1791</v>
      </c>
      <c r="AI1090" s="2">
        <f t="shared" si="195"/>
        <v>9</v>
      </c>
      <c r="AJ1090" s="2">
        <f t="shared" si="196"/>
        <v>0</v>
      </c>
      <c r="AK1090" s="3">
        <v>4517.0000000030268</v>
      </c>
      <c r="AM1090" s="2">
        <v>1</v>
      </c>
      <c r="AN1090">
        <v>0</v>
      </c>
      <c r="AO1090">
        <v>280</v>
      </c>
      <c r="AP1090">
        <v>0</v>
      </c>
      <c r="AQ1090" s="2">
        <f>IF((2*G1090 + M1090 -P1090 + 3*W1090 + 2*Z1090+2*AD1090 + AG1090+2*AJ1090 + 4*AM1090) &gt;=8,1,0)</f>
        <v>1</v>
      </c>
    </row>
    <row r="1091" spans="1:43" x14ac:dyDescent="0.25">
      <c r="A1091" t="s">
        <v>27</v>
      </c>
      <c r="B1091" s="1">
        <v>40812</v>
      </c>
      <c r="C1091" s="7">
        <f t="shared" si="188"/>
        <v>2011</v>
      </c>
      <c r="D1091">
        <v>81.900000000000006</v>
      </c>
      <c r="E1091">
        <v>69.2</v>
      </c>
      <c r="F1091">
        <v>74.099999999999994</v>
      </c>
      <c r="G1091" s="2">
        <f t="shared" si="197"/>
        <v>1</v>
      </c>
      <c r="H1091">
        <v>80.599999999999994</v>
      </c>
      <c r="I1091">
        <v>69.2</v>
      </c>
      <c r="J1091">
        <v>74.099999999999994</v>
      </c>
      <c r="K1091">
        <v>53.1</v>
      </c>
      <c r="L1091">
        <v>48.6</v>
      </c>
      <c r="M1091" s="2">
        <f t="shared" si="189"/>
        <v>1</v>
      </c>
      <c r="N1091">
        <v>0</v>
      </c>
      <c r="P1091" s="2">
        <f t="shared" si="190"/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33.299999999999997</v>
      </c>
      <c r="W1091" s="2">
        <f t="shared" si="191"/>
        <v>1</v>
      </c>
      <c r="X1091">
        <v>26.6</v>
      </c>
      <c r="Z1091" s="2">
        <f t="shared" si="192"/>
        <v>1</v>
      </c>
      <c r="AA1091">
        <v>358.9</v>
      </c>
      <c r="AB1091" s="2" t="str">
        <f>CHOOSE(MATCH(AA1091,{0;11;80;111;161;191;241;281;341},1),"North","NorthEast","East","SouthEast","South","SouthWest","West","NorthWest","North")</f>
        <v>North</v>
      </c>
      <c r="AC1091" s="5">
        <f>CHOOSE(MATCH(AB1091,{"South";"SouthEast";"SouthWest";"North";"NorthEast";"East";"West";"NorthWest"},0),1,2,3,4,5,6,7,8)</f>
        <v>4</v>
      </c>
      <c r="AD1091" s="2">
        <f t="shared" si="193"/>
        <v>1</v>
      </c>
      <c r="AE1091">
        <v>1019.2</v>
      </c>
      <c r="AF1091" s="4" t="s">
        <v>1792</v>
      </c>
      <c r="AG1091" s="2">
        <f t="shared" si="194"/>
        <v>1</v>
      </c>
      <c r="AH1091" t="s">
        <v>1793</v>
      </c>
      <c r="AI1091" s="2">
        <f t="shared" si="195"/>
        <v>9</v>
      </c>
      <c r="AJ1091" s="2">
        <f t="shared" si="196"/>
        <v>0</v>
      </c>
      <c r="AK1091" s="3">
        <v>595.00000000116415</v>
      </c>
      <c r="AM1091" s="2">
        <v>1</v>
      </c>
      <c r="AN1091">
        <v>0</v>
      </c>
      <c r="AO1091">
        <v>6</v>
      </c>
      <c r="AP1091">
        <v>0</v>
      </c>
      <c r="AQ1091" s="2">
        <f>IF((2*G1091 + M1091 -P1091 + 3*W1091 + 2*Z1091+2*AD1091 + AG1091+2*AJ1091 + 4*AM1091) &gt;=8,1,0)</f>
        <v>1</v>
      </c>
    </row>
    <row r="1092" spans="1:43" x14ac:dyDescent="0.25">
      <c r="A1092" t="s">
        <v>27</v>
      </c>
      <c r="B1092" s="1">
        <v>40813</v>
      </c>
      <c r="C1092" s="7">
        <f t="shared" si="188"/>
        <v>2011</v>
      </c>
      <c r="D1092">
        <v>77.599999999999994</v>
      </c>
      <c r="E1092">
        <v>66.7</v>
      </c>
      <c r="F1092">
        <v>71</v>
      </c>
      <c r="G1092" s="2">
        <f t="shared" si="197"/>
        <v>0</v>
      </c>
      <c r="H1092">
        <v>77.599999999999994</v>
      </c>
      <c r="I1092">
        <v>66.7</v>
      </c>
      <c r="J1092">
        <v>71</v>
      </c>
      <c r="K1092">
        <v>50.6</v>
      </c>
      <c r="L1092">
        <v>49.2</v>
      </c>
      <c r="M1092" s="2">
        <f t="shared" si="189"/>
        <v>1</v>
      </c>
      <c r="N1092">
        <v>0</v>
      </c>
      <c r="P1092" s="2">
        <f t="shared" si="190"/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33.700000000000003</v>
      </c>
      <c r="W1092" s="2">
        <f t="shared" si="191"/>
        <v>1</v>
      </c>
      <c r="X1092">
        <v>23.3</v>
      </c>
      <c r="Z1092" s="2">
        <f t="shared" si="192"/>
        <v>1</v>
      </c>
      <c r="AA1092">
        <v>355.2</v>
      </c>
      <c r="AB1092" s="2" t="str">
        <f>CHOOSE(MATCH(AA1092,{0;11;80;111;161;191;241;281;341},1),"North","NorthEast","East","SouthEast","South","SouthWest","West","NorthWest","North")</f>
        <v>North</v>
      </c>
      <c r="AC1092" s="5">
        <f>CHOOSE(MATCH(AB1092,{"South";"SouthEast";"SouthWest";"North";"NorthEast";"East";"West";"NorthWest"},0),1,2,3,4,5,6,7,8)</f>
        <v>4</v>
      </c>
      <c r="AD1092" s="2">
        <f t="shared" si="193"/>
        <v>1</v>
      </c>
      <c r="AE1092">
        <v>1020.6</v>
      </c>
      <c r="AF1092" s="4" t="s">
        <v>1243</v>
      </c>
      <c r="AG1092" s="2">
        <f t="shared" si="194"/>
        <v>0</v>
      </c>
      <c r="AH1092" t="s">
        <v>1794</v>
      </c>
      <c r="AI1092" s="2">
        <f t="shared" si="195"/>
        <v>9</v>
      </c>
      <c r="AJ1092" s="2">
        <f t="shared" si="196"/>
        <v>0</v>
      </c>
      <c r="AK1092" s="3">
        <v>2117.999999999302</v>
      </c>
      <c r="AM1092" s="2">
        <v>1</v>
      </c>
      <c r="AN1092">
        <v>2</v>
      </c>
      <c r="AO1092">
        <v>50</v>
      </c>
      <c r="AP1092">
        <v>0</v>
      </c>
      <c r="AQ1092" s="2">
        <f>IF((2*G1092 + M1092 -P1092 + 3*W1092 + 2*Z1092+2*AD1092 + AG1092+2*AJ1092 + 4*AM1092) &gt;=8,1,0)</f>
        <v>1</v>
      </c>
    </row>
    <row r="1093" spans="1:43" x14ac:dyDescent="0.25">
      <c r="A1093" t="s">
        <v>27</v>
      </c>
      <c r="B1093" s="1">
        <v>40813</v>
      </c>
      <c r="C1093" s="7">
        <f t="shared" si="188"/>
        <v>2011</v>
      </c>
      <c r="D1093">
        <v>77.599999999999994</v>
      </c>
      <c r="E1093">
        <v>66.7</v>
      </c>
      <c r="F1093">
        <v>71</v>
      </c>
      <c r="G1093" s="2">
        <f t="shared" si="197"/>
        <v>0</v>
      </c>
      <c r="H1093">
        <v>77.599999999999994</v>
      </c>
      <c r="I1093">
        <v>66.7</v>
      </c>
      <c r="J1093">
        <v>71</v>
      </c>
      <c r="K1093">
        <v>50.6</v>
      </c>
      <c r="L1093">
        <v>49.2</v>
      </c>
      <c r="M1093" s="2">
        <f t="shared" si="189"/>
        <v>1</v>
      </c>
      <c r="N1093">
        <v>0</v>
      </c>
      <c r="P1093" s="2">
        <f t="shared" si="190"/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33.700000000000003</v>
      </c>
      <c r="W1093" s="2">
        <f t="shared" si="191"/>
        <v>1</v>
      </c>
      <c r="X1093">
        <v>23.3</v>
      </c>
      <c r="Z1093" s="2">
        <f t="shared" si="192"/>
        <v>1</v>
      </c>
      <c r="AA1093">
        <v>355.2</v>
      </c>
      <c r="AB1093" s="2" t="str">
        <f>CHOOSE(MATCH(AA1093,{0;11;80;111;161;191;241;281;341},1),"North","NorthEast","East","SouthEast","South","SouthWest","West","NorthWest","North")</f>
        <v>North</v>
      </c>
      <c r="AC1093" s="5">
        <f>CHOOSE(MATCH(AB1093,{"South";"SouthEast";"SouthWest";"North";"NorthEast";"East";"West";"NorthWest"},0),1,2,3,4,5,6,7,8)</f>
        <v>4</v>
      </c>
      <c r="AD1093" s="2">
        <f t="shared" si="193"/>
        <v>1</v>
      </c>
      <c r="AE1093">
        <v>1020.6</v>
      </c>
      <c r="AF1093" s="4" t="s">
        <v>1795</v>
      </c>
      <c r="AG1093" s="2">
        <f t="shared" si="194"/>
        <v>1</v>
      </c>
      <c r="AH1093" t="s">
        <v>1796</v>
      </c>
      <c r="AI1093" s="2">
        <f t="shared" si="195"/>
        <v>9</v>
      </c>
      <c r="AJ1093" s="2">
        <f t="shared" si="196"/>
        <v>0</v>
      </c>
      <c r="AK1093" s="3">
        <v>1900.0000000011639</v>
      </c>
      <c r="AM1093" s="2">
        <v>1</v>
      </c>
      <c r="AN1093">
        <v>0</v>
      </c>
      <c r="AO1093">
        <v>10</v>
      </c>
      <c r="AP1093">
        <v>0</v>
      </c>
      <c r="AQ1093" s="2">
        <f>IF((2*G1093 + M1093 -P1093 + 3*W1093 + 2*Z1093+2*AD1093 + AG1093+2*AJ1093 + 4*AM1093) &gt;=8,1,0)</f>
        <v>1</v>
      </c>
    </row>
    <row r="1094" spans="1:43" x14ac:dyDescent="0.25">
      <c r="A1094" t="s">
        <v>27</v>
      </c>
      <c r="B1094" s="1">
        <v>40813</v>
      </c>
      <c r="C1094" s="7">
        <f t="shared" si="188"/>
        <v>2011</v>
      </c>
      <c r="D1094">
        <v>77.599999999999994</v>
      </c>
      <c r="E1094">
        <v>66.7</v>
      </c>
      <c r="F1094">
        <v>71</v>
      </c>
      <c r="G1094" s="2">
        <f t="shared" si="197"/>
        <v>0</v>
      </c>
      <c r="H1094">
        <v>77.599999999999994</v>
      </c>
      <c r="I1094">
        <v>66.7</v>
      </c>
      <c r="J1094">
        <v>71</v>
      </c>
      <c r="K1094">
        <v>50.6</v>
      </c>
      <c r="L1094">
        <v>49.2</v>
      </c>
      <c r="M1094" s="2">
        <f t="shared" si="189"/>
        <v>1</v>
      </c>
      <c r="N1094">
        <v>0</v>
      </c>
      <c r="P1094" s="2">
        <f t="shared" si="190"/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33.700000000000003</v>
      </c>
      <c r="W1094" s="2">
        <f t="shared" si="191"/>
        <v>1</v>
      </c>
      <c r="X1094">
        <v>23.3</v>
      </c>
      <c r="Z1094" s="2">
        <f t="shared" si="192"/>
        <v>1</v>
      </c>
      <c r="AA1094">
        <v>355.2</v>
      </c>
      <c r="AB1094" s="2" t="str">
        <f>CHOOSE(MATCH(AA1094,{0;11;80;111;161;191;241;281;341},1),"North","NorthEast","East","SouthEast","South","SouthWest","West","NorthWest","North")</f>
        <v>North</v>
      </c>
      <c r="AC1094" s="5">
        <f>CHOOSE(MATCH(AB1094,{"South";"SouthEast";"SouthWest";"North";"NorthEast";"East";"West";"NorthWest"},0),1,2,3,4,5,6,7,8)</f>
        <v>4</v>
      </c>
      <c r="AD1094" s="2">
        <f t="shared" si="193"/>
        <v>1</v>
      </c>
      <c r="AE1094">
        <v>1020.6</v>
      </c>
      <c r="AF1094" s="4" t="s">
        <v>1797</v>
      </c>
      <c r="AG1094" s="2">
        <f t="shared" si="194"/>
        <v>1</v>
      </c>
      <c r="AH1094" t="s">
        <v>1798</v>
      </c>
      <c r="AI1094" s="2">
        <f t="shared" si="195"/>
        <v>9</v>
      </c>
      <c r="AJ1094" s="2">
        <f t="shared" si="196"/>
        <v>0</v>
      </c>
      <c r="AK1094" s="3">
        <v>2350.0000000011642</v>
      </c>
      <c r="AM1094" s="2">
        <v>1</v>
      </c>
      <c r="AN1094">
        <v>0</v>
      </c>
      <c r="AO1094">
        <v>300</v>
      </c>
      <c r="AP1094">
        <v>0</v>
      </c>
      <c r="AQ1094" s="2">
        <f>IF((2*G1094 + M1094 -P1094 + 3*W1094 + 2*Z1094+2*AD1094 + AG1094+2*AJ1094 + 4*AM1094) &gt;=8,1,0)</f>
        <v>1</v>
      </c>
    </row>
    <row r="1095" spans="1:43" x14ac:dyDescent="0.25">
      <c r="A1095" t="s">
        <v>27</v>
      </c>
      <c r="B1095" s="1">
        <v>40813</v>
      </c>
      <c r="C1095" s="7">
        <f t="shared" si="188"/>
        <v>2011</v>
      </c>
      <c r="D1095">
        <v>77.599999999999994</v>
      </c>
      <c r="E1095">
        <v>66.7</v>
      </c>
      <c r="F1095">
        <v>71</v>
      </c>
      <c r="G1095" s="2">
        <f t="shared" si="197"/>
        <v>0</v>
      </c>
      <c r="H1095">
        <v>77.599999999999994</v>
      </c>
      <c r="I1095">
        <v>66.7</v>
      </c>
      <c r="J1095">
        <v>71</v>
      </c>
      <c r="K1095">
        <v>50.6</v>
      </c>
      <c r="L1095">
        <v>49.2</v>
      </c>
      <c r="M1095" s="2">
        <f t="shared" si="189"/>
        <v>1</v>
      </c>
      <c r="N1095">
        <v>0</v>
      </c>
      <c r="P1095" s="2">
        <f t="shared" si="190"/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33.700000000000003</v>
      </c>
      <c r="W1095" s="2">
        <f t="shared" si="191"/>
        <v>1</v>
      </c>
      <c r="X1095">
        <v>23.3</v>
      </c>
      <c r="Z1095" s="2">
        <f t="shared" si="192"/>
        <v>1</v>
      </c>
      <c r="AA1095">
        <v>355.2</v>
      </c>
      <c r="AB1095" s="2" t="str">
        <f>CHOOSE(MATCH(AA1095,{0;11;80;111;161;191;241;281;341},1),"North","NorthEast","East","SouthEast","South","SouthWest","West","NorthWest","North")</f>
        <v>North</v>
      </c>
      <c r="AC1095" s="5">
        <f>CHOOSE(MATCH(AB1095,{"South";"SouthEast";"SouthWest";"North";"NorthEast";"East";"West";"NorthWest"},0),1,2,3,4,5,6,7,8)</f>
        <v>4</v>
      </c>
      <c r="AD1095" s="2">
        <f t="shared" si="193"/>
        <v>1</v>
      </c>
      <c r="AE1095">
        <v>1020.6</v>
      </c>
      <c r="AF1095" s="4" t="s">
        <v>1799</v>
      </c>
      <c r="AG1095" s="2">
        <f t="shared" si="194"/>
        <v>1</v>
      </c>
      <c r="AH1095" t="s">
        <v>1800</v>
      </c>
      <c r="AI1095" s="2">
        <f t="shared" si="195"/>
        <v>9</v>
      </c>
      <c r="AJ1095" s="2">
        <f t="shared" si="196"/>
        <v>0</v>
      </c>
      <c r="AK1095" s="3">
        <v>3340.0000000011642</v>
      </c>
      <c r="AM1095" s="2">
        <v>1</v>
      </c>
      <c r="AN1095">
        <v>0</v>
      </c>
      <c r="AO1095">
        <v>50</v>
      </c>
      <c r="AP1095">
        <v>0</v>
      </c>
      <c r="AQ1095" s="2">
        <f>IF((2*G1095 + M1095 -P1095 + 3*W1095 + 2*Z1095+2*AD1095 + AG1095+2*AJ1095 + 4*AM1095) &gt;=8,1,0)</f>
        <v>1</v>
      </c>
    </row>
    <row r="1096" spans="1:43" x14ac:dyDescent="0.25">
      <c r="A1096" t="s">
        <v>27</v>
      </c>
      <c r="B1096" s="1">
        <v>40817</v>
      </c>
      <c r="C1096" s="7">
        <f t="shared" si="188"/>
        <v>2011</v>
      </c>
      <c r="D1096">
        <v>75.099999999999994</v>
      </c>
      <c r="E1096">
        <v>63.6</v>
      </c>
      <c r="F1096">
        <v>68.599999999999994</v>
      </c>
      <c r="G1096" s="2">
        <f t="shared" si="197"/>
        <v>0</v>
      </c>
      <c r="H1096">
        <v>75.099999999999994</v>
      </c>
      <c r="I1096">
        <v>63.6</v>
      </c>
      <c r="J1096">
        <v>68.599999999999994</v>
      </c>
      <c r="K1096">
        <v>47.6</v>
      </c>
      <c r="L1096">
        <v>47.5</v>
      </c>
      <c r="M1096" s="2">
        <f t="shared" si="189"/>
        <v>1</v>
      </c>
      <c r="N1096">
        <v>0</v>
      </c>
      <c r="P1096" s="2">
        <f t="shared" si="190"/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33.799999999999997</v>
      </c>
      <c r="W1096" s="2">
        <f t="shared" si="191"/>
        <v>1</v>
      </c>
      <c r="X1096">
        <v>20.3</v>
      </c>
      <c r="Z1096" s="2">
        <f t="shared" si="192"/>
        <v>1</v>
      </c>
      <c r="AA1096">
        <v>0.8</v>
      </c>
      <c r="AB1096" s="2" t="str">
        <f>CHOOSE(MATCH(AA1096,{0;11;80;111;161;191;241;281;341},1),"North","NorthEast","East","SouthEast","South","SouthWest","West","NorthWest","North")</f>
        <v>North</v>
      </c>
      <c r="AC1096" s="5">
        <f>CHOOSE(MATCH(AB1096,{"South";"SouthEast";"SouthWest";"North";"NorthEast";"East";"West";"NorthWest"},0),1,2,3,4,5,6,7,8)</f>
        <v>4</v>
      </c>
      <c r="AD1096" s="2">
        <f t="shared" si="193"/>
        <v>1</v>
      </c>
      <c r="AE1096">
        <v>1020.8</v>
      </c>
      <c r="AF1096" s="4" t="s">
        <v>1801</v>
      </c>
      <c r="AG1096" s="2">
        <f t="shared" si="194"/>
        <v>1</v>
      </c>
      <c r="AH1096" t="s">
        <v>1802</v>
      </c>
      <c r="AI1096" s="2">
        <f t="shared" si="195"/>
        <v>10</v>
      </c>
      <c r="AJ1096" s="2">
        <f t="shared" si="196"/>
        <v>0</v>
      </c>
      <c r="AK1096" s="3">
        <v>569.00000000023283</v>
      </c>
      <c r="AM1096" s="2">
        <v>1</v>
      </c>
      <c r="AN1096">
        <v>0</v>
      </c>
      <c r="AO1096">
        <v>5</v>
      </c>
      <c r="AP1096">
        <v>0</v>
      </c>
      <c r="AQ1096" s="2">
        <f>IF((2*G1096 + M1096 -P1096 + 3*W1096 + 2*Z1096+2*AD1096 + AG1096+2*AJ1096 + 4*AM1096) &gt;=8,1,0)</f>
        <v>1</v>
      </c>
    </row>
    <row r="1097" spans="1:43" x14ac:dyDescent="0.25">
      <c r="A1097" t="s">
        <v>27</v>
      </c>
      <c r="B1097" s="1">
        <v>40820</v>
      </c>
      <c r="C1097" s="7">
        <f t="shared" si="188"/>
        <v>2011</v>
      </c>
      <c r="D1097">
        <v>79.2</v>
      </c>
      <c r="E1097">
        <v>62.8</v>
      </c>
      <c r="F1097">
        <v>69.5</v>
      </c>
      <c r="G1097" s="2">
        <f t="shared" si="197"/>
        <v>0</v>
      </c>
      <c r="H1097">
        <v>79.2</v>
      </c>
      <c r="I1097">
        <v>62.8</v>
      </c>
      <c r="J1097">
        <v>69.5</v>
      </c>
      <c r="K1097">
        <v>50.3</v>
      </c>
      <c r="L1097">
        <v>51.9</v>
      </c>
      <c r="M1097" s="2">
        <f t="shared" si="189"/>
        <v>0</v>
      </c>
      <c r="N1097">
        <v>0</v>
      </c>
      <c r="P1097" s="2">
        <f t="shared" si="190"/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s="2">
        <f t="shared" si="191"/>
        <v>0</v>
      </c>
      <c r="X1097">
        <v>15.9</v>
      </c>
      <c r="Z1097" s="2">
        <f t="shared" si="192"/>
        <v>0</v>
      </c>
      <c r="AA1097">
        <v>5.9</v>
      </c>
      <c r="AB1097" s="2" t="str">
        <f>CHOOSE(MATCH(AA1097,{0;11;80;111;161;191;241;281;341},1),"North","NorthEast","East","SouthEast","South","SouthWest","West","NorthWest","North")</f>
        <v>North</v>
      </c>
      <c r="AC1097" s="5">
        <f>CHOOSE(MATCH(AB1097,{"South";"SouthEast";"SouthWest";"North";"NorthEast";"East";"West";"NorthWest"},0),1,2,3,4,5,6,7,8)</f>
        <v>4</v>
      </c>
      <c r="AD1097" s="2">
        <f t="shared" si="193"/>
        <v>1</v>
      </c>
      <c r="AE1097">
        <v>1019.7</v>
      </c>
      <c r="AF1097" s="4" t="s">
        <v>1803</v>
      </c>
      <c r="AG1097" s="2">
        <f t="shared" si="194"/>
        <v>0</v>
      </c>
      <c r="AH1097" t="s">
        <v>1804</v>
      </c>
      <c r="AI1097" s="2">
        <f t="shared" si="195"/>
        <v>10</v>
      </c>
      <c r="AJ1097" s="2">
        <f t="shared" si="196"/>
        <v>0</v>
      </c>
      <c r="AK1097" s="3">
        <v>127.0000000053551</v>
      </c>
      <c r="AM1097" s="2">
        <v>0</v>
      </c>
      <c r="AN1097">
        <v>0</v>
      </c>
      <c r="AO1097">
        <v>1.5</v>
      </c>
      <c r="AP1097">
        <v>0</v>
      </c>
      <c r="AQ1097" s="2">
        <f>IF((2*G1097 + M1097 -P1097 + 3*W1097 + 2*Z1097+2*AD1097 + AG1097+2*AJ1097 + 4*AM1097) &gt;=8,1,0)</f>
        <v>0</v>
      </c>
    </row>
    <row r="1098" spans="1:43" x14ac:dyDescent="0.25">
      <c r="A1098" t="s">
        <v>27</v>
      </c>
      <c r="B1098" s="1">
        <v>40823</v>
      </c>
      <c r="C1098" s="7">
        <f t="shared" si="188"/>
        <v>2011</v>
      </c>
      <c r="D1098">
        <v>79</v>
      </c>
      <c r="E1098">
        <v>54.5</v>
      </c>
      <c r="F1098">
        <v>67.900000000000006</v>
      </c>
      <c r="G1098" s="2">
        <f t="shared" si="197"/>
        <v>0</v>
      </c>
      <c r="H1098">
        <v>79</v>
      </c>
      <c r="I1098">
        <v>54.5</v>
      </c>
      <c r="J1098">
        <v>67.900000000000006</v>
      </c>
      <c r="K1098">
        <v>52.8</v>
      </c>
      <c r="L1098">
        <v>59.8</v>
      </c>
      <c r="M1098" s="2">
        <f t="shared" si="189"/>
        <v>0</v>
      </c>
      <c r="N1098">
        <v>0</v>
      </c>
      <c r="P1098" s="2">
        <f t="shared" si="190"/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s="2">
        <f t="shared" si="191"/>
        <v>0</v>
      </c>
      <c r="X1098">
        <v>15.3</v>
      </c>
      <c r="Z1098" s="2">
        <f t="shared" si="192"/>
        <v>0</v>
      </c>
      <c r="AA1098">
        <v>216.9</v>
      </c>
      <c r="AB1098" s="2" t="str">
        <f>CHOOSE(MATCH(AA1098,{0;11;80;111;161;191;241;281;341},1),"North","NorthEast","East","SouthEast","South","SouthWest","West","NorthWest","North")</f>
        <v>SouthWest</v>
      </c>
      <c r="AC1098" s="5">
        <f>CHOOSE(MATCH(AB1098,{"South";"SouthEast";"SouthWest";"North";"NorthEast";"East";"West";"NorthWest"},0),1,2,3,4,5,6,7,8)</f>
        <v>3</v>
      </c>
      <c r="AD1098" s="2">
        <f t="shared" si="193"/>
        <v>1</v>
      </c>
      <c r="AE1098">
        <v>1014.3</v>
      </c>
      <c r="AF1098" s="4" t="s">
        <v>1687</v>
      </c>
      <c r="AG1098" s="2">
        <f t="shared" si="194"/>
        <v>0</v>
      </c>
      <c r="AH1098" t="s">
        <v>1805</v>
      </c>
      <c r="AI1098" s="2">
        <f t="shared" si="195"/>
        <v>10</v>
      </c>
      <c r="AJ1098" s="2">
        <f t="shared" si="196"/>
        <v>0</v>
      </c>
      <c r="AK1098" s="3">
        <v>36.000000002095483</v>
      </c>
      <c r="AM1098" s="2">
        <v>0</v>
      </c>
      <c r="AN1098">
        <v>0.5</v>
      </c>
      <c r="AO1098">
        <v>0</v>
      </c>
      <c r="AP1098">
        <v>0</v>
      </c>
      <c r="AQ1098" s="2">
        <f>IF((2*G1098 + M1098 -P1098 + 3*W1098 + 2*Z1098+2*AD1098 + AG1098+2*AJ1098 + 4*AM1098) &gt;=8,1,0)</f>
        <v>0</v>
      </c>
    </row>
    <row r="1099" spans="1:43" x14ac:dyDescent="0.25">
      <c r="A1099" t="s">
        <v>27</v>
      </c>
      <c r="B1099" s="1">
        <v>40824</v>
      </c>
      <c r="C1099" s="7">
        <f t="shared" ref="C1099:C1151" si="198">YEAR(B1099)</f>
        <v>2011</v>
      </c>
      <c r="D1099">
        <v>80.599999999999994</v>
      </c>
      <c r="E1099">
        <v>62.7</v>
      </c>
      <c r="F1099">
        <v>71.5</v>
      </c>
      <c r="G1099" s="2">
        <f t="shared" si="197"/>
        <v>0</v>
      </c>
      <c r="H1099">
        <v>80.2</v>
      </c>
      <c r="I1099">
        <v>62.7</v>
      </c>
      <c r="J1099">
        <v>71.5</v>
      </c>
      <c r="K1099">
        <v>58.1</v>
      </c>
      <c r="L1099">
        <v>63.8</v>
      </c>
      <c r="M1099" s="2">
        <f t="shared" ref="M1099:M1151" si="199">IF(L1099&lt;=49.3,1,0)</f>
        <v>0</v>
      </c>
      <c r="N1099">
        <v>0</v>
      </c>
      <c r="P1099" s="2">
        <f t="shared" ref="P1099:P1151" si="200">IF(N1099&lt;=0.01,1,0)</f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s="2">
        <f t="shared" ref="W1099:W1151" si="201">IF(V1099&lt;=10,0,1)</f>
        <v>0</v>
      </c>
      <c r="X1099">
        <v>20.7</v>
      </c>
      <c r="Z1099" s="2">
        <f t="shared" ref="Z1099:Z1151" si="202">IF(X1099&gt;=16,1,0)</f>
        <v>1</v>
      </c>
      <c r="AA1099">
        <v>190.4</v>
      </c>
      <c r="AB1099" s="2" t="str">
        <f>CHOOSE(MATCH(AA1099,{0;11;80;111;161;191;241;281;341},1),"North","NorthEast","East","SouthEast","South","SouthWest","West","NorthWest","North")</f>
        <v>South</v>
      </c>
      <c r="AC1099" s="5">
        <f>CHOOSE(MATCH(AB1099,{"South";"SouthEast";"SouthWest";"North";"NorthEast";"East";"West";"NorthWest"},0),1,2,3,4,5,6,7,8)</f>
        <v>1</v>
      </c>
      <c r="AD1099" s="2">
        <f t="shared" ref="AD1099:AD1151" si="203">IF(OR(AC1099=3,AC1099=4,AC1099=5,AC1099=8),1,0)</f>
        <v>0</v>
      </c>
      <c r="AE1099">
        <v>1008.8</v>
      </c>
      <c r="AF1099" s="4" t="s">
        <v>1806</v>
      </c>
      <c r="AG1099" s="2">
        <f t="shared" ref="AG1099:AG1151" si="204">IF(TIMEVALUE(AF1099)&lt;=TIME(12,30,0),0,1)</f>
        <v>1</v>
      </c>
      <c r="AH1099" t="s">
        <v>1807</v>
      </c>
      <c r="AI1099" s="2">
        <f t="shared" ref="AI1099:AI1151" si="205">MONTH(AH1099)</f>
        <v>10</v>
      </c>
      <c r="AJ1099" s="2">
        <f t="shared" ref="AJ1099:AJ1151" si="206">IF(OR(AI1099=6,AI1099=7,AI1099=8),1,0)</f>
        <v>0</v>
      </c>
      <c r="AK1099" s="3">
        <v>564.99999999767169</v>
      </c>
      <c r="AM1099" s="2">
        <v>1</v>
      </c>
      <c r="AN1099">
        <v>0</v>
      </c>
      <c r="AO1099">
        <v>4</v>
      </c>
      <c r="AP1099">
        <v>0</v>
      </c>
      <c r="AQ1099" s="2">
        <f>IF((2*G1099 + M1099 -P1099 + 3*W1099 + 2*Z1099+2*AD1099 + AG1099+2*AJ1099 + 4*AM1099) &gt;=8,1,0)</f>
        <v>0</v>
      </c>
    </row>
    <row r="1100" spans="1:43" x14ac:dyDescent="0.25">
      <c r="A1100" t="s">
        <v>27</v>
      </c>
      <c r="B1100" s="1">
        <v>40825</v>
      </c>
      <c r="C1100" s="7">
        <f t="shared" si="198"/>
        <v>2011</v>
      </c>
      <c r="D1100">
        <v>76.2</v>
      </c>
      <c r="E1100">
        <v>62.4</v>
      </c>
      <c r="F1100">
        <v>69.3</v>
      </c>
      <c r="G1100" s="2">
        <f t="shared" si="197"/>
        <v>0</v>
      </c>
      <c r="H1100">
        <v>76.2</v>
      </c>
      <c r="I1100">
        <v>62.4</v>
      </c>
      <c r="J1100">
        <v>69.3</v>
      </c>
      <c r="K1100">
        <v>57.7</v>
      </c>
      <c r="L1100">
        <v>67.8</v>
      </c>
      <c r="M1100" s="2">
        <f t="shared" si="199"/>
        <v>0</v>
      </c>
      <c r="N1100">
        <v>6.9000000000000006E-2</v>
      </c>
      <c r="P1100" s="2">
        <f t="shared" si="200"/>
        <v>0</v>
      </c>
      <c r="Q1100">
        <v>100</v>
      </c>
      <c r="R1100">
        <v>8.33</v>
      </c>
      <c r="S1100" t="s">
        <v>87</v>
      </c>
      <c r="T1100">
        <v>0</v>
      </c>
      <c r="U1100">
        <v>0</v>
      </c>
      <c r="V1100">
        <v>0</v>
      </c>
      <c r="W1100" s="2">
        <f t="shared" si="201"/>
        <v>0</v>
      </c>
      <c r="X1100">
        <v>18</v>
      </c>
      <c r="Z1100" s="2">
        <f t="shared" si="202"/>
        <v>1</v>
      </c>
      <c r="AA1100">
        <v>201.4</v>
      </c>
      <c r="AB1100" s="2" t="str">
        <f>CHOOSE(MATCH(AA1100,{0;11;80;111;161;191;241;281;341},1),"North","NorthEast","East","SouthEast","South","SouthWest","West","NorthWest","North")</f>
        <v>SouthWest</v>
      </c>
      <c r="AC1100" s="5">
        <f>CHOOSE(MATCH(AB1100,{"South";"SouthEast";"SouthWest";"North";"NorthEast";"East";"West";"NorthWest"},0),1,2,3,4,5,6,7,8)</f>
        <v>3</v>
      </c>
      <c r="AD1100" s="2">
        <f t="shared" si="203"/>
        <v>1</v>
      </c>
      <c r="AE1100">
        <v>1002.9</v>
      </c>
      <c r="AF1100" s="4" t="s">
        <v>1808</v>
      </c>
      <c r="AG1100" s="2">
        <f t="shared" si="204"/>
        <v>0</v>
      </c>
      <c r="AH1100" t="s">
        <v>1809</v>
      </c>
      <c r="AI1100" s="2">
        <f t="shared" si="205"/>
        <v>10</v>
      </c>
      <c r="AJ1100" s="2">
        <f t="shared" si="206"/>
        <v>0</v>
      </c>
      <c r="AK1100" s="3">
        <v>106.99999999254941</v>
      </c>
      <c r="AM1100" s="2">
        <v>0</v>
      </c>
      <c r="AN1100">
        <v>0</v>
      </c>
      <c r="AO1100">
        <v>0.2</v>
      </c>
      <c r="AP1100">
        <v>0</v>
      </c>
      <c r="AQ1100" s="2">
        <f>IF((2*G1100 + M1100 -P1100 + 3*W1100 + 2*Z1100+2*AD1100 + AG1100+2*AJ1100 + 4*AM1100) &gt;=8,1,0)</f>
        <v>0</v>
      </c>
    </row>
    <row r="1101" spans="1:43" x14ac:dyDescent="0.25">
      <c r="A1101" t="s">
        <v>27</v>
      </c>
      <c r="B1101" s="1">
        <v>40835</v>
      </c>
      <c r="C1101" s="7">
        <f t="shared" si="198"/>
        <v>2011</v>
      </c>
      <c r="D1101">
        <v>68</v>
      </c>
      <c r="E1101">
        <v>42.6</v>
      </c>
      <c r="F1101">
        <v>54.6</v>
      </c>
      <c r="G1101" s="2">
        <f t="shared" si="197"/>
        <v>0</v>
      </c>
      <c r="H1101">
        <v>68</v>
      </c>
      <c r="I1101">
        <v>41.5</v>
      </c>
      <c r="J1101">
        <v>54.3</v>
      </c>
      <c r="K1101">
        <v>41.2</v>
      </c>
      <c r="L1101">
        <v>63</v>
      </c>
      <c r="M1101" s="2">
        <f t="shared" si="199"/>
        <v>0</v>
      </c>
      <c r="N1101">
        <v>0</v>
      </c>
      <c r="P1101" s="2">
        <f t="shared" si="200"/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s="2">
        <f t="shared" si="201"/>
        <v>0</v>
      </c>
      <c r="X1101">
        <v>10.6</v>
      </c>
      <c r="Z1101" s="2">
        <f t="shared" si="202"/>
        <v>0</v>
      </c>
      <c r="AA1101">
        <v>248.6</v>
      </c>
      <c r="AB1101" s="2" t="str">
        <f>CHOOSE(MATCH(AA1101,{0;11;80;111;161;191;241;281;341},1),"North","NorthEast","East","SouthEast","South","SouthWest","West","NorthWest","North")</f>
        <v>West</v>
      </c>
      <c r="AC1101" s="5">
        <f>CHOOSE(MATCH(AB1101,{"South";"SouthEast";"SouthWest";"North";"NorthEast";"East";"West";"NorthWest"},0),1,2,3,4,5,6,7,8)</f>
        <v>7</v>
      </c>
      <c r="AD1101" s="2">
        <f t="shared" si="203"/>
        <v>0</v>
      </c>
      <c r="AE1101">
        <v>1024.5999999999999</v>
      </c>
      <c r="AF1101" s="4" t="s">
        <v>1810</v>
      </c>
      <c r="AG1101" s="2">
        <f t="shared" si="204"/>
        <v>0</v>
      </c>
      <c r="AH1101" t="s">
        <v>1811</v>
      </c>
      <c r="AI1101" s="2">
        <f t="shared" si="205"/>
        <v>10</v>
      </c>
      <c r="AJ1101" s="2">
        <f t="shared" si="206"/>
        <v>0</v>
      </c>
      <c r="AK1101" s="3">
        <v>571.99999999953434</v>
      </c>
      <c r="AM1101" s="2">
        <v>1</v>
      </c>
      <c r="AN1101">
        <v>0</v>
      </c>
      <c r="AO1101">
        <v>0.2</v>
      </c>
      <c r="AP1101">
        <v>0</v>
      </c>
      <c r="AQ1101" s="2">
        <f>IF((2*G1101 + M1101 -P1101 + 3*W1101 + 2*Z1101+2*AD1101 + AG1101+2*AJ1101 + 4*AM1101) &gt;=8,1,0)</f>
        <v>0</v>
      </c>
    </row>
    <row r="1102" spans="1:43" x14ac:dyDescent="0.25">
      <c r="A1102" t="s">
        <v>27</v>
      </c>
      <c r="B1102" s="1">
        <v>40866</v>
      </c>
      <c r="C1102" s="7">
        <f t="shared" si="198"/>
        <v>2011</v>
      </c>
      <c r="D1102">
        <v>59.3</v>
      </c>
      <c r="E1102">
        <v>42.2</v>
      </c>
      <c r="F1102">
        <v>49.2</v>
      </c>
      <c r="G1102" s="2">
        <f t="shared" si="197"/>
        <v>0</v>
      </c>
      <c r="H1102">
        <v>59.3</v>
      </c>
      <c r="I1102">
        <v>38.200000000000003</v>
      </c>
      <c r="J1102">
        <v>47.7</v>
      </c>
      <c r="K1102">
        <v>37.200000000000003</v>
      </c>
      <c r="L1102">
        <v>63.9</v>
      </c>
      <c r="M1102" s="2">
        <f t="shared" si="199"/>
        <v>0</v>
      </c>
      <c r="N1102">
        <v>0</v>
      </c>
      <c r="P1102" s="2">
        <f t="shared" si="200"/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s="2">
        <f t="shared" si="201"/>
        <v>0</v>
      </c>
      <c r="X1102">
        <v>11.5</v>
      </c>
      <c r="Z1102" s="2">
        <f t="shared" si="202"/>
        <v>0</v>
      </c>
      <c r="AA1102">
        <v>338.7</v>
      </c>
      <c r="AB1102" s="2" t="str">
        <f>CHOOSE(MATCH(AA1102,{0;11;80;111;161;191;241;281;341},1),"North","NorthEast","East","SouthEast","South","SouthWest","West","NorthWest","North")</f>
        <v>NorthWest</v>
      </c>
      <c r="AC1102" s="5">
        <f>CHOOSE(MATCH(AB1102,{"South";"SouthEast";"SouthWest";"North";"NorthEast";"East";"West";"NorthWest"},0),1,2,3,4,5,6,7,8)</f>
        <v>8</v>
      </c>
      <c r="AD1102" s="2">
        <f t="shared" si="203"/>
        <v>1</v>
      </c>
      <c r="AE1102">
        <v>1022.9</v>
      </c>
      <c r="AF1102" s="4" t="s">
        <v>1139</v>
      </c>
      <c r="AG1102" s="2">
        <f t="shared" si="204"/>
        <v>0</v>
      </c>
      <c r="AH1102" t="s">
        <v>1813</v>
      </c>
      <c r="AI1102" s="2">
        <f t="shared" si="205"/>
        <v>11</v>
      </c>
      <c r="AJ1102" s="2">
        <f t="shared" si="206"/>
        <v>0</v>
      </c>
      <c r="AK1102" s="3">
        <v>120.9999999962747</v>
      </c>
      <c r="AM1102" s="2">
        <v>0</v>
      </c>
      <c r="AN1102">
        <v>0</v>
      </c>
      <c r="AO1102">
        <v>1</v>
      </c>
      <c r="AP1102">
        <v>0</v>
      </c>
      <c r="AQ1102" s="2">
        <f>IF((2*G1102 + M1102 -P1102 + 3*W1102 + 2*Z1102+2*AD1102 + AG1102+2*AJ1102 + 4*AM1102) &gt;=8,1,0)</f>
        <v>0</v>
      </c>
    </row>
    <row r="1103" spans="1:43" x14ac:dyDescent="0.25">
      <c r="A1103" t="s">
        <v>27</v>
      </c>
      <c r="B1103" s="1">
        <v>40870</v>
      </c>
      <c r="C1103" s="7">
        <f t="shared" si="198"/>
        <v>2011</v>
      </c>
      <c r="D1103">
        <v>60.9</v>
      </c>
      <c r="E1103">
        <v>44.3</v>
      </c>
      <c r="F1103">
        <v>52.7</v>
      </c>
      <c r="G1103" s="2">
        <f t="shared" si="197"/>
        <v>0</v>
      </c>
      <c r="H1103">
        <v>60.9</v>
      </c>
      <c r="I1103">
        <v>41.6</v>
      </c>
      <c r="J1103">
        <v>52.5</v>
      </c>
      <c r="K1103">
        <v>42.8</v>
      </c>
      <c r="L1103">
        <v>69.900000000000006</v>
      </c>
      <c r="M1103" s="2">
        <f t="shared" si="199"/>
        <v>0</v>
      </c>
      <c r="N1103">
        <v>8.0000000000000002E-3</v>
      </c>
      <c r="P1103" s="2">
        <f t="shared" si="200"/>
        <v>1</v>
      </c>
      <c r="Q1103">
        <v>100</v>
      </c>
      <c r="R1103">
        <v>4.17</v>
      </c>
      <c r="S1103" t="s">
        <v>87</v>
      </c>
      <c r="T1103">
        <v>0</v>
      </c>
      <c r="U1103">
        <v>0</v>
      </c>
      <c r="V1103">
        <v>0</v>
      </c>
      <c r="W1103" s="2">
        <f t="shared" si="201"/>
        <v>0</v>
      </c>
      <c r="X1103">
        <v>11.2</v>
      </c>
      <c r="Z1103" s="2">
        <f t="shared" si="202"/>
        <v>0</v>
      </c>
      <c r="AA1103">
        <v>15</v>
      </c>
      <c r="AB1103" s="2" t="str">
        <f>CHOOSE(MATCH(AA1103,{0;11;80;111;161;191;241;281;341},1),"North","NorthEast","East","SouthEast","South","SouthWest","West","NorthWest","North")</f>
        <v>NorthEast</v>
      </c>
      <c r="AC1103" s="5">
        <f>CHOOSE(MATCH(AB1103,{"South";"SouthEast";"SouthWest";"North";"NorthEast";"East";"West";"NorthWest"},0),1,2,3,4,5,6,7,8)</f>
        <v>5</v>
      </c>
      <c r="AD1103" s="2">
        <f t="shared" si="203"/>
        <v>1</v>
      </c>
      <c r="AE1103">
        <v>1025</v>
      </c>
      <c r="AF1103" s="4" t="s">
        <v>1814</v>
      </c>
      <c r="AG1103" s="2">
        <f t="shared" si="204"/>
        <v>0</v>
      </c>
      <c r="AH1103" t="s">
        <v>1815</v>
      </c>
      <c r="AI1103" s="2">
        <f t="shared" si="205"/>
        <v>11</v>
      </c>
      <c r="AJ1103" s="2">
        <f t="shared" si="206"/>
        <v>0</v>
      </c>
      <c r="AK1103" s="3">
        <v>140.99999999860299</v>
      </c>
      <c r="AM1103" s="2">
        <v>0</v>
      </c>
      <c r="AN1103">
        <v>0</v>
      </c>
      <c r="AO1103">
        <v>1</v>
      </c>
      <c r="AP1103">
        <v>0</v>
      </c>
      <c r="AQ1103" s="2">
        <f>IF((2*G1103 + M1103 -P1103 + 3*W1103 + 2*Z1103+2*AD1103 + AG1103+2*AJ1103 + 4*AM1103) &gt;=8,1,0)</f>
        <v>0</v>
      </c>
    </row>
    <row r="1104" spans="1:43" x14ac:dyDescent="0.25">
      <c r="A1104" t="s">
        <v>27</v>
      </c>
      <c r="B1104" s="1">
        <v>40882</v>
      </c>
      <c r="C1104" s="7">
        <f t="shared" si="198"/>
        <v>2011</v>
      </c>
      <c r="D1104">
        <v>66.5</v>
      </c>
      <c r="E1104">
        <v>45.2</v>
      </c>
      <c r="F1104">
        <v>55.6</v>
      </c>
      <c r="G1104" s="2">
        <f t="shared" si="197"/>
        <v>0</v>
      </c>
      <c r="H1104">
        <v>66.5</v>
      </c>
      <c r="I1104">
        <v>45.2</v>
      </c>
      <c r="J1104">
        <v>55.5</v>
      </c>
      <c r="K1104">
        <v>46.6</v>
      </c>
      <c r="L1104">
        <v>73.3</v>
      </c>
      <c r="M1104" s="2">
        <f t="shared" si="199"/>
        <v>0</v>
      </c>
      <c r="N1104">
        <v>0</v>
      </c>
      <c r="P1104" s="2">
        <f t="shared" si="200"/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s="2">
        <f t="shared" si="201"/>
        <v>0</v>
      </c>
      <c r="X1104">
        <v>9.6999999999999993</v>
      </c>
      <c r="Z1104" s="2">
        <f t="shared" si="202"/>
        <v>0</v>
      </c>
      <c r="AA1104">
        <v>255</v>
      </c>
      <c r="AB1104" s="2" t="str">
        <f>CHOOSE(MATCH(AA1104,{0;11;80;111;161;191;241;281;341},1),"North","NorthEast","East","SouthEast","South","SouthWest","West","NorthWest","North")</f>
        <v>West</v>
      </c>
      <c r="AC1104" s="5">
        <f>CHOOSE(MATCH(AB1104,{"South";"SouthEast";"SouthWest";"North";"NorthEast";"East";"West";"NorthWest"},0),1,2,3,4,5,6,7,8)</f>
        <v>7</v>
      </c>
      <c r="AD1104" s="2">
        <f t="shared" si="203"/>
        <v>0</v>
      </c>
      <c r="AE1104">
        <v>1019.6</v>
      </c>
      <c r="AF1104" s="4" t="s">
        <v>1227</v>
      </c>
      <c r="AG1104" s="2">
        <f t="shared" si="204"/>
        <v>1</v>
      </c>
      <c r="AH1104" t="s">
        <v>1816</v>
      </c>
      <c r="AI1104" s="2">
        <f t="shared" si="205"/>
        <v>12</v>
      </c>
      <c r="AJ1104" s="2">
        <f t="shared" si="206"/>
        <v>0</v>
      </c>
      <c r="AK1104" s="3">
        <v>110.00000000232831</v>
      </c>
      <c r="AM1104" s="2">
        <v>0</v>
      </c>
      <c r="AN1104">
        <v>0</v>
      </c>
      <c r="AO1104">
        <v>1.5</v>
      </c>
      <c r="AP1104">
        <v>0</v>
      </c>
      <c r="AQ1104" s="2">
        <f>IF((2*G1104 + M1104 -P1104 + 3*W1104 + 2*Z1104+2*AD1104 + AG1104+2*AJ1104 + 4*AM1104) &gt;=8,1,0)</f>
        <v>0</v>
      </c>
    </row>
    <row r="1105" spans="1:43" x14ac:dyDescent="0.25">
      <c r="A1105" t="s">
        <v>27</v>
      </c>
      <c r="B1105" s="1">
        <v>40884</v>
      </c>
      <c r="C1105" s="7">
        <f t="shared" si="198"/>
        <v>2011</v>
      </c>
      <c r="D1105">
        <v>64.2</v>
      </c>
      <c r="E1105">
        <v>51.4</v>
      </c>
      <c r="F1105">
        <v>56.3</v>
      </c>
      <c r="G1105" s="2">
        <f t="shared" si="197"/>
        <v>0</v>
      </c>
      <c r="H1105">
        <v>64.2</v>
      </c>
      <c r="I1105">
        <v>51.4</v>
      </c>
      <c r="J1105">
        <v>56.3</v>
      </c>
      <c r="K1105">
        <v>47.1</v>
      </c>
      <c r="L1105">
        <v>71.7</v>
      </c>
      <c r="M1105" s="2">
        <f t="shared" si="199"/>
        <v>0</v>
      </c>
      <c r="N1105">
        <v>0.06</v>
      </c>
      <c r="P1105" s="2">
        <f t="shared" si="200"/>
        <v>0</v>
      </c>
      <c r="Q1105">
        <v>100</v>
      </c>
      <c r="R1105">
        <v>4.17</v>
      </c>
      <c r="S1105" t="s">
        <v>87</v>
      </c>
      <c r="T1105">
        <v>0</v>
      </c>
      <c r="U1105">
        <v>0</v>
      </c>
      <c r="V1105">
        <v>0</v>
      </c>
      <c r="W1105" s="2">
        <f t="shared" si="201"/>
        <v>0</v>
      </c>
      <c r="X1105">
        <v>13.4</v>
      </c>
      <c r="Z1105" s="2">
        <f t="shared" si="202"/>
        <v>0</v>
      </c>
      <c r="AA1105">
        <v>300.10000000000002</v>
      </c>
      <c r="AB1105" s="2" t="str">
        <f>CHOOSE(MATCH(AA1105,{0;11;80;111;161;191;241;281;341},1),"North","NorthEast","East","SouthEast","South","SouthWest","West","NorthWest","North")</f>
        <v>NorthWest</v>
      </c>
      <c r="AC1105" s="5">
        <f>CHOOSE(MATCH(AB1105,{"South";"SouthEast";"SouthWest";"North";"NorthEast";"East";"West";"NorthWest"},0),1,2,3,4,5,6,7,8)</f>
        <v>8</v>
      </c>
      <c r="AD1105" s="2">
        <f t="shared" si="203"/>
        <v>1</v>
      </c>
      <c r="AE1105">
        <v>1013.3</v>
      </c>
      <c r="AF1105" s="4" t="s">
        <v>1817</v>
      </c>
      <c r="AG1105" s="2">
        <f t="shared" si="204"/>
        <v>1</v>
      </c>
      <c r="AH1105" t="s">
        <v>1818</v>
      </c>
      <c r="AI1105" s="2">
        <f t="shared" si="205"/>
        <v>12</v>
      </c>
      <c r="AJ1105" s="2">
        <f t="shared" si="206"/>
        <v>0</v>
      </c>
      <c r="AK1105" s="3">
        <v>65.000000002328306</v>
      </c>
      <c r="AM1105" s="2">
        <v>0</v>
      </c>
      <c r="AN1105">
        <v>1</v>
      </c>
      <c r="AO1105">
        <v>0</v>
      </c>
      <c r="AP1105">
        <v>0</v>
      </c>
      <c r="AQ1105" s="2">
        <f>IF((2*G1105 + M1105 -P1105 + 3*W1105 + 2*Z1105+2*AD1105 + AG1105+2*AJ1105 + 4*AM1105) &gt;=8,1,0)</f>
        <v>0</v>
      </c>
    </row>
    <row r="1106" spans="1:43" x14ac:dyDescent="0.25">
      <c r="A1106" t="s">
        <v>27</v>
      </c>
      <c r="B1106" s="1">
        <v>40888</v>
      </c>
      <c r="C1106" s="7">
        <f t="shared" si="198"/>
        <v>2011</v>
      </c>
      <c r="D1106">
        <v>67.099999999999994</v>
      </c>
      <c r="E1106">
        <v>43.1</v>
      </c>
      <c r="F1106">
        <v>54.4</v>
      </c>
      <c r="G1106" s="2">
        <f t="shared" si="197"/>
        <v>0</v>
      </c>
      <c r="H1106">
        <v>67.099999999999994</v>
      </c>
      <c r="I1106">
        <v>40.4</v>
      </c>
      <c r="J1106">
        <v>53.9</v>
      </c>
      <c r="K1106">
        <v>45.7</v>
      </c>
      <c r="L1106">
        <v>73.7</v>
      </c>
      <c r="M1106" s="2">
        <f t="shared" si="199"/>
        <v>0</v>
      </c>
      <c r="N1106">
        <v>0</v>
      </c>
      <c r="P1106" s="2">
        <f t="shared" si="200"/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s="2">
        <f t="shared" si="201"/>
        <v>0</v>
      </c>
      <c r="X1106">
        <v>8.1999999999999993</v>
      </c>
      <c r="Z1106" s="2">
        <f t="shared" si="202"/>
        <v>0</v>
      </c>
      <c r="AA1106">
        <v>274.60000000000002</v>
      </c>
      <c r="AB1106" s="2" t="str">
        <f>CHOOSE(MATCH(AA1106,{0;11;80;111;161;191;241;281;341},1),"North","NorthEast","East","SouthEast","South","SouthWest","West","NorthWest","North")</f>
        <v>West</v>
      </c>
      <c r="AC1106" s="5">
        <f>CHOOSE(MATCH(AB1106,{"South";"SouthEast";"SouthWest";"North";"NorthEast";"East";"West";"NorthWest"},0),1,2,3,4,5,6,7,8)</f>
        <v>7</v>
      </c>
      <c r="AD1106" s="2">
        <f t="shared" si="203"/>
        <v>0</v>
      </c>
      <c r="AE1106">
        <v>1024.4000000000001</v>
      </c>
      <c r="AF1106" s="4" t="s">
        <v>1819</v>
      </c>
      <c r="AG1106" s="2">
        <f t="shared" si="204"/>
        <v>1</v>
      </c>
      <c r="AH1106" t="s">
        <v>1820</v>
      </c>
      <c r="AI1106" s="2">
        <f t="shared" si="205"/>
        <v>12</v>
      </c>
      <c r="AJ1106" s="2">
        <f t="shared" si="206"/>
        <v>0</v>
      </c>
      <c r="AK1106" s="3">
        <v>85.000000004656613</v>
      </c>
      <c r="AM1106" s="2">
        <v>0</v>
      </c>
      <c r="AN1106">
        <v>0.1</v>
      </c>
      <c r="AO1106">
        <v>0</v>
      </c>
      <c r="AP1106">
        <v>0</v>
      </c>
      <c r="AQ1106" s="2">
        <f>IF((2*G1106 + M1106 -P1106 + 3*W1106 + 2*Z1106+2*AD1106 + AG1106+2*AJ1106 + 4*AM1106) &gt;=8,1,0)</f>
        <v>0</v>
      </c>
    </row>
    <row r="1107" spans="1:43" x14ac:dyDescent="0.25">
      <c r="A1107" t="s">
        <v>27</v>
      </c>
      <c r="B1107" s="1">
        <v>40892</v>
      </c>
      <c r="C1107" s="7">
        <f t="shared" si="198"/>
        <v>2011</v>
      </c>
      <c r="D1107">
        <v>65.900000000000006</v>
      </c>
      <c r="E1107">
        <v>41.6</v>
      </c>
      <c r="F1107">
        <v>52.9</v>
      </c>
      <c r="G1107" s="2">
        <f t="shared" si="197"/>
        <v>0</v>
      </c>
      <c r="H1107">
        <v>65.900000000000006</v>
      </c>
      <c r="I1107">
        <v>41.6</v>
      </c>
      <c r="J1107">
        <v>52.7</v>
      </c>
      <c r="K1107">
        <v>43.5</v>
      </c>
      <c r="L1107">
        <v>72.8</v>
      </c>
      <c r="M1107" s="2">
        <f t="shared" si="199"/>
        <v>0</v>
      </c>
      <c r="N1107">
        <v>0</v>
      </c>
      <c r="P1107" s="2">
        <f t="shared" si="200"/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s="2">
        <f t="shared" si="201"/>
        <v>0</v>
      </c>
      <c r="X1107">
        <v>8.1</v>
      </c>
      <c r="Z1107" s="2">
        <f t="shared" si="202"/>
        <v>0</v>
      </c>
      <c r="AA1107">
        <v>272</v>
      </c>
      <c r="AB1107" s="2" t="str">
        <f>CHOOSE(MATCH(AA1107,{0;11;80;111;161;191;241;281;341},1),"North","NorthEast","East","SouthEast","South","SouthWest","West","NorthWest","North")</f>
        <v>West</v>
      </c>
      <c r="AC1107" s="5">
        <f>CHOOSE(MATCH(AB1107,{"South";"SouthEast";"SouthWest";"North";"NorthEast";"East";"West";"NorthWest"},0),1,2,3,4,5,6,7,8)</f>
        <v>7</v>
      </c>
      <c r="AD1107" s="2">
        <f t="shared" si="203"/>
        <v>0</v>
      </c>
      <c r="AE1107">
        <v>1021.2</v>
      </c>
      <c r="AF1107" s="4" t="s">
        <v>1224</v>
      </c>
      <c r="AG1107" s="2">
        <f t="shared" si="204"/>
        <v>1</v>
      </c>
      <c r="AH1107" t="s">
        <v>1822</v>
      </c>
      <c r="AI1107" s="2">
        <f t="shared" si="205"/>
        <v>12</v>
      </c>
      <c r="AJ1107" s="2">
        <f t="shared" si="206"/>
        <v>0</v>
      </c>
      <c r="AK1107" s="3">
        <v>34.999999998835847</v>
      </c>
      <c r="AM1107" s="2">
        <v>0</v>
      </c>
      <c r="AN1107">
        <v>0.2</v>
      </c>
      <c r="AO1107">
        <v>0</v>
      </c>
      <c r="AP1107">
        <v>0</v>
      </c>
      <c r="AQ1107" s="2">
        <f>IF((2*G1107 + M1107 -P1107 + 3*W1107 + 2*Z1107+2*AD1107 + AG1107+2*AJ1107 + 4*AM1107) &gt;=8,1,0)</f>
        <v>0</v>
      </c>
    </row>
    <row r="1108" spans="1:43" x14ac:dyDescent="0.25">
      <c r="A1108" t="s">
        <v>27</v>
      </c>
      <c r="B1108" s="1">
        <v>40939</v>
      </c>
      <c r="C1108" s="7">
        <f t="shared" si="198"/>
        <v>2012</v>
      </c>
      <c r="D1108">
        <v>37.200000000000003</v>
      </c>
      <c r="E1108">
        <v>31.1</v>
      </c>
      <c r="F1108">
        <v>33.6</v>
      </c>
      <c r="G1108" s="2">
        <f t="shared" si="197"/>
        <v>0</v>
      </c>
      <c r="H1108">
        <v>28.1</v>
      </c>
      <c r="I1108">
        <v>19.100000000000001</v>
      </c>
      <c r="J1108">
        <v>23.3</v>
      </c>
      <c r="K1108">
        <v>23.3</v>
      </c>
      <c r="L1108">
        <v>65.7</v>
      </c>
      <c r="M1108" s="2">
        <f t="shared" si="199"/>
        <v>0</v>
      </c>
      <c r="N1108">
        <v>0</v>
      </c>
      <c r="O1108">
        <f>AVERAGE(N1108:N1206)</f>
        <v>1.6060606060606061E-3</v>
      </c>
      <c r="P1108" s="2">
        <f t="shared" si="200"/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35.6</v>
      </c>
      <c r="W1108" s="2">
        <f t="shared" si="201"/>
        <v>1</v>
      </c>
      <c r="X1108">
        <v>22.4</v>
      </c>
      <c r="Y1108">
        <f>AVERAGE(X1108:X1206)</f>
        <v>16.741414141414143</v>
      </c>
      <c r="Z1108" s="2">
        <f t="shared" si="202"/>
        <v>1</v>
      </c>
      <c r="AA1108">
        <v>357.7</v>
      </c>
      <c r="AB1108" s="2" t="str">
        <f>CHOOSE(MATCH(AA1108,{0;11;80;111;161;191;241;281;341},1),"North","NorthEast","East","SouthEast","South","SouthWest","West","NorthWest","North")</f>
        <v>North</v>
      </c>
      <c r="AC1108" s="5">
        <f>CHOOSE(MATCH(AB1108,{"South";"SouthEast";"SouthWest";"North";"NorthEast";"East";"West";"NorthWest"},0),1,2,3,4,5,6,7,8)</f>
        <v>4</v>
      </c>
      <c r="AD1108" s="2">
        <f t="shared" si="203"/>
        <v>1</v>
      </c>
      <c r="AE1108">
        <v>1019.9</v>
      </c>
      <c r="AF1108" s="4" t="s">
        <v>1823</v>
      </c>
      <c r="AG1108" s="2">
        <f t="shared" si="204"/>
        <v>1</v>
      </c>
      <c r="AH1108" t="s">
        <v>1824</v>
      </c>
      <c r="AI1108" s="2">
        <f t="shared" si="205"/>
        <v>1</v>
      </c>
      <c r="AJ1108" s="2">
        <f t="shared" si="206"/>
        <v>0</v>
      </c>
      <c r="AK1108" s="3">
        <v>173.00000000861471</v>
      </c>
      <c r="AL1108" s="3">
        <f>AVERAGE(AK1108:AK1206)</f>
        <v>1919.9696969702331</v>
      </c>
      <c r="AM1108" s="2">
        <v>0</v>
      </c>
      <c r="AN1108">
        <v>0</v>
      </c>
      <c r="AO1108">
        <v>1</v>
      </c>
      <c r="AP1108">
        <v>0</v>
      </c>
      <c r="AQ1108" s="2">
        <f>IF((2*G1108 + M1108 -P1108 + 3*W1108 + 2*Z1108+2*AD1108 + AG1108+2*AJ1108 + 4*AM1108) &gt;=8,1,0)</f>
        <v>0</v>
      </c>
    </row>
    <row r="1109" spans="1:43" x14ac:dyDescent="0.25">
      <c r="A1109" t="s">
        <v>27</v>
      </c>
      <c r="B1109" s="1">
        <v>40958</v>
      </c>
      <c r="C1109" s="7">
        <f t="shared" si="198"/>
        <v>2012</v>
      </c>
      <c r="D1109">
        <v>55.4</v>
      </c>
      <c r="E1109">
        <v>35</v>
      </c>
      <c r="F1109">
        <v>45.8</v>
      </c>
      <c r="G1109" s="2">
        <f t="shared" si="197"/>
        <v>0</v>
      </c>
      <c r="H1109">
        <v>55.4</v>
      </c>
      <c r="I1109">
        <v>31</v>
      </c>
      <c r="J1109">
        <v>44.9</v>
      </c>
      <c r="K1109">
        <v>32.1</v>
      </c>
      <c r="L1109">
        <v>60.1</v>
      </c>
      <c r="M1109" s="2">
        <f t="shared" si="199"/>
        <v>0</v>
      </c>
      <c r="N1109">
        <v>0</v>
      </c>
      <c r="P1109" s="2">
        <f t="shared" si="200"/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s="2">
        <f t="shared" si="201"/>
        <v>0</v>
      </c>
      <c r="X1109">
        <v>10.8</v>
      </c>
      <c r="Z1109" s="2">
        <f t="shared" si="202"/>
        <v>0</v>
      </c>
      <c r="AA1109">
        <v>234.5</v>
      </c>
      <c r="AB1109" s="2" t="str">
        <f>CHOOSE(MATCH(AA1109,{0;11;80;111;161;191;241;281;341},1),"North","NorthEast","East","SouthEast","South","SouthWest","West","NorthWest","North")</f>
        <v>SouthWest</v>
      </c>
      <c r="AC1109" s="5">
        <f>CHOOSE(MATCH(AB1109,{"South";"SouthEast";"SouthWest";"North";"NorthEast";"East";"West";"NorthWest"},0),1,2,3,4,5,6,7,8)</f>
        <v>3</v>
      </c>
      <c r="AD1109" s="2">
        <f t="shared" si="203"/>
        <v>1</v>
      </c>
      <c r="AE1109">
        <v>1024.8</v>
      </c>
      <c r="AF1109" s="4" t="s">
        <v>1255</v>
      </c>
      <c r="AG1109" s="2">
        <f t="shared" si="204"/>
        <v>0</v>
      </c>
      <c r="AH1109" t="s">
        <v>1825</v>
      </c>
      <c r="AI1109" s="2">
        <f t="shared" si="205"/>
        <v>2</v>
      </c>
      <c r="AJ1109" s="2">
        <f t="shared" si="206"/>
        <v>0</v>
      </c>
      <c r="AK1109" s="3">
        <v>124.9999999988358</v>
      </c>
      <c r="AM1109" s="2">
        <v>0</v>
      </c>
      <c r="AN1109">
        <v>0</v>
      </c>
      <c r="AO1109">
        <v>1</v>
      </c>
      <c r="AP1109">
        <v>0</v>
      </c>
      <c r="AQ1109" s="2">
        <f>IF((2*G1109 + M1109 -P1109 + 3*W1109 + 2*Z1109+2*AD1109 + AG1109+2*AJ1109 + 4*AM1109) &gt;=8,1,0)</f>
        <v>0</v>
      </c>
    </row>
    <row r="1110" spans="1:43" x14ac:dyDescent="0.25">
      <c r="A1110" t="s">
        <v>27</v>
      </c>
      <c r="B1110" s="1">
        <v>40958</v>
      </c>
      <c r="C1110" s="7">
        <f t="shared" si="198"/>
        <v>2012</v>
      </c>
      <c r="D1110">
        <v>55.4</v>
      </c>
      <c r="E1110">
        <v>35</v>
      </c>
      <c r="F1110">
        <v>45.8</v>
      </c>
      <c r="G1110" s="2">
        <f t="shared" si="197"/>
        <v>0</v>
      </c>
      <c r="H1110">
        <v>55.4</v>
      </c>
      <c r="I1110">
        <v>31</v>
      </c>
      <c r="J1110">
        <v>44.9</v>
      </c>
      <c r="K1110">
        <v>32.1</v>
      </c>
      <c r="L1110">
        <v>60.1</v>
      </c>
      <c r="M1110" s="2">
        <f t="shared" si="199"/>
        <v>0</v>
      </c>
      <c r="N1110">
        <v>0</v>
      </c>
      <c r="P1110" s="2">
        <f t="shared" si="200"/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s="2">
        <f t="shared" si="201"/>
        <v>0</v>
      </c>
      <c r="X1110">
        <v>10.8</v>
      </c>
      <c r="Z1110" s="2">
        <f t="shared" si="202"/>
        <v>0</v>
      </c>
      <c r="AA1110">
        <v>234.5</v>
      </c>
      <c r="AB1110" s="2" t="str">
        <f>CHOOSE(MATCH(AA1110,{0;11;80;111;161;191;241;281;341},1),"North","NorthEast","East","SouthEast","South","SouthWest","West","NorthWest","North")</f>
        <v>SouthWest</v>
      </c>
      <c r="AC1110" s="5">
        <f>CHOOSE(MATCH(AB1110,{"South";"SouthEast";"SouthWest";"North";"NorthEast";"East";"West";"NorthWest"},0),1,2,3,4,5,6,7,8)</f>
        <v>3</v>
      </c>
      <c r="AD1110" s="2">
        <f t="shared" si="203"/>
        <v>1</v>
      </c>
      <c r="AE1110">
        <v>1024.8</v>
      </c>
      <c r="AF1110" s="4" t="s">
        <v>1034</v>
      </c>
      <c r="AG1110" s="2">
        <f t="shared" si="204"/>
        <v>1</v>
      </c>
      <c r="AH1110" t="s">
        <v>1826</v>
      </c>
      <c r="AI1110" s="2">
        <f t="shared" si="205"/>
        <v>2</v>
      </c>
      <c r="AJ1110" s="2">
        <f t="shared" si="206"/>
        <v>0</v>
      </c>
      <c r="AK1110" s="3">
        <v>254.99999999301511</v>
      </c>
      <c r="AM1110" s="2">
        <v>0</v>
      </c>
      <c r="AN1110">
        <v>0</v>
      </c>
      <c r="AO1110">
        <v>0.2</v>
      </c>
      <c r="AP1110">
        <v>0</v>
      </c>
      <c r="AQ1110" s="2">
        <f>IF((2*G1110 + M1110 -P1110 + 3*W1110 + 2*Z1110+2*AD1110 + AG1110+2*AJ1110 + 4*AM1110) &gt;=8,1,0)</f>
        <v>0</v>
      </c>
    </row>
    <row r="1111" spans="1:43" x14ac:dyDescent="0.25">
      <c r="A1111" t="s">
        <v>27</v>
      </c>
      <c r="B1111" s="1">
        <v>40972</v>
      </c>
      <c r="C1111" s="7">
        <f t="shared" si="198"/>
        <v>2012</v>
      </c>
      <c r="D1111">
        <v>58.5</v>
      </c>
      <c r="E1111">
        <v>44.7</v>
      </c>
      <c r="F1111">
        <v>52.2</v>
      </c>
      <c r="G1111" s="2">
        <f t="shared" si="197"/>
        <v>0</v>
      </c>
      <c r="H1111">
        <v>58.5</v>
      </c>
      <c r="I1111">
        <v>42.5</v>
      </c>
      <c r="J1111">
        <v>51.7</v>
      </c>
      <c r="K1111">
        <v>36.5</v>
      </c>
      <c r="L1111">
        <v>56.2</v>
      </c>
      <c r="M1111" s="2">
        <f t="shared" si="199"/>
        <v>0</v>
      </c>
      <c r="N1111">
        <v>0</v>
      </c>
      <c r="P1111" s="2">
        <f t="shared" si="200"/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s="2">
        <f t="shared" si="201"/>
        <v>0</v>
      </c>
      <c r="X1111">
        <v>10.8</v>
      </c>
      <c r="Z1111" s="2">
        <f t="shared" si="202"/>
        <v>0</v>
      </c>
      <c r="AA1111">
        <v>50.3</v>
      </c>
      <c r="AB1111" s="2" t="str">
        <f>CHOOSE(MATCH(AA1111,{0;11;80;111;161;191;241;281;341},1),"North","NorthEast","East","SouthEast","South","SouthWest","West","NorthWest","North")</f>
        <v>NorthEast</v>
      </c>
      <c r="AC1111" s="5">
        <f>CHOOSE(MATCH(AB1111,{"South";"SouthEast";"SouthWest";"North";"NorthEast";"East";"West";"NorthWest"},0),1,2,3,4,5,6,7,8)</f>
        <v>5</v>
      </c>
      <c r="AD1111" s="2">
        <f t="shared" si="203"/>
        <v>1</v>
      </c>
      <c r="AE1111">
        <v>1019.7</v>
      </c>
      <c r="AF1111" s="4" t="s">
        <v>1146</v>
      </c>
      <c r="AG1111" s="2">
        <f t="shared" si="204"/>
        <v>1</v>
      </c>
      <c r="AH1111" t="s">
        <v>1827</v>
      </c>
      <c r="AI1111" s="2">
        <f t="shared" si="205"/>
        <v>3</v>
      </c>
      <c r="AJ1111" s="2">
        <f t="shared" si="206"/>
        <v>0</v>
      </c>
      <c r="AK1111" s="3">
        <v>169.99999999883579</v>
      </c>
      <c r="AM1111" s="2">
        <v>0</v>
      </c>
      <c r="AN1111">
        <v>0</v>
      </c>
      <c r="AO1111">
        <v>3</v>
      </c>
      <c r="AP1111">
        <v>0</v>
      </c>
      <c r="AQ1111" s="2">
        <f>IF((2*G1111 + M1111 -P1111 + 3*W1111 + 2*Z1111+2*AD1111 + AG1111+2*AJ1111 + 4*AM1111) &gt;=8,1,0)</f>
        <v>0</v>
      </c>
    </row>
    <row r="1112" spans="1:43" x14ac:dyDescent="0.25">
      <c r="A1112" t="s">
        <v>27</v>
      </c>
      <c r="B1112" s="1">
        <v>40992</v>
      </c>
      <c r="C1112" s="7">
        <f t="shared" si="198"/>
        <v>2012</v>
      </c>
      <c r="D1112">
        <v>68.900000000000006</v>
      </c>
      <c r="E1112">
        <v>39.9</v>
      </c>
      <c r="F1112">
        <v>55.8</v>
      </c>
      <c r="G1112" s="2">
        <f t="shared" si="197"/>
        <v>0</v>
      </c>
      <c r="H1112">
        <v>68.900000000000006</v>
      </c>
      <c r="I1112">
        <v>39.9</v>
      </c>
      <c r="J1112">
        <v>55.7</v>
      </c>
      <c r="K1112">
        <v>38.5</v>
      </c>
      <c r="L1112">
        <v>54.9</v>
      </c>
      <c r="M1112" s="2">
        <f t="shared" si="199"/>
        <v>0</v>
      </c>
      <c r="N1112">
        <v>0</v>
      </c>
      <c r="P1112" s="2">
        <f t="shared" si="200"/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s="2">
        <f t="shared" si="201"/>
        <v>0</v>
      </c>
      <c r="X1112">
        <v>12.6</v>
      </c>
      <c r="Z1112" s="2">
        <f t="shared" si="202"/>
        <v>0</v>
      </c>
      <c r="AA1112">
        <v>60.7</v>
      </c>
      <c r="AB1112" s="2" t="str">
        <f>CHOOSE(MATCH(AA1112,{0;11;80;111;161;191;241;281;341},1),"North","NorthEast","East","SouthEast","South","SouthWest","West","NorthWest","North")</f>
        <v>NorthEast</v>
      </c>
      <c r="AC1112" s="5">
        <f>CHOOSE(MATCH(AB1112,{"South";"SouthEast";"SouthWest";"North";"NorthEast";"East";"West";"NorthWest"},0),1,2,3,4,5,6,7,8)</f>
        <v>5</v>
      </c>
      <c r="AD1112" s="2">
        <f t="shared" si="203"/>
        <v>1</v>
      </c>
      <c r="AE1112">
        <v>1021.2</v>
      </c>
      <c r="AF1112" s="4" t="s">
        <v>1186</v>
      </c>
      <c r="AG1112" s="2">
        <f t="shared" si="204"/>
        <v>1</v>
      </c>
      <c r="AH1112" t="s">
        <v>1828</v>
      </c>
      <c r="AI1112" s="2">
        <f t="shared" si="205"/>
        <v>3</v>
      </c>
      <c r="AJ1112" s="2">
        <f t="shared" si="206"/>
        <v>0</v>
      </c>
      <c r="AK1112" s="3">
        <v>124.9999999988358</v>
      </c>
      <c r="AM1112" s="2">
        <v>0</v>
      </c>
      <c r="AN1112">
        <v>2</v>
      </c>
      <c r="AO1112">
        <v>2</v>
      </c>
      <c r="AP1112">
        <v>0</v>
      </c>
      <c r="AQ1112" s="2">
        <f>IF((2*G1112 + M1112 -P1112 + 3*W1112 + 2*Z1112+2*AD1112 + AG1112+2*AJ1112 + 4*AM1112) &gt;=8,1,0)</f>
        <v>0</v>
      </c>
    </row>
    <row r="1113" spans="1:43" x14ac:dyDescent="0.25">
      <c r="A1113" t="s">
        <v>27</v>
      </c>
      <c r="B1113" s="1">
        <v>40992</v>
      </c>
      <c r="C1113" s="7">
        <f t="shared" si="198"/>
        <v>2012</v>
      </c>
      <c r="D1113">
        <v>68.900000000000006</v>
      </c>
      <c r="E1113">
        <v>39.9</v>
      </c>
      <c r="F1113">
        <v>55.8</v>
      </c>
      <c r="G1113" s="2">
        <f t="shared" si="197"/>
        <v>0</v>
      </c>
      <c r="H1113">
        <v>68.900000000000006</v>
      </c>
      <c r="I1113">
        <v>39.9</v>
      </c>
      <c r="J1113">
        <v>55.7</v>
      </c>
      <c r="K1113">
        <v>38.5</v>
      </c>
      <c r="L1113">
        <v>54.9</v>
      </c>
      <c r="M1113" s="2">
        <f t="shared" si="199"/>
        <v>0</v>
      </c>
      <c r="N1113">
        <v>0</v>
      </c>
      <c r="P1113" s="2">
        <f t="shared" si="200"/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s="2">
        <f t="shared" si="201"/>
        <v>0</v>
      </c>
      <c r="X1113">
        <v>12.6</v>
      </c>
      <c r="Z1113" s="2">
        <f t="shared" si="202"/>
        <v>0</v>
      </c>
      <c r="AA1113">
        <v>60.7</v>
      </c>
      <c r="AB1113" s="2" t="str">
        <f>CHOOSE(MATCH(AA1113,{0;11;80;111;161;191;241;281;341},1),"North","NorthEast","East","SouthEast","South","SouthWest","West","NorthWest","North")</f>
        <v>NorthEast</v>
      </c>
      <c r="AC1113" s="5">
        <f>CHOOSE(MATCH(AB1113,{"South";"SouthEast";"SouthWest";"North";"NorthEast";"East";"West";"NorthWest"},0),1,2,3,4,5,6,7,8)</f>
        <v>5</v>
      </c>
      <c r="AD1113" s="2">
        <f t="shared" si="203"/>
        <v>1</v>
      </c>
      <c r="AE1113">
        <v>1021.2</v>
      </c>
      <c r="AF1113" s="4" t="s">
        <v>1829</v>
      </c>
      <c r="AG1113" s="2">
        <f t="shared" si="204"/>
        <v>0</v>
      </c>
      <c r="AH1113" t="s">
        <v>1830</v>
      </c>
      <c r="AI1113" s="2">
        <f t="shared" si="205"/>
        <v>3</v>
      </c>
      <c r="AJ1113" s="2">
        <f t="shared" si="206"/>
        <v>0</v>
      </c>
      <c r="AK1113" s="3">
        <v>550.00000000116415</v>
      </c>
      <c r="AM1113" s="2">
        <v>1</v>
      </c>
      <c r="AN1113">
        <v>0</v>
      </c>
      <c r="AO1113">
        <v>20</v>
      </c>
      <c r="AP1113">
        <v>0</v>
      </c>
      <c r="AQ1113" s="2">
        <f>IF((2*G1113 + M1113 -P1113 + 3*W1113 + 2*Z1113+2*AD1113 + AG1113+2*AJ1113 + 4*AM1113) &gt;=8,1,0)</f>
        <v>0</v>
      </c>
    </row>
    <row r="1114" spans="1:43" x14ac:dyDescent="0.25">
      <c r="A1114" t="s">
        <v>27</v>
      </c>
      <c r="B1114" s="1">
        <v>40997</v>
      </c>
      <c r="C1114" s="7">
        <f t="shared" si="198"/>
        <v>2012</v>
      </c>
      <c r="D1114">
        <v>67.400000000000006</v>
      </c>
      <c r="E1114">
        <v>40.9</v>
      </c>
      <c r="F1114">
        <v>54.6</v>
      </c>
      <c r="G1114" s="2">
        <f t="shared" si="197"/>
        <v>0</v>
      </c>
      <c r="H1114">
        <v>67.400000000000006</v>
      </c>
      <c r="I1114">
        <v>38.5</v>
      </c>
      <c r="J1114">
        <v>54</v>
      </c>
      <c r="K1114">
        <v>40.700000000000003</v>
      </c>
      <c r="L1114">
        <v>61.2</v>
      </c>
      <c r="M1114" s="2">
        <f t="shared" si="199"/>
        <v>0</v>
      </c>
      <c r="N1114">
        <v>0</v>
      </c>
      <c r="P1114" s="2">
        <f t="shared" si="200"/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s="2">
        <f t="shared" si="201"/>
        <v>0</v>
      </c>
      <c r="X1114">
        <v>14.8</v>
      </c>
      <c r="Z1114" s="2">
        <f t="shared" si="202"/>
        <v>0</v>
      </c>
      <c r="AA1114">
        <v>221.7</v>
      </c>
      <c r="AB1114" s="2" t="str">
        <f>CHOOSE(MATCH(AA1114,{0;11;80;111;161;191;241;281;341},1),"North","NorthEast","East","SouthEast","South","SouthWest","West","NorthWest","North")</f>
        <v>SouthWest</v>
      </c>
      <c r="AC1114" s="5">
        <f>CHOOSE(MATCH(AB1114,{"South";"SouthEast";"SouthWest";"North";"NorthEast";"East";"West";"NorthWest"},0),1,2,3,4,5,6,7,8)</f>
        <v>3</v>
      </c>
      <c r="AD1114" s="2">
        <f t="shared" si="203"/>
        <v>1</v>
      </c>
      <c r="AE1114">
        <v>1017.2</v>
      </c>
      <c r="AF1114" s="4" t="s">
        <v>1831</v>
      </c>
      <c r="AG1114" s="2">
        <f t="shared" si="204"/>
        <v>1</v>
      </c>
      <c r="AH1114" t="s">
        <v>1832</v>
      </c>
      <c r="AI1114" s="2">
        <f t="shared" si="205"/>
        <v>3</v>
      </c>
      <c r="AJ1114" s="2">
        <f t="shared" si="206"/>
        <v>0</v>
      </c>
      <c r="AK1114" s="3">
        <v>330.00000000698492</v>
      </c>
      <c r="AM1114" s="2">
        <v>0</v>
      </c>
      <c r="AN1114">
        <v>0</v>
      </c>
      <c r="AO1114">
        <v>10</v>
      </c>
      <c r="AP1114">
        <v>0</v>
      </c>
      <c r="AQ1114" s="2">
        <f>IF((2*G1114 + M1114 -P1114 + 3*W1114 + 2*Z1114+2*AD1114 + AG1114+2*AJ1114 + 4*AM1114) &gt;=8,1,0)</f>
        <v>0</v>
      </c>
    </row>
    <row r="1115" spans="1:43" x14ac:dyDescent="0.25">
      <c r="A1115" t="s">
        <v>27</v>
      </c>
      <c r="B1115" s="1">
        <v>40998</v>
      </c>
      <c r="C1115" s="7">
        <f t="shared" si="198"/>
        <v>2012</v>
      </c>
      <c r="D1115">
        <v>71.099999999999994</v>
      </c>
      <c r="E1115">
        <v>52</v>
      </c>
      <c r="F1115">
        <v>62.5</v>
      </c>
      <c r="G1115" s="2">
        <f t="shared" si="197"/>
        <v>0</v>
      </c>
      <c r="H1115">
        <v>71.099999999999994</v>
      </c>
      <c r="I1115">
        <v>52</v>
      </c>
      <c r="J1115">
        <v>62.5</v>
      </c>
      <c r="K1115">
        <v>39.799999999999997</v>
      </c>
      <c r="L1115">
        <v>45.3</v>
      </c>
      <c r="M1115" s="2">
        <f t="shared" si="199"/>
        <v>1</v>
      </c>
      <c r="N1115">
        <v>0</v>
      </c>
      <c r="P1115" s="2">
        <f t="shared" si="200"/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36.9</v>
      </c>
      <c r="W1115" s="2">
        <f t="shared" si="201"/>
        <v>1</v>
      </c>
      <c r="X1115">
        <v>15.3</v>
      </c>
      <c r="Z1115" s="2">
        <f t="shared" si="202"/>
        <v>0</v>
      </c>
      <c r="AA1115">
        <v>262.3</v>
      </c>
      <c r="AB1115" s="2" t="str">
        <f>CHOOSE(MATCH(AA1115,{0;11;80;111;161;191;241;281;341},1),"North","NorthEast","East","SouthEast","South","SouthWest","West","NorthWest","North")</f>
        <v>West</v>
      </c>
      <c r="AC1115" s="5">
        <f>CHOOSE(MATCH(AB1115,{"South";"SouthEast";"SouthWest";"North";"NorthEast";"East";"West";"NorthWest"},0),1,2,3,4,5,6,7,8)</f>
        <v>7</v>
      </c>
      <c r="AD1115" s="2">
        <f t="shared" si="203"/>
        <v>0</v>
      </c>
      <c r="AE1115">
        <v>1008.9</v>
      </c>
      <c r="AF1115" s="4" t="s">
        <v>1833</v>
      </c>
      <c r="AG1115" s="2">
        <f t="shared" si="204"/>
        <v>1</v>
      </c>
      <c r="AH1115" t="s">
        <v>1834</v>
      </c>
      <c r="AI1115" s="2">
        <f t="shared" si="205"/>
        <v>3</v>
      </c>
      <c r="AJ1115" s="2">
        <f t="shared" si="206"/>
        <v>0</v>
      </c>
      <c r="AK1115" s="3">
        <v>104.9999999965075</v>
      </c>
      <c r="AM1115" s="2">
        <v>0</v>
      </c>
      <c r="AN1115">
        <v>0</v>
      </c>
      <c r="AO1115">
        <v>0.1</v>
      </c>
      <c r="AP1115">
        <v>0</v>
      </c>
      <c r="AQ1115" s="2">
        <f>IF((2*G1115 + M1115 -P1115 + 3*W1115 + 2*Z1115+2*AD1115 + AG1115+2*AJ1115 + 4*AM1115) &gt;=8,1,0)</f>
        <v>0</v>
      </c>
    </row>
    <row r="1116" spans="1:43" x14ac:dyDescent="0.25">
      <c r="A1116" t="s">
        <v>27</v>
      </c>
      <c r="B1116" s="1">
        <v>41000</v>
      </c>
      <c r="C1116" s="7">
        <f t="shared" si="198"/>
        <v>2012</v>
      </c>
      <c r="D1116">
        <v>68.5</v>
      </c>
      <c r="E1116">
        <v>49.3</v>
      </c>
      <c r="F1116">
        <v>59.5</v>
      </c>
      <c r="G1116" s="2">
        <f t="shared" si="197"/>
        <v>0</v>
      </c>
      <c r="H1116">
        <v>68.5</v>
      </c>
      <c r="I1116">
        <v>49.3</v>
      </c>
      <c r="J1116">
        <v>59.5</v>
      </c>
      <c r="K1116">
        <v>45</v>
      </c>
      <c r="L1116">
        <v>61</v>
      </c>
      <c r="M1116" s="2">
        <f t="shared" si="199"/>
        <v>0</v>
      </c>
      <c r="N1116">
        <v>0</v>
      </c>
      <c r="P1116" s="2">
        <f t="shared" si="200"/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s="2">
        <f t="shared" si="201"/>
        <v>0</v>
      </c>
      <c r="X1116">
        <v>15.5</v>
      </c>
      <c r="Z1116" s="2">
        <f t="shared" si="202"/>
        <v>0</v>
      </c>
      <c r="AA1116">
        <v>220.2</v>
      </c>
      <c r="AB1116" s="2" t="str">
        <f>CHOOSE(MATCH(AA1116,{0;11;80;111;161;191;241;281;341},1),"North","NorthEast","East","SouthEast","South","SouthWest","West","NorthWest","North")</f>
        <v>SouthWest</v>
      </c>
      <c r="AC1116" s="5">
        <f>CHOOSE(MATCH(AB1116,{"South";"SouthEast";"SouthWest";"North";"NorthEast";"East";"West";"NorthWest"},0),1,2,3,4,5,6,7,8)</f>
        <v>3</v>
      </c>
      <c r="AD1116" s="2">
        <f t="shared" si="203"/>
        <v>1</v>
      </c>
      <c r="AE1116">
        <v>1007.2</v>
      </c>
      <c r="AF1116" s="4" t="s">
        <v>1835</v>
      </c>
      <c r="AG1116" s="2">
        <f t="shared" si="204"/>
        <v>1</v>
      </c>
      <c r="AH1116" t="s">
        <v>1836</v>
      </c>
      <c r="AI1116" s="2">
        <f t="shared" si="205"/>
        <v>4</v>
      </c>
      <c r="AJ1116" s="2">
        <f t="shared" si="206"/>
        <v>0</v>
      </c>
      <c r="AK1116" s="3">
        <v>413.00000000512227</v>
      </c>
      <c r="AM1116" s="2">
        <v>1</v>
      </c>
      <c r="AN1116">
        <v>0</v>
      </c>
      <c r="AO1116">
        <v>8</v>
      </c>
      <c r="AP1116">
        <v>0</v>
      </c>
      <c r="AQ1116" s="2">
        <f>IF((2*G1116 + M1116 -P1116 + 3*W1116 + 2*Z1116+2*AD1116 + AG1116+2*AJ1116 + 4*AM1116) &gt;=8,1,0)</f>
        <v>0</v>
      </c>
    </row>
    <row r="1117" spans="1:43" x14ac:dyDescent="0.25">
      <c r="A1117" t="s">
        <v>27</v>
      </c>
      <c r="B1117" s="1">
        <v>41018</v>
      </c>
      <c r="C1117" s="7">
        <f t="shared" si="198"/>
        <v>2012</v>
      </c>
      <c r="D1117">
        <v>70.599999999999994</v>
      </c>
      <c r="E1117">
        <v>56</v>
      </c>
      <c r="F1117">
        <v>62.7</v>
      </c>
      <c r="G1117" s="2">
        <f t="shared" si="197"/>
        <v>0</v>
      </c>
      <c r="H1117">
        <v>70.599999999999994</v>
      </c>
      <c r="I1117">
        <v>56</v>
      </c>
      <c r="J1117">
        <v>62.7</v>
      </c>
      <c r="K1117">
        <v>45.1</v>
      </c>
      <c r="L1117">
        <v>53.4</v>
      </c>
      <c r="M1117" s="2">
        <f t="shared" si="199"/>
        <v>0</v>
      </c>
      <c r="N1117">
        <v>0</v>
      </c>
      <c r="P1117" s="2">
        <f t="shared" si="200"/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40.299999999999997</v>
      </c>
      <c r="W1117" s="2">
        <f t="shared" si="201"/>
        <v>1</v>
      </c>
      <c r="X1117">
        <v>20.8</v>
      </c>
      <c r="Z1117" s="2">
        <f t="shared" si="202"/>
        <v>1</v>
      </c>
      <c r="AA1117">
        <v>249.1</v>
      </c>
      <c r="AB1117" s="2" t="str">
        <f>CHOOSE(MATCH(AA1117,{0;11;80;111;161;191;241;281;341},1),"North","NorthEast","East","SouthEast","South","SouthWest","West","NorthWest","North")</f>
        <v>West</v>
      </c>
      <c r="AC1117" s="5">
        <f>CHOOSE(MATCH(AB1117,{"South";"SouthEast";"SouthWest";"North";"NorthEast";"East";"West";"NorthWest"},0),1,2,3,4,5,6,7,8)</f>
        <v>7</v>
      </c>
      <c r="AD1117" s="2">
        <f t="shared" si="203"/>
        <v>0</v>
      </c>
      <c r="AE1117">
        <v>1005.5</v>
      </c>
      <c r="AF1117" s="4" t="s">
        <v>1133</v>
      </c>
      <c r="AG1117" s="2">
        <f t="shared" si="204"/>
        <v>1</v>
      </c>
      <c r="AH1117" t="s">
        <v>1838</v>
      </c>
      <c r="AI1117" s="2">
        <f t="shared" si="205"/>
        <v>4</v>
      </c>
      <c r="AJ1117" s="2">
        <f t="shared" si="206"/>
        <v>0</v>
      </c>
      <c r="AK1117" s="3">
        <v>6024.9999999941792</v>
      </c>
      <c r="AM1117" s="2">
        <v>1</v>
      </c>
      <c r="AN1117">
        <v>0</v>
      </c>
      <c r="AO1117">
        <v>500</v>
      </c>
      <c r="AP1117">
        <v>0</v>
      </c>
      <c r="AQ1117" s="2">
        <f>IF((2*G1117 + M1117 -P1117 + 3*W1117 + 2*Z1117+2*AD1117 + AG1117+2*AJ1117 + 4*AM1117) &gt;=8,1,0)</f>
        <v>1</v>
      </c>
    </row>
    <row r="1118" spans="1:43" x14ac:dyDescent="0.25">
      <c r="A1118" t="s">
        <v>27</v>
      </c>
      <c r="B1118" s="1">
        <v>41022</v>
      </c>
      <c r="C1118" s="7">
        <f t="shared" si="198"/>
        <v>2012</v>
      </c>
      <c r="D1118">
        <v>73.8</v>
      </c>
      <c r="E1118">
        <v>50.9</v>
      </c>
      <c r="F1118">
        <v>62.7</v>
      </c>
      <c r="G1118" s="2">
        <f t="shared" si="197"/>
        <v>0</v>
      </c>
      <c r="H1118">
        <v>73.8</v>
      </c>
      <c r="I1118">
        <v>50.9</v>
      </c>
      <c r="J1118">
        <v>62.7</v>
      </c>
      <c r="K1118">
        <v>46.4</v>
      </c>
      <c r="L1118">
        <v>57.6</v>
      </c>
      <c r="M1118" s="2">
        <f t="shared" si="199"/>
        <v>0</v>
      </c>
      <c r="N1118">
        <v>0</v>
      </c>
      <c r="P1118" s="2">
        <f t="shared" si="200"/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s="2">
        <f t="shared" si="201"/>
        <v>0</v>
      </c>
      <c r="X1118">
        <v>9.1999999999999993</v>
      </c>
      <c r="Z1118" s="2">
        <f t="shared" si="202"/>
        <v>0</v>
      </c>
      <c r="AA1118">
        <v>187.2</v>
      </c>
      <c r="AB1118" s="2" t="str">
        <f>CHOOSE(MATCH(AA1118,{0;11;80;111;161;191;241;281;341},1),"North","NorthEast","East","SouthEast","South","SouthWest","West","NorthWest","North")</f>
        <v>South</v>
      </c>
      <c r="AC1118" s="5">
        <f>CHOOSE(MATCH(AB1118,{"South";"SouthEast";"SouthWest";"North";"NorthEast";"East";"West";"NorthWest"},0),1,2,3,4,5,6,7,8)</f>
        <v>1</v>
      </c>
      <c r="AD1118" s="2">
        <f t="shared" si="203"/>
        <v>0</v>
      </c>
      <c r="AE1118">
        <v>1015.3</v>
      </c>
      <c r="AF1118" s="4" t="s">
        <v>1762</v>
      </c>
      <c r="AG1118" s="2">
        <f t="shared" si="204"/>
        <v>1</v>
      </c>
      <c r="AH1118" t="s">
        <v>1839</v>
      </c>
      <c r="AI1118" s="2">
        <f t="shared" si="205"/>
        <v>4</v>
      </c>
      <c r="AJ1118" s="2">
        <f t="shared" si="206"/>
        <v>0</v>
      </c>
      <c r="AK1118" s="3">
        <v>294.99999999767169</v>
      </c>
      <c r="AM1118" s="2">
        <v>0</v>
      </c>
      <c r="AN1118">
        <v>0</v>
      </c>
      <c r="AO1118">
        <v>2</v>
      </c>
      <c r="AP1118">
        <v>0</v>
      </c>
      <c r="AQ1118" s="2">
        <f>IF((2*G1118 + M1118 -P1118 + 3*W1118 + 2*Z1118+2*AD1118 + AG1118+2*AJ1118 + 4*AM1118) &gt;=8,1,0)</f>
        <v>0</v>
      </c>
    </row>
    <row r="1119" spans="1:43" x14ac:dyDescent="0.25">
      <c r="A1119" t="s">
        <v>27</v>
      </c>
      <c r="B1119" s="1">
        <v>41028</v>
      </c>
      <c r="C1119" s="7">
        <f t="shared" si="198"/>
        <v>2012</v>
      </c>
      <c r="D1119">
        <v>76.8</v>
      </c>
      <c r="E1119">
        <v>52.2</v>
      </c>
      <c r="F1119">
        <v>66</v>
      </c>
      <c r="G1119" s="2">
        <f t="shared" si="197"/>
        <v>0</v>
      </c>
      <c r="H1119">
        <v>76.8</v>
      </c>
      <c r="I1119">
        <v>52.2</v>
      </c>
      <c r="J1119">
        <v>66</v>
      </c>
      <c r="K1119">
        <v>47.9</v>
      </c>
      <c r="L1119">
        <v>55.7</v>
      </c>
      <c r="M1119" s="2">
        <f t="shared" si="199"/>
        <v>0</v>
      </c>
      <c r="N1119">
        <v>0</v>
      </c>
      <c r="P1119" s="2">
        <f t="shared" si="200"/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31.1</v>
      </c>
      <c r="W1119" s="2">
        <f t="shared" si="201"/>
        <v>1</v>
      </c>
      <c r="X1119">
        <v>18.5</v>
      </c>
      <c r="Z1119" s="2">
        <f t="shared" si="202"/>
        <v>1</v>
      </c>
      <c r="AA1119">
        <v>1.7</v>
      </c>
      <c r="AB1119" s="2" t="str">
        <f>CHOOSE(MATCH(AA1119,{0;11;80;111;161;191;241;281;341},1),"North","NorthEast","East","SouthEast","South","SouthWest","West","NorthWest","North")</f>
        <v>North</v>
      </c>
      <c r="AC1119" s="5">
        <f>CHOOSE(MATCH(AB1119,{"South";"SouthEast";"SouthWest";"North";"NorthEast";"East";"West";"NorthWest"},0),1,2,3,4,5,6,7,8)</f>
        <v>4</v>
      </c>
      <c r="AD1119" s="2">
        <f t="shared" si="203"/>
        <v>1</v>
      </c>
      <c r="AE1119">
        <v>1015.2</v>
      </c>
      <c r="AF1119" s="4" t="s">
        <v>1821</v>
      </c>
      <c r="AG1119" s="2">
        <f t="shared" si="204"/>
        <v>0</v>
      </c>
      <c r="AH1119" t="s">
        <v>1840</v>
      </c>
      <c r="AI1119" s="2">
        <f t="shared" si="205"/>
        <v>4</v>
      </c>
      <c r="AJ1119" s="2">
        <f t="shared" si="206"/>
        <v>0</v>
      </c>
      <c r="AK1119" s="3">
        <v>185.00000000582079</v>
      </c>
      <c r="AM1119" s="2">
        <v>0</v>
      </c>
      <c r="AN1119">
        <v>1</v>
      </c>
      <c r="AO1119">
        <v>0</v>
      </c>
      <c r="AP1119">
        <v>0</v>
      </c>
      <c r="AQ1119" s="2">
        <f>IF((2*G1119 + M1119 -P1119 + 3*W1119 + 2*Z1119+2*AD1119 + AG1119+2*AJ1119 + 4*AM1119) &gt;=8,1,0)</f>
        <v>0</v>
      </c>
    </row>
    <row r="1120" spans="1:43" x14ac:dyDescent="0.25">
      <c r="A1120" t="s">
        <v>27</v>
      </c>
      <c r="B1120" s="1">
        <v>41036</v>
      </c>
      <c r="C1120" s="7">
        <f t="shared" si="198"/>
        <v>2012</v>
      </c>
      <c r="D1120">
        <v>83.2</v>
      </c>
      <c r="E1120">
        <v>56.7</v>
      </c>
      <c r="F1120">
        <v>71.099999999999994</v>
      </c>
      <c r="G1120" s="2">
        <f t="shared" si="197"/>
        <v>0</v>
      </c>
      <c r="H1120">
        <v>81.3</v>
      </c>
      <c r="I1120">
        <v>56.7</v>
      </c>
      <c r="J1120">
        <v>70.8</v>
      </c>
      <c r="K1120">
        <v>48.9</v>
      </c>
      <c r="L1120">
        <v>47.3</v>
      </c>
      <c r="M1120" s="2">
        <f t="shared" si="199"/>
        <v>1</v>
      </c>
      <c r="N1120">
        <v>0</v>
      </c>
      <c r="P1120" s="2">
        <f t="shared" si="200"/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s="2">
        <f t="shared" si="201"/>
        <v>0</v>
      </c>
      <c r="X1120">
        <v>9.1999999999999993</v>
      </c>
      <c r="Z1120" s="2">
        <f t="shared" si="202"/>
        <v>0</v>
      </c>
      <c r="AA1120">
        <v>148.9</v>
      </c>
      <c r="AB1120" s="2" t="str">
        <f>CHOOSE(MATCH(AA1120,{0;11;80;111;161;191;241;281;341},1),"North","NorthEast","East","SouthEast","South","SouthWest","West","NorthWest","North")</f>
        <v>SouthEast</v>
      </c>
      <c r="AC1120" s="5">
        <f>CHOOSE(MATCH(AB1120,{"South";"SouthEast";"SouthWest";"North";"NorthEast";"East";"West";"NorthWest"},0),1,2,3,4,5,6,7,8)</f>
        <v>2</v>
      </c>
      <c r="AD1120" s="2">
        <f t="shared" si="203"/>
        <v>0</v>
      </c>
      <c r="AE1120">
        <v>1014.2</v>
      </c>
      <c r="AF1120" s="4" t="s">
        <v>1787</v>
      </c>
      <c r="AG1120" s="2">
        <f t="shared" si="204"/>
        <v>1</v>
      </c>
      <c r="AH1120" t="s">
        <v>1841</v>
      </c>
      <c r="AI1120" s="2">
        <f t="shared" si="205"/>
        <v>5</v>
      </c>
      <c r="AJ1120" s="2">
        <f t="shared" si="206"/>
        <v>0</v>
      </c>
      <c r="AK1120" s="3">
        <v>35.000000009313233</v>
      </c>
      <c r="AM1120" s="2">
        <v>0</v>
      </c>
      <c r="AN1120">
        <v>1</v>
      </c>
      <c r="AO1120">
        <v>1</v>
      </c>
      <c r="AP1120">
        <v>0</v>
      </c>
      <c r="AQ1120" s="2">
        <f>IF((2*G1120 + M1120 -P1120 + 3*W1120 + 2*Z1120+2*AD1120 + AG1120+2*AJ1120 + 4*AM1120) &gt;=8,1,0)</f>
        <v>0</v>
      </c>
    </row>
    <row r="1121" spans="1:43" x14ac:dyDescent="0.25">
      <c r="A1121" t="s">
        <v>27</v>
      </c>
      <c r="B1121" s="1">
        <v>41042</v>
      </c>
      <c r="C1121" s="7">
        <f t="shared" si="198"/>
        <v>2012</v>
      </c>
      <c r="D1121">
        <v>85.1</v>
      </c>
      <c r="E1121">
        <v>67.7</v>
      </c>
      <c r="F1121">
        <v>75</v>
      </c>
      <c r="G1121" s="2">
        <f t="shared" si="197"/>
        <v>1</v>
      </c>
      <c r="H1121">
        <v>83.1</v>
      </c>
      <c r="I1121">
        <v>67.7</v>
      </c>
      <c r="J1121">
        <v>74.599999999999994</v>
      </c>
      <c r="K1121">
        <v>51.3</v>
      </c>
      <c r="L1121">
        <v>44.4</v>
      </c>
      <c r="M1121" s="2">
        <f t="shared" si="199"/>
        <v>1</v>
      </c>
      <c r="N1121">
        <v>6.9000000000000006E-2</v>
      </c>
      <c r="P1121" s="2">
        <f t="shared" si="200"/>
        <v>0</v>
      </c>
      <c r="Q1121">
        <v>100</v>
      </c>
      <c r="R1121">
        <v>4.17</v>
      </c>
      <c r="S1121" t="s">
        <v>87</v>
      </c>
      <c r="T1121">
        <v>0</v>
      </c>
      <c r="U1121">
        <v>0</v>
      </c>
      <c r="V1121">
        <v>0</v>
      </c>
      <c r="W1121" s="2">
        <f t="shared" si="201"/>
        <v>0</v>
      </c>
      <c r="X1121">
        <v>13.7</v>
      </c>
      <c r="Z1121" s="2">
        <f t="shared" si="202"/>
        <v>0</v>
      </c>
      <c r="AA1121">
        <v>354.3</v>
      </c>
      <c r="AB1121" s="2" t="str">
        <f>CHOOSE(MATCH(AA1121,{0;11;80;111;161;191;241;281;341},1),"North","NorthEast","East","SouthEast","South","SouthWest","West","NorthWest","North")</f>
        <v>North</v>
      </c>
      <c r="AC1121" s="5">
        <f>CHOOSE(MATCH(AB1121,{"South";"SouthEast";"SouthWest";"North";"NorthEast";"East";"West";"NorthWest"},0),1,2,3,4,5,6,7,8)</f>
        <v>4</v>
      </c>
      <c r="AD1121" s="2">
        <f t="shared" si="203"/>
        <v>1</v>
      </c>
      <c r="AE1121">
        <v>1010.1</v>
      </c>
      <c r="AF1121" s="4" t="s">
        <v>1842</v>
      </c>
      <c r="AG1121" s="2">
        <f t="shared" si="204"/>
        <v>0</v>
      </c>
      <c r="AH1121" t="s">
        <v>1843</v>
      </c>
      <c r="AI1121" s="2">
        <f t="shared" si="205"/>
        <v>5</v>
      </c>
      <c r="AJ1121" s="2">
        <f t="shared" si="206"/>
        <v>0</v>
      </c>
      <c r="AK1121" s="3">
        <v>68.999999994412065</v>
      </c>
      <c r="AM1121" s="2">
        <v>0</v>
      </c>
      <c r="AN1121">
        <v>0</v>
      </c>
      <c r="AO1121">
        <v>0.5</v>
      </c>
      <c r="AP1121">
        <v>0</v>
      </c>
      <c r="AQ1121" s="2">
        <f>IF((2*G1121 + M1121 -P1121 + 3*W1121 + 2*Z1121+2*AD1121 + AG1121+2*AJ1121 + 4*AM1121) &gt;=8,1,0)</f>
        <v>0</v>
      </c>
    </row>
    <row r="1122" spans="1:43" x14ac:dyDescent="0.25">
      <c r="A1122" t="s">
        <v>27</v>
      </c>
      <c r="B1122" s="1">
        <v>41062</v>
      </c>
      <c r="C1122" s="7">
        <f t="shared" si="198"/>
        <v>2012</v>
      </c>
      <c r="D1122">
        <v>82.3</v>
      </c>
      <c r="E1122">
        <v>59.2</v>
      </c>
      <c r="F1122">
        <v>71.599999999999994</v>
      </c>
      <c r="G1122" s="2">
        <f t="shared" si="197"/>
        <v>0</v>
      </c>
      <c r="H1122">
        <v>81.8</v>
      </c>
      <c r="I1122">
        <v>59.2</v>
      </c>
      <c r="J1122">
        <v>71.5</v>
      </c>
      <c r="K1122">
        <v>54.5</v>
      </c>
      <c r="L1122">
        <v>56.6</v>
      </c>
      <c r="M1122" s="2">
        <f t="shared" si="199"/>
        <v>0</v>
      </c>
      <c r="N1122">
        <v>0</v>
      </c>
      <c r="P1122" s="2">
        <f t="shared" si="200"/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s="2">
        <f t="shared" si="201"/>
        <v>0</v>
      </c>
      <c r="X1122">
        <v>12.7</v>
      </c>
      <c r="Z1122" s="2">
        <f t="shared" si="202"/>
        <v>0</v>
      </c>
      <c r="AA1122">
        <v>164.1</v>
      </c>
      <c r="AB1122" s="2" t="str">
        <f>CHOOSE(MATCH(AA1122,{0;11;80;111;161;191;241;281;341},1),"North","NorthEast","East","SouthEast","South","SouthWest","West","NorthWest","North")</f>
        <v>South</v>
      </c>
      <c r="AC1122" s="5">
        <f>CHOOSE(MATCH(AB1122,{"South";"SouthEast";"SouthWest";"North";"NorthEast";"East";"West";"NorthWest"},0),1,2,3,4,5,6,7,8)</f>
        <v>1</v>
      </c>
      <c r="AD1122" s="2">
        <f t="shared" si="203"/>
        <v>0</v>
      </c>
      <c r="AE1122">
        <v>1016.6</v>
      </c>
      <c r="AF1122" s="4" t="s">
        <v>1845</v>
      </c>
      <c r="AG1122" s="2">
        <f t="shared" si="204"/>
        <v>1</v>
      </c>
      <c r="AH1122" t="s">
        <v>1846</v>
      </c>
      <c r="AI1122" s="2">
        <f t="shared" si="205"/>
        <v>6</v>
      </c>
      <c r="AJ1122" s="2">
        <f t="shared" si="206"/>
        <v>1</v>
      </c>
      <c r="AK1122" s="3">
        <v>62.999999995809048</v>
      </c>
      <c r="AM1122" s="2">
        <v>0</v>
      </c>
      <c r="AN1122">
        <v>0</v>
      </c>
      <c r="AO1122">
        <v>0.5</v>
      </c>
      <c r="AP1122">
        <v>0</v>
      </c>
      <c r="AQ1122" s="2">
        <f>IF((2*G1122 + M1122 -P1122 + 3*W1122 + 2*Z1122+2*AD1122 + AG1122+2*AJ1122 + 4*AM1122) &gt;=8,1,0)</f>
        <v>0</v>
      </c>
    </row>
    <row r="1123" spans="1:43" x14ac:dyDescent="0.25">
      <c r="A1123" t="s">
        <v>27</v>
      </c>
      <c r="B1123" s="1">
        <v>41067</v>
      </c>
      <c r="C1123" s="7">
        <f t="shared" si="198"/>
        <v>2012</v>
      </c>
      <c r="D1123">
        <v>84.3</v>
      </c>
      <c r="E1123">
        <v>62.8</v>
      </c>
      <c r="F1123">
        <v>74.3</v>
      </c>
      <c r="G1123" s="2">
        <f t="shared" si="197"/>
        <v>1</v>
      </c>
      <c r="H1123">
        <v>82.3</v>
      </c>
      <c r="I1123">
        <v>62.8</v>
      </c>
      <c r="J1123">
        <v>73.900000000000006</v>
      </c>
      <c r="K1123">
        <v>53.2</v>
      </c>
      <c r="L1123">
        <v>50.2</v>
      </c>
      <c r="M1123" s="2">
        <f t="shared" si="199"/>
        <v>0</v>
      </c>
      <c r="N1123">
        <v>0</v>
      </c>
      <c r="P1123" s="2">
        <f t="shared" si="200"/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s="2">
        <f t="shared" si="201"/>
        <v>0</v>
      </c>
      <c r="X1123">
        <v>13.1</v>
      </c>
      <c r="Z1123" s="2">
        <f t="shared" si="202"/>
        <v>0</v>
      </c>
      <c r="AA1123">
        <v>62.9</v>
      </c>
      <c r="AB1123" s="2" t="str">
        <f>CHOOSE(MATCH(AA1123,{0;11;80;111;161;191;241;281;341},1),"North","NorthEast","East","SouthEast","South","SouthWest","West","NorthWest","North")</f>
        <v>NorthEast</v>
      </c>
      <c r="AC1123" s="5">
        <f>CHOOSE(MATCH(AB1123,{"South";"SouthEast";"SouthWest";"North";"NorthEast";"East";"West";"NorthWest"},0),1,2,3,4,5,6,7,8)</f>
        <v>5</v>
      </c>
      <c r="AD1123" s="2">
        <f t="shared" si="203"/>
        <v>1</v>
      </c>
      <c r="AE1123">
        <v>1011.8</v>
      </c>
      <c r="AF1123" s="4" t="s">
        <v>1847</v>
      </c>
      <c r="AG1123" s="2">
        <f t="shared" si="204"/>
        <v>1</v>
      </c>
      <c r="AH1123" t="s">
        <v>1848</v>
      </c>
      <c r="AI1123" s="2">
        <f t="shared" si="205"/>
        <v>6</v>
      </c>
      <c r="AJ1123" s="2">
        <f t="shared" si="206"/>
        <v>1</v>
      </c>
      <c r="AK1123" s="3">
        <v>457.00000000186259</v>
      </c>
      <c r="AM1123" s="2">
        <v>1</v>
      </c>
      <c r="AN1123">
        <v>0</v>
      </c>
      <c r="AO1123">
        <v>25</v>
      </c>
      <c r="AP1123">
        <v>0</v>
      </c>
      <c r="AQ1123" s="2">
        <f>IF((2*G1123 + M1123 -P1123 + 3*W1123 + 2*Z1123+2*AD1123 + AG1123+2*AJ1123 + 4*AM1123) &gt;=8,1,0)</f>
        <v>1</v>
      </c>
    </row>
    <row r="1124" spans="1:43" x14ac:dyDescent="0.25">
      <c r="A1124" t="s">
        <v>27</v>
      </c>
      <c r="B1124" s="1">
        <v>41067</v>
      </c>
      <c r="C1124" s="7">
        <f t="shared" si="198"/>
        <v>2012</v>
      </c>
      <c r="D1124">
        <v>84.3</v>
      </c>
      <c r="E1124">
        <v>62.8</v>
      </c>
      <c r="F1124">
        <v>74.3</v>
      </c>
      <c r="G1124" s="2">
        <f t="shared" si="197"/>
        <v>1</v>
      </c>
      <c r="H1124">
        <v>82.3</v>
      </c>
      <c r="I1124">
        <v>62.8</v>
      </c>
      <c r="J1124">
        <v>73.900000000000006</v>
      </c>
      <c r="K1124">
        <v>53.2</v>
      </c>
      <c r="L1124">
        <v>50.2</v>
      </c>
      <c r="M1124" s="2">
        <f t="shared" si="199"/>
        <v>0</v>
      </c>
      <c r="N1124">
        <v>0</v>
      </c>
      <c r="P1124" s="2">
        <f t="shared" si="200"/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s="2">
        <f t="shared" si="201"/>
        <v>0</v>
      </c>
      <c r="X1124">
        <v>13.1</v>
      </c>
      <c r="Z1124" s="2">
        <f t="shared" si="202"/>
        <v>0</v>
      </c>
      <c r="AA1124">
        <v>62.9</v>
      </c>
      <c r="AB1124" s="2" t="str">
        <f>CHOOSE(MATCH(AA1124,{0;11;80;111;161;191;241;281;341},1),"North","NorthEast","East","SouthEast","South","SouthWest","West","NorthWest","North")</f>
        <v>NorthEast</v>
      </c>
      <c r="AC1124" s="5">
        <f>CHOOSE(MATCH(AB1124,{"South";"SouthEast";"SouthWest";"North";"NorthEast";"East";"West";"NorthWest"},0),1,2,3,4,5,6,7,8)</f>
        <v>5</v>
      </c>
      <c r="AD1124" s="2">
        <f t="shared" si="203"/>
        <v>1</v>
      </c>
      <c r="AE1124">
        <v>1011.8</v>
      </c>
      <c r="AF1124" s="4" t="s">
        <v>1849</v>
      </c>
      <c r="AG1124" s="2">
        <f t="shared" si="204"/>
        <v>1</v>
      </c>
      <c r="AH1124" t="s">
        <v>1850</v>
      </c>
      <c r="AI1124" s="2">
        <f t="shared" si="205"/>
        <v>6</v>
      </c>
      <c r="AJ1124" s="2">
        <f t="shared" si="206"/>
        <v>1</v>
      </c>
      <c r="AK1124" s="3">
        <v>155.00000000232831</v>
      </c>
      <c r="AM1124" s="2">
        <v>0</v>
      </c>
      <c r="AN1124">
        <v>0</v>
      </c>
      <c r="AO1124">
        <v>3</v>
      </c>
      <c r="AP1124">
        <v>0</v>
      </c>
      <c r="AQ1124" s="2">
        <f>IF((2*G1124 + M1124 -P1124 + 3*W1124 + 2*Z1124+2*AD1124 + AG1124+2*AJ1124 + 4*AM1124) &gt;=8,1,0)</f>
        <v>0</v>
      </c>
    </row>
    <row r="1125" spans="1:43" x14ac:dyDescent="0.25">
      <c r="A1125" t="s">
        <v>27</v>
      </c>
      <c r="B1125" s="1">
        <v>41069</v>
      </c>
      <c r="C1125" s="7">
        <f t="shared" si="198"/>
        <v>2012</v>
      </c>
      <c r="D1125">
        <v>90.3</v>
      </c>
      <c r="E1125">
        <v>63.5</v>
      </c>
      <c r="F1125">
        <v>78.8</v>
      </c>
      <c r="G1125" s="2">
        <f t="shared" si="197"/>
        <v>1</v>
      </c>
      <c r="H1125">
        <v>88</v>
      </c>
      <c r="I1125">
        <v>63.5</v>
      </c>
      <c r="J1125">
        <v>77.900000000000006</v>
      </c>
      <c r="K1125">
        <v>53.8</v>
      </c>
      <c r="L1125">
        <v>44.6</v>
      </c>
      <c r="M1125" s="2">
        <f t="shared" si="199"/>
        <v>1</v>
      </c>
      <c r="N1125">
        <v>0</v>
      </c>
      <c r="P1125" s="2">
        <f t="shared" si="200"/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s="2">
        <f t="shared" si="201"/>
        <v>0</v>
      </c>
      <c r="X1125">
        <v>12.6</v>
      </c>
      <c r="Z1125" s="2">
        <f t="shared" si="202"/>
        <v>0</v>
      </c>
      <c r="AA1125">
        <v>23</v>
      </c>
      <c r="AB1125" s="2" t="str">
        <f>CHOOSE(MATCH(AA1125,{0;11;80;111;161;191;241;281;341},1),"North","NorthEast","East","SouthEast","South","SouthWest","West","NorthWest","North")</f>
        <v>NorthEast</v>
      </c>
      <c r="AC1125" s="5">
        <f>CHOOSE(MATCH(AB1125,{"South";"SouthEast";"SouthWest";"North";"NorthEast";"East";"West";"NorthWest"},0),1,2,3,4,5,6,7,8)</f>
        <v>5</v>
      </c>
      <c r="AD1125" s="2">
        <f t="shared" si="203"/>
        <v>1</v>
      </c>
      <c r="AE1125">
        <v>1014.3</v>
      </c>
      <c r="AF1125" s="4" t="s">
        <v>1851</v>
      </c>
      <c r="AG1125" s="2">
        <f t="shared" si="204"/>
        <v>1</v>
      </c>
      <c r="AH1125" t="s">
        <v>1852</v>
      </c>
      <c r="AI1125" s="2">
        <f t="shared" si="205"/>
        <v>6</v>
      </c>
      <c r="AJ1125" s="2">
        <f t="shared" si="206"/>
        <v>1</v>
      </c>
      <c r="AK1125" s="3">
        <v>17.000000003026798</v>
      </c>
      <c r="AM1125" s="2">
        <v>0</v>
      </c>
      <c r="AN1125">
        <v>0</v>
      </c>
      <c r="AO1125">
        <v>0.1</v>
      </c>
      <c r="AP1125">
        <v>0</v>
      </c>
      <c r="AQ1125" s="2">
        <f>IF((2*G1125 + M1125 -P1125 + 3*W1125 + 2*Z1125+2*AD1125 + AG1125+2*AJ1125 + 4*AM1125) &gt;=8,1,0)</f>
        <v>0</v>
      </c>
    </row>
    <row r="1126" spans="1:43" x14ac:dyDescent="0.25">
      <c r="A1126" t="s">
        <v>27</v>
      </c>
      <c r="B1126" s="1">
        <v>41071</v>
      </c>
      <c r="C1126" s="7">
        <f t="shared" si="198"/>
        <v>2012</v>
      </c>
      <c r="D1126">
        <v>88.1</v>
      </c>
      <c r="E1126">
        <v>62.3</v>
      </c>
      <c r="F1126">
        <v>76.7</v>
      </c>
      <c r="G1126" s="2">
        <f t="shared" si="197"/>
        <v>1</v>
      </c>
      <c r="H1126">
        <v>86.9</v>
      </c>
      <c r="I1126">
        <v>62.3</v>
      </c>
      <c r="J1126">
        <v>76.2</v>
      </c>
      <c r="K1126">
        <v>54.6</v>
      </c>
      <c r="L1126">
        <v>48.4</v>
      </c>
      <c r="M1126" s="2">
        <f t="shared" si="199"/>
        <v>1</v>
      </c>
      <c r="N1126">
        <v>0</v>
      </c>
      <c r="P1126" s="2">
        <f t="shared" si="200"/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s="2">
        <f t="shared" si="201"/>
        <v>0</v>
      </c>
      <c r="X1126">
        <v>11.1</v>
      </c>
      <c r="Z1126" s="2">
        <f t="shared" si="202"/>
        <v>0</v>
      </c>
      <c r="AA1126">
        <v>173.7</v>
      </c>
      <c r="AB1126" s="2" t="str">
        <f>CHOOSE(MATCH(AA1126,{0;11;80;111;161;191;241;281;341},1),"North","NorthEast","East","SouthEast","South","SouthWest","West","NorthWest","North")</f>
        <v>South</v>
      </c>
      <c r="AC1126" s="5">
        <f>CHOOSE(MATCH(AB1126,{"South";"SouthEast";"SouthWest";"North";"NorthEast";"East";"West";"NorthWest"},0),1,2,3,4,5,6,7,8)</f>
        <v>1</v>
      </c>
      <c r="AD1126" s="2">
        <f t="shared" si="203"/>
        <v>0</v>
      </c>
      <c r="AE1126">
        <v>1008.3</v>
      </c>
      <c r="AF1126" s="4" t="s">
        <v>1714</v>
      </c>
      <c r="AG1126" s="2">
        <f t="shared" si="204"/>
        <v>0</v>
      </c>
      <c r="AH1126" t="s">
        <v>1853</v>
      </c>
      <c r="AI1126" s="2">
        <f t="shared" si="205"/>
        <v>6</v>
      </c>
      <c r="AJ1126" s="2">
        <f t="shared" si="206"/>
        <v>1</v>
      </c>
      <c r="AK1126" s="3">
        <v>108.99999999906871</v>
      </c>
      <c r="AM1126" s="2">
        <v>0</v>
      </c>
      <c r="AN1126">
        <v>0</v>
      </c>
      <c r="AO1126">
        <v>0.5</v>
      </c>
      <c r="AP1126">
        <v>0</v>
      </c>
      <c r="AQ1126" s="2">
        <f>IF((2*G1126 + M1126 -P1126 + 3*W1126 + 2*Z1126+2*AD1126 + AG1126+2*AJ1126 + 4*AM1126) &gt;=8,1,0)</f>
        <v>0</v>
      </c>
    </row>
    <row r="1127" spans="1:43" x14ac:dyDescent="0.25">
      <c r="A1127" t="s">
        <v>27</v>
      </c>
      <c r="B1127" s="1">
        <v>41071</v>
      </c>
      <c r="C1127" s="7">
        <f t="shared" si="198"/>
        <v>2012</v>
      </c>
      <c r="D1127">
        <v>88.1</v>
      </c>
      <c r="E1127">
        <v>62.3</v>
      </c>
      <c r="F1127">
        <v>76.7</v>
      </c>
      <c r="G1127" s="2">
        <f t="shared" si="197"/>
        <v>1</v>
      </c>
      <c r="H1127">
        <v>86.9</v>
      </c>
      <c r="I1127">
        <v>62.3</v>
      </c>
      <c r="J1127">
        <v>76.2</v>
      </c>
      <c r="K1127">
        <v>54.6</v>
      </c>
      <c r="L1127">
        <v>48.4</v>
      </c>
      <c r="M1127" s="2">
        <f t="shared" si="199"/>
        <v>1</v>
      </c>
      <c r="N1127">
        <v>0</v>
      </c>
      <c r="P1127" s="2">
        <f t="shared" si="200"/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s="2">
        <f t="shared" si="201"/>
        <v>0</v>
      </c>
      <c r="X1127">
        <v>11.1</v>
      </c>
      <c r="Z1127" s="2">
        <f t="shared" si="202"/>
        <v>0</v>
      </c>
      <c r="AA1127">
        <v>173.7</v>
      </c>
      <c r="AB1127" s="2" t="str">
        <f>CHOOSE(MATCH(AA1127,{0;11;80;111;161;191;241;281;341},1),"North","NorthEast","East","SouthEast","South","SouthWest","West","NorthWest","North")</f>
        <v>South</v>
      </c>
      <c r="AC1127" s="5">
        <f>CHOOSE(MATCH(AB1127,{"South";"SouthEast";"SouthWest";"North";"NorthEast";"East";"West";"NorthWest"},0),1,2,3,4,5,6,7,8)</f>
        <v>1</v>
      </c>
      <c r="AD1127" s="2">
        <f t="shared" si="203"/>
        <v>0</v>
      </c>
      <c r="AE1127">
        <v>1008.3</v>
      </c>
      <c r="AF1127" s="4" t="s">
        <v>1780</v>
      </c>
      <c r="AG1127" s="2">
        <f t="shared" si="204"/>
        <v>1</v>
      </c>
      <c r="AH1127" t="s">
        <v>1854</v>
      </c>
      <c r="AI1127" s="2">
        <f t="shared" si="205"/>
        <v>6</v>
      </c>
      <c r="AJ1127" s="2">
        <f t="shared" si="206"/>
        <v>1</v>
      </c>
      <c r="AK1127" s="3">
        <v>75.00000000349246</v>
      </c>
      <c r="AM1127" s="2">
        <v>0</v>
      </c>
      <c r="AN1127">
        <v>3</v>
      </c>
      <c r="AO1127">
        <v>3</v>
      </c>
      <c r="AP1127">
        <v>0</v>
      </c>
      <c r="AQ1127" s="2">
        <f>IF((2*G1127 + M1127 -P1127 + 3*W1127 + 2*Z1127+2*AD1127 + AG1127+2*AJ1127 + 4*AM1127) &gt;=8,1,0)</f>
        <v>0</v>
      </c>
    </row>
    <row r="1128" spans="1:43" x14ac:dyDescent="0.25">
      <c r="A1128" t="s">
        <v>27</v>
      </c>
      <c r="B1128" s="1">
        <v>41072</v>
      </c>
      <c r="C1128" s="7">
        <f t="shared" si="198"/>
        <v>2012</v>
      </c>
      <c r="D1128">
        <v>93.5</v>
      </c>
      <c r="E1128">
        <v>65.3</v>
      </c>
      <c r="F1128">
        <v>80.5</v>
      </c>
      <c r="G1128" s="2">
        <f t="shared" si="197"/>
        <v>1</v>
      </c>
      <c r="H1128">
        <v>90.5</v>
      </c>
      <c r="I1128">
        <v>65.3</v>
      </c>
      <c r="J1128">
        <v>79.5</v>
      </c>
      <c r="K1128">
        <v>54.7</v>
      </c>
      <c r="L1128">
        <v>43.8</v>
      </c>
      <c r="M1128" s="2">
        <f t="shared" si="199"/>
        <v>1</v>
      </c>
      <c r="N1128">
        <v>0</v>
      </c>
      <c r="P1128" s="2">
        <f t="shared" si="200"/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s="2">
        <f t="shared" si="201"/>
        <v>0</v>
      </c>
      <c r="X1128">
        <v>11.4</v>
      </c>
      <c r="Z1128" s="2">
        <f t="shared" si="202"/>
        <v>0</v>
      </c>
      <c r="AA1128">
        <v>134.5</v>
      </c>
      <c r="AB1128" s="2" t="str">
        <f>CHOOSE(MATCH(AA1128,{0;11;80;111;161;191;241;281;341},1),"North","NorthEast","East","SouthEast","South","SouthWest","West","NorthWest","North")</f>
        <v>SouthEast</v>
      </c>
      <c r="AC1128" s="5">
        <f>CHOOSE(MATCH(AB1128,{"South";"SouthEast";"SouthWest";"North";"NorthEast";"East";"West";"NorthWest"},0),1,2,3,4,5,6,7,8)</f>
        <v>2</v>
      </c>
      <c r="AD1128" s="2">
        <f t="shared" si="203"/>
        <v>0</v>
      </c>
      <c r="AE1128">
        <v>1007.8</v>
      </c>
      <c r="AF1128" s="4" t="s">
        <v>1855</v>
      </c>
      <c r="AG1128" s="2">
        <f t="shared" si="204"/>
        <v>1</v>
      </c>
      <c r="AH1128" t="s">
        <v>1856</v>
      </c>
      <c r="AI1128" s="2">
        <f t="shared" si="205"/>
        <v>6</v>
      </c>
      <c r="AJ1128" s="2">
        <f t="shared" si="206"/>
        <v>1</v>
      </c>
      <c r="AK1128" s="3">
        <v>378.00000000628643</v>
      </c>
      <c r="AM1128" s="2">
        <v>1</v>
      </c>
      <c r="AN1128">
        <v>10</v>
      </c>
      <c r="AO1128">
        <v>0</v>
      </c>
      <c r="AP1128">
        <v>0</v>
      </c>
      <c r="AQ1128" s="2">
        <f>IF((2*G1128 + M1128 -P1128 + 3*W1128 + 2*Z1128+2*AD1128 + AG1128+2*AJ1128 + 4*AM1128) &gt;=8,1,0)</f>
        <v>1</v>
      </c>
    </row>
    <row r="1129" spans="1:43" x14ac:dyDescent="0.25">
      <c r="A1129" t="s">
        <v>27</v>
      </c>
      <c r="B1129" s="1">
        <v>41072</v>
      </c>
      <c r="C1129" s="7">
        <f t="shared" si="198"/>
        <v>2012</v>
      </c>
      <c r="D1129">
        <v>93.5</v>
      </c>
      <c r="E1129">
        <v>65.3</v>
      </c>
      <c r="F1129">
        <v>80.5</v>
      </c>
      <c r="G1129" s="2">
        <f t="shared" si="197"/>
        <v>1</v>
      </c>
      <c r="H1129">
        <v>90.5</v>
      </c>
      <c r="I1129">
        <v>65.3</v>
      </c>
      <c r="J1129">
        <v>79.5</v>
      </c>
      <c r="K1129">
        <v>54.7</v>
      </c>
      <c r="L1129">
        <v>43.8</v>
      </c>
      <c r="M1129" s="2">
        <f t="shared" si="199"/>
        <v>1</v>
      </c>
      <c r="N1129">
        <v>0</v>
      </c>
      <c r="P1129" s="2">
        <f t="shared" si="200"/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s="2">
        <f t="shared" si="201"/>
        <v>0</v>
      </c>
      <c r="X1129">
        <v>11.4</v>
      </c>
      <c r="Z1129" s="2">
        <f t="shared" si="202"/>
        <v>0</v>
      </c>
      <c r="AA1129">
        <v>134.5</v>
      </c>
      <c r="AB1129" s="2" t="str">
        <f>CHOOSE(MATCH(AA1129,{0;11;80;111;161;191;241;281;341},1),"North","NorthEast","East","SouthEast","South","SouthWest","West","NorthWest","North")</f>
        <v>SouthEast</v>
      </c>
      <c r="AC1129" s="5">
        <f>CHOOSE(MATCH(AB1129,{"South";"SouthEast";"SouthWest";"North";"NorthEast";"East";"West";"NorthWest"},0),1,2,3,4,5,6,7,8)</f>
        <v>2</v>
      </c>
      <c r="AD1129" s="2">
        <f t="shared" si="203"/>
        <v>0</v>
      </c>
      <c r="AE1129">
        <v>1007.8</v>
      </c>
      <c r="AF1129" s="4" t="s">
        <v>1857</v>
      </c>
      <c r="AG1129" s="2">
        <f t="shared" si="204"/>
        <v>1</v>
      </c>
      <c r="AH1129" t="s">
        <v>1858</v>
      </c>
      <c r="AI1129" s="2">
        <f t="shared" si="205"/>
        <v>6</v>
      </c>
      <c r="AJ1129" s="2">
        <f t="shared" si="206"/>
        <v>1</v>
      </c>
      <c r="AK1129" s="3">
        <v>367.00000000186259</v>
      </c>
      <c r="AM1129" s="2">
        <v>1</v>
      </c>
      <c r="AN1129">
        <v>2</v>
      </c>
      <c r="AO1129">
        <v>0</v>
      </c>
      <c r="AP1129">
        <v>0</v>
      </c>
      <c r="AQ1129" s="2">
        <f>IF((2*G1129 + M1129 -P1129 + 3*W1129 + 2*Z1129+2*AD1129 + AG1129+2*AJ1129 + 4*AM1129) &gt;=8,1,0)</f>
        <v>1</v>
      </c>
    </row>
    <row r="1130" spans="1:43" x14ac:dyDescent="0.25">
      <c r="A1130" t="s">
        <v>27</v>
      </c>
      <c r="B1130" s="1">
        <v>41074</v>
      </c>
      <c r="C1130" s="7">
        <f t="shared" si="198"/>
        <v>2012</v>
      </c>
      <c r="D1130">
        <v>94.5</v>
      </c>
      <c r="E1130">
        <v>75.099999999999994</v>
      </c>
      <c r="F1130">
        <v>86.3</v>
      </c>
      <c r="G1130" s="2">
        <f t="shared" si="197"/>
        <v>1</v>
      </c>
      <c r="H1130">
        <v>91</v>
      </c>
      <c r="I1130">
        <v>75.099999999999994</v>
      </c>
      <c r="J1130">
        <v>84.3</v>
      </c>
      <c r="K1130">
        <v>49.9</v>
      </c>
      <c r="L1130">
        <v>29.6</v>
      </c>
      <c r="M1130" s="2">
        <f t="shared" si="199"/>
        <v>1</v>
      </c>
      <c r="N1130">
        <v>0</v>
      </c>
      <c r="P1130" s="2">
        <f t="shared" si="200"/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s="2">
        <f t="shared" si="201"/>
        <v>0</v>
      </c>
      <c r="X1130">
        <v>14.4</v>
      </c>
      <c r="Z1130" s="2">
        <f t="shared" si="202"/>
        <v>0</v>
      </c>
      <c r="AA1130">
        <v>358.4</v>
      </c>
      <c r="AB1130" s="2" t="str">
        <f>CHOOSE(MATCH(AA1130,{0;11;80;111;161;191;241;281;341},1),"North","NorthEast","East","SouthEast","South","SouthWest","West","NorthWest","North")</f>
        <v>North</v>
      </c>
      <c r="AC1130" s="5">
        <f>CHOOSE(MATCH(AB1130,{"South";"SouthEast";"SouthWest";"North";"NorthEast";"East";"West";"NorthWest"},0),1,2,3,4,5,6,7,8)</f>
        <v>4</v>
      </c>
      <c r="AD1130" s="2">
        <f t="shared" si="203"/>
        <v>1</v>
      </c>
      <c r="AE1130">
        <v>1008.8</v>
      </c>
      <c r="AF1130" s="4" t="s">
        <v>1817</v>
      </c>
      <c r="AG1130" s="2">
        <f t="shared" si="204"/>
        <v>1</v>
      </c>
      <c r="AH1130" t="s">
        <v>1859</v>
      </c>
      <c r="AI1130" s="2">
        <f t="shared" si="205"/>
        <v>6</v>
      </c>
      <c r="AJ1130" s="2">
        <f t="shared" si="206"/>
        <v>1</v>
      </c>
      <c r="AK1130" s="3">
        <v>50.000000005820773</v>
      </c>
      <c r="AM1130" s="2">
        <v>0</v>
      </c>
      <c r="AN1130">
        <v>0</v>
      </c>
      <c r="AO1130">
        <v>1</v>
      </c>
      <c r="AP1130">
        <v>0</v>
      </c>
      <c r="AQ1130" s="2">
        <f>IF((2*G1130 + M1130 -P1130 + 3*W1130 + 2*Z1130+2*AD1130 + AG1130+2*AJ1130 + 4*AM1130) &gt;=8,1,0)</f>
        <v>0</v>
      </c>
    </row>
    <row r="1131" spans="1:43" x14ac:dyDescent="0.25">
      <c r="A1131" t="s">
        <v>27</v>
      </c>
      <c r="B1131" s="1">
        <v>41076</v>
      </c>
      <c r="C1131" s="7">
        <f t="shared" si="198"/>
        <v>2012</v>
      </c>
      <c r="D1131">
        <v>89.9</v>
      </c>
      <c r="E1131">
        <v>77.5</v>
      </c>
      <c r="F1131">
        <v>83</v>
      </c>
      <c r="G1131" s="2">
        <f t="shared" si="197"/>
        <v>1</v>
      </c>
      <c r="H1131">
        <v>87.1</v>
      </c>
      <c r="I1131">
        <v>77.5</v>
      </c>
      <c r="J1131">
        <v>81.7</v>
      </c>
      <c r="K1131">
        <v>52.8</v>
      </c>
      <c r="L1131">
        <v>36.200000000000003</v>
      </c>
      <c r="M1131" s="2">
        <f t="shared" si="199"/>
        <v>1</v>
      </c>
      <c r="N1131">
        <v>0</v>
      </c>
      <c r="P1131" s="2">
        <f t="shared" si="200"/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44.7</v>
      </c>
      <c r="W1131" s="2">
        <f t="shared" si="201"/>
        <v>1</v>
      </c>
      <c r="X1131">
        <v>27.1</v>
      </c>
      <c r="Z1131" s="2">
        <f t="shared" si="202"/>
        <v>1</v>
      </c>
      <c r="AA1131">
        <v>0.7</v>
      </c>
      <c r="AB1131" s="2" t="str">
        <f>CHOOSE(MATCH(AA1131,{0;11;80;111;161;191;241;281;341},1),"North","NorthEast","East","SouthEast","South","SouthWest","West","NorthWest","North")</f>
        <v>North</v>
      </c>
      <c r="AC1131" s="5">
        <f>CHOOSE(MATCH(AB1131,{"South";"SouthEast";"SouthWest";"North";"NorthEast";"East";"West";"NorthWest"},0),1,2,3,4,5,6,7,8)</f>
        <v>4</v>
      </c>
      <c r="AD1131" s="2">
        <f t="shared" si="203"/>
        <v>1</v>
      </c>
      <c r="AE1131">
        <v>1014.7</v>
      </c>
      <c r="AF1131" s="4" t="s">
        <v>1040</v>
      </c>
      <c r="AG1131" s="2">
        <f t="shared" si="204"/>
        <v>0</v>
      </c>
      <c r="AH1131" t="s">
        <v>1860</v>
      </c>
      <c r="AI1131" s="2">
        <f t="shared" si="205"/>
        <v>6</v>
      </c>
      <c r="AJ1131" s="2">
        <f t="shared" si="206"/>
        <v>1</v>
      </c>
      <c r="AK1131" s="3">
        <v>14940</v>
      </c>
      <c r="AM1131" s="2">
        <v>1</v>
      </c>
      <c r="AN1131">
        <v>0</v>
      </c>
      <c r="AO1131">
        <v>10000</v>
      </c>
      <c r="AP1131">
        <v>0</v>
      </c>
      <c r="AQ1131" s="2">
        <f>IF((2*G1131 + M1131 -P1131 + 3*W1131 + 2*Z1131+2*AD1131 + AG1131+2*AJ1131 + 4*AM1131) &gt;=8,1,0)</f>
        <v>1</v>
      </c>
    </row>
    <row r="1132" spans="1:43" x14ac:dyDescent="0.25">
      <c r="A1132" t="s">
        <v>27</v>
      </c>
      <c r="B1132" s="1">
        <v>41077</v>
      </c>
      <c r="C1132" s="7">
        <f t="shared" si="198"/>
        <v>2012</v>
      </c>
      <c r="D1132">
        <v>88</v>
      </c>
      <c r="E1132">
        <v>75</v>
      </c>
      <c r="F1132">
        <v>81</v>
      </c>
      <c r="G1132" s="2">
        <f t="shared" si="197"/>
        <v>1</v>
      </c>
      <c r="H1132">
        <v>84.6</v>
      </c>
      <c r="I1132">
        <v>75</v>
      </c>
      <c r="J1132">
        <v>79.7</v>
      </c>
      <c r="K1132">
        <v>48.2</v>
      </c>
      <c r="L1132">
        <v>32.700000000000003</v>
      </c>
      <c r="M1132" s="2">
        <f t="shared" si="199"/>
        <v>1</v>
      </c>
      <c r="N1132">
        <v>0</v>
      </c>
      <c r="P1132" s="2">
        <f t="shared" si="200"/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47.2</v>
      </c>
      <c r="W1132" s="2">
        <f t="shared" si="201"/>
        <v>1</v>
      </c>
      <c r="X1132">
        <v>26.7</v>
      </c>
      <c r="Z1132" s="2">
        <f t="shared" si="202"/>
        <v>1</v>
      </c>
      <c r="AA1132">
        <v>356.9</v>
      </c>
      <c r="AB1132" s="2" t="str">
        <f>CHOOSE(MATCH(AA1132,{0;11;80;111;161;191;241;281;341},1),"North","NorthEast","East","SouthEast","South","SouthWest","West","NorthWest","North")</f>
        <v>North</v>
      </c>
      <c r="AC1132" s="5">
        <f>CHOOSE(MATCH(AB1132,{"South";"SouthEast";"SouthWest";"North";"NorthEast";"East";"West";"NorthWest"},0),1,2,3,4,5,6,7,8)</f>
        <v>4</v>
      </c>
      <c r="AD1132" s="2">
        <f t="shared" si="203"/>
        <v>1</v>
      </c>
      <c r="AE1132">
        <v>1014.7</v>
      </c>
      <c r="AF1132" s="4" t="s">
        <v>1861</v>
      </c>
      <c r="AG1132" s="2">
        <f t="shared" si="204"/>
        <v>1</v>
      </c>
      <c r="AH1132" t="s">
        <v>1862</v>
      </c>
      <c r="AI1132" s="2">
        <f t="shared" si="205"/>
        <v>6</v>
      </c>
      <c r="AJ1132" s="2">
        <f t="shared" si="206"/>
        <v>1</v>
      </c>
      <c r="AK1132" s="3">
        <v>811.99999999604188</v>
      </c>
      <c r="AM1132" s="2">
        <v>1</v>
      </c>
      <c r="AN1132">
        <v>0</v>
      </c>
      <c r="AO1132">
        <v>2</v>
      </c>
      <c r="AP1132">
        <v>0</v>
      </c>
      <c r="AQ1132" s="2">
        <f>IF((2*G1132 + M1132 -P1132 + 3*W1132 + 2*Z1132+2*AD1132 + AG1132+2*AJ1132 + 4*AM1132) &gt;=8,1,0)</f>
        <v>1</v>
      </c>
    </row>
    <row r="1133" spans="1:43" x14ac:dyDescent="0.25">
      <c r="A1133" t="s">
        <v>27</v>
      </c>
      <c r="B1133" s="1">
        <v>41077</v>
      </c>
      <c r="C1133" s="7">
        <f t="shared" si="198"/>
        <v>2012</v>
      </c>
      <c r="D1133">
        <v>88</v>
      </c>
      <c r="E1133">
        <v>75</v>
      </c>
      <c r="F1133">
        <v>81</v>
      </c>
      <c r="G1133" s="2">
        <f t="shared" si="197"/>
        <v>1</v>
      </c>
      <c r="H1133">
        <v>84.6</v>
      </c>
      <c r="I1133">
        <v>75</v>
      </c>
      <c r="J1133">
        <v>79.7</v>
      </c>
      <c r="K1133">
        <v>48.2</v>
      </c>
      <c r="L1133">
        <v>32.700000000000003</v>
      </c>
      <c r="M1133" s="2">
        <f t="shared" si="199"/>
        <v>1</v>
      </c>
      <c r="N1133">
        <v>0</v>
      </c>
      <c r="P1133" s="2">
        <f t="shared" si="200"/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47.2</v>
      </c>
      <c r="W1133" s="2">
        <f t="shared" si="201"/>
        <v>1</v>
      </c>
      <c r="X1133">
        <v>26.7</v>
      </c>
      <c r="Z1133" s="2">
        <f t="shared" si="202"/>
        <v>1</v>
      </c>
      <c r="AA1133">
        <v>356.9</v>
      </c>
      <c r="AB1133" s="2" t="str">
        <f>CHOOSE(MATCH(AA1133,{0;11;80;111;161;191;241;281;341},1),"North","NorthEast","East","SouthEast","South","SouthWest","West","NorthWest","North")</f>
        <v>North</v>
      </c>
      <c r="AC1133" s="5">
        <f>CHOOSE(MATCH(AB1133,{"South";"SouthEast";"SouthWest";"North";"NorthEast";"East";"West";"NorthWest"},0),1,2,3,4,5,6,7,8)</f>
        <v>4</v>
      </c>
      <c r="AD1133" s="2">
        <f t="shared" si="203"/>
        <v>1</v>
      </c>
      <c r="AE1133">
        <v>1014.7</v>
      </c>
      <c r="AF1133" s="4" t="s">
        <v>1726</v>
      </c>
      <c r="AG1133" s="2">
        <f t="shared" si="204"/>
        <v>1</v>
      </c>
      <c r="AH1133" t="s">
        <v>1863</v>
      </c>
      <c r="AI1133" s="2">
        <f t="shared" si="205"/>
        <v>6</v>
      </c>
      <c r="AJ1133" s="2">
        <f t="shared" si="206"/>
        <v>1</v>
      </c>
      <c r="AK1133" s="3">
        <v>353.00000000861468</v>
      </c>
      <c r="AM1133" s="2">
        <v>0</v>
      </c>
      <c r="AN1133">
        <v>9</v>
      </c>
      <c r="AO1133">
        <v>0</v>
      </c>
      <c r="AP1133">
        <v>0</v>
      </c>
      <c r="AQ1133" s="2">
        <f>IF((2*G1133 + M1133 -P1133 + 3*W1133 + 2*Z1133+2*AD1133 + AG1133+2*AJ1133 + 4*AM1133) &gt;=8,1,0)</f>
        <v>1</v>
      </c>
    </row>
    <row r="1134" spans="1:43" x14ac:dyDescent="0.25">
      <c r="A1134" t="s">
        <v>27</v>
      </c>
      <c r="B1134" s="1">
        <v>41077</v>
      </c>
      <c r="C1134" s="7">
        <f t="shared" si="198"/>
        <v>2012</v>
      </c>
      <c r="D1134">
        <v>88</v>
      </c>
      <c r="E1134">
        <v>75</v>
      </c>
      <c r="F1134">
        <v>81</v>
      </c>
      <c r="G1134" s="2">
        <f t="shared" si="197"/>
        <v>1</v>
      </c>
      <c r="H1134">
        <v>84.6</v>
      </c>
      <c r="I1134">
        <v>75</v>
      </c>
      <c r="J1134">
        <v>79.7</v>
      </c>
      <c r="K1134">
        <v>48.2</v>
      </c>
      <c r="L1134">
        <v>32.700000000000003</v>
      </c>
      <c r="M1134" s="2">
        <f t="shared" si="199"/>
        <v>1</v>
      </c>
      <c r="N1134">
        <v>0</v>
      </c>
      <c r="P1134" s="2">
        <f t="shared" si="200"/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47.2</v>
      </c>
      <c r="W1134" s="2">
        <f t="shared" si="201"/>
        <v>1</v>
      </c>
      <c r="X1134">
        <v>26.7</v>
      </c>
      <c r="Z1134" s="2">
        <f t="shared" si="202"/>
        <v>1</v>
      </c>
      <c r="AA1134">
        <v>356.9</v>
      </c>
      <c r="AB1134" s="2" t="str">
        <f>CHOOSE(MATCH(AA1134,{0;11;80;111;161;191;241;281;341},1),"North","NorthEast","East","SouthEast","South","SouthWest","West","NorthWest","North")</f>
        <v>North</v>
      </c>
      <c r="AC1134" s="5">
        <f>CHOOSE(MATCH(AB1134,{"South";"SouthEast";"SouthWest";"North";"NorthEast";"East";"West";"NorthWest"},0),1,2,3,4,5,6,7,8)</f>
        <v>4</v>
      </c>
      <c r="AD1134" s="2">
        <f t="shared" si="203"/>
        <v>1</v>
      </c>
      <c r="AE1134">
        <v>1014.7</v>
      </c>
      <c r="AF1134" s="4" t="s">
        <v>1864</v>
      </c>
      <c r="AG1134" s="2">
        <f t="shared" si="204"/>
        <v>0</v>
      </c>
      <c r="AH1134" t="s">
        <v>1865</v>
      </c>
      <c r="AI1134" s="2">
        <f t="shared" si="205"/>
        <v>6</v>
      </c>
      <c r="AJ1134" s="2">
        <f t="shared" si="206"/>
        <v>1</v>
      </c>
      <c r="AK1134" s="3">
        <v>2009.9999999930151</v>
      </c>
      <c r="AM1134" s="2">
        <v>1</v>
      </c>
      <c r="AN1134">
        <v>0</v>
      </c>
      <c r="AO1134">
        <v>3</v>
      </c>
      <c r="AP1134">
        <v>0</v>
      </c>
      <c r="AQ1134" s="2">
        <f>IF((2*G1134 + M1134 -P1134 + 3*W1134 + 2*Z1134+2*AD1134 + AG1134+2*AJ1134 + 4*AM1134) &gt;=8,1,0)</f>
        <v>1</v>
      </c>
    </row>
    <row r="1135" spans="1:43" x14ac:dyDescent="0.25">
      <c r="A1135" t="s">
        <v>27</v>
      </c>
      <c r="B1135" s="1">
        <v>41078</v>
      </c>
      <c r="C1135" s="7">
        <f t="shared" si="198"/>
        <v>2012</v>
      </c>
      <c r="D1135">
        <v>89.6</v>
      </c>
      <c r="E1135">
        <v>74.3</v>
      </c>
      <c r="F1135">
        <v>80.7</v>
      </c>
      <c r="G1135" s="2">
        <f t="shared" si="197"/>
        <v>1</v>
      </c>
      <c r="H1135">
        <v>86.1</v>
      </c>
      <c r="I1135">
        <v>74.3</v>
      </c>
      <c r="J1135">
        <v>79.400000000000006</v>
      </c>
      <c r="K1135">
        <v>45</v>
      </c>
      <c r="L1135">
        <v>28.8</v>
      </c>
      <c r="M1135" s="2">
        <f t="shared" si="199"/>
        <v>1</v>
      </c>
      <c r="N1135">
        <v>0</v>
      </c>
      <c r="P1135" s="2">
        <f t="shared" si="200"/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38.1</v>
      </c>
      <c r="W1135" s="2">
        <f t="shared" si="201"/>
        <v>1</v>
      </c>
      <c r="X1135">
        <v>24.8</v>
      </c>
      <c r="Z1135" s="2">
        <f t="shared" si="202"/>
        <v>1</v>
      </c>
      <c r="AA1135">
        <v>356.2</v>
      </c>
      <c r="AB1135" s="2" t="str">
        <f>CHOOSE(MATCH(AA1135,{0;11;80;111;161;191;241;281;341},1),"North","NorthEast","East","SouthEast","South","SouthWest","West","NorthWest","North")</f>
        <v>North</v>
      </c>
      <c r="AC1135" s="5">
        <f>CHOOSE(MATCH(AB1135,{"South";"SouthEast";"SouthWest";"North";"NorthEast";"East";"West";"NorthWest"},0),1,2,3,4,5,6,7,8)</f>
        <v>4</v>
      </c>
      <c r="AD1135" s="2">
        <f t="shared" si="203"/>
        <v>1</v>
      </c>
      <c r="AE1135">
        <v>1013.7</v>
      </c>
      <c r="AF1135" s="4" t="s">
        <v>1866</v>
      </c>
      <c r="AG1135" s="2">
        <f t="shared" si="204"/>
        <v>1</v>
      </c>
      <c r="AH1135" t="s">
        <v>1867</v>
      </c>
      <c r="AI1135" s="2">
        <f t="shared" si="205"/>
        <v>6</v>
      </c>
      <c r="AJ1135" s="2">
        <f t="shared" si="206"/>
        <v>1</v>
      </c>
      <c r="AK1135" s="3">
        <v>58.000000000465661</v>
      </c>
      <c r="AM1135" s="2">
        <v>0</v>
      </c>
      <c r="AN1135">
        <v>0</v>
      </c>
      <c r="AO1135">
        <v>2</v>
      </c>
      <c r="AP1135">
        <v>0</v>
      </c>
      <c r="AQ1135" s="2">
        <f>IF((2*G1135 + M1135 -P1135 + 3*W1135 + 2*Z1135+2*AD1135 + AG1135+2*AJ1135 + 4*AM1135) &gt;=8,1,0)</f>
        <v>1</v>
      </c>
    </row>
    <row r="1136" spans="1:43" x14ac:dyDescent="0.25">
      <c r="A1136" t="s">
        <v>27</v>
      </c>
      <c r="B1136" s="1">
        <v>41078</v>
      </c>
      <c r="C1136" s="7">
        <f t="shared" si="198"/>
        <v>2012</v>
      </c>
      <c r="D1136">
        <v>89.6</v>
      </c>
      <c r="E1136">
        <v>74.3</v>
      </c>
      <c r="F1136">
        <v>80.7</v>
      </c>
      <c r="G1136" s="2">
        <f t="shared" si="197"/>
        <v>1</v>
      </c>
      <c r="H1136">
        <v>86.1</v>
      </c>
      <c r="I1136">
        <v>74.3</v>
      </c>
      <c r="J1136">
        <v>79.400000000000006</v>
      </c>
      <c r="K1136">
        <v>45</v>
      </c>
      <c r="L1136">
        <v>28.8</v>
      </c>
      <c r="M1136" s="2">
        <f t="shared" si="199"/>
        <v>1</v>
      </c>
      <c r="N1136">
        <v>0</v>
      </c>
      <c r="P1136" s="2">
        <f t="shared" si="200"/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38.1</v>
      </c>
      <c r="W1136" s="2">
        <f t="shared" si="201"/>
        <v>1</v>
      </c>
      <c r="X1136">
        <v>24.8</v>
      </c>
      <c r="Z1136" s="2">
        <f t="shared" si="202"/>
        <v>1</v>
      </c>
      <c r="AA1136">
        <v>356.2</v>
      </c>
      <c r="AB1136" s="2" t="str">
        <f>CHOOSE(MATCH(AA1136,{0;11;80;111;161;191;241;281;341},1),"North","NorthEast","East","SouthEast","South","SouthWest","West","NorthWest","North")</f>
        <v>North</v>
      </c>
      <c r="AC1136" s="5">
        <f>CHOOSE(MATCH(AB1136,{"South";"SouthEast";"SouthWest";"North";"NorthEast";"East";"West";"NorthWest"},0),1,2,3,4,5,6,7,8)</f>
        <v>4</v>
      </c>
      <c r="AD1136" s="2">
        <f t="shared" si="203"/>
        <v>1</v>
      </c>
      <c r="AE1136">
        <v>1013.7</v>
      </c>
      <c r="AF1136" s="4" t="s">
        <v>1058</v>
      </c>
      <c r="AG1136" s="2">
        <f t="shared" si="204"/>
        <v>1</v>
      </c>
      <c r="AH1136" t="s">
        <v>1868</v>
      </c>
      <c r="AI1136" s="2">
        <f t="shared" si="205"/>
        <v>6</v>
      </c>
      <c r="AJ1136" s="2">
        <f t="shared" si="206"/>
        <v>1</v>
      </c>
      <c r="AK1136" s="3">
        <v>1155.000000003492</v>
      </c>
      <c r="AM1136" s="2">
        <v>1</v>
      </c>
      <c r="AN1136">
        <v>0</v>
      </c>
      <c r="AO1136">
        <v>9</v>
      </c>
      <c r="AP1136">
        <v>0</v>
      </c>
      <c r="AQ1136" s="2">
        <f>IF((2*G1136 + M1136 -P1136 + 3*W1136 + 2*Z1136+2*AD1136 + AG1136+2*AJ1136 + 4*AM1136) &gt;=8,1,0)</f>
        <v>1</v>
      </c>
    </row>
    <row r="1137" spans="1:43" x14ac:dyDescent="0.25">
      <c r="A1137" t="s">
        <v>27</v>
      </c>
      <c r="B1137" s="1">
        <v>41079</v>
      </c>
      <c r="C1137" s="7">
        <f t="shared" si="198"/>
        <v>2012</v>
      </c>
      <c r="D1137">
        <v>91.6</v>
      </c>
      <c r="E1137">
        <v>74.5</v>
      </c>
      <c r="F1137">
        <v>82.3</v>
      </c>
      <c r="G1137" s="2">
        <f t="shared" si="197"/>
        <v>1</v>
      </c>
      <c r="H1137">
        <v>88.6</v>
      </c>
      <c r="I1137">
        <v>74.5</v>
      </c>
      <c r="J1137">
        <v>81.099999999999994</v>
      </c>
      <c r="K1137">
        <v>51.2</v>
      </c>
      <c r="L1137">
        <v>34.6</v>
      </c>
      <c r="M1137" s="2">
        <f t="shared" si="199"/>
        <v>1</v>
      </c>
      <c r="N1137">
        <v>0</v>
      </c>
      <c r="P1137" s="2">
        <f t="shared" si="200"/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38</v>
      </c>
      <c r="W1137" s="2">
        <f t="shared" si="201"/>
        <v>1</v>
      </c>
      <c r="X1137">
        <v>24.2</v>
      </c>
      <c r="Z1137" s="2">
        <f t="shared" si="202"/>
        <v>1</v>
      </c>
      <c r="AA1137">
        <v>358.2</v>
      </c>
      <c r="AB1137" s="2" t="str">
        <f>CHOOSE(MATCH(AA1137,{0;11;80;111;161;191;241;281;341},1),"North","NorthEast","East","SouthEast","South","SouthWest","West","NorthWest","North")</f>
        <v>North</v>
      </c>
      <c r="AC1137" s="5">
        <f>CHOOSE(MATCH(AB1137,{"South";"SouthEast";"SouthWest";"North";"NorthEast";"East";"West";"NorthWest"},0),1,2,3,4,5,6,7,8)</f>
        <v>4</v>
      </c>
      <c r="AD1137" s="2">
        <f t="shared" si="203"/>
        <v>1</v>
      </c>
      <c r="AE1137">
        <v>1011.2</v>
      </c>
      <c r="AF1137" s="4" t="s">
        <v>1066</v>
      </c>
      <c r="AG1137" s="2">
        <f t="shared" si="204"/>
        <v>0</v>
      </c>
      <c r="AH1137" t="s">
        <v>1869</v>
      </c>
      <c r="AI1137" s="2">
        <f t="shared" si="205"/>
        <v>6</v>
      </c>
      <c r="AJ1137" s="2">
        <f t="shared" si="206"/>
        <v>1</v>
      </c>
      <c r="AK1137" s="3">
        <v>275.00000000582082</v>
      </c>
      <c r="AM1137" s="2">
        <v>0</v>
      </c>
      <c r="AN1137">
        <v>0</v>
      </c>
      <c r="AO1137">
        <v>2</v>
      </c>
      <c r="AP1137">
        <v>0</v>
      </c>
      <c r="AQ1137" s="2">
        <f>IF((2*G1137 + M1137 -P1137 + 3*W1137 + 2*Z1137+2*AD1137 + AG1137+2*AJ1137 + 4*AM1137) &gt;=8,1,0)</f>
        <v>1</v>
      </c>
    </row>
    <row r="1138" spans="1:43" x14ac:dyDescent="0.25">
      <c r="A1138" t="s">
        <v>27</v>
      </c>
      <c r="B1138" s="1">
        <v>41080</v>
      </c>
      <c r="C1138" s="7">
        <f t="shared" si="198"/>
        <v>2012</v>
      </c>
      <c r="D1138">
        <v>92.9</v>
      </c>
      <c r="E1138">
        <v>77.900000000000006</v>
      </c>
      <c r="F1138">
        <v>84.4</v>
      </c>
      <c r="G1138" s="2">
        <f t="shared" si="197"/>
        <v>1</v>
      </c>
      <c r="H1138">
        <v>90.4</v>
      </c>
      <c r="I1138">
        <v>77.900000000000006</v>
      </c>
      <c r="J1138">
        <v>83.1</v>
      </c>
      <c r="K1138">
        <v>53.9</v>
      </c>
      <c r="L1138">
        <v>36</v>
      </c>
      <c r="M1138" s="2">
        <f t="shared" si="199"/>
        <v>1</v>
      </c>
      <c r="N1138">
        <v>0</v>
      </c>
      <c r="P1138" s="2">
        <f t="shared" si="200"/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50.6</v>
      </c>
      <c r="W1138" s="2">
        <f t="shared" si="201"/>
        <v>1</v>
      </c>
      <c r="X1138">
        <v>31.7</v>
      </c>
      <c r="Z1138" s="2">
        <f t="shared" si="202"/>
        <v>1</v>
      </c>
      <c r="AA1138">
        <v>354.2</v>
      </c>
      <c r="AB1138" s="2" t="str">
        <f>CHOOSE(MATCH(AA1138,{0;11;80;111;161;191;241;281;341},1),"North","NorthEast","East","SouthEast","South","SouthWest","West","NorthWest","North")</f>
        <v>North</v>
      </c>
      <c r="AC1138" s="5">
        <f>CHOOSE(MATCH(AB1138,{"South";"SouthEast";"SouthWest";"North";"NorthEast";"East";"West";"NorthWest"},0),1,2,3,4,5,6,7,8)</f>
        <v>4</v>
      </c>
      <c r="AD1138" s="2">
        <f t="shared" si="203"/>
        <v>1</v>
      </c>
      <c r="AE1138">
        <v>1009.2</v>
      </c>
      <c r="AF1138" s="4" t="s">
        <v>1870</v>
      </c>
      <c r="AG1138" s="2">
        <f t="shared" si="204"/>
        <v>1</v>
      </c>
      <c r="AH1138" t="s">
        <v>1871</v>
      </c>
      <c r="AI1138" s="2">
        <f t="shared" si="205"/>
        <v>6</v>
      </c>
      <c r="AJ1138" s="2">
        <f t="shared" si="206"/>
        <v>1</v>
      </c>
      <c r="AK1138" s="3">
        <v>2459.0000000002328</v>
      </c>
      <c r="AM1138" s="2">
        <v>1</v>
      </c>
      <c r="AN1138">
        <v>0</v>
      </c>
      <c r="AO1138">
        <v>300</v>
      </c>
      <c r="AP1138">
        <v>0</v>
      </c>
      <c r="AQ1138" s="2">
        <f>IF((2*G1138 + M1138 -P1138 + 3*W1138 + 2*Z1138+2*AD1138 + AG1138+2*AJ1138 + 4*AM1138) &gt;=8,1,0)</f>
        <v>1</v>
      </c>
    </row>
    <row r="1139" spans="1:43" x14ac:dyDescent="0.25">
      <c r="A1139" t="s">
        <v>27</v>
      </c>
      <c r="B1139" s="1">
        <v>41083</v>
      </c>
      <c r="C1139" s="7">
        <f t="shared" si="198"/>
        <v>2012</v>
      </c>
      <c r="D1139">
        <v>96.6</v>
      </c>
      <c r="E1139">
        <v>75.5</v>
      </c>
      <c r="F1139">
        <v>87</v>
      </c>
      <c r="G1139" s="2">
        <f t="shared" si="197"/>
        <v>1</v>
      </c>
      <c r="H1139">
        <v>92.9</v>
      </c>
      <c r="I1139">
        <v>75.5</v>
      </c>
      <c r="J1139">
        <v>85</v>
      </c>
      <c r="K1139">
        <v>49.7</v>
      </c>
      <c r="L1139">
        <v>28.6</v>
      </c>
      <c r="M1139" s="2">
        <f t="shared" si="199"/>
        <v>1</v>
      </c>
      <c r="N1139">
        <v>0</v>
      </c>
      <c r="P1139" s="2">
        <f t="shared" si="200"/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32.200000000000003</v>
      </c>
      <c r="W1139" s="2">
        <f t="shared" si="201"/>
        <v>1</v>
      </c>
      <c r="X1139">
        <v>19.5</v>
      </c>
      <c r="Z1139" s="2">
        <f t="shared" si="202"/>
        <v>1</v>
      </c>
      <c r="AA1139">
        <v>8.1999999999999993</v>
      </c>
      <c r="AB1139" s="2" t="str">
        <f>CHOOSE(MATCH(AA1139,{0;11;80;111;161;191;241;281;341},1),"North","NorthEast","East","SouthEast","South","SouthWest","West","NorthWest","North")</f>
        <v>North</v>
      </c>
      <c r="AC1139" s="5">
        <f>CHOOSE(MATCH(AB1139,{"South";"SouthEast";"SouthWest";"North";"NorthEast";"East";"West";"NorthWest"},0),1,2,3,4,5,6,7,8)</f>
        <v>4</v>
      </c>
      <c r="AD1139" s="2">
        <f t="shared" si="203"/>
        <v>1</v>
      </c>
      <c r="AE1139">
        <v>1012</v>
      </c>
      <c r="AF1139" s="4" t="s">
        <v>1872</v>
      </c>
      <c r="AG1139" s="2">
        <f t="shared" si="204"/>
        <v>0</v>
      </c>
      <c r="AH1139" t="s">
        <v>1873</v>
      </c>
      <c r="AI1139" s="2">
        <f t="shared" si="205"/>
        <v>6</v>
      </c>
      <c r="AJ1139" s="2">
        <f t="shared" si="206"/>
        <v>1</v>
      </c>
      <c r="AK1139" s="3">
        <v>6935.0000000058208</v>
      </c>
      <c r="AM1139" s="2">
        <v>1</v>
      </c>
      <c r="AN1139">
        <v>2</v>
      </c>
      <c r="AO1139">
        <v>2</v>
      </c>
      <c r="AP1139">
        <v>0</v>
      </c>
      <c r="AQ1139" s="2">
        <f>IF((2*G1139 + M1139 -P1139 + 3*W1139 + 2*Z1139+2*AD1139 + AG1139+2*AJ1139 + 4*AM1139) &gt;=8,1,0)</f>
        <v>1</v>
      </c>
    </row>
    <row r="1140" spans="1:43" x14ac:dyDescent="0.25">
      <c r="A1140" t="s">
        <v>27</v>
      </c>
      <c r="B1140" s="1">
        <v>41084</v>
      </c>
      <c r="C1140" s="7">
        <f t="shared" si="198"/>
        <v>2012</v>
      </c>
      <c r="D1140">
        <v>94</v>
      </c>
      <c r="E1140">
        <v>77.3</v>
      </c>
      <c r="F1140">
        <v>86.3</v>
      </c>
      <c r="G1140" s="2">
        <f t="shared" si="197"/>
        <v>1</v>
      </c>
      <c r="H1140">
        <v>90.6</v>
      </c>
      <c r="I1140">
        <v>77.3</v>
      </c>
      <c r="J1140">
        <v>84.3</v>
      </c>
      <c r="K1140">
        <v>49.9</v>
      </c>
      <c r="L1140">
        <v>29.3</v>
      </c>
      <c r="M1140" s="2">
        <f t="shared" si="199"/>
        <v>1</v>
      </c>
      <c r="N1140">
        <v>0</v>
      </c>
      <c r="P1140" s="2">
        <f t="shared" si="200"/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27.9</v>
      </c>
      <c r="W1140" s="2">
        <f t="shared" si="201"/>
        <v>1</v>
      </c>
      <c r="X1140">
        <v>20</v>
      </c>
      <c r="Z1140" s="2">
        <f t="shared" si="202"/>
        <v>1</v>
      </c>
      <c r="AA1140">
        <v>3.5</v>
      </c>
      <c r="AB1140" s="2" t="str">
        <f>CHOOSE(MATCH(AA1140,{0;11;80;111;161;191;241;281;341},1),"North","NorthEast","East","SouthEast","South","SouthWest","West","NorthWest","North")</f>
        <v>North</v>
      </c>
      <c r="AC1140" s="5">
        <f>CHOOSE(MATCH(AB1140,{"South";"SouthEast";"SouthWest";"North";"NorthEast";"East";"West";"NorthWest"},0),1,2,3,4,5,6,7,8)</f>
        <v>4</v>
      </c>
      <c r="AD1140" s="2">
        <f t="shared" si="203"/>
        <v>1</v>
      </c>
      <c r="AE1140">
        <v>1012.1</v>
      </c>
      <c r="AF1140" s="4" t="s">
        <v>1874</v>
      </c>
      <c r="AG1140" s="2">
        <f t="shared" si="204"/>
        <v>0</v>
      </c>
      <c r="AH1140" t="s">
        <v>1875</v>
      </c>
      <c r="AI1140" s="2">
        <f t="shared" si="205"/>
        <v>6</v>
      </c>
      <c r="AJ1140" s="2">
        <f t="shared" si="206"/>
        <v>1</v>
      </c>
      <c r="AK1140" s="3">
        <v>595.00000000116415</v>
      </c>
      <c r="AM1140" s="2">
        <v>1</v>
      </c>
      <c r="AN1140">
        <v>0</v>
      </c>
      <c r="AO1140">
        <v>2.5</v>
      </c>
      <c r="AP1140">
        <v>0</v>
      </c>
      <c r="AQ1140" s="2">
        <f>IF((2*G1140 + M1140 -P1140 + 3*W1140 + 2*Z1140+2*AD1140 + AG1140+2*AJ1140 + 4*AM1140) &gt;=8,1,0)</f>
        <v>1</v>
      </c>
    </row>
    <row r="1141" spans="1:43" x14ac:dyDescent="0.25">
      <c r="A1141" t="s">
        <v>27</v>
      </c>
      <c r="B1141" s="1">
        <v>41085</v>
      </c>
      <c r="C1141" s="7">
        <f t="shared" si="198"/>
        <v>2012</v>
      </c>
      <c r="D1141">
        <v>95</v>
      </c>
      <c r="E1141">
        <v>78.599999999999994</v>
      </c>
      <c r="F1141">
        <v>84.8</v>
      </c>
      <c r="G1141" s="2">
        <f t="shared" si="197"/>
        <v>1</v>
      </c>
      <c r="H1141">
        <v>94.1</v>
      </c>
      <c r="I1141">
        <v>78.599999999999994</v>
      </c>
      <c r="J1141">
        <v>84.5</v>
      </c>
      <c r="K1141">
        <v>59.2</v>
      </c>
      <c r="L1141">
        <v>42.7</v>
      </c>
      <c r="M1141" s="2">
        <f t="shared" si="199"/>
        <v>1</v>
      </c>
      <c r="N1141">
        <v>0</v>
      </c>
      <c r="P1141" s="2">
        <f t="shared" si="200"/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s="2">
        <f t="shared" si="201"/>
        <v>0</v>
      </c>
      <c r="X1141">
        <v>16.100000000000001</v>
      </c>
      <c r="Z1141" s="2">
        <f t="shared" si="202"/>
        <v>1</v>
      </c>
      <c r="AA1141">
        <v>15.7</v>
      </c>
      <c r="AB1141" s="2" t="str">
        <f>CHOOSE(MATCH(AA1141,{0;11;80;111;161;191;241;281;341},1),"North","NorthEast","East","SouthEast","South","SouthWest","West","NorthWest","North")</f>
        <v>NorthEast</v>
      </c>
      <c r="AC1141" s="5">
        <f>CHOOSE(MATCH(AB1141,{"South";"SouthEast";"SouthWest";"North";"NorthEast";"East";"West";"NorthWest"},0),1,2,3,4,5,6,7,8)</f>
        <v>5</v>
      </c>
      <c r="AD1141" s="2">
        <f t="shared" si="203"/>
        <v>1</v>
      </c>
      <c r="AE1141">
        <v>1010.7</v>
      </c>
      <c r="AF1141" s="4" t="s">
        <v>1876</v>
      </c>
      <c r="AG1141" s="2">
        <f t="shared" si="204"/>
        <v>1</v>
      </c>
      <c r="AH1141" t="s">
        <v>1877</v>
      </c>
      <c r="AI1141" s="2">
        <f t="shared" si="205"/>
        <v>6</v>
      </c>
      <c r="AJ1141" s="2">
        <f t="shared" si="206"/>
        <v>1</v>
      </c>
      <c r="AK1141" s="3">
        <v>468.99999999906868</v>
      </c>
      <c r="AM1141" s="2">
        <v>1</v>
      </c>
      <c r="AN1141">
        <v>0</v>
      </c>
      <c r="AO1141">
        <v>2</v>
      </c>
      <c r="AP1141">
        <v>0</v>
      </c>
      <c r="AQ1141" s="2">
        <f>IF((2*G1141 + M1141 -P1141 + 3*W1141 + 2*Z1141+2*AD1141 + AG1141+2*AJ1141 + 4*AM1141) &gt;=8,1,0)</f>
        <v>1</v>
      </c>
    </row>
    <row r="1142" spans="1:43" x14ac:dyDescent="0.25">
      <c r="A1142" t="s">
        <v>27</v>
      </c>
      <c r="B1142" s="1">
        <v>41086</v>
      </c>
      <c r="C1142" s="7">
        <f t="shared" si="198"/>
        <v>2012</v>
      </c>
      <c r="D1142">
        <v>94.5</v>
      </c>
      <c r="E1142">
        <v>72.599999999999994</v>
      </c>
      <c r="F1142">
        <v>83.6</v>
      </c>
      <c r="G1142" s="2">
        <f t="shared" si="197"/>
        <v>1</v>
      </c>
      <c r="H1142">
        <v>92.8</v>
      </c>
      <c r="I1142">
        <v>72.599999999999994</v>
      </c>
      <c r="J1142">
        <v>83</v>
      </c>
      <c r="K1142">
        <v>58.4</v>
      </c>
      <c r="L1142">
        <v>44.4</v>
      </c>
      <c r="M1142" s="2">
        <f t="shared" si="199"/>
        <v>1</v>
      </c>
      <c r="N1142">
        <v>0</v>
      </c>
      <c r="P1142" s="2">
        <f t="shared" si="200"/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s="2">
        <f t="shared" si="201"/>
        <v>0</v>
      </c>
      <c r="X1142">
        <v>11.9</v>
      </c>
      <c r="Z1142" s="2">
        <f t="shared" si="202"/>
        <v>0</v>
      </c>
      <c r="AA1142">
        <v>136.80000000000001</v>
      </c>
      <c r="AB1142" s="2" t="str">
        <f>CHOOSE(MATCH(AA1142,{0;11;80;111;161;191;241;281;341},1),"North","NorthEast","East","SouthEast","South","SouthWest","West","NorthWest","North")</f>
        <v>SouthEast</v>
      </c>
      <c r="AC1142" s="5">
        <f>CHOOSE(MATCH(AB1142,{"South";"SouthEast";"SouthWest";"North";"NorthEast";"East";"West";"NorthWest"},0),1,2,3,4,5,6,7,8)</f>
        <v>2</v>
      </c>
      <c r="AD1142" s="2">
        <f t="shared" si="203"/>
        <v>0</v>
      </c>
      <c r="AE1142">
        <v>1010.3</v>
      </c>
      <c r="AF1142" s="4" t="s">
        <v>1084</v>
      </c>
      <c r="AG1142" s="2">
        <f t="shared" si="204"/>
        <v>0</v>
      </c>
      <c r="AH1142" t="s">
        <v>1878</v>
      </c>
      <c r="AI1142" s="2">
        <f t="shared" si="205"/>
        <v>6</v>
      </c>
      <c r="AJ1142" s="2">
        <f t="shared" si="206"/>
        <v>1</v>
      </c>
      <c r="AK1142" s="3">
        <v>4080.000000003492</v>
      </c>
      <c r="AM1142" s="2">
        <v>1</v>
      </c>
      <c r="AN1142">
        <v>1</v>
      </c>
      <c r="AO1142">
        <v>1</v>
      </c>
      <c r="AP1142">
        <v>0</v>
      </c>
      <c r="AQ1142" s="2">
        <f>IF((2*G1142 + M1142 -P1142 + 3*W1142 + 2*Z1142+2*AD1142 + AG1142+2*AJ1142 + 4*AM1142) &gt;=8,1,0)</f>
        <v>1</v>
      </c>
    </row>
    <row r="1143" spans="1:43" x14ac:dyDescent="0.25">
      <c r="A1143" t="s">
        <v>27</v>
      </c>
      <c r="B1143" s="1">
        <v>41091</v>
      </c>
      <c r="C1143" s="7">
        <f t="shared" si="198"/>
        <v>2012</v>
      </c>
      <c r="D1143">
        <v>88.3</v>
      </c>
      <c r="E1143">
        <v>74.099999999999994</v>
      </c>
      <c r="F1143">
        <v>81</v>
      </c>
      <c r="G1143" s="2">
        <f t="shared" si="197"/>
        <v>1</v>
      </c>
      <c r="H1143">
        <v>85</v>
      </c>
      <c r="I1143">
        <v>74.099999999999994</v>
      </c>
      <c r="J1143">
        <v>79.8</v>
      </c>
      <c r="K1143">
        <v>49.5</v>
      </c>
      <c r="L1143">
        <v>34.299999999999997</v>
      </c>
      <c r="M1143" s="2">
        <f t="shared" si="199"/>
        <v>1</v>
      </c>
      <c r="N1143">
        <v>0</v>
      </c>
      <c r="P1143" s="2">
        <f t="shared" si="200"/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36.299999999999997</v>
      </c>
      <c r="W1143" s="2">
        <f t="shared" si="201"/>
        <v>1</v>
      </c>
      <c r="X1143">
        <v>21.8</v>
      </c>
      <c r="Z1143" s="2">
        <f t="shared" si="202"/>
        <v>1</v>
      </c>
      <c r="AA1143">
        <v>6.7</v>
      </c>
      <c r="AB1143" s="2" t="str">
        <f>CHOOSE(MATCH(AA1143,{0;11;80;111;161;191;241;281;341},1),"North","NorthEast","East","SouthEast","South","SouthWest","West","NorthWest","North")</f>
        <v>North</v>
      </c>
      <c r="AC1143" s="5">
        <f>CHOOSE(MATCH(AB1143,{"South";"SouthEast";"SouthWest";"North";"NorthEast";"East";"West";"NorthWest"},0),1,2,3,4,5,6,7,8)</f>
        <v>4</v>
      </c>
      <c r="AD1143" s="2">
        <f t="shared" si="203"/>
        <v>1</v>
      </c>
      <c r="AE1143">
        <v>1013.3</v>
      </c>
      <c r="AF1143" s="4" t="s">
        <v>1879</v>
      </c>
      <c r="AG1143" s="2">
        <f t="shared" si="204"/>
        <v>0</v>
      </c>
      <c r="AH1143" t="s">
        <v>1880</v>
      </c>
      <c r="AI1143" s="2">
        <f t="shared" si="205"/>
        <v>7</v>
      </c>
      <c r="AJ1143" s="2">
        <f t="shared" si="206"/>
        <v>1</v>
      </c>
      <c r="AK1143" s="3">
        <v>2481.9999999913848</v>
      </c>
      <c r="AM1143" s="2">
        <v>1</v>
      </c>
      <c r="AN1143">
        <v>0</v>
      </c>
      <c r="AO1143">
        <v>7</v>
      </c>
      <c r="AP1143">
        <v>0</v>
      </c>
      <c r="AQ1143" s="2">
        <f>IF((2*G1143 + M1143 -P1143 + 3*W1143 + 2*Z1143+2*AD1143 + AG1143+2*AJ1143 + 4*AM1143) &gt;=8,1,0)</f>
        <v>1</v>
      </c>
    </row>
    <row r="1144" spans="1:43" x14ac:dyDescent="0.25">
      <c r="A1144" t="s">
        <v>27</v>
      </c>
      <c r="B1144" s="1">
        <v>41092</v>
      </c>
      <c r="C1144" s="7">
        <f t="shared" si="198"/>
        <v>2012</v>
      </c>
      <c r="D1144">
        <v>86.5</v>
      </c>
      <c r="E1144">
        <v>72.8</v>
      </c>
      <c r="F1144">
        <v>79.400000000000006</v>
      </c>
      <c r="G1144" s="2">
        <f t="shared" si="197"/>
        <v>1</v>
      </c>
      <c r="H1144">
        <v>83.9</v>
      </c>
      <c r="I1144">
        <v>72.8</v>
      </c>
      <c r="J1144">
        <v>78.599999999999994</v>
      </c>
      <c r="K1144">
        <v>51</v>
      </c>
      <c r="L1144">
        <v>37.9</v>
      </c>
      <c r="M1144" s="2">
        <f t="shared" si="199"/>
        <v>1</v>
      </c>
      <c r="N1144">
        <v>0</v>
      </c>
      <c r="P1144" s="2">
        <f t="shared" si="200"/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43.1</v>
      </c>
      <c r="W1144" s="2">
        <f t="shared" si="201"/>
        <v>1</v>
      </c>
      <c r="X1144">
        <v>26.9</v>
      </c>
      <c r="Z1144" s="2">
        <f t="shared" si="202"/>
        <v>1</v>
      </c>
      <c r="AA1144">
        <v>3.1</v>
      </c>
      <c r="AB1144" s="2" t="str">
        <f>CHOOSE(MATCH(AA1144,{0;11;80;111;161;191;241;281;341},1),"North","NorthEast","East","SouthEast","South","SouthWest","West","NorthWest","North")</f>
        <v>North</v>
      </c>
      <c r="AC1144" s="5">
        <f>CHOOSE(MATCH(AB1144,{"South";"SouthEast";"SouthWest";"North";"NorthEast";"East";"West";"NorthWest"},0),1,2,3,4,5,6,7,8)</f>
        <v>4</v>
      </c>
      <c r="AD1144" s="2">
        <f t="shared" si="203"/>
        <v>1</v>
      </c>
      <c r="AE1144">
        <v>1014.3</v>
      </c>
      <c r="AF1144" s="4" t="s">
        <v>1881</v>
      </c>
      <c r="AG1144" s="2">
        <f t="shared" si="204"/>
        <v>1</v>
      </c>
      <c r="AH1144" t="s">
        <v>1882</v>
      </c>
      <c r="AI1144" s="2">
        <f t="shared" si="205"/>
        <v>7</v>
      </c>
      <c r="AJ1144" s="2">
        <f t="shared" si="206"/>
        <v>1</v>
      </c>
      <c r="AK1144" s="3">
        <v>1470.000000003492</v>
      </c>
      <c r="AM1144" s="2">
        <v>1</v>
      </c>
      <c r="AN1144">
        <v>0</v>
      </c>
      <c r="AO1144">
        <v>2</v>
      </c>
      <c r="AP1144">
        <v>0</v>
      </c>
      <c r="AQ1144" s="2">
        <f>IF((2*G1144 + M1144 -P1144 + 3*W1144 + 2*Z1144+2*AD1144 + AG1144+2*AJ1144 + 4*AM1144) &gt;=8,1,0)</f>
        <v>1</v>
      </c>
    </row>
    <row r="1145" spans="1:43" x14ac:dyDescent="0.25">
      <c r="A1145" t="s">
        <v>27</v>
      </c>
      <c r="B1145" s="1">
        <v>41096</v>
      </c>
      <c r="C1145" s="7">
        <f t="shared" si="198"/>
        <v>2012</v>
      </c>
      <c r="D1145">
        <v>94.9</v>
      </c>
      <c r="E1145">
        <v>69.8</v>
      </c>
      <c r="F1145">
        <v>84.2</v>
      </c>
      <c r="G1145" s="2">
        <f t="shared" si="197"/>
        <v>1</v>
      </c>
      <c r="H1145">
        <v>93.4</v>
      </c>
      <c r="I1145">
        <v>69.8</v>
      </c>
      <c r="J1145">
        <v>83.2</v>
      </c>
      <c r="K1145">
        <v>53.2</v>
      </c>
      <c r="L1145">
        <v>35.5</v>
      </c>
      <c r="M1145" s="2">
        <f t="shared" si="199"/>
        <v>1</v>
      </c>
      <c r="N1145">
        <v>0</v>
      </c>
      <c r="P1145" s="2">
        <f t="shared" si="200"/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 s="2">
        <f t="shared" si="201"/>
        <v>0</v>
      </c>
      <c r="X1145">
        <v>13.5</v>
      </c>
      <c r="Z1145" s="2">
        <f t="shared" si="202"/>
        <v>0</v>
      </c>
      <c r="AA1145">
        <v>96.8</v>
      </c>
      <c r="AB1145" s="2" t="str">
        <f>CHOOSE(MATCH(AA1145,{0;11;80;111;161;191;241;281;341},1),"North","NorthEast","East","SouthEast","South","SouthWest","West","NorthWest","North")</f>
        <v>East</v>
      </c>
      <c r="AC1145" s="5">
        <f>CHOOSE(MATCH(AB1145,{"South";"SouthEast";"SouthWest";"North";"NorthEast";"East";"West";"NorthWest"},0),1,2,3,4,5,6,7,8)</f>
        <v>6</v>
      </c>
      <c r="AD1145" s="2">
        <f t="shared" si="203"/>
        <v>0</v>
      </c>
      <c r="AE1145">
        <v>1009.8</v>
      </c>
      <c r="AF1145" s="4" t="s">
        <v>1111</v>
      </c>
      <c r="AG1145" s="2">
        <f t="shared" si="204"/>
        <v>1</v>
      </c>
      <c r="AH1145" t="s">
        <v>1883</v>
      </c>
      <c r="AI1145" s="2">
        <f t="shared" si="205"/>
        <v>7</v>
      </c>
      <c r="AJ1145" s="2">
        <f t="shared" si="206"/>
        <v>1</v>
      </c>
      <c r="AK1145" s="3">
        <v>4595.999999998603</v>
      </c>
      <c r="AM1145" s="2">
        <v>1</v>
      </c>
      <c r="AN1145">
        <v>30</v>
      </c>
      <c r="AO1145">
        <v>0</v>
      </c>
      <c r="AP1145">
        <v>0</v>
      </c>
      <c r="AQ1145" s="2">
        <f>IF((2*G1145 + M1145 -P1145 + 3*W1145 + 2*Z1145+2*AD1145 + AG1145+2*AJ1145 + 4*AM1145) &gt;=8,1,0)</f>
        <v>1</v>
      </c>
    </row>
    <row r="1146" spans="1:43" x14ac:dyDescent="0.25">
      <c r="A1146" t="s">
        <v>27</v>
      </c>
      <c r="B1146" s="1">
        <v>41098</v>
      </c>
      <c r="C1146" s="7">
        <f t="shared" si="198"/>
        <v>2012</v>
      </c>
      <c r="D1146">
        <v>96.7</v>
      </c>
      <c r="E1146">
        <v>72.2</v>
      </c>
      <c r="F1146">
        <v>86.1</v>
      </c>
      <c r="G1146" s="2">
        <f t="shared" si="197"/>
        <v>1</v>
      </c>
      <c r="H1146">
        <v>94.9</v>
      </c>
      <c r="I1146">
        <v>72.2</v>
      </c>
      <c r="J1146">
        <v>85.2</v>
      </c>
      <c r="K1146">
        <v>57.1</v>
      </c>
      <c r="L1146">
        <v>39.700000000000003</v>
      </c>
      <c r="M1146" s="2">
        <f t="shared" si="199"/>
        <v>1</v>
      </c>
      <c r="N1146">
        <v>0</v>
      </c>
      <c r="P1146" s="2">
        <f t="shared" si="200"/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s="2">
        <f t="shared" si="201"/>
        <v>0</v>
      </c>
      <c r="X1146">
        <v>15.5</v>
      </c>
      <c r="Z1146" s="2">
        <f t="shared" si="202"/>
        <v>0</v>
      </c>
      <c r="AA1146">
        <v>11.4</v>
      </c>
      <c r="AB1146" s="2" t="str">
        <f>CHOOSE(MATCH(AA1146,{0;11;80;111;161;191;241;281;341},1),"North","NorthEast","East","SouthEast","South","SouthWest","West","NorthWest","North")</f>
        <v>NorthEast</v>
      </c>
      <c r="AC1146" s="5">
        <f>CHOOSE(MATCH(AB1146,{"South";"SouthEast";"SouthWest";"North";"NorthEast";"East";"West";"NorthWest"},0),1,2,3,4,5,6,7,8)</f>
        <v>5</v>
      </c>
      <c r="AD1146" s="2">
        <f t="shared" si="203"/>
        <v>1</v>
      </c>
      <c r="AE1146">
        <v>1008.6</v>
      </c>
      <c r="AF1146" s="4" t="s">
        <v>1884</v>
      </c>
      <c r="AG1146" s="2">
        <f t="shared" si="204"/>
        <v>0</v>
      </c>
      <c r="AH1146" t="s">
        <v>1885</v>
      </c>
      <c r="AI1146" s="2">
        <f t="shared" si="205"/>
        <v>7</v>
      </c>
      <c r="AJ1146" s="2">
        <f t="shared" si="206"/>
        <v>1</v>
      </c>
      <c r="AK1146" s="3">
        <v>9157.0000000088476</v>
      </c>
      <c r="AM1146" s="2">
        <v>1</v>
      </c>
      <c r="AN1146">
        <v>1500</v>
      </c>
      <c r="AO1146">
        <v>0</v>
      </c>
      <c r="AP1146">
        <v>0</v>
      </c>
      <c r="AQ1146" s="2">
        <f>IF((2*G1146 + M1146 -P1146 + 3*W1146 + 2*Z1146+2*AD1146 + AG1146+2*AJ1146 + 4*AM1146) &gt;=8,1,0)</f>
        <v>1</v>
      </c>
    </row>
    <row r="1147" spans="1:43" x14ac:dyDescent="0.25">
      <c r="A1147" t="s">
        <v>27</v>
      </c>
      <c r="B1147" s="1">
        <v>41099</v>
      </c>
      <c r="C1147" s="7">
        <f t="shared" si="198"/>
        <v>2012</v>
      </c>
      <c r="D1147">
        <v>94.8</v>
      </c>
      <c r="E1147">
        <v>77.8</v>
      </c>
      <c r="F1147">
        <v>87.3</v>
      </c>
      <c r="G1147" s="2">
        <f t="shared" si="197"/>
        <v>1</v>
      </c>
      <c r="H1147">
        <v>95.1</v>
      </c>
      <c r="I1147">
        <v>77.8</v>
      </c>
      <c r="J1147">
        <v>86.7</v>
      </c>
      <c r="K1147">
        <v>57.1</v>
      </c>
      <c r="L1147">
        <v>36.6</v>
      </c>
      <c r="M1147" s="2">
        <f t="shared" si="199"/>
        <v>1</v>
      </c>
      <c r="N1147">
        <v>0</v>
      </c>
      <c r="P1147" s="2">
        <f t="shared" si="200"/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s="2">
        <f t="shared" si="201"/>
        <v>0</v>
      </c>
      <c r="X1147">
        <v>17.5</v>
      </c>
      <c r="Z1147" s="2">
        <f t="shared" si="202"/>
        <v>1</v>
      </c>
      <c r="AA1147">
        <v>10.3</v>
      </c>
      <c r="AB1147" s="2" t="str">
        <f>CHOOSE(MATCH(AA1147,{0;11;80;111;161;191;241;281;341},1),"North","NorthEast","East","SouthEast","South","SouthWest","West","NorthWest","North")</f>
        <v>North</v>
      </c>
      <c r="AC1147" s="5">
        <f>CHOOSE(MATCH(AB1147,{"South";"SouthEast";"SouthWest";"North";"NorthEast";"East";"West";"NorthWest"},0),1,2,3,4,5,6,7,8)</f>
        <v>4</v>
      </c>
      <c r="AD1147" s="2">
        <f t="shared" si="203"/>
        <v>1</v>
      </c>
      <c r="AE1147">
        <v>1009</v>
      </c>
      <c r="AF1147" s="4" t="s">
        <v>1837</v>
      </c>
      <c r="AG1147" s="2">
        <f t="shared" si="204"/>
        <v>1</v>
      </c>
      <c r="AH1147" t="s">
        <v>1886</v>
      </c>
      <c r="AI1147" s="2">
        <f t="shared" si="205"/>
        <v>7</v>
      </c>
      <c r="AJ1147" s="2">
        <f t="shared" si="206"/>
        <v>1</v>
      </c>
      <c r="AK1147" s="3">
        <v>55.000000001164153</v>
      </c>
      <c r="AM1147" s="2">
        <v>0</v>
      </c>
      <c r="AN1147">
        <v>0</v>
      </c>
      <c r="AO1147">
        <v>0.1</v>
      </c>
      <c r="AP1147">
        <v>0</v>
      </c>
      <c r="AQ1147" s="2">
        <f>IF((2*G1147 + M1147 -P1147 + 3*W1147 + 2*Z1147+2*AD1147 + AG1147+2*AJ1147 + 4*AM1147) &gt;=8,1,0)</f>
        <v>1</v>
      </c>
    </row>
    <row r="1148" spans="1:43" x14ac:dyDescent="0.25">
      <c r="A1148" t="s">
        <v>27</v>
      </c>
      <c r="B1148" s="1">
        <v>41100</v>
      </c>
      <c r="C1148" s="7">
        <f t="shared" si="198"/>
        <v>2012</v>
      </c>
      <c r="D1148">
        <v>97.2</v>
      </c>
      <c r="E1148">
        <v>78.900000000000006</v>
      </c>
      <c r="F1148">
        <v>88.3</v>
      </c>
      <c r="G1148" s="2">
        <f t="shared" si="197"/>
        <v>1</v>
      </c>
      <c r="H1148">
        <v>96.5</v>
      </c>
      <c r="I1148">
        <v>78.900000000000006</v>
      </c>
      <c r="J1148">
        <v>87.7</v>
      </c>
      <c r="K1148">
        <v>57</v>
      </c>
      <c r="L1148">
        <v>35.5</v>
      </c>
      <c r="M1148" s="2">
        <f t="shared" si="199"/>
        <v>1</v>
      </c>
      <c r="N1148">
        <v>0</v>
      </c>
      <c r="P1148" s="2">
        <f t="shared" si="200"/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s="2">
        <f t="shared" si="201"/>
        <v>0</v>
      </c>
      <c r="X1148">
        <v>10.5</v>
      </c>
      <c r="Z1148" s="2">
        <f t="shared" si="202"/>
        <v>0</v>
      </c>
      <c r="AA1148">
        <v>109.2</v>
      </c>
      <c r="AB1148" s="2" t="str">
        <f>CHOOSE(MATCH(AA1148,{0;11;80;111;161;191;241;281;341},1),"North","NorthEast","East","SouthEast","South","SouthWest","West","NorthWest","North")</f>
        <v>East</v>
      </c>
      <c r="AC1148" s="5">
        <f>CHOOSE(MATCH(AB1148,{"South";"SouthEast";"SouthWest";"North";"NorthEast";"East";"West";"NorthWest"},0),1,2,3,4,5,6,7,8)</f>
        <v>6</v>
      </c>
      <c r="AD1148" s="2">
        <f t="shared" si="203"/>
        <v>0</v>
      </c>
      <c r="AE1148">
        <v>1009.7</v>
      </c>
      <c r="AF1148" s="4" t="s">
        <v>1887</v>
      </c>
      <c r="AG1148" s="2">
        <f t="shared" si="204"/>
        <v>1</v>
      </c>
      <c r="AH1148" t="s">
        <v>1888</v>
      </c>
      <c r="AI1148" s="2">
        <f t="shared" si="205"/>
        <v>7</v>
      </c>
      <c r="AJ1148" s="2">
        <f t="shared" si="206"/>
        <v>1</v>
      </c>
      <c r="AK1148" s="3">
        <v>135</v>
      </c>
      <c r="AM1148" s="2">
        <v>0</v>
      </c>
      <c r="AN1148">
        <v>0</v>
      </c>
      <c r="AO1148">
        <v>0.1</v>
      </c>
      <c r="AP1148">
        <v>0</v>
      </c>
      <c r="AQ1148" s="2">
        <f>IF((2*G1148 + M1148 -P1148 + 3*W1148 + 2*Z1148+2*AD1148 + AG1148+2*AJ1148 + 4*AM1148) &gt;=8,1,0)</f>
        <v>0</v>
      </c>
    </row>
    <row r="1149" spans="1:43" x14ac:dyDescent="0.25">
      <c r="A1149" t="s">
        <v>27</v>
      </c>
      <c r="B1149" s="1">
        <v>41101</v>
      </c>
      <c r="C1149" s="7">
        <f t="shared" si="198"/>
        <v>2012</v>
      </c>
      <c r="D1149">
        <v>95.9</v>
      </c>
      <c r="E1149">
        <v>79.2</v>
      </c>
      <c r="F1149">
        <v>87.4</v>
      </c>
      <c r="G1149" s="2">
        <f t="shared" si="197"/>
        <v>1</v>
      </c>
      <c r="H1149">
        <v>94.9</v>
      </c>
      <c r="I1149">
        <v>79.2</v>
      </c>
      <c r="J1149">
        <v>86.8</v>
      </c>
      <c r="K1149">
        <v>58</v>
      </c>
      <c r="L1149">
        <v>38.200000000000003</v>
      </c>
      <c r="M1149" s="2">
        <f t="shared" si="199"/>
        <v>1</v>
      </c>
      <c r="N1149">
        <v>0</v>
      </c>
      <c r="P1149" s="2">
        <f t="shared" si="200"/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s="2">
        <f t="shared" si="201"/>
        <v>0</v>
      </c>
      <c r="X1149">
        <v>11.7</v>
      </c>
      <c r="Z1149" s="2">
        <f t="shared" si="202"/>
        <v>0</v>
      </c>
      <c r="AA1149">
        <v>94.5</v>
      </c>
      <c r="AB1149" s="2" t="str">
        <f>CHOOSE(MATCH(AA1149,{0;11;80;111;161;191;241;281;341},1),"North","NorthEast","East","SouthEast","South","SouthWest","West","NorthWest","North")</f>
        <v>East</v>
      </c>
      <c r="AC1149" s="5">
        <f>CHOOSE(MATCH(AB1149,{"South";"SouthEast";"SouthWest";"North";"NorthEast";"East";"West";"NorthWest"},0),1,2,3,4,5,6,7,8)</f>
        <v>6</v>
      </c>
      <c r="AD1149" s="2">
        <f t="shared" si="203"/>
        <v>0</v>
      </c>
      <c r="AE1149">
        <v>1011</v>
      </c>
      <c r="AF1149" s="4" t="s">
        <v>1889</v>
      </c>
      <c r="AG1149" s="2">
        <f t="shared" si="204"/>
        <v>1</v>
      </c>
      <c r="AH1149" t="s">
        <v>1890</v>
      </c>
      <c r="AI1149" s="2">
        <f t="shared" si="205"/>
        <v>7</v>
      </c>
      <c r="AJ1149" s="2">
        <f t="shared" si="206"/>
        <v>1</v>
      </c>
      <c r="AK1149" s="3">
        <v>51.999999991385273</v>
      </c>
      <c r="AM1149" s="2">
        <v>0</v>
      </c>
      <c r="AN1149">
        <v>0</v>
      </c>
      <c r="AO1149">
        <v>0.1</v>
      </c>
      <c r="AP1149">
        <v>0</v>
      </c>
      <c r="AQ1149" s="2">
        <f>IF((2*G1149 + M1149 -P1149 + 3*W1149 + 2*Z1149+2*AD1149 + AG1149+2*AJ1149 + 4*AM1149) &gt;=8,1,0)</f>
        <v>0</v>
      </c>
    </row>
    <row r="1150" spans="1:43" x14ac:dyDescent="0.25">
      <c r="A1150" t="s">
        <v>27</v>
      </c>
      <c r="B1150" s="1">
        <v>41104</v>
      </c>
      <c r="C1150" s="7">
        <f t="shared" si="198"/>
        <v>2012</v>
      </c>
      <c r="D1150">
        <v>96.8</v>
      </c>
      <c r="E1150">
        <v>73.8</v>
      </c>
      <c r="F1150">
        <v>86.6</v>
      </c>
      <c r="G1150" s="2">
        <f t="shared" si="197"/>
        <v>1</v>
      </c>
      <c r="H1150">
        <v>96.6</v>
      </c>
      <c r="I1150">
        <v>73.8</v>
      </c>
      <c r="J1150">
        <v>86.5</v>
      </c>
      <c r="K1150">
        <v>58.9</v>
      </c>
      <c r="L1150">
        <v>40.700000000000003</v>
      </c>
      <c r="M1150" s="2">
        <f t="shared" si="199"/>
        <v>1</v>
      </c>
      <c r="N1150">
        <v>0</v>
      </c>
      <c r="P1150" s="2">
        <f t="shared" si="200"/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s="2">
        <f t="shared" si="201"/>
        <v>0</v>
      </c>
      <c r="X1150">
        <v>14.3</v>
      </c>
      <c r="Z1150" s="2">
        <f t="shared" si="202"/>
        <v>0</v>
      </c>
      <c r="AA1150">
        <v>63.7</v>
      </c>
      <c r="AB1150" s="2" t="str">
        <f>CHOOSE(MATCH(AA1150,{0;11;80;111;161;191;241;281;341},1),"North","NorthEast","East","SouthEast","South","SouthWest","West","NorthWest","North")</f>
        <v>NorthEast</v>
      </c>
      <c r="AC1150" s="5">
        <f>CHOOSE(MATCH(AB1150,{"South";"SouthEast";"SouthWest";"North";"NorthEast";"East";"West";"NorthWest"},0),1,2,3,4,5,6,7,8)</f>
        <v>5</v>
      </c>
      <c r="AD1150" s="2">
        <f t="shared" si="203"/>
        <v>1</v>
      </c>
      <c r="AE1150">
        <v>1009.6</v>
      </c>
      <c r="AF1150" s="4" t="s">
        <v>1891</v>
      </c>
      <c r="AG1150" s="2">
        <f t="shared" si="204"/>
        <v>1</v>
      </c>
      <c r="AH1150" t="s">
        <v>1892</v>
      </c>
      <c r="AI1150" s="2">
        <f t="shared" si="205"/>
        <v>7</v>
      </c>
      <c r="AJ1150" s="2">
        <f t="shared" si="206"/>
        <v>1</v>
      </c>
      <c r="AK1150" s="3">
        <v>385.00000000814907</v>
      </c>
      <c r="AM1150" s="2">
        <v>1</v>
      </c>
      <c r="AN1150">
        <v>0</v>
      </c>
      <c r="AO1150">
        <v>35</v>
      </c>
      <c r="AP1150">
        <v>0</v>
      </c>
      <c r="AQ1150" s="2">
        <f>IF((2*G1150 + M1150 -P1150 + 3*W1150 + 2*Z1150+2*AD1150 + AG1150+2*AJ1150 + 4*AM1150) &gt;=8,1,0)</f>
        <v>1</v>
      </c>
    </row>
    <row r="1151" spans="1:43" x14ac:dyDescent="0.25">
      <c r="A1151" t="s">
        <v>27</v>
      </c>
      <c r="B1151" s="1">
        <v>41104</v>
      </c>
      <c r="C1151" s="7">
        <f t="shared" si="198"/>
        <v>2012</v>
      </c>
      <c r="D1151">
        <v>96.8</v>
      </c>
      <c r="E1151">
        <v>73.8</v>
      </c>
      <c r="F1151">
        <v>86.6</v>
      </c>
      <c r="G1151" s="2">
        <f t="shared" ref="G1151:G1214" si="207">IF(F1151&lt;=73.6,0,1)</f>
        <v>1</v>
      </c>
      <c r="H1151">
        <v>96.6</v>
      </c>
      <c r="I1151">
        <v>73.8</v>
      </c>
      <c r="J1151">
        <v>86.5</v>
      </c>
      <c r="K1151">
        <v>58.9</v>
      </c>
      <c r="L1151">
        <v>40.700000000000003</v>
      </c>
      <c r="M1151" s="2">
        <f t="shared" si="199"/>
        <v>1</v>
      </c>
      <c r="N1151">
        <v>0</v>
      </c>
      <c r="P1151" s="2">
        <f t="shared" si="200"/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s="2">
        <f t="shared" si="201"/>
        <v>0</v>
      </c>
      <c r="X1151">
        <v>14.3</v>
      </c>
      <c r="Z1151" s="2">
        <f t="shared" si="202"/>
        <v>0</v>
      </c>
      <c r="AA1151">
        <v>63.7</v>
      </c>
      <c r="AB1151" s="2" t="str">
        <f>CHOOSE(MATCH(AA1151,{0;11;80;111;161;191;241;281;341},1),"North","NorthEast","East","SouthEast","South","SouthWest","West","NorthWest","North")</f>
        <v>NorthEast</v>
      </c>
      <c r="AC1151" s="5">
        <f>CHOOSE(MATCH(AB1151,{"South";"SouthEast";"SouthWest";"North";"NorthEast";"East";"West";"NorthWest"},0),1,2,3,4,5,6,7,8)</f>
        <v>5</v>
      </c>
      <c r="AD1151" s="2">
        <f t="shared" si="203"/>
        <v>1</v>
      </c>
      <c r="AE1151">
        <v>1009.6</v>
      </c>
      <c r="AF1151" s="4" t="s">
        <v>1893</v>
      </c>
      <c r="AG1151" s="2">
        <f t="shared" si="204"/>
        <v>1</v>
      </c>
      <c r="AH1151" t="s">
        <v>1894</v>
      </c>
      <c r="AI1151" s="2">
        <f t="shared" si="205"/>
        <v>7</v>
      </c>
      <c r="AJ1151" s="2">
        <f t="shared" si="206"/>
        <v>1</v>
      </c>
      <c r="AK1151" s="3">
        <v>4598.9999999979054</v>
      </c>
      <c r="AM1151" s="2">
        <v>1</v>
      </c>
      <c r="AN1151">
        <v>0</v>
      </c>
      <c r="AO1151">
        <v>20</v>
      </c>
      <c r="AP1151">
        <v>0</v>
      </c>
      <c r="AQ1151" s="2">
        <f>IF((2*G1151 + M1151 -P1151 + 3*W1151 + 2*Z1151+2*AD1151 + AG1151+2*AJ1151 + 4*AM1151) &gt;=8,1,0)</f>
        <v>1</v>
      </c>
    </row>
    <row r="1152" spans="1:43" x14ac:dyDescent="0.25">
      <c r="A1152" t="s">
        <v>27</v>
      </c>
      <c r="B1152" s="1">
        <v>41105</v>
      </c>
      <c r="C1152" s="7">
        <f t="shared" ref="C1152:C1210" si="208">YEAR(B1152)</f>
        <v>2012</v>
      </c>
      <c r="D1152">
        <v>102.2</v>
      </c>
      <c r="E1152">
        <v>75.2</v>
      </c>
      <c r="F1152">
        <v>88.9</v>
      </c>
      <c r="G1152" s="2">
        <f t="shared" si="207"/>
        <v>1</v>
      </c>
      <c r="H1152">
        <v>99.9</v>
      </c>
      <c r="I1152">
        <v>75.2</v>
      </c>
      <c r="J1152">
        <v>87.4</v>
      </c>
      <c r="K1152">
        <v>53.7</v>
      </c>
      <c r="L1152">
        <v>32.5</v>
      </c>
      <c r="M1152" s="2">
        <f t="shared" ref="M1152:M1210" si="209">IF(L1152&lt;=49.3,1,0)</f>
        <v>1</v>
      </c>
      <c r="N1152">
        <v>0</v>
      </c>
      <c r="P1152" s="2">
        <f t="shared" ref="P1152:P1210" si="210">IF(N1152&lt;=0.01,1,0)</f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s="2">
        <f t="shared" ref="W1152:W1210" si="211">IF(V1152&lt;=10,0,1)</f>
        <v>0</v>
      </c>
      <c r="X1152">
        <v>18.3</v>
      </c>
      <c r="Z1152" s="2">
        <f t="shared" ref="Z1152:Z1210" si="212">IF(X1152&gt;=16,1,0)</f>
        <v>1</v>
      </c>
      <c r="AA1152">
        <v>19.899999999999999</v>
      </c>
      <c r="AB1152" s="2" t="str">
        <f>CHOOSE(MATCH(AA1152,{0;11;80;111;161;191;241;281;341},1),"North","NorthEast","East","SouthEast","South","SouthWest","West","NorthWest","North")</f>
        <v>NorthEast</v>
      </c>
      <c r="AC1152" s="5">
        <f>CHOOSE(MATCH(AB1152,{"South";"SouthEast";"SouthWest";"North";"NorthEast";"East";"West";"NorthWest"},0),1,2,3,4,5,6,7,8)</f>
        <v>5</v>
      </c>
      <c r="AD1152" s="2">
        <f t="shared" ref="AD1152:AD1210" si="213">IF(OR(AC1152=3,AC1152=4,AC1152=5,AC1152=8),1,0)</f>
        <v>1</v>
      </c>
      <c r="AE1152">
        <v>1010.3</v>
      </c>
      <c r="AF1152" s="4" t="s">
        <v>1767</v>
      </c>
      <c r="AG1152" s="2">
        <f t="shared" ref="AG1152:AG1210" si="214">IF(TIMEVALUE(AF1152)&lt;=TIME(12,30,0),0,1)</f>
        <v>1</v>
      </c>
      <c r="AH1152" t="s">
        <v>1895</v>
      </c>
      <c r="AI1152" s="2">
        <f t="shared" ref="AI1152:AI1210" si="215">MONTH(AH1152)</f>
        <v>7</v>
      </c>
      <c r="AJ1152" s="2">
        <f t="shared" ref="AJ1152:AJ1210" si="216">IF(OR(AI1152=6,AI1152=7,AI1152=8),1,0)</f>
        <v>1</v>
      </c>
      <c r="AK1152" s="3">
        <v>60.000000006984919</v>
      </c>
      <c r="AM1152" s="2">
        <v>0</v>
      </c>
      <c r="AN1152">
        <v>0</v>
      </c>
      <c r="AO1152">
        <v>0.2</v>
      </c>
      <c r="AP1152">
        <v>0</v>
      </c>
      <c r="AQ1152" s="2">
        <f>IF((2*G1152 + M1152 -P1152 + 3*W1152 + 2*Z1152+2*AD1152 + AG1152+2*AJ1152 + 4*AM1152) &gt;=8,1,0)</f>
        <v>1</v>
      </c>
    </row>
    <row r="1153" spans="1:43" x14ac:dyDescent="0.25">
      <c r="A1153" t="s">
        <v>27</v>
      </c>
      <c r="B1153" s="1">
        <v>41108</v>
      </c>
      <c r="C1153" s="7">
        <f t="shared" si="208"/>
        <v>2012</v>
      </c>
      <c r="D1153">
        <v>90.5</v>
      </c>
      <c r="E1153">
        <v>77.5</v>
      </c>
      <c r="F1153">
        <v>83.4</v>
      </c>
      <c r="G1153" s="2">
        <f t="shared" si="207"/>
        <v>1</v>
      </c>
      <c r="H1153">
        <v>87.9</v>
      </c>
      <c r="I1153">
        <v>77.5</v>
      </c>
      <c r="J1153">
        <v>82.4</v>
      </c>
      <c r="K1153">
        <v>56.5</v>
      </c>
      <c r="L1153">
        <v>41.9</v>
      </c>
      <c r="M1153" s="2">
        <f t="shared" si="209"/>
        <v>1</v>
      </c>
      <c r="N1153">
        <v>0</v>
      </c>
      <c r="P1153" s="2">
        <f t="shared" si="210"/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31.8</v>
      </c>
      <c r="W1153" s="2">
        <f t="shared" si="211"/>
        <v>1</v>
      </c>
      <c r="X1153">
        <v>20.6</v>
      </c>
      <c r="Z1153" s="2">
        <f t="shared" si="212"/>
        <v>1</v>
      </c>
      <c r="AA1153">
        <v>0.9</v>
      </c>
      <c r="AB1153" s="2" t="str">
        <f>CHOOSE(MATCH(AA1153,{0;11;80;111;161;191;241;281;341},1),"North","NorthEast","East","SouthEast","South","SouthWest","West","NorthWest","North")</f>
        <v>North</v>
      </c>
      <c r="AC1153" s="5">
        <f>CHOOSE(MATCH(AB1153,{"South";"SouthEast";"SouthWest";"North";"NorthEast";"East";"West";"NorthWest"},0),1,2,3,4,5,6,7,8)</f>
        <v>4</v>
      </c>
      <c r="AD1153" s="2">
        <f t="shared" si="213"/>
        <v>1</v>
      </c>
      <c r="AE1153">
        <v>1012.3</v>
      </c>
      <c r="AF1153" s="4" t="s">
        <v>1227</v>
      </c>
      <c r="AG1153" s="2">
        <f t="shared" si="214"/>
        <v>1</v>
      </c>
      <c r="AH1153" t="s">
        <v>1896</v>
      </c>
      <c r="AI1153" s="2">
        <f t="shared" si="215"/>
        <v>7</v>
      </c>
      <c r="AJ1153" s="2">
        <f t="shared" si="216"/>
        <v>1</v>
      </c>
      <c r="AK1153" s="3">
        <v>509.99999999650748</v>
      </c>
      <c r="AM1153" s="2">
        <v>1</v>
      </c>
      <c r="AN1153">
        <v>1</v>
      </c>
      <c r="AO1153">
        <v>0</v>
      </c>
      <c r="AP1153">
        <v>0</v>
      </c>
      <c r="AQ1153" s="2">
        <f>IF((2*G1153 + M1153 -P1153 + 3*W1153 + 2*Z1153+2*AD1153 + AG1153+2*AJ1153 + 4*AM1153) &gt;=8,1,0)</f>
        <v>1</v>
      </c>
    </row>
    <row r="1154" spans="1:43" x14ac:dyDescent="0.25">
      <c r="A1154" t="s">
        <v>27</v>
      </c>
      <c r="B1154" s="1">
        <v>41109</v>
      </c>
      <c r="C1154" s="7">
        <f t="shared" si="208"/>
        <v>2012</v>
      </c>
      <c r="D1154">
        <v>92.1</v>
      </c>
      <c r="E1154">
        <v>77.099999999999994</v>
      </c>
      <c r="F1154">
        <v>83.4</v>
      </c>
      <c r="G1154" s="2">
        <f t="shared" si="207"/>
        <v>1</v>
      </c>
      <c r="H1154">
        <v>88.8</v>
      </c>
      <c r="I1154">
        <v>77.099999999999994</v>
      </c>
      <c r="J1154">
        <v>81.8</v>
      </c>
      <c r="K1154">
        <v>50.3</v>
      </c>
      <c r="L1154">
        <v>32.9</v>
      </c>
      <c r="M1154" s="2">
        <f t="shared" si="209"/>
        <v>1</v>
      </c>
      <c r="N1154">
        <v>0</v>
      </c>
      <c r="P1154" s="2">
        <f t="shared" si="210"/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40.299999999999997</v>
      </c>
      <c r="W1154" s="2">
        <f t="shared" si="211"/>
        <v>1</v>
      </c>
      <c r="X1154">
        <v>20.6</v>
      </c>
      <c r="Z1154" s="2">
        <f t="shared" si="212"/>
        <v>1</v>
      </c>
      <c r="AA1154">
        <v>357.5</v>
      </c>
      <c r="AB1154" s="2" t="str">
        <f>CHOOSE(MATCH(AA1154,{0;11;80;111;161;191;241;281;341},1),"North","NorthEast","East","SouthEast","South","SouthWest","West","NorthWest","North")</f>
        <v>North</v>
      </c>
      <c r="AC1154" s="5">
        <f>CHOOSE(MATCH(AB1154,{"South";"SouthEast";"SouthWest";"North";"NorthEast";"East";"West";"NorthWest"},0),1,2,3,4,5,6,7,8)</f>
        <v>4</v>
      </c>
      <c r="AD1154" s="2">
        <f t="shared" si="213"/>
        <v>1</v>
      </c>
      <c r="AE1154">
        <v>1012.1</v>
      </c>
      <c r="AF1154" s="4" t="s">
        <v>1897</v>
      </c>
      <c r="AG1154" s="2">
        <f t="shared" si="214"/>
        <v>1</v>
      </c>
      <c r="AH1154" t="s">
        <v>1898</v>
      </c>
      <c r="AI1154" s="2">
        <f t="shared" si="215"/>
        <v>7</v>
      </c>
      <c r="AJ1154" s="2">
        <f t="shared" si="216"/>
        <v>1</v>
      </c>
      <c r="AK1154" s="3">
        <v>11932.000000001861</v>
      </c>
      <c r="AM1154" s="2">
        <v>1</v>
      </c>
      <c r="AN1154">
        <v>180</v>
      </c>
      <c r="AO1154">
        <v>140</v>
      </c>
      <c r="AP1154">
        <v>0</v>
      </c>
      <c r="AQ1154" s="2">
        <f>IF((2*G1154 + M1154 -P1154 + 3*W1154 + 2*Z1154+2*AD1154 + AG1154+2*AJ1154 + 4*AM1154) &gt;=8,1,0)</f>
        <v>1</v>
      </c>
    </row>
    <row r="1155" spans="1:43" x14ac:dyDescent="0.25">
      <c r="A1155" t="s">
        <v>27</v>
      </c>
      <c r="B1155" s="1">
        <v>41111</v>
      </c>
      <c r="C1155" s="7">
        <f t="shared" si="208"/>
        <v>2012</v>
      </c>
      <c r="D1155">
        <v>95.7</v>
      </c>
      <c r="E1155">
        <v>72.8</v>
      </c>
      <c r="F1155">
        <v>84.7</v>
      </c>
      <c r="G1155" s="2">
        <f t="shared" si="207"/>
        <v>1</v>
      </c>
      <c r="H1155">
        <v>92.5</v>
      </c>
      <c r="I1155">
        <v>72.8</v>
      </c>
      <c r="J1155">
        <v>83</v>
      </c>
      <c r="K1155">
        <v>47.8</v>
      </c>
      <c r="L1155">
        <v>28.8</v>
      </c>
      <c r="M1155" s="2">
        <f t="shared" si="209"/>
        <v>1</v>
      </c>
      <c r="N1155">
        <v>0</v>
      </c>
      <c r="P1155" s="2">
        <f t="shared" si="210"/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35.6</v>
      </c>
      <c r="W1155" s="2">
        <f t="shared" si="211"/>
        <v>1</v>
      </c>
      <c r="X1155">
        <v>17.7</v>
      </c>
      <c r="Z1155" s="2">
        <f t="shared" si="212"/>
        <v>1</v>
      </c>
      <c r="AA1155">
        <v>0.5</v>
      </c>
      <c r="AB1155" s="2" t="str">
        <f>CHOOSE(MATCH(AA1155,{0;11;80;111;161;191;241;281;341},1),"North","NorthEast","East","SouthEast","South","SouthWest","West","NorthWest","North")</f>
        <v>North</v>
      </c>
      <c r="AC1155" s="5">
        <f>CHOOSE(MATCH(AB1155,{"South";"SouthEast";"SouthWest";"North";"NorthEast";"East";"West";"NorthWest"},0),1,2,3,4,5,6,7,8)</f>
        <v>4</v>
      </c>
      <c r="AD1155" s="2">
        <f t="shared" si="213"/>
        <v>1</v>
      </c>
      <c r="AE1155">
        <v>1009.5</v>
      </c>
      <c r="AF1155" s="4" t="s">
        <v>1899</v>
      </c>
      <c r="AG1155" s="2">
        <f t="shared" si="214"/>
        <v>1</v>
      </c>
      <c r="AH1155" t="s">
        <v>1900</v>
      </c>
      <c r="AI1155" s="2">
        <f t="shared" si="215"/>
        <v>7</v>
      </c>
      <c r="AJ1155" s="2">
        <f t="shared" si="216"/>
        <v>1</v>
      </c>
      <c r="AK1155" s="3">
        <v>103.0000000004657</v>
      </c>
      <c r="AM1155" s="2">
        <v>0</v>
      </c>
      <c r="AN1155">
        <v>0</v>
      </c>
      <c r="AO1155">
        <v>0.5</v>
      </c>
      <c r="AP1155">
        <v>0</v>
      </c>
      <c r="AQ1155" s="2">
        <f>IF((2*G1155 + M1155 -P1155 + 3*W1155 + 2*Z1155+2*AD1155 + AG1155+2*AJ1155 + 4*AM1155) &gt;=8,1,0)</f>
        <v>1</v>
      </c>
    </row>
    <row r="1156" spans="1:43" x14ac:dyDescent="0.25">
      <c r="A1156" t="s">
        <v>27</v>
      </c>
      <c r="B1156" s="1">
        <v>41111</v>
      </c>
      <c r="C1156" s="7">
        <f t="shared" si="208"/>
        <v>2012</v>
      </c>
      <c r="D1156">
        <v>95.7</v>
      </c>
      <c r="E1156">
        <v>72.8</v>
      </c>
      <c r="F1156">
        <v>84.7</v>
      </c>
      <c r="G1156" s="2">
        <f t="shared" si="207"/>
        <v>1</v>
      </c>
      <c r="H1156">
        <v>92.5</v>
      </c>
      <c r="I1156">
        <v>72.8</v>
      </c>
      <c r="J1156">
        <v>83</v>
      </c>
      <c r="K1156">
        <v>47.8</v>
      </c>
      <c r="L1156">
        <v>28.8</v>
      </c>
      <c r="M1156" s="2">
        <f t="shared" si="209"/>
        <v>1</v>
      </c>
      <c r="N1156">
        <v>0</v>
      </c>
      <c r="P1156" s="2">
        <f t="shared" si="210"/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35.6</v>
      </c>
      <c r="W1156" s="2">
        <f t="shared" si="211"/>
        <v>1</v>
      </c>
      <c r="X1156">
        <v>17.7</v>
      </c>
      <c r="Z1156" s="2">
        <f t="shared" si="212"/>
        <v>1</v>
      </c>
      <c r="AA1156">
        <v>0.5</v>
      </c>
      <c r="AB1156" s="2" t="str">
        <f>CHOOSE(MATCH(AA1156,{0;11;80;111;161;191;241;281;341},1),"North","NorthEast","East","SouthEast","South","SouthWest","West","NorthWest","North")</f>
        <v>North</v>
      </c>
      <c r="AC1156" s="5">
        <f>CHOOSE(MATCH(AB1156,{"South";"SouthEast";"SouthWest";"North";"NorthEast";"East";"West";"NorthWest"},0),1,2,3,4,5,6,7,8)</f>
        <v>4</v>
      </c>
      <c r="AD1156" s="2">
        <f t="shared" si="213"/>
        <v>1</v>
      </c>
      <c r="AE1156">
        <v>1009.5</v>
      </c>
      <c r="AF1156" s="4" t="s">
        <v>1095</v>
      </c>
      <c r="AG1156" s="2">
        <f t="shared" si="214"/>
        <v>1</v>
      </c>
      <c r="AH1156" t="s">
        <v>1901</v>
      </c>
      <c r="AI1156" s="2">
        <f t="shared" si="215"/>
        <v>7</v>
      </c>
      <c r="AJ1156" s="2">
        <f t="shared" si="216"/>
        <v>1</v>
      </c>
      <c r="AK1156" s="3">
        <v>2402.0000000030268</v>
      </c>
      <c r="AM1156" s="2">
        <v>1</v>
      </c>
      <c r="AN1156">
        <v>195</v>
      </c>
      <c r="AO1156">
        <v>0</v>
      </c>
      <c r="AP1156">
        <v>0</v>
      </c>
      <c r="AQ1156" s="2">
        <f>IF((2*G1156 + M1156 -P1156 + 3*W1156 + 2*Z1156+2*AD1156 + AG1156+2*AJ1156 + 4*AM1156) &gt;=8,1,0)</f>
        <v>1</v>
      </c>
    </row>
    <row r="1157" spans="1:43" x14ac:dyDescent="0.25">
      <c r="A1157" t="s">
        <v>27</v>
      </c>
      <c r="B1157" s="1">
        <v>41111</v>
      </c>
      <c r="C1157" s="7">
        <f t="shared" si="208"/>
        <v>2012</v>
      </c>
      <c r="D1157">
        <v>95.7</v>
      </c>
      <c r="E1157">
        <v>72.8</v>
      </c>
      <c r="F1157">
        <v>84.7</v>
      </c>
      <c r="G1157" s="2">
        <f t="shared" si="207"/>
        <v>1</v>
      </c>
      <c r="H1157">
        <v>92.5</v>
      </c>
      <c r="I1157">
        <v>72.8</v>
      </c>
      <c r="J1157">
        <v>83</v>
      </c>
      <c r="K1157">
        <v>47.8</v>
      </c>
      <c r="L1157">
        <v>28.8</v>
      </c>
      <c r="M1157" s="2">
        <f t="shared" si="209"/>
        <v>1</v>
      </c>
      <c r="N1157">
        <v>0</v>
      </c>
      <c r="P1157" s="2">
        <f t="shared" si="210"/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35.6</v>
      </c>
      <c r="W1157" s="2">
        <f t="shared" si="211"/>
        <v>1</v>
      </c>
      <c r="X1157">
        <v>17.7</v>
      </c>
      <c r="Z1157" s="2">
        <f t="shared" si="212"/>
        <v>1</v>
      </c>
      <c r="AA1157">
        <v>0.5</v>
      </c>
      <c r="AB1157" s="2" t="str">
        <f>CHOOSE(MATCH(AA1157,{0;11;80;111;161;191;241;281;341},1),"North","NorthEast","East","SouthEast","South","SouthWest","West","NorthWest","North")</f>
        <v>North</v>
      </c>
      <c r="AC1157" s="5">
        <f>CHOOSE(MATCH(AB1157,{"South";"SouthEast";"SouthWest";"North";"NorthEast";"East";"West";"NorthWest"},0),1,2,3,4,5,6,7,8)</f>
        <v>4</v>
      </c>
      <c r="AD1157" s="2">
        <f t="shared" si="213"/>
        <v>1</v>
      </c>
      <c r="AE1157">
        <v>1009.5</v>
      </c>
      <c r="AF1157" s="4" t="s">
        <v>1902</v>
      </c>
      <c r="AG1157" s="2">
        <f t="shared" si="214"/>
        <v>1</v>
      </c>
      <c r="AH1157" t="s">
        <v>1903</v>
      </c>
      <c r="AI1157" s="2">
        <f t="shared" si="215"/>
        <v>7</v>
      </c>
      <c r="AJ1157" s="2">
        <f t="shared" si="216"/>
        <v>1</v>
      </c>
      <c r="AK1157" s="3">
        <v>1020.000000003492</v>
      </c>
      <c r="AM1157" s="2">
        <v>1</v>
      </c>
      <c r="AN1157">
        <v>0</v>
      </c>
      <c r="AO1157">
        <v>3</v>
      </c>
      <c r="AP1157">
        <v>0</v>
      </c>
      <c r="AQ1157" s="2">
        <f>IF((2*G1157 + M1157 -P1157 + 3*W1157 + 2*Z1157+2*AD1157 + AG1157+2*AJ1157 + 4*AM1157) &gt;=8,1,0)</f>
        <v>1</v>
      </c>
    </row>
    <row r="1158" spans="1:43" x14ac:dyDescent="0.25">
      <c r="A1158" t="s">
        <v>27</v>
      </c>
      <c r="B1158" s="1">
        <v>41113</v>
      </c>
      <c r="C1158" s="7">
        <f t="shared" si="208"/>
        <v>2012</v>
      </c>
      <c r="D1158">
        <v>94.8</v>
      </c>
      <c r="E1158">
        <v>79.400000000000006</v>
      </c>
      <c r="F1158">
        <v>86.2</v>
      </c>
      <c r="G1158" s="2">
        <f t="shared" si="207"/>
        <v>1</v>
      </c>
      <c r="H1158">
        <v>92.8</v>
      </c>
      <c r="I1158">
        <v>79.400000000000006</v>
      </c>
      <c r="J1158">
        <v>85.4</v>
      </c>
      <c r="K1158">
        <v>55.6</v>
      </c>
      <c r="L1158">
        <v>36</v>
      </c>
      <c r="M1158" s="2">
        <f t="shared" si="209"/>
        <v>1</v>
      </c>
      <c r="N1158">
        <v>0</v>
      </c>
      <c r="P1158" s="2">
        <f t="shared" si="210"/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30.1</v>
      </c>
      <c r="W1158" s="2">
        <f t="shared" si="211"/>
        <v>1</v>
      </c>
      <c r="X1158">
        <v>20.5</v>
      </c>
      <c r="Z1158" s="2">
        <f t="shared" si="212"/>
        <v>1</v>
      </c>
      <c r="AA1158">
        <v>358.9</v>
      </c>
      <c r="AB1158" s="2" t="str">
        <f>CHOOSE(MATCH(AA1158,{0;11;80;111;161;191;241;281;341},1),"North","NorthEast","East","SouthEast","South","SouthWest","West","NorthWest","North")</f>
        <v>North</v>
      </c>
      <c r="AC1158" s="5">
        <f>CHOOSE(MATCH(AB1158,{"South";"SouthEast";"SouthWest";"North";"NorthEast";"East";"West";"NorthWest"},0),1,2,3,4,5,6,7,8)</f>
        <v>4</v>
      </c>
      <c r="AD1158" s="2">
        <f t="shared" si="213"/>
        <v>1</v>
      </c>
      <c r="AE1158">
        <v>1009.3</v>
      </c>
      <c r="AF1158" s="4" t="s">
        <v>1902</v>
      </c>
      <c r="AG1158" s="2">
        <f t="shared" si="214"/>
        <v>1</v>
      </c>
      <c r="AH1158" t="s">
        <v>1904</v>
      </c>
      <c r="AI1158" s="2">
        <f t="shared" si="215"/>
        <v>7</v>
      </c>
      <c r="AJ1158" s="2">
        <f t="shared" si="216"/>
        <v>1</v>
      </c>
      <c r="AK1158" s="3">
        <v>149.99999999650751</v>
      </c>
      <c r="AM1158" s="2">
        <v>0</v>
      </c>
      <c r="AN1158">
        <v>0</v>
      </c>
      <c r="AO1158">
        <v>0.5</v>
      </c>
      <c r="AP1158">
        <v>0</v>
      </c>
      <c r="AQ1158" s="2">
        <f>IF((2*G1158 + M1158 -P1158 + 3*W1158 + 2*Z1158+2*AD1158 + AG1158+2*AJ1158 + 4*AM1158) &gt;=8,1,0)</f>
        <v>1</v>
      </c>
    </row>
    <row r="1159" spans="1:43" x14ac:dyDescent="0.25">
      <c r="A1159" t="s">
        <v>27</v>
      </c>
      <c r="B1159" s="1">
        <v>41114</v>
      </c>
      <c r="C1159" s="7">
        <f t="shared" si="208"/>
        <v>2012</v>
      </c>
      <c r="D1159">
        <v>90.7</v>
      </c>
      <c r="E1159">
        <v>79</v>
      </c>
      <c r="F1159">
        <v>84.3</v>
      </c>
      <c r="G1159" s="2">
        <f t="shared" si="207"/>
        <v>1</v>
      </c>
      <c r="H1159">
        <v>93.9</v>
      </c>
      <c r="I1159">
        <v>79</v>
      </c>
      <c r="J1159">
        <v>85.8</v>
      </c>
      <c r="K1159">
        <v>65</v>
      </c>
      <c r="L1159">
        <v>53.1</v>
      </c>
      <c r="M1159" s="2">
        <f t="shared" si="209"/>
        <v>0</v>
      </c>
      <c r="N1159">
        <v>0</v>
      </c>
      <c r="P1159" s="2">
        <f t="shared" si="210"/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s="2">
        <f t="shared" si="211"/>
        <v>0</v>
      </c>
      <c r="X1159">
        <v>15.3</v>
      </c>
      <c r="Z1159" s="2">
        <f t="shared" si="212"/>
        <v>0</v>
      </c>
      <c r="AA1159">
        <v>17</v>
      </c>
      <c r="AB1159" s="2" t="str">
        <f>CHOOSE(MATCH(AA1159,{0;11;80;111;161;191;241;281;341},1),"North","NorthEast","East","SouthEast","South","SouthWest","West","NorthWest","North")</f>
        <v>NorthEast</v>
      </c>
      <c r="AC1159" s="5">
        <f>CHOOSE(MATCH(AB1159,{"South";"SouthEast";"SouthWest";"North";"NorthEast";"East";"West";"NorthWest"},0),1,2,3,4,5,6,7,8)</f>
        <v>5</v>
      </c>
      <c r="AD1159" s="2">
        <f t="shared" si="213"/>
        <v>1</v>
      </c>
      <c r="AE1159">
        <v>1010.6</v>
      </c>
      <c r="AF1159" s="4" t="s">
        <v>1905</v>
      </c>
      <c r="AG1159" s="2">
        <f t="shared" si="214"/>
        <v>0</v>
      </c>
      <c r="AH1159" t="s">
        <v>1906</v>
      </c>
      <c r="AI1159" s="2">
        <f t="shared" si="215"/>
        <v>7</v>
      </c>
      <c r="AJ1159" s="2">
        <f t="shared" si="216"/>
        <v>1</v>
      </c>
      <c r="AK1159" s="3">
        <v>481.99999999953428</v>
      </c>
      <c r="AM1159" s="2">
        <v>1</v>
      </c>
      <c r="AN1159">
        <v>0</v>
      </c>
      <c r="AO1159">
        <v>0.5</v>
      </c>
      <c r="AP1159">
        <v>0</v>
      </c>
      <c r="AQ1159" s="2">
        <f>IF((2*G1159 + M1159 -P1159 + 3*W1159 + 2*Z1159+2*AD1159 + AG1159+2*AJ1159 + 4*AM1159) &gt;=8,1,0)</f>
        <v>1</v>
      </c>
    </row>
    <row r="1160" spans="1:43" x14ac:dyDescent="0.25">
      <c r="A1160" t="s">
        <v>27</v>
      </c>
      <c r="B1160" s="1">
        <v>41114</v>
      </c>
      <c r="C1160" s="7">
        <f t="shared" si="208"/>
        <v>2012</v>
      </c>
      <c r="D1160">
        <v>90.7</v>
      </c>
      <c r="E1160">
        <v>79</v>
      </c>
      <c r="F1160">
        <v>84.3</v>
      </c>
      <c r="G1160" s="2">
        <f t="shared" si="207"/>
        <v>1</v>
      </c>
      <c r="H1160">
        <v>93.9</v>
      </c>
      <c r="I1160">
        <v>79</v>
      </c>
      <c r="J1160">
        <v>85.8</v>
      </c>
      <c r="K1160">
        <v>65</v>
      </c>
      <c r="L1160">
        <v>53.1</v>
      </c>
      <c r="M1160" s="2">
        <f t="shared" si="209"/>
        <v>0</v>
      </c>
      <c r="N1160">
        <v>0</v>
      </c>
      <c r="P1160" s="2">
        <f t="shared" si="210"/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s="2">
        <f t="shared" si="211"/>
        <v>0</v>
      </c>
      <c r="X1160">
        <v>15.3</v>
      </c>
      <c r="Z1160" s="2">
        <f t="shared" si="212"/>
        <v>0</v>
      </c>
      <c r="AA1160">
        <v>17</v>
      </c>
      <c r="AB1160" s="2" t="str">
        <f>CHOOSE(MATCH(AA1160,{0;11;80;111;161;191;241;281;341},1),"North","NorthEast","East","SouthEast","South","SouthWest","West","NorthWest","North")</f>
        <v>NorthEast</v>
      </c>
      <c r="AC1160" s="5">
        <f>CHOOSE(MATCH(AB1160,{"South";"SouthEast";"SouthWest";"North";"NorthEast";"East";"West";"NorthWest"},0),1,2,3,4,5,6,7,8)</f>
        <v>5</v>
      </c>
      <c r="AD1160" s="2">
        <f t="shared" si="213"/>
        <v>1</v>
      </c>
      <c r="AE1160">
        <v>1010.6</v>
      </c>
      <c r="AF1160" s="4" t="s">
        <v>1907</v>
      </c>
      <c r="AG1160" s="2">
        <f t="shared" si="214"/>
        <v>0</v>
      </c>
      <c r="AH1160" t="s">
        <v>1908</v>
      </c>
      <c r="AI1160" s="2">
        <f t="shared" si="215"/>
        <v>7</v>
      </c>
      <c r="AJ1160" s="2">
        <f t="shared" si="216"/>
        <v>1</v>
      </c>
      <c r="AK1160" s="3">
        <v>270</v>
      </c>
      <c r="AM1160" s="2">
        <v>0</v>
      </c>
      <c r="AN1160">
        <v>0</v>
      </c>
      <c r="AO1160">
        <v>1</v>
      </c>
      <c r="AP1160">
        <v>0</v>
      </c>
      <c r="AQ1160" s="2">
        <f>IF((2*G1160 + M1160 -P1160 + 3*W1160 + 2*Z1160+2*AD1160 + AG1160+2*AJ1160 + 4*AM1160) &gt;=8,1,0)</f>
        <v>0</v>
      </c>
    </row>
    <row r="1161" spans="1:43" x14ac:dyDescent="0.25">
      <c r="A1161" t="s">
        <v>27</v>
      </c>
      <c r="B1161" s="1">
        <v>41114</v>
      </c>
      <c r="C1161" s="7">
        <f t="shared" si="208"/>
        <v>2012</v>
      </c>
      <c r="D1161">
        <v>90.7</v>
      </c>
      <c r="E1161">
        <v>79</v>
      </c>
      <c r="F1161">
        <v>84.3</v>
      </c>
      <c r="G1161" s="2">
        <f t="shared" si="207"/>
        <v>1</v>
      </c>
      <c r="H1161">
        <v>93.9</v>
      </c>
      <c r="I1161">
        <v>79</v>
      </c>
      <c r="J1161">
        <v>85.8</v>
      </c>
      <c r="K1161">
        <v>65</v>
      </c>
      <c r="L1161">
        <v>53.1</v>
      </c>
      <c r="M1161" s="2">
        <f t="shared" si="209"/>
        <v>0</v>
      </c>
      <c r="N1161">
        <v>0</v>
      </c>
      <c r="P1161" s="2">
        <f t="shared" si="210"/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s="2">
        <f t="shared" si="211"/>
        <v>0</v>
      </c>
      <c r="X1161">
        <v>15.3</v>
      </c>
      <c r="Z1161" s="2">
        <f t="shared" si="212"/>
        <v>0</v>
      </c>
      <c r="AA1161">
        <v>17</v>
      </c>
      <c r="AB1161" s="2" t="str">
        <f>CHOOSE(MATCH(AA1161,{0;11;80;111;161;191;241;281;341},1),"North","NorthEast","East","SouthEast","South","SouthWest","West","NorthWest","North")</f>
        <v>NorthEast</v>
      </c>
      <c r="AC1161" s="5">
        <f>CHOOSE(MATCH(AB1161,{"South";"SouthEast";"SouthWest";"North";"NorthEast";"East";"West";"NorthWest"},0),1,2,3,4,5,6,7,8)</f>
        <v>5</v>
      </c>
      <c r="AD1161" s="2">
        <f t="shared" si="213"/>
        <v>1</v>
      </c>
      <c r="AE1161">
        <v>1010.6</v>
      </c>
      <c r="AF1161" s="4" t="s">
        <v>1237</v>
      </c>
      <c r="AG1161" s="2">
        <f t="shared" si="214"/>
        <v>1</v>
      </c>
      <c r="AH1161" t="s">
        <v>1909</v>
      </c>
      <c r="AI1161" s="2">
        <f t="shared" si="215"/>
        <v>7</v>
      </c>
      <c r="AJ1161" s="2">
        <f t="shared" si="216"/>
        <v>1</v>
      </c>
      <c r="AK1161" s="3">
        <v>9.0000000083819032</v>
      </c>
      <c r="AM1161" s="2">
        <v>0</v>
      </c>
      <c r="AN1161">
        <v>0</v>
      </c>
      <c r="AO1161">
        <v>0.1</v>
      </c>
      <c r="AP1161">
        <v>0</v>
      </c>
      <c r="AQ1161" s="2">
        <f>IF((2*G1161 + M1161 -P1161 + 3*W1161 + 2*Z1161+2*AD1161 + AG1161+2*AJ1161 + 4*AM1161) &gt;=8,1,0)</f>
        <v>0</v>
      </c>
    </row>
    <row r="1162" spans="1:43" x14ac:dyDescent="0.25">
      <c r="A1162" t="s">
        <v>27</v>
      </c>
      <c r="B1162" s="1">
        <v>41115</v>
      </c>
      <c r="C1162" s="7">
        <f t="shared" si="208"/>
        <v>2012</v>
      </c>
      <c r="D1162">
        <v>94.9</v>
      </c>
      <c r="E1162">
        <v>75.8</v>
      </c>
      <c r="F1162">
        <v>84</v>
      </c>
      <c r="G1162" s="2">
        <f t="shared" si="207"/>
        <v>1</v>
      </c>
      <c r="H1162">
        <v>95.8</v>
      </c>
      <c r="I1162">
        <v>75.8</v>
      </c>
      <c r="J1162">
        <v>85.4</v>
      </c>
      <c r="K1162">
        <v>66</v>
      </c>
      <c r="L1162">
        <v>56.9</v>
      </c>
      <c r="M1162" s="2">
        <f t="shared" si="209"/>
        <v>0</v>
      </c>
      <c r="N1162">
        <v>0</v>
      </c>
      <c r="P1162" s="2">
        <f t="shared" si="210"/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s="2">
        <f t="shared" si="211"/>
        <v>0</v>
      </c>
      <c r="X1162">
        <v>11.7</v>
      </c>
      <c r="Z1162" s="2">
        <f t="shared" si="212"/>
        <v>0</v>
      </c>
      <c r="AA1162">
        <v>104.4</v>
      </c>
      <c r="AB1162" s="2" t="str">
        <f>CHOOSE(MATCH(AA1162,{0;11;80;111;161;191;241;281;341},1),"North","NorthEast","East","SouthEast","South","SouthWest","West","NorthWest","North")</f>
        <v>East</v>
      </c>
      <c r="AC1162" s="5">
        <f>CHOOSE(MATCH(AB1162,{"South";"SouthEast";"SouthWest";"North";"NorthEast";"East";"West";"NorthWest"},0),1,2,3,4,5,6,7,8)</f>
        <v>6</v>
      </c>
      <c r="AD1162" s="2">
        <f t="shared" si="213"/>
        <v>0</v>
      </c>
      <c r="AE1162">
        <v>1009.3</v>
      </c>
      <c r="AF1162" s="4" t="s">
        <v>1910</v>
      </c>
      <c r="AG1162" s="2">
        <f t="shared" si="214"/>
        <v>1</v>
      </c>
      <c r="AH1162" t="s">
        <v>1911</v>
      </c>
      <c r="AI1162" s="2">
        <f t="shared" si="215"/>
        <v>7</v>
      </c>
      <c r="AJ1162" s="2">
        <f t="shared" si="216"/>
        <v>1</v>
      </c>
      <c r="AK1162" s="3">
        <v>284.00000000372529</v>
      </c>
      <c r="AM1162" s="2">
        <v>0</v>
      </c>
      <c r="AN1162">
        <v>0</v>
      </c>
      <c r="AO1162">
        <v>4</v>
      </c>
      <c r="AP1162">
        <v>0</v>
      </c>
      <c r="AQ1162" s="2">
        <f>IF((2*G1162 + M1162 -P1162 + 3*W1162 + 2*Z1162+2*AD1162 + AG1162+2*AJ1162 + 4*AM1162) &gt;=8,1,0)</f>
        <v>0</v>
      </c>
    </row>
    <row r="1163" spans="1:43" x14ac:dyDescent="0.25">
      <c r="A1163" t="s">
        <v>27</v>
      </c>
      <c r="B1163" s="1">
        <v>41119</v>
      </c>
      <c r="C1163" s="7">
        <f t="shared" si="208"/>
        <v>2012</v>
      </c>
      <c r="D1163">
        <v>100.6</v>
      </c>
      <c r="E1163">
        <v>83.3</v>
      </c>
      <c r="F1163">
        <v>91.1</v>
      </c>
      <c r="G1163" s="2">
        <f t="shared" si="207"/>
        <v>1</v>
      </c>
      <c r="H1163">
        <v>99</v>
      </c>
      <c r="I1163">
        <v>82.2</v>
      </c>
      <c r="J1163">
        <v>88.9</v>
      </c>
      <c r="K1163">
        <v>52.4</v>
      </c>
      <c r="L1163">
        <v>27.6</v>
      </c>
      <c r="M1163" s="2">
        <f t="shared" si="209"/>
        <v>1</v>
      </c>
      <c r="N1163">
        <v>0</v>
      </c>
      <c r="P1163" s="2">
        <f t="shared" si="210"/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27.5</v>
      </c>
      <c r="W1163" s="2">
        <f t="shared" si="211"/>
        <v>1</v>
      </c>
      <c r="X1163">
        <v>19.100000000000001</v>
      </c>
      <c r="Z1163" s="2">
        <f t="shared" si="212"/>
        <v>1</v>
      </c>
      <c r="AA1163">
        <v>4.3</v>
      </c>
      <c r="AB1163" s="2" t="str">
        <f>CHOOSE(MATCH(AA1163,{0;11;80;111;161;191;241;281;341},1),"North","NorthEast","East","SouthEast","South","SouthWest","West","NorthWest","North")</f>
        <v>North</v>
      </c>
      <c r="AC1163" s="5">
        <f>CHOOSE(MATCH(AB1163,{"South";"SouthEast";"SouthWest";"North";"NorthEast";"East";"West";"NorthWest"},0),1,2,3,4,5,6,7,8)</f>
        <v>4</v>
      </c>
      <c r="AD1163" s="2">
        <f t="shared" si="213"/>
        <v>1</v>
      </c>
      <c r="AE1163">
        <v>1008.2</v>
      </c>
      <c r="AF1163" s="4" t="s">
        <v>1912</v>
      </c>
      <c r="AG1163" s="2">
        <f t="shared" si="214"/>
        <v>0</v>
      </c>
      <c r="AH1163" t="s">
        <v>1913</v>
      </c>
      <c r="AI1163" s="2">
        <f t="shared" si="215"/>
        <v>7</v>
      </c>
      <c r="AJ1163" s="2">
        <f t="shared" si="216"/>
        <v>1</v>
      </c>
      <c r="AK1163" s="3">
        <v>412.00000000186259</v>
      </c>
      <c r="AM1163" s="2">
        <v>1</v>
      </c>
      <c r="AN1163">
        <v>0</v>
      </c>
      <c r="AO1163">
        <v>1</v>
      </c>
      <c r="AP1163">
        <v>0</v>
      </c>
      <c r="AQ1163" s="2">
        <f>IF((2*G1163 + M1163 -P1163 + 3*W1163 + 2*Z1163+2*AD1163 + AG1163+2*AJ1163 + 4*AM1163) &gt;=8,1,0)</f>
        <v>1</v>
      </c>
    </row>
    <row r="1164" spans="1:43" x14ac:dyDescent="0.25">
      <c r="A1164" t="s">
        <v>27</v>
      </c>
      <c r="B1164" s="1">
        <v>41120</v>
      </c>
      <c r="C1164" s="7">
        <f t="shared" si="208"/>
        <v>2012</v>
      </c>
      <c r="D1164">
        <v>98.5</v>
      </c>
      <c r="E1164">
        <v>77.7</v>
      </c>
      <c r="F1164">
        <v>88.7</v>
      </c>
      <c r="G1164" s="2">
        <f t="shared" si="207"/>
        <v>1</v>
      </c>
      <c r="H1164">
        <v>96.8</v>
      </c>
      <c r="I1164">
        <v>77.7</v>
      </c>
      <c r="J1164">
        <v>87.3</v>
      </c>
      <c r="K1164">
        <v>53.3</v>
      </c>
      <c r="L1164">
        <v>31.1</v>
      </c>
      <c r="M1164" s="2">
        <f t="shared" si="209"/>
        <v>1</v>
      </c>
      <c r="N1164">
        <v>0</v>
      </c>
      <c r="P1164" s="2">
        <f t="shared" si="210"/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s="2">
        <f t="shared" si="211"/>
        <v>0</v>
      </c>
      <c r="X1164">
        <v>16.899999999999999</v>
      </c>
      <c r="Z1164" s="2">
        <f t="shared" si="212"/>
        <v>1</v>
      </c>
      <c r="AA1164">
        <v>35.6</v>
      </c>
      <c r="AB1164" s="2" t="str">
        <f>CHOOSE(MATCH(AA1164,{0;11;80;111;161;191;241;281;341},1),"North","NorthEast","East","SouthEast","South","SouthWest","West","NorthWest","North")</f>
        <v>NorthEast</v>
      </c>
      <c r="AC1164" s="5">
        <f>CHOOSE(MATCH(AB1164,{"South";"SouthEast";"SouthWest";"North";"NorthEast";"East";"West";"NorthWest"},0),1,2,3,4,5,6,7,8)</f>
        <v>5</v>
      </c>
      <c r="AD1164" s="2">
        <f t="shared" si="213"/>
        <v>1</v>
      </c>
      <c r="AE1164">
        <v>1007.5</v>
      </c>
      <c r="AF1164" s="4" t="s">
        <v>1914</v>
      </c>
      <c r="AG1164" s="2">
        <f t="shared" si="214"/>
        <v>0</v>
      </c>
      <c r="AH1164" t="s">
        <v>1915</v>
      </c>
      <c r="AI1164" s="2">
        <f t="shared" si="215"/>
        <v>7</v>
      </c>
      <c r="AJ1164" s="2">
        <f t="shared" si="216"/>
        <v>1</v>
      </c>
      <c r="AK1164" s="3">
        <v>329.99999999650748</v>
      </c>
      <c r="AM1164" s="2">
        <v>0</v>
      </c>
      <c r="AN1164">
        <v>0</v>
      </c>
      <c r="AO1164">
        <v>3</v>
      </c>
      <c r="AP1164">
        <v>0</v>
      </c>
      <c r="AQ1164" s="2">
        <f>IF((2*G1164 + M1164 -P1164 + 3*W1164 + 2*Z1164+2*AD1164 + AG1164+2*AJ1164 + 4*AM1164) &gt;=8,1,0)</f>
        <v>1</v>
      </c>
    </row>
    <row r="1165" spans="1:43" x14ac:dyDescent="0.25">
      <c r="A1165" t="s">
        <v>27</v>
      </c>
      <c r="B1165" s="1">
        <v>41125</v>
      </c>
      <c r="C1165" s="7">
        <f t="shared" si="208"/>
        <v>2012</v>
      </c>
      <c r="D1165">
        <v>94.9</v>
      </c>
      <c r="E1165">
        <v>71.599999999999994</v>
      </c>
      <c r="F1165">
        <v>83.8</v>
      </c>
      <c r="G1165" s="2">
        <f t="shared" si="207"/>
        <v>1</v>
      </c>
      <c r="H1165">
        <v>93</v>
      </c>
      <c r="I1165">
        <v>71.599999999999994</v>
      </c>
      <c r="J1165">
        <v>83.1</v>
      </c>
      <c r="K1165">
        <v>56.1</v>
      </c>
      <c r="L1165">
        <v>40.4</v>
      </c>
      <c r="M1165" s="2">
        <f t="shared" si="209"/>
        <v>1</v>
      </c>
      <c r="N1165">
        <v>0</v>
      </c>
      <c r="P1165" s="2">
        <f t="shared" si="210"/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s="2">
        <f t="shared" si="211"/>
        <v>0</v>
      </c>
      <c r="X1165">
        <v>11.2</v>
      </c>
      <c r="Z1165" s="2">
        <f t="shared" si="212"/>
        <v>0</v>
      </c>
      <c r="AA1165">
        <v>102.3</v>
      </c>
      <c r="AB1165" s="2" t="str">
        <f>CHOOSE(MATCH(AA1165,{0;11;80;111;161;191;241;281;341},1),"North","NorthEast","East","SouthEast","South","SouthWest","West","NorthWest","North")</f>
        <v>East</v>
      </c>
      <c r="AC1165" s="5">
        <f>CHOOSE(MATCH(AB1165,{"South";"SouthEast";"SouthWest";"North";"NorthEast";"East";"West";"NorthWest"},0),1,2,3,4,5,6,7,8)</f>
        <v>6</v>
      </c>
      <c r="AD1165" s="2">
        <f t="shared" si="213"/>
        <v>0</v>
      </c>
      <c r="AE1165">
        <v>1011.5</v>
      </c>
      <c r="AF1165" s="4" t="s">
        <v>1916</v>
      </c>
      <c r="AG1165" s="2">
        <f t="shared" si="214"/>
        <v>0</v>
      </c>
      <c r="AH1165" t="s">
        <v>1917</v>
      </c>
      <c r="AI1165" s="2">
        <f t="shared" si="215"/>
        <v>8</v>
      </c>
      <c r="AJ1165" s="2">
        <f t="shared" si="216"/>
        <v>1</v>
      </c>
      <c r="AK1165" s="3">
        <v>10.9999999939464</v>
      </c>
      <c r="AM1165" s="2">
        <v>0</v>
      </c>
      <c r="AN1165">
        <v>0</v>
      </c>
      <c r="AO1165">
        <v>1</v>
      </c>
      <c r="AP1165">
        <v>0</v>
      </c>
      <c r="AQ1165" s="2">
        <f>IF((2*G1165 + M1165 -P1165 + 3*W1165 + 2*Z1165+2*AD1165 + AG1165+2*AJ1165 + 4*AM1165) &gt;=8,1,0)</f>
        <v>0</v>
      </c>
    </row>
    <row r="1166" spans="1:43" x14ac:dyDescent="0.25">
      <c r="A1166" t="s">
        <v>27</v>
      </c>
      <c r="B1166" s="1">
        <v>41127</v>
      </c>
      <c r="C1166" s="7">
        <f t="shared" si="208"/>
        <v>2012</v>
      </c>
      <c r="D1166">
        <v>100.8</v>
      </c>
      <c r="E1166">
        <v>76.3</v>
      </c>
      <c r="F1166">
        <v>89</v>
      </c>
      <c r="G1166" s="2">
        <f t="shared" si="207"/>
        <v>1</v>
      </c>
      <c r="H1166">
        <v>98.5</v>
      </c>
      <c r="I1166">
        <v>76.3</v>
      </c>
      <c r="J1166">
        <v>87.4</v>
      </c>
      <c r="K1166">
        <v>51.2</v>
      </c>
      <c r="L1166">
        <v>28.4</v>
      </c>
      <c r="M1166" s="2">
        <f t="shared" si="209"/>
        <v>1</v>
      </c>
      <c r="N1166">
        <v>0</v>
      </c>
      <c r="P1166" s="2">
        <f t="shared" si="210"/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26.4</v>
      </c>
      <c r="W1166" s="2">
        <f t="shared" si="211"/>
        <v>1</v>
      </c>
      <c r="X1166">
        <v>14.2</v>
      </c>
      <c r="Z1166" s="2">
        <f t="shared" si="212"/>
        <v>0</v>
      </c>
      <c r="AA1166">
        <v>11.9</v>
      </c>
      <c r="AB1166" s="2" t="str">
        <f>CHOOSE(MATCH(AA1166,{0;11;80;111;161;191;241;281;341},1),"North","NorthEast","East","SouthEast","South","SouthWest","West","NorthWest","North")</f>
        <v>NorthEast</v>
      </c>
      <c r="AC1166" s="5">
        <f>CHOOSE(MATCH(AB1166,{"South";"SouthEast";"SouthWest";"North";"NorthEast";"East";"West";"NorthWest"},0),1,2,3,4,5,6,7,8)</f>
        <v>5</v>
      </c>
      <c r="AD1166" s="2">
        <f t="shared" si="213"/>
        <v>1</v>
      </c>
      <c r="AE1166">
        <v>1012.9</v>
      </c>
      <c r="AF1166" s="4" t="s">
        <v>1918</v>
      </c>
      <c r="AG1166" s="2">
        <f t="shared" si="214"/>
        <v>0</v>
      </c>
      <c r="AH1166" t="s">
        <v>1919</v>
      </c>
      <c r="AI1166" s="2">
        <f t="shared" si="215"/>
        <v>8</v>
      </c>
      <c r="AJ1166" s="2">
        <f t="shared" si="216"/>
        <v>1</v>
      </c>
      <c r="AK1166" s="3">
        <v>30.00000000349246</v>
      </c>
      <c r="AM1166" s="2">
        <v>0</v>
      </c>
      <c r="AN1166">
        <v>0</v>
      </c>
      <c r="AO1166">
        <v>0.5</v>
      </c>
      <c r="AP1166">
        <v>0</v>
      </c>
      <c r="AQ1166" s="2">
        <f>IF((2*G1166 + M1166 -P1166 + 3*W1166 + 2*Z1166+2*AD1166 + AG1166+2*AJ1166 + 4*AM1166) &gt;=8,1,0)</f>
        <v>1</v>
      </c>
    </row>
    <row r="1167" spans="1:43" x14ac:dyDescent="0.25">
      <c r="A1167" t="s">
        <v>27</v>
      </c>
      <c r="B1167" s="1">
        <v>41129</v>
      </c>
      <c r="C1167" s="7">
        <f t="shared" si="208"/>
        <v>2012</v>
      </c>
      <c r="D1167">
        <v>102.3</v>
      </c>
      <c r="E1167">
        <v>80.5</v>
      </c>
      <c r="F1167">
        <v>91.7</v>
      </c>
      <c r="G1167" s="2">
        <f t="shared" si="207"/>
        <v>1</v>
      </c>
      <c r="H1167">
        <v>100.5</v>
      </c>
      <c r="I1167">
        <v>79.8</v>
      </c>
      <c r="J1167">
        <v>89.3</v>
      </c>
      <c r="K1167">
        <v>50.3</v>
      </c>
      <c r="L1167">
        <v>25.4</v>
      </c>
      <c r="M1167" s="2">
        <f t="shared" si="209"/>
        <v>1</v>
      </c>
      <c r="N1167">
        <v>0</v>
      </c>
      <c r="P1167" s="2">
        <f t="shared" si="210"/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25.3</v>
      </c>
      <c r="W1167" s="2">
        <f t="shared" si="211"/>
        <v>1</v>
      </c>
      <c r="X1167">
        <v>18.399999999999999</v>
      </c>
      <c r="Z1167" s="2">
        <f t="shared" si="212"/>
        <v>1</v>
      </c>
      <c r="AA1167">
        <v>11.3</v>
      </c>
      <c r="AB1167" s="2" t="str">
        <f>CHOOSE(MATCH(AA1167,{0;11;80;111;161;191;241;281;341},1),"North","NorthEast","East","SouthEast","South","SouthWest","West","NorthWest","North")</f>
        <v>NorthEast</v>
      </c>
      <c r="AC1167" s="5">
        <f>CHOOSE(MATCH(AB1167,{"South";"SouthEast";"SouthWest";"North";"NorthEast";"East";"West";"NorthWest"},0),1,2,3,4,5,6,7,8)</f>
        <v>5</v>
      </c>
      <c r="AD1167" s="2">
        <f t="shared" si="213"/>
        <v>1</v>
      </c>
      <c r="AE1167">
        <v>1011.6</v>
      </c>
      <c r="AF1167" s="4" t="s">
        <v>1905</v>
      </c>
      <c r="AG1167" s="2">
        <f t="shared" si="214"/>
        <v>0</v>
      </c>
      <c r="AH1167" t="s">
        <v>1921</v>
      </c>
      <c r="AI1167" s="2">
        <f t="shared" si="215"/>
        <v>8</v>
      </c>
      <c r="AJ1167" s="2">
        <f t="shared" si="216"/>
        <v>1</v>
      </c>
      <c r="AK1167" s="3">
        <v>4462.0000000018626</v>
      </c>
      <c r="AM1167" s="2">
        <v>1</v>
      </c>
      <c r="AN1167">
        <v>0</v>
      </c>
      <c r="AO1167">
        <v>50</v>
      </c>
      <c r="AP1167">
        <v>0</v>
      </c>
      <c r="AQ1167" s="2">
        <f>IF((2*G1167 + M1167 -P1167 + 3*W1167 + 2*Z1167+2*AD1167 + AG1167+2*AJ1167 + 4*AM1167) &gt;=8,1,0)</f>
        <v>1</v>
      </c>
    </row>
    <row r="1168" spans="1:43" x14ac:dyDescent="0.25">
      <c r="A1168" t="s">
        <v>27</v>
      </c>
      <c r="B1168" s="1">
        <v>41129</v>
      </c>
      <c r="C1168" s="7">
        <f t="shared" si="208"/>
        <v>2012</v>
      </c>
      <c r="D1168">
        <v>102.3</v>
      </c>
      <c r="E1168">
        <v>80.5</v>
      </c>
      <c r="F1168">
        <v>91.7</v>
      </c>
      <c r="G1168" s="2">
        <f t="shared" si="207"/>
        <v>1</v>
      </c>
      <c r="H1168">
        <v>100.5</v>
      </c>
      <c r="I1168">
        <v>79.8</v>
      </c>
      <c r="J1168">
        <v>89.3</v>
      </c>
      <c r="K1168">
        <v>50.3</v>
      </c>
      <c r="L1168">
        <v>25.4</v>
      </c>
      <c r="M1168" s="2">
        <f t="shared" si="209"/>
        <v>1</v>
      </c>
      <c r="N1168">
        <v>0</v>
      </c>
      <c r="P1168" s="2">
        <f t="shared" si="210"/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25.3</v>
      </c>
      <c r="W1168" s="2">
        <f t="shared" si="211"/>
        <v>1</v>
      </c>
      <c r="X1168">
        <v>18.399999999999999</v>
      </c>
      <c r="Z1168" s="2">
        <f t="shared" si="212"/>
        <v>1</v>
      </c>
      <c r="AA1168">
        <v>11.3</v>
      </c>
      <c r="AB1168" s="2" t="str">
        <f>CHOOSE(MATCH(AA1168,{0;11;80;111;161;191;241;281;341},1),"North","NorthEast","East","SouthEast","South","SouthWest","West","NorthWest","North")</f>
        <v>NorthEast</v>
      </c>
      <c r="AC1168" s="5">
        <f>CHOOSE(MATCH(AB1168,{"South";"SouthEast";"SouthWest";"North";"NorthEast";"East";"West";"NorthWest"},0),1,2,3,4,5,6,7,8)</f>
        <v>5</v>
      </c>
      <c r="AD1168" s="2">
        <f t="shared" si="213"/>
        <v>1</v>
      </c>
      <c r="AE1168">
        <v>1011.6</v>
      </c>
      <c r="AF1168" s="4" t="s">
        <v>1922</v>
      </c>
      <c r="AG1168" s="2">
        <f t="shared" si="214"/>
        <v>1</v>
      </c>
      <c r="AH1168" t="s">
        <v>1923</v>
      </c>
      <c r="AI1168" s="2">
        <f t="shared" si="215"/>
        <v>8</v>
      </c>
      <c r="AJ1168" s="2">
        <f t="shared" si="216"/>
        <v>1</v>
      </c>
      <c r="AK1168" s="3">
        <v>4719.9999999941792</v>
      </c>
      <c r="AM1168" s="2">
        <v>1</v>
      </c>
      <c r="AN1168">
        <v>30</v>
      </c>
      <c r="AO1168">
        <v>0</v>
      </c>
      <c r="AP1168">
        <v>0</v>
      </c>
      <c r="AQ1168" s="2">
        <f>IF((2*G1168 + M1168 -P1168 + 3*W1168 + 2*Z1168+2*AD1168 + AG1168+2*AJ1168 + 4*AM1168) &gt;=8,1,0)</f>
        <v>1</v>
      </c>
    </row>
    <row r="1169" spans="1:43" x14ac:dyDescent="0.25">
      <c r="A1169" t="s">
        <v>27</v>
      </c>
      <c r="B1169" s="1">
        <v>41130</v>
      </c>
      <c r="C1169" s="7">
        <f t="shared" si="208"/>
        <v>2012</v>
      </c>
      <c r="D1169">
        <v>97.7</v>
      </c>
      <c r="E1169">
        <v>77.099999999999994</v>
      </c>
      <c r="F1169">
        <v>87.6</v>
      </c>
      <c r="G1169" s="2">
        <f t="shared" si="207"/>
        <v>1</v>
      </c>
      <c r="H1169">
        <v>98</v>
      </c>
      <c r="I1169">
        <v>77.099999999999994</v>
      </c>
      <c r="J1169">
        <v>86.8</v>
      </c>
      <c r="K1169">
        <v>54.4</v>
      </c>
      <c r="L1169">
        <v>32.700000000000003</v>
      </c>
      <c r="M1169" s="2">
        <f t="shared" si="209"/>
        <v>1</v>
      </c>
      <c r="N1169">
        <v>0</v>
      </c>
      <c r="P1169" s="2">
        <f t="shared" si="210"/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30</v>
      </c>
      <c r="W1169" s="2">
        <f t="shared" si="211"/>
        <v>1</v>
      </c>
      <c r="X1169">
        <v>15.8</v>
      </c>
      <c r="Z1169" s="2">
        <f t="shared" si="212"/>
        <v>0</v>
      </c>
      <c r="AA1169">
        <v>48.2</v>
      </c>
      <c r="AB1169" s="2" t="str">
        <f>CHOOSE(MATCH(AA1169,{0;11;80;111;161;191;241;281;341},1),"North","NorthEast","East","SouthEast","South","SouthWest","West","NorthWest","North")</f>
        <v>NorthEast</v>
      </c>
      <c r="AC1169" s="5">
        <f>CHOOSE(MATCH(AB1169,{"South";"SouthEast";"SouthWest";"North";"NorthEast";"East";"West";"NorthWest"},0),1,2,3,4,5,6,7,8)</f>
        <v>5</v>
      </c>
      <c r="AD1169" s="2">
        <f t="shared" si="213"/>
        <v>1</v>
      </c>
      <c r="AE1169">
        <v>1011.6</v>
      </c>
      <c r="AF1169" s="4" t="s">
        <v>1116</v>
      </c>
      <c r="AG1169" s="2">
        <f t="shared" si="214"/>
        <v>1</v>
      </c>
      <c r="AH1169" t="s">
        <v>1924</v>
      </c>
      <c r="AI1169" s="2">
        <f t="shared" si="215"/>
        <v>8</v>
      </c>
      <c r="AJ1169" s="2">
        <f t="shared" si="216"/>
        <v>1</v>
      </c>
      <c r="AK1169" s="3">
        <v>3190.0000000046571</v>
      </c>
      <c r="AM1169" s="2">
        <v>1</v>
      </c>
      <c r="AN1169">
        <v>0</v>
      </c>
      <c r="AO1169">
        <v>2.5</v>
      </c>
      <c r="AP1169">
        <v>0</v>
      </c>
      <c r="AQ1169" s="2">
        <f>IF((2*G1169 + M1169 -P1169 + 3*W1169 + 2*Z1169+2*AD1169 + AG1169+2*AJ1169 + 4*AM1169) &gt;=8,1,0)</f>
        <v>1</v>
      </c>
    </row>
    <row r="1170" spans="1:43" x14ac:dyDescent="0.25">
      <c r="A1170" t="s">
        <v>27</v>
      </c>
      <c r="B1170" s="1">
        <v>41132</v>
      </c>
      <c r="C1170" s="7">
        <f t="shared" si="208"/>
        <v>2012</v>
      </c>
      <c r="D1170">
        <v>90.1</v>
      </c>
      <c r="E1170">
        <v>74.5</v>
      </c>
      <c r="F1170">
        <v>82.2</v>
      </c>
      <c r="G1170" s="2">
        <f t="shared" si="207"/>
        <v>1</v>
      </c>
      <c r="H1170">
        <v>88.9</v>
      </c>
      <c r="I1170">
        <v>74.5</v>
      </c>
      <c r="J1170">
        <v>82.2</v>
      </c>
      <c r="K1170">
        <v>60.2</v>
      </c>
      <c r="L1170">
        <v>48.5</v>
      </c>
      <c r="M1170" s="2">
        <f t="shared" si="209"/>
        <v>1</v>
      </c>
      <c r="N1170">
        <v>0</v>
      </c>
      <c r="P1170" s="2">
        <f t="shared" si="210"/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36.9</v>
      </c>
      <c r="W1170" s="2">
        <f t="shared" si="211"/>
        <v>1</v>
      </c>
      <c r="X1170">
        <v>17.3</v>
      </c>
      <c r="Z1170" s="2">
        <f t="shared" si="212"/>
        <v>1</v>
      </c>
      <c r="AA1170">
        <v>5.9</v>
      </c>
      <c r="AB1170" s="2" t="str">
        <f>CHOOSE(MATCH(AA1170,{0;11;80;111;161;191;241;281;341},1),"North","NorthEast","East","SouthEast","South","SouthWest","West","NorthWest","North")</f>
        <v>North</v>
      </c>
      <c r="AC1170" s="5">
        <f>CHOOSE(MATCH(AB1170,{"South";"SouthEast";"SouthWest";"North";"NorthEast";"East";"West";"NorthWest"},0),1,2,3,4,5,6,7,8)</f>
        <v>4</v>
      </c>
      <c r="AD1170" s="2">
        <f t="shared" si="213"/>
        <v>1</v>
      </c>
      <c r="AE1170">
        <v>1008.8</v>
      </c>
      <c r="AF1170" s="4" t="s">
        <v>1925</v>
      </c>
      <c r="AG1170" s="2">
        <f t="shared" si="214"/>
        <v>0</v>
      </c>
      <c r="AH1170" t="s">
        <v>1926</v>
      </c>
      <c r="AI1170" s="2">
        <f t="shared" si="215"/>
        <v>8</v>
      </c>
      <c r="AJ1170" s="2">
        <f t="shared" si="216"/>
        <v>1</v>
      </c>
      <c r="AK1170" s="3">
        <v>52.999999994644902</v>
      </c>
      <c r="AM1170" s="2">
        <v>0</v>
      </c>
      <c r="AN1170">
        <v>0</v>
      </c>
      <c r="AO1170">
        <v>0.2</v>
      </c>
      <c r="AP1170">
        <v>0</v>
      </c>
      <c r="AQ1170" s="2">
        <f>IF((2*G1170 + M1170 -P1170 + 3*W1170 + 2*Z1170+2*AD1170 + AG1170+2*AJ1170 + 4*AM1170) &gt;=8,1,0)</f>
        <v>1</v>
      </c>
    </row>
    <row r="1171" spans="1:43" x14ac:dyDescent="0.25">
      <c r="A1171" t="s">
        <v>27</v>
      </c>
      <c r="B1171" s="1">
        <v>41132</v>
      </c>
      <c r="C1171" s="7">
        <f t="shared" si="208"/>
        <v>2012</v>
      </c>
      <c r="D1171">
        <v>90.1</v>
      </c>
      <c r="E1171">
        <v>74.5</v>
      </c>
      <c r="F1171">
        <v>82.2</v>
      </c>
      <c r="G1171" s="2">
        <f t="shared" si="207"/>
        <v>1</v>
      </c>
      <c r="H1171">
        <v>88.9</v>
      </c>
      <c r="I1171">
        <v>74.5</v>
      </c>
      <c r="J1171">
        <v>82.2</v>
      </c>
      <c r="K1171">
        <v>60.2</v>
      </c>
      <c r="L1171">
        <v>48.5</v>
      </c>
      <c r="M1171" s="2">
        <f t="shared" si="209"/>
        <v>1</v>
      </c>
      <c r="N1171">
        <v>0</v>
      </c>
      <c r="P1171" s="2">
        <f t="shared" si="210"/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36.9</v>
      </c>
      <c r="W1171" s="2">
        <f t="shared" si="211"/>
        <v>1</v>
      </c>
      <c r="X1171">
        <v>17.3</v>
      </c>
      <c r="Z1171" s="2">
        <f t="shared" si="212"/>
        <v>1</v>
      </c>
      <c r="AA1171">
        <v>5.9</v>
      </c>
      <c r="AB1171" s="2" t="str">
        <f>CHOOSE(MATCH(AA1171,{0;11;80;111;161;191;241;281;341},1),"North","NorthEast","East","SouthEast","South","SouthWest","West","NorthWest","North")</f>
        <v>North</v>
      </c>
      <c r="AC1171" s="5">
        <f>CHOOSE(MATCH(AB1171,{"South";"SouthEast";"SouthWest";"North";"NorthEast";"East";"West";"NorthWest"},0),1,2,3,4,5,6,7,8)</f>
        <v>4</v>
      </c>
      <c r="AD1171" s="2">
        <f t="shared" si="213"/>
        <v>1</v>
      </c>
      <c r="AE1171">
        <v>1008.8</v>
      </c>
      <c r="AF1171" s="4" t="s">
        <v>1927</v>
      </c>
      <c r="AG1171" s="2">
        <f t="shared" si="214"/>
        <v>1</v>
      </c>
      <c r="AH1171" t="s">
        <v>1928</v>
      </c>
      <c r="AI1171" s="2">
        <f t="shared" si="215"/>
        <v>8</v>
      </c>
      <c r="AJ1171" s="2">
        <f t="shared" si="216"/>
        <v>1</v>
      </c>
      <c r="AK1171" s="3">
        <v>68.000000001629815</v>
      </c>
      <c r="AM1171" s="2">
        <v>0</v>
      </c>
      <c r="AN1171">
        <v>0</v>
      </c>
      <c r="AO1171">
        <v>0.5</v>
      </c>
      <c r="AP1171">
        <v>0</v>
      </c>
      <c r="AQ1171" s="2">
        <f>IF((2*G1171 + M1171 -P1171 + 3*W1171 + 2*Z1171+2*AD1171 + AG1171+2*AJ1171 + 4*AM1171) &gt;=8,1,0)</f>
        <v>1</v>
      </c>
    </row>
    <row r="1172" spans="1:43" x14ac:dyDescent="0.25">
      <c r="A1172" t="s">
        <v>27</v>
      </c>
      <c r="B1172" s="1">
        <v>41133</v>
      </c>
      <c r="C1172" s="7">
        <f t="shared" si="208"/>
        <v>2012</v>
      </c>
      <c r="D1172">
        <v>87.4</v>
      </c>
      <c r="E1172">
        <v>69.099999999999994</v>
      </c>
      <c r="F1172">
        <v>78.2</v>
      </c>
      <c r="G1172" s="2">
        <f t="shared" si="207"/>
        <v>1</v>
      </c>
      <c r="H1172">
        <v>87.8</v>
      </c>
      <c r="I1172">
        <v>69.099999999999994</v>
      </c>
      <c r="J1172">
        <v>78.3</v>
      </c>
      <c r="K1172">
        <v>61.9</v>
      </c>
      <c r="L1172">
        <v>58.9</v>
      </c>
      <c r="M1172" s="2">
        <f t="shared" si="209"/>
        <v>0</v>
      </c>
      <c r="N1172">
        <v>0</v>
      </c>
      <c r="P1172" s="2">
        <f t="shared" si="210"/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s="2">
        <f t="shared" si="211"/>
        <v>0</v>
      </c>
      <c r="X1172">
        <v>11.6</v>
      </c>
      <c r="Z1172" s="2">
        <f t="shared" si="212"/>
        <v>0</v>
      </c>
      <c r="AA1172">
        <v>17.600000000000001</v>
      </c>
      <c r="AB1172" s="2" t="str">
        <f>CHOOSE(MATCH(AA1172,{0;11;80;111;161;191;241;281;341},1),"North","NorthEast","East","SouthEast","South","SouthWest","West","NorthWest","North")</f>
        <v>NorthEast</v>
      </c>
      <c r="AC1172" s="5">
        <f>CHOOSE(MATCH(AB1172,{"South";"SouthEast";"SouthWest";"North";"NorthEast";"East";"West";"NorthWest"},0),1,2,3,4,5,6,7,8)</f>
        <v>5</v>
      </c>
      <c r="AD1172" s="2">
        <f t="shared" si="213"/>
        <v>1</v>
      </c>
      <c r="AE1172">
        <v>1009.6</v>
      </c>
      <c r="AF1172" s="4" t="s">
        <v>1929</v>
      </c>
      <c r="AG1172" s="2">
        <f t="shared" si="214"/>
        <v>1</v>
      </c>
      <c r="AH1172" t="s">
        <v>1930</v>
      </c>
      <c r="AI1172" s="2">
        <f t="shared" si="215"/>
        <v>8</v>
      </c>
      <c r="AJ1172" s="2">
        <f t="shared" si="216"/>
        <v>1</v>
      </c>
      <c r="AK1172" s="3">
        <v>90</v>
      </c>
      <c r="AM1172" s="2">
        <v>0</v>
      </c>
      <c r="AN1172">
        <v>0</v>
      </c>
      <c r="AO1172">
        <v>0.1</v>
      </c>
      <c r="AP1172">
        <v>0</v>
      </c>
      <c r="AQ1172" s="2">
        <f>IF((2*G1172 + M1172 -P1172 + 3*W1172 + 2*Z1172+2*AD1172 + AG1172+2*AJ1172 + 4*AM1172) &gt;=8,1,0)</f>
        <v>0</v>
      </c>
    </row>
    <row r="1173" spans="1:43" x14ac:dyDescent="0.25">
      <c r="A1173" t="s">
        <v>27</v>
      </c>
      <c r="B1173" s="1">
        <v>41138</v>
      </c>
      <c r="C1173" s="7">
        <f t="shared" si="208"/>
        <v>2012</v>
      </c>
      <c r="D1173">
        <v>92.9</v>
      </c>
      <c r="E1173">
        <v>70.099999999999994</v>
      </c>
      <c r="F1173">
        <v>83.3</v>
      </c>
      <c r="G1173" s="2">
        <f t="shared" si="207"/>
        <v>1</v>
      </c>
      <c r="H1173">
        <v>92.8</v>
      </c>
      <c r="I1173">
        <v>70.099999999999994</v>
      </c>
      <c r="J1173">
        <v>82.1</v>
      </c>
      <c r="K1173">
        <v>55.2</v>
      </c>
      <c r="L1173">
        <v>40.700000000000003</v>
      </c>
      <c r="M1173" s="2">
        <f t="shared" si="209"/>
        <v>1</v>
      </c>
      <c r="N1173">
        <v>0</v>
      </c>
      <c r="P1173" s="2">
        <f t="shared" si="210"/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26.4</v>
      </c>
      <c r="W1173" s="2">
        <f t="shared" si="211"/>
        <v>1</v>
      </c>
      <c r="X1173">
        <v>16.100000000000001</v>
      </c>
      <c r="Z1173" s="2">
        <f t="shared" si="212"/>
        <v>1</v>
      </c>
      <c r="AA1173">
        <v>73.3</v>
      </c>
      <c r="AB1173" s="2" t="str">
        <f>CHOOSE(MATCH(AA1173,{0;11;80;111;161;191;241;281;341},1),"North","NorthEast","East","SouthEast","South","SouthWest","West","NorthWest","North")</f>
        <v>NorthEast</v>
      </c>
      <c r="AC1173" s="5">
        <f>CHOOSE(MATCH(AB1173,{"South";"SouthEast";"SouthWest";"North";"NorthEast";"East";"West";"NorthWest"},0),1,2,3,4,5,6,7,8)</f>
        <v>5</v>
      </c>
      <c r="AD1173" s="2">
        <f t="shared" si="213"/>
        <v>1</v>
      </c>
      <c r="AE1173">
        <v>1011.7</v>
      </c>
      <c r="AF1173" s="4" t="s">
        <v>1837</v>
      </c>
      <c r="AG1173" s="2">
        <f t="shared" si="214"/>
        <v>1</v>
      </c>
      <c r="AH1173" t="s">
        <v>1931</v>
      </c>
      <c r="AI1173" s="2">
        <f t="shared" si="215"/>
        <v>8</v>
      </c>
      <c r="AJ1173" s="2">
        <f t="shared" si="216"/>
        <v>1</v>
      </c>
      <c r="AK1173" s="3">
        <v>160.0000000081491</v>
      </c>
      <c r="AM1173" s="2">
        <v>0</v>
      </c>
      <c r="AN1173">
        <v>0</v>
      </c>
      <c r="AO1173">
        <v>2</v>
      </c>
      <c r="AP1173">
        <v>0</v>
      </c>
      <c r="AQ1173" s="2">
        <f>IF((2*G1173 + M1173 -P1173 + 3*W1173 + 2*Z1173+2*AD1173 + AG1173+2*AJ1173 + 4*AM1173) &gt;=8,1,0)</f>
        <v>1</v>
      </c>
    </row>
    <row r="1174" spans="1:43" x14ac:dyDescent="0.25">
      <c r="A1174" t="s">
        <v>27</v>
      </c>
      <c r="B1174" s="1">
        <v>41138</v>
      </c>
      <c r="C1174" s="7">
        <f t="shared" si="208"/>
        <v>2012</v>
      </c>
      <c r="D1174">
        <v>92.9</v>
      </c>
      <c r="E1174">
        <v>70.099999999999994</v>
      </c>
      <c r="F1174">
        <v>83.3</v>
      </c>
      <c r="G1174" s="2">
        <f t="shared" si="207"/>
        <v>1</v>
      </c>
      <c r="H1174">
        <v>92.8</v>
      </c>
      <c r="I1174">
        <v>70.099999999999994</v>
      </c>
      <c r="J1174">
        <v>82.1</v>
      </c>
      <c r="K1174">
        <v>55.2</v>
      </c>
      <c r="L1174">
        <v>40.700000000000003</v>
      </c>
      <c r="M1174" s="2">
        <f t="shared" si="209"/>
        <v>1</v>
      </c>
      <c r="N1174">
        <v>0</v>
      </c>
      <c r="P1174" s="2">
        <f t="shared" si="210"/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26.4</v>
      </c>
      <c r="W1174" s="2">
        <f t="shared" si="211"/>
        <v>1</v>
      </c>
      <c r="X1174">
        <v>16.100000000000001</v>
      </c>
      <c r="Z1174" s="2">
        <f t="shared" si="212"/>
        <v>1</v>
      </c>
      <c r="AA1174">
        <v>73.3</v>
      </c>
      <c r="AB1174" s="2" t="str">
        <f>CHOOSE(MATCH(AA1174,{0;11;80;111;161;191;241;281;341},1),"North","NorthEast","East","SouthEast","South","SouthWest","West","NorthWest","North")</f>
        <v>NorthEast</v>
      </c>
      <c r="AC1174" s="5">
        <f>CHOOSE(MATCH(AB1174,{"South";"SouthEast";"SouthWest";"North";"NorthEast";"East";"West";"NorthWest"},0),1,2,3,4,5,6,7,8)</f>
        <v>5</v>
      </c>
      <c r="AD1174" s="2">
        <f t="shared" si="213"/>
        <v>1</v>
      </c>
      <c r="AE1174">
        <v>1011.7</v>
      </c>
      <c r="AF1174" s="4" t="s">
        <v>1932</v>
      </c>
      <c r="AG1174" s="2">
        <f t="shared" si="214"/>
        <v>1</v>
      </c>
      <c r="AH1174" t="s">
        <v>1933</v>
      </c>
      <c r="AI1174" s="2">
        <f t="shared" si="215"/>
        <v>8</v>
      </c>
      <c r="AJ1174" s="2">
        <f t="shared" si="216"/>
        <v>1</v>
      </c>
      <c r="AK1174" s="3">
        <v>1575</v>
      </c>
      <c r="AM1174" s="2">
        <v>1</v>
      </c>
      <c r="AN1174">
        <v>0</v>
      </c>
      <c r="AO1174">
        <v>5</v>
      </c>
      <c r="AP1174">
        <v>0</v>
      </c>
      <c r="AQ1174" s="2">
        <f>IF((2*G1174 + M1174 -P1174 + 3*W1174 + 2*Z1174+2*AD1174 + AG1174+2*AJ1174 + 4*AM1174) &gt;=8,1,0)</f>
        <v>1</v>
      </c>
    </row>
    <row r="1175" spans="1:43" x14ac:dyDescent="0.25">
      <c r="A1175" t="s">
        <v>27</v>
      </c>
      <c r="B1175" s="1">
        <v>41139</v>
      </c>
      <c r="C1175" s="7">
        <f t="shared" si="208"/>
        <v>2012</v>
      </c>
      <c r="D1175">
        <v>91.5</v>
      </c>
      <c r="E1175">
        <v>74.599999999999994</v>
      </c>
      <c r="F1175">
        <v>82.6</v>
      </c>
      <c r="G1175" s="2">
        <f t="shared" si="207"/>
        <v>1</v>
      </c>
      <c r="H1175">
        <v>89</v>
      </c>
      <c r="I1175">
        <v>74.599999999999994</v>
      </c>
      <c r="J1175">
        <v>81.5</v>
      </c>
      <c r="K1175">
        <v>51.3</v>
      </c>
      <c r="L1175">
        <v>34.4</v>
      </c>
      <c r="M1175" s="2">
        <f t="shared" si="209"/>
        <v>1</v>
      </c>
      <c r="N1175">
        <v>0</v>
      </c>
      <c r="P1175" s="2">
        <f t="shared" si="210"/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34.6</v>
      </c>
      <c r="W1175" s="2">
        <f t="shared" si="211"/>
        <v>1</v>
      </c>
      <c r="X1175">
        <v>21.4</v>
      </c>
      <c r="Z1175" s="2">
        <f t="shared" si="212"/>
        <v>1</v>
      </c>
      <c r="AA1175">
        <v>8.5</v>
      </c>
      <c r="AB1175" s="2" t="str">
        <f>CHOOSE(MATCH(AA1175,{0;11;80;111;161;191;241;281;341},1),"North","NorthEast","East","SouthEast","South","SouthWest","West","NorthWest","North")</f>
        <v>North</v>
      </c>
      <c r="AC1175" s="5">
        <f>CHOOSE(MATCH(AB1175,{"South";"SouthEast";"SouthWest";"North";"NorthEast";"East";"West";"NorthWest"},0),1,2,3,4,5,6,7,8)</f>
        <v>4</v>
      </c>
      <c r="AD1175" s="2">
        <f t="shared" si="213"/>
        <v>1</v>
      </c>
      <c r="AE1175">
        <v>1013.9</v>
      </c>
      <c r="AF1175" s="4" t="s">
        <v>1934</v>
      </c>
      <c r="AG1175" s="2">
        <f t="shared" si="214"/>
        <v>1</v>
      </c>
      <c r="AH1175" t="s">
        <v>1935</v>
      </c>
      <c r="AI1175" s="2">
        <f t="shared" si="215"/>
        <v>8</v>
      </c>
      <c r="AJ1175" s="2">
        <f t="shared" si="216"/>
        <v>1</v>
      </c>
      <c r="AK1175" s="3">
        <v>5217.9999999934807</v>
      </c>
      <c r="AM1175" s="2">
        <v>1</v>
      </c>
      <c r="AN1175">
        <v>70</v>
      </c>
      <c r="AO1175">
        <v>0</v>
      </c>
      <c r="AP1175">
        <v>0</v>
      </c>
      <c r="AQ1175" s="2">
        <f>IF((2*G1175 + M1175 -P1175 + 3*W1175 + 2*Z1175+2*AD1175 + AG1175+2*AJ1175 + 4*AM1175) &gt;=8,1,0)</f>
        <v>1</v>
      </c>
    </row>
    <row r="1176" spans="1:43" x14ac:dyDescent="0.25">
      <c r="A1176" t="s">
        <v>27</v>
      </c>
      <c r="B1176" s="1">
        <v>41140</v>
      </c>
      <c r="C1176" s="7">
        <f t="shared" si="208"/>
        <v>2012</v>
      </c>
      <c r="D1176">
        <v>87.8</v>
      </c>
      <c r="E1176">
        <v>75</v>
      </c>
      <c r="F1176">
        <v>80.900000000000006</v>
      </c>
      <c r="G1176" s="2">
        <f t="shared" si="207"/>
        <v>1</v>
      </c>
      <c r="H1176">
        <v>85</v>
      </c>
      <c r="I1176">
        <v>75</v>
      </c>
      <c r="J1176">
        <v>80</v>
      </c>
      <c r="K1176">
        <v>51.6</v>
      </c>
      <c r="L1176">
        <v>37</v>
      </c>
      <c r="M1176" s="2">
        <f t="shared" si="209"/>
        <v>1</v>
      </c>
      <c r="N1176">
        <v>0</v>
      </c>
      <c r="P1176" s="2">
        <f t="shared" si="210"/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33.299999999999997</v>
      </c>
      <c r="W1176" s="2">
        <f t="shared" si="211"/>
        <v>1</v>
      </c>
      <c r="X1176">
        <v>21</v>
      </c>
      <c r="Z1176" s="2">
        <f t="shared" si="212"/>
        <v>1</v>
      </c>
      <c r="AA1176">
        <v>2.5</v>
      </c>
      <c r="AB1176" s="2" t="str">
        <f>CHOOSE(MATCH(AA1176,{0;11;80;111;161;191;241;281;341},1),"North","NorthEast","East","SouthEast","South","SouthWest","West","NorthWest","North")</f>
        <v>North</v>
      </c>
      <c r="AC1176" s="5">
        <f>CHOOSE(MATCH(AB1176,{"South";"SouthEast";"SouthWest";"North";"NorthEast";"East";"West";"NorthWest"},0),1,2,3,4,5,6,7,8)</f>
        <v>4</v>
      </c>
      <c r="AD1176" s="2">
        <f t="shared" si="213"/>
        <v>1</v>
      </c>
      <c r="AE1176">
        <v>1016.7</v>
      </c>
      <c r="AF1176" s="4" t="s">
        <v>1902</v>
      </c>
      <c r="AG1176" s="2">
        <f t="shared" si="214"/>
        <v>1</v>
      </c>
      <c r="AH1176" t="s">
        <v>1936</v>
      </c>
      <c r="AI1176" s="2">
        <f t="shared" si="215"/>
        <v>8</v>
      </c>
      <c r="AJ1176" s="2">
        <f t="shared" si="216"/>
        <v>1</v>
      </c>
      <c r="AK1176" s="3">
        <v>270</v>
      </c>
      <c r="AM1176" s="2">
        <v>0</v>
      </c>
      <c r="AN1176">
        <v>0</v>
      </c>
      <c r="AO1176">
        <v>0.3</v>
      </c>
      <c r="AP1176">
        <v>0</v>
      </c>
      <c r="AQ1176" s="2">
        <f>IF((2*G1176 + M1176 -P1176 + 3*W1176 + 2*Z1176+2*AD1176 + AG1176+2*AJ1176 + 4*AM1176) &gt;=8,1,0)</f>
        <v>1</v>
      </c>
    </row>
    <row r="1177" spans="1:43" x14ac:dyDescent="0.25">
      <c r="A1177" t="s">
        <v>27</v>
      </c>
      <c r="B1177" s="1">
        <v>41140</v>
      </c>
      <c r="C1177" s="7">
        <f t="shared" si="208"/>
        <v>2012</v>
      </c>
      <c r="D1177">
        <v>87.8</v>
      </c>
      <c r="E1177">
        <v>75</v>
      </c>
      <c r="F1177">
        <v>80.900000000000006</v>
      </c>
      <c r="G1177" s="2">
        <f t="shared" si="207"/>
        <v>1</v>
      </c>
      <c r="H1177">
        <v>85</v>
      </c>
      <c r="I1177">
        <v>75</v>
      </c>
      <c r="J1177">
        <v>80</v>
      </c>
      <c r="K1177">
        <v>51.6</v>
      </c>
      <c r="L1177">
        <v>37</v>
      </c>
      <c r="M1177" s="2">
        <f t="shared" si="209"/>
        <v>1</v>
      </c>
      <c r="N1177">
        <v>0</v>
      </c>
      <c r="P1177" s="2">
        <f t="shared" si="210"/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33.299999999999997</v>
      </c>
      <c r="W1177" s="2">
        <f t="shared" si="211"/>
        <v>1</v>
      </c>
      <c r="X1177">
        <v>21</v>
      </c>
      <c r="Z1177" s="2">
        <f t="shared" si="212"/>
        <v>1</v>
      </c>
      <c r="AA1177">
        <v>2.5</v>
      </c>
      <c r="AB1177" s="2" t="str">
        <f>CHOOSE(MATCH(AA1177,{0;11;80;111;161;191;241;281;341},1),"North","NorthEast","East","SouthEast","South","SouthWest","West","NorthWest","North")</f>
        <v>North</v>
      </c>
      <c r="AC1177" s="5">
        <f>CHOOSE(MATCH(AB1177,{"South";"SouthEast";"SouthWest";"North";"NorthEast";"East";"West";"NorthWest"},0),1,2,3,4,5,6,7,8)</f>
        <v>4</v>
      </c>
      <c r="AD1177" s="2">
        <f t="shared" si="213"/>
        <v>1</v>
      </c>
      <c r="AE1177">
        <v>1016.7</v>
      </c>
      <c r="AF1177" s="4" t="s">
        <v>1937</v>
      </c>
      <c r="AG1177" s="2">
        <f t="shared" si="214"/>
        <v>1</v>
      </c>
      <c r="AH1177" t="s">
        <v>1938</v>
      </c>
      <c r="AI1177" s="2">
        <f t="shared" si="215"/>
        <v>8</v>
      </c>
      <c r="AJ1177" s="2">
        <f t="shared" si="216"/>
        <v>1</v>
      </c>
      <c r="AK1177" s="3">
        <v>6723.9999999990687</v>
      </c>
      <c r="AM1177" s="2">
        <v>1</v>
      </c>
      <c r="AN1177">
        <v>200</v>
      </c>
      <c r="AO1177">
        <v>0</v>
      </c>
      <c r="AP1177">
        <v>0</v>
      </c>
      <c r="AQ1177" s="2">
        <f>IF((2*G1177 + M1177 -P1177 + 3*W1177 + 2*Z1177+2*AD1177 + AG1177+2*AJ1177 + 4*AM1177) &gt;=8,1,0)</f>
        <v>1</v>
      </c>
    </row>
    <row r="1178" spans="1:43" x14ac:dyDescent="0.25">
      <c r="A1178" t="s">
        <v>27</v>
      </c>
      <c r="B1178" s="1">
        <v>41141</v>
      </c>
      <c r="C1178" s="7">
        <f t="shared" si="208"/>
        <v>2012</v>
      </c>
      <c r="D1178">
        <v>88</v>
      </c>
      <c r="E1178">
        <v>75.5</v>
      </c>
      <c r="F1178">
        <v>80.8</v>
      </c>
      <c r="G1178" s="2">
        <f t="shared" si="207"/>
        <v>1</v>
      </c>
      <c r="H1178">
        <v>85</v>
      </c>
      <c r="I1178">
        <v>75.5</v>
      </c>
      <c r="J1178">
        <v>79.8</v>
      </c>
      <c r="K1178">
        <v>49.6</v>
      </c>
      <c r="L1178">
        <v>34.299999999999997</v>
      </c>
      <c r="M1178" s="2">
        <f t="shared" si="209"/>
        <v>1</v>
      </c>
      <c r="N1178">
        <v>0</v>
      </c>
      <c r="P1178" s="2">
        <f t="shared" si="210"/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36.200000000000003</v>
      </c>
      <c r="W1178" s="2">
        <f t="shared" si="211"/>
        <v>1</v>
      </c>
      <c r="X1178">
        <v>23.7</v>
      </c>
      <c r="Z1178" s="2">
        <f t="shared" si="212"/>
        <v>1</v>
      </c>
      <c r="AA1178">
        <v>3.4</v>
      </c>
      <c r="AB1178" s="2" t="str">
        <f>CHOOSE(MATCH(AA1178,{0;11;80;111;161;191;241;281;341},1),"North","NorthEast","East","SouthEast","South","SouthWest","West","NorthWest","North")</f>
        <v>North</v>
      </c>
      <c r="AC1178" s="5">
        <f>CHOOSE(MATCH(AB1178,{"South";"SouthEast";"SouthWest";"North";"NorthEast";"East";"West";"NorthWest"},0),1,2,3,4,5,6,7,8)</f>
        <v>4</v>
      </c>
      <c r="AD1178" s="2">
        <f t="shared" si="213"/>
        <v>1</v>
      </c>
      <c r="AE1178">
        <v>1017.2</v>
      </c>
      <c r="AF1178" s="4" t="s">
        <v>1932</v>
      </c>
      <c r="AG1178" s="2">
        <f t="shared" si="214"/>
        <v>1</v>
      </c>
      <c r="AH1178" t="s">
        <v>1939</v>
      </c>
      <c r="AI1178" s="2">
        <f t="shared" si="215"/>
        <v>8</v>
      </c>
      <c r="AJ1178" s="2">
        <f t="shared" si="216"/>
        <v>1</v>
      </c>
      <c r="AK1178" s="3">
        <v>149.99999999650751</v>
      </c>
      <c r="AM1178" s="2">
        <v>0</v>
      </c>
      <c r="AN1178">
        <v>0.1</v>
      </c>
      <c r="AO1178">
        <v>0</v>
      </c>
      <c r="AP1178">
        <v>0</v>
      </c>
      <c r="AQ1178" s="2">
        <f>IF((2*G1178 + M1178 -P1178 + 3*W1178 + 2*Z1178+2*AD1178 + AG1178+2*AJ1178 + 4*AM1178) &gt;=8,1,0)</f>
        <v>1</v>
      </c>
    </row>
    <row r="1179" spans="1:43" x14ac:dyDescent="0.25">
      <c r="A1179" t="s">
        <v>27</v>
      </c>
      <c r="B1179" s="1">
        <v>41143</v>
      </c>
      <c r="C1179" s="7">
        <f t="shared" si="208"/>
        <v>2012</v>
      </c>
      <c r="D1179">
        <v>95.5</v>
      </c>
      <c r="E1179">
        <v>77.099999999999994</v>
      </c>
      <c r="F1179">
        <v>86.4</v>
      </c>
      <c r="G1179" s="2">
        <f t="shared" si="207"/>
        <v>1</v>
      </c>
      <c r="H1179">
        <v>93.7</v>
      </c>
      <c r="I1179">
        <v>77.099999999999994</v>
      </c>
      <c r="J1179">
        <v>85</v>
      </c>
      <c r="K1179">
        <v>52.5</v>
      </c>
      <c r="L1179">
        <v>32</v>
      </c>
      <c r="M1179" s="2">
        <f t="shared" si="209"/>
        <v>1</v>
      </c>
      <c r="N1179">
        <v>0</v>
      </c>
      <c r="P1179" s="2">
        <f t="shared" si="210"/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33.299999999999997</v>
      </c>
      <c r="W1179" s="2">
        <f t="shared" si="211"/>
        <v>1</v>
      </c>
      <c r="X1179">
        <v>17.100000000000001</v>
      </c>
      <c r="Z1179" s="2">
        <f t="shared" si="212"/>
        <v>1</v>
      </c>
      <c r="AA1179">
        <v>2.7</v>
      </c>
      <c r="AB1179" s="2" t="str">
        <f>CHOOSE(MATCH(AA1179,{0;11;80;111;161;191;241;281;341},1),"North","NorthEast","East","SouthEast","South","SouthWest","West","NorthWest","North")</f>
        <v>North</v>
      </c>
      <c r="AC1179" s="5">
        <f>CHOOSE(MATCH(AB1179,{"South";"SouthEast";"SouthWest";"North";"NorthEast";"East";"West";"NorthWest"},0),1,2,3,4,5,6,7,8)</f>
        <v>4</v>
      </c>
      <c r="AD1179" s="2">
        <f t="shared" si="213"/>
        <v>1</v>
      </c>
      <c r="AE1179">
        <v>1013.9</v>
      </c>
      <c r="AF1179" s="4" t="s">
        <v>1874</v>
      </c>
      <c r="AG1179" s="2">
        <f t="shared" si="214"/>
        <v>0</v>
      </c>
      <c r="AH1179" t="s">
        <v>1940</v>
      </c>
      <c r="AI1179" s="2">
        <f t="shared" si="215"/>
        <v>8</v>
      </c>
      <c r="AJ1179" s="2">
        <f t="shared" si="216"/>
        <v>1</v>
      </c>
      <c r="AK1179" s="3">
        <v>10.00000000116415</v>
      </c>
      <c r="AM1179" s="2">
        <v>0</v>
      </c>
      <c r="AN1179">
        <v>0</v>
      </c>
      <c r="AO1179">
        <v>0.1</v>
      </c>
      <c r="AP1179">
        <v>0</v>
      </c>
      <c r="AQ1179" s="2">
        <f>IF((2*G1179 + M1179 -P1179 + 3*W1179 + 2*Z1179+2*AD1179 + AG1179+2*AJ1179 + 4*AM1179) &gt;=8,1,0)</f>
        <v>1</v>
      </c>
    </row>
    <row r="1180" spans="1:43" x14ac:dyDescent="0.25">
      <c r="A1180" t="s">
        <v>27</v>
      </c>
      <c r="B1180" s="1">
        <v>41146</v>
      </c>
      <c r="C1180" s="7">
        <f t="shared" si="208"/>
        <v>2012</v>
      </c>
      <c r="D1180">
        <v>99.8</v>
      </c>
      <c r="E1180">
        <v>76.400000000000006</v>
      </c>
      <c r="F1180">
        <v>87.7</v>
      </c>
      <c r="G1180" s="2">
        <f t="shared" si="207"/>
        <v>1</v>
      </c>
      <c r="H1180">
        <v>96.9</v>
      </c>
      <c r="I1180">
        <v>76.400000000000006</v>
      </c>
      <c r="J1180">
        <v>85.7</v>
      </c>
      <c r="K1180">
        <v>48.2</v>
      </c>
      <c r="L1180">
        <v>26.7</v>
      </c>
      <c r="M1180" s="2">
        <f t="shared" si="209"/>
        <v>1</v>
      </c>
      <c r="N1180">
        <v>0</v>
      </c>
      <c r="P1180" s="2">
        <f t="shared" si="210"/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27.5</v>
      </c>
      <c r="W1180" s="2">
        <f t="shared" si="211"/>
        <v>1</v>
      </c>
      <c r="X1180">
        <v>16.100000000000001</v>
      </c>
      <c r="Z1180" s="2">
        <f t="shared" si="212"/>
        <v>1</v>
      </c>
      <c r="AA1180">
        <v>2.8</v>
      </c>
      <c r="AB1180" s="2" t="str">
        <f>CHOOSE(MATCH(AA1180,{0;11;80;111;161;191;241;281;341},1),"North","NorthEast","East","SouthEast","South","SouthWest","West","NorthWest","North")</f>
        <v>North</v>
      </c>
      <c r="AC1180" s="5">
        <f>CHOOSE(MATCH(AB1180,{"South";"SouthEast";"SouthWest";"North";"NorthEast";"East";"West";"NorthWest"},0),1,2,3,4,5,6,7,8)</f>
        <v>4</v>
      </c>
      <c r="AD1180" s="2">
        <f t="shared" si="213"/>
        <v>1</v>
      </c>
      <c r="AE1180">
        <v>1010.5</v>
      </c>
      <c r="AF1180" s="4" t="s">
        <v>1941</v>
      </c>
      <c r="AG1180" s="2">
        <f t="shared" si="214"/>
        <v>0</v>
      </c>
      <c r="AH1180" t="s">
        <v>1942</v>
      </c>
      <c r="AI1180" s="2">
        <f t="shared" si="215"/>
        <v>8</v>
      </c>
      <c r="AJ1180" s="2">
        <f t="shared" si="216"/>
        <v>1</v>
      </c>
      <c r="AK1180" s="3">
        <v>13446.000000002099</v>
      </c>
      <c r="AM1180" s="2">
        <v>1</v>
      </c>
      <c r="AN1180">
        <v>0</v>
      </c>
      <c r="AO1180">
        <v>2000</v>
      </c>
      <c r="AP1180">
        <v>0</v>
      </c>
      <c r="AQ1180" s="2">
        <f>IF((2*G1180 + M1180 -P1180 + 3*W1180 + 2*Z1180+2*AD1180 + AG1180+2*AJ1180 + 4*AM1180) &gt;=8,1,0)</f>
        <v>1</v>
      </c>
    </row>
    <row r="1181" spans="1:43" x14ac:dyDescent="0.25">
      <c r="A1181" t="s">
        <v>27</v>
      </c>
      <c r="B1181" s="1">
        <v>41146</v>
      </c>
      <c r="C1181" s="7">
        <f t="shared" si="208"/>
        <v>2012</v>
      </c>
      <c r="D1181">
        <v>99.8</v>
      </c>
      <c r="E1181">
        <v>76.400000000000006</v>
      </c>
      <c r="F1181">
        <v>87.7</v>
      </c>
      <c r="G1181" s="2">
        <f t="shared" si="207"/>
        <v>1</v>
      </c>
      <c r="H1181">
        <v>96.9</v>
      </c>
      <c r="I1181">
        <v>76.400000000000006</v>
      </c>
      <c r="J1181">
        <v>85.7</v>
      </c>
      <c r="K1181">
        <v>48.2</v>
      </c>
      <c r="L1181">
        <v>26.7</v>
      </c>
      <c r="M1181" s="2">
        <f t="shared" si="209"/>
        <v>1</v>
      </c>
      <c r="N1181">
        <v>0</v>
      </c>
      <c r="P1181" s="2">
        <f t="shared" si="210"/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27.5</v>
      </c>
      <c r="W1181" s="2">
        <f t="shared" si="211"/>
        <v>1</v>
      </c>
      <c r="X1181">
        <v>16.100000000000001</v>
      </c>
      <c r="Z1181" s="2">
        <f t="shared" si="212"/>
        <v>1</v>
      </c>
      <c r="AA1181">
        <v>2.8</v>
      </c>
      <c r="AB1181" s="2" t="str">
        <f>CHOOSE(MATCH(AA1181,{0;11;80;111;161;191;241;281;341},1),"North","NorthEast","East","SouthEast","South","SouthWest","West","NorthWest","North")</f>
        <v>North</v>
      </c>
      <c r="AC1181" s="5">
        <f>CHOOSE(MATCH(AB1181,{"South";"SouthEast";"SouthWest";"North";"NorthEast";"East";"West";"NorthWest"},0),1,2,3,4,5,6,7,8)</f>
        <v>4</v>
      </c>
      <c r="AD1181" s="2">
        <f t="shared" si="213"/>
        <v>1</v>
      </c>
      <c r="AE1181">
        <v>1010.5</v>
      </c>
      <c r="AF1181" s="4" t="s">
        <v>1943</v>
      </c>
      <c r="AG1181" s="2">
        <f t="shared" si="214"/>
        <v>0</v>
      </c>
      <c r="AH1181" t="s">
        <v>1944</v>
      </c>
      <c r="AI1181" s="2">
        <f t="shared" si="215"/>
        <v>8</v>
      </c>
      <c r="AJ1181" s="2">
        <f t="shared" si="216"/>
        <v>1</v>
      </c>
      <c r="AK1181" s="3">
        <v>52.999999994644902</v>
      </c>
      <c r="AM1181" s="2">
        <v>0</v>
      </c>
      <c r="AN1181">
        <v>0</v>
      </c>
      <c r="AO1181">
        <v>0.1</v>
      </c>
      <c r="AP1181">
        <v>0</v>
      </c>
      <c r="AQ1181" s="2">
        <f>IF((2*G1181 + M1181 -P1181 + 3*W1181 + 2*Z1181+2*AD1181 + AG1181+2*AJ1181 + 4*AM1181) &gt;=8,1,0)</f>
        <v>1</v>
      </c>
    </row>
    <row r="1182" spans="1:43" x14ac:dyDescent="0.25">
      <c r="A1182" t="s">
        <v>27</v>
      </c>
      <c r="B1182" s="1">
        <v>41149</v>
      </c>
      <c r="C1182" s="7">
        <f t="shared" si="208"/>
        <v>2012</v>
      </c>
      <c r="D1182">
        <v>86.5</v>
      </c>
      <c r="E1182">
        <v>72.400000000000006</v>
      </c>
      <c r="F1182">
        <v>79.8</v>
      </c>
      <c r="G1182" s="2">
        <f t="shared" si="207"/>
        <v>1</v>
      </c>
      <c r="H1182">
        <v>84.5</v>
      </c>
      <c r="I1182">
        <v>72.400000000000006</v>
      </c>
      <c r="J1182">
        <v>79.2</v>
      </c>
      <c r="K1182">
        <v>51.5</v>
      </c>
      <c r="L1182">
        <v>37.799999999999997</v>
      </c>
      <c r="M1182" s="2">
        <f t="shared" si="209"/>
        <v>1</v>
      </c>
      <c r="N1182">
        <v>0</v>
      </c>
      <c r="P1182" s="2">
        <f t="shared" si="210"/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48.3</v>
      </c>
      <c r="W1182" s="2">
        <f t="shared" si="211"/>
        <v>1</v>
      </c>
      <c r="X1182">
        <v>24.2</v>
      </c>
      <c r="Z1182" s="2">
        <f t="shared" si="212"/>
        <v>1</v>
      </c>
      <c r="AA1182">
        <v>6.7</v>
      </c>
      <c r="AB1182" s="2" t="str">
        <f>CHOOSE(MATCH(AA1182,{0;11;80;111;161;191;241;281;341},1),"North","NorthEast","East","SouthEast","South","SouthWest","West","NorthWest","North")</f>
        <v>North</v>
      </c>
      <c r="AC1182" s="5">
        <f>CHOOSE(MATCH(AB1182,{"South";"SouthEast";"SouthWest";"North";"NorthEast";"East";"West";"NorthWest"},0),1,2,3,4,5,6,7,8)</f>
        <v>4</v>
      </c>
      <c r="AD1182" s="2">
        <f t="shared" si="213"/>
        <v>1</v>
      </c>
      <c r="AE1182">
        <v>1013.1</v>
      </c>
      <c r="AF1182" s="4" t="s">
        <v>1783</v>
      </c>
      <c r="AG1182" s="2">
        <f t="shared" si="214"/>
        <v>0</v>
      </c>
      <c r="AH1182" t="s">
        <v>1945</v>
      </c>
      <c r="AI1182" s="2">
        <f t="shared" si="215"/>
        <v>8</v>
      </c>
      <c r="AJ1182" s="2">
        <f t="shared" si="216"/>
        <v>1</v>
      </c>
      <c r="AK1182" s="3">
        <v>630</v>
      </c>
      <c r="AM1182" s="2">
        <v>1</v>
      </c>
      <c r="AN1182">
        <v>0</v>
      </c>
      <c r="AO1182">
        <v>4</v>
      </c>
      <c r="AP1182">
        <v>0</v>
      </c>
      <c r="AQ1182" s="2">
        <f>IF((2*G1182 + M1182 -P1182 + 3*W1182 + 2*Z1182+2*AD1182 + AG1182+2*AJ1182 + 4*AM1182) &gt;=8,1,0)</f>
        <v>1</v>
      </c>
    </row>
    <row r="1183" spans="1:43" x14ac:dyDescent="0.25">
      <c r="A1183" t="s">
        <v>27</v>
      </c>
      <c r="B1183" s="1">
        <v>41149</v>
      </c>
      <c r="C1183" s="7">
        <f t="shared" si="208"/>
        <v>2012</v>
      </c>
      <c r="D1183">
        <v>86.5</v>
      </c>
      <c r="E1183">
        <v>72.400000000000006</v>
      </c>
      <c r="F1183">
        <v>79.8</v>
      </c>
      <c r="G1183" s="2">
        <f t="shared" si="207"/>
        <v>1</v>
      </c>
      <c r="H1183">
        <v>84.5</v>
      </c>
      <c r="I1183">
        <v>72.400000000000006</v>
      </c>
      <c r="J1183">
        <v>79.2</v>
      </c>
      <c r="K1183">
        <v>51.5</v>
      </c>
      <c r="L1183">
        <v>37.799999999999997</v>
      </c>
      <c r="M1183" s="2">
        <f t="shared" si="209"/>
        <v>1</v>
      </c>
      <c r="N1183">
        <v>0</v>
      </c>
      <c r="P1183" s="2">
        <f t="shared" si="210"/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48.3</v>
      </c>
      <c r="W1183" s="2">
        <f t="shared" si="211"/>
        <v>1</v>
      </c>
      <c r="X1183">
        <v>24.2</v>
      </c>
      <c r="Z1183" s="2">
        <f t="shared" si="212"/>
        <v>1</v>
      </c>
      <c r="AA1183">
        <v>6.7</v>
      </c>
      <c r="AB1183" s="2" t="str">
        <f>CHOOSE(MATCH(AA1183,{0;11;80;111;161;191;241;281;341},1),"North","NorthEast","East","SouthEast","South","SouthWest","West","NorthWest","North")</f>
        <v>North</v>
      </c>
      <c r="AC1183" s="5">
        <f>CHOOSE(MATCH(AB1183,{"South";"SouthEast";"SouthWest";"North";"NorthEast";"East";"West";"NorthWest"},0),1,2,3,4,5,6,7,8)</f>
        <v>4</v>
      </c>
      <c r="AD1183" s="2">
        <f t="shared" si="213"/>
        <v>1</v>
      </c>
      <c r="AE1183">
        <v>1013.1</v>
      </c>
      <c r="AF1183" s="4" t="s">
        <v>1946</v>
      </c>
      <c r="AG1183" s="2">
        <f t="shared" si="214"/>
        <v>1</v>
      </c>
      <c r="AH1183" t="s">
        <v>1947</v>
      </c>
      <c r="AI1183" s="2">
        <f t="shared" si="215"/>
        <v>8</v>
      </c>
      <c r="AJ1183" s="2">
        <f t="shared" si="216"/>
        <v>1</v>
      </c>
      <c r="AK1183" s="3">
        <v>13076.00000000093</v>
      </c>
      <c r="AM1183" s="2">
        <v>1</v>
      </c>
      <c r="AN1183">
        <v>0</v>
      </c>
      <c r="AO1183">
        <v>8</v>
      </c>
      <c r="AP1183">
        <v>0</v>
      </c>
      <c r="AQ1183" s="2">
        <f>IF((2*G1183 + M1183 -P1183 + 3*W1183 + 2*Z1183+2*AD1183 + AG1183+2*AJ1183 + 4*AM1183) &gt;=8,1,0)</f>
        <v>1</v>
      </c>
    </row>
    <row r="1184" spans="1:43" x14ac:dyDescent="0.25">
      <c r="A1184" t="s">
        <v>27</v>
      </c>
      <c r="B1184" s="1">
        <v>41153</v>
      </c>
      <c r="C1184" s="7">
        <f t="shared" si="208"/>
        <v>2012</v>
      </c>
      <c r="D1184">
        <v>88.8</v>
      </c>
      <c r="E1184">
        <v>73.3</v>
      </c>
      <c r="F1184">
        <v>80.2</v>
      </c>
      <c r="G1184" s="2">
        <f t="shared" si="207"/>
        <v>1</v>
      </c>
      <c r="H1184">
        <v>85.7</v>
      </c>
      <c r="I1184">
        <v>73.3</v>
      </c>
      <c r="J1184">
        <v>79.2</v>
      </c>
      <c r="K1184">
        <v>47.8</v>
      </c>
      <c r="L1184">
        <v>32.6</v>
      </c>
      <c r="M1184" s="2">
        <f t="shared" si="209"/>
        <v>1</v>
      </c>
      <c r="N1184">
        <v>0</v>
      </c>
      <c r="P1184" s="2">
        <f t="shared" si="210"/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32.200000000000003</v>
      </c>
      <c r="W1184" s="2">
        <f t="shared" si="211"/>
        <v>1</v>
      </c>
      <c r="X1184">
        <v>19.600000000000001</v>
      </c>
      <c r="Z1184" s="2">
        <f t="shared" si="212"/>
        <v>1</v>
      </c>
      <c r="AA1184">
        <v>359.7</v>
      </c>
      <c r="AB1184" s="2" t="str">
        <f>CHOOSE(MATCH(AA1184,{0;11;80;111;161;191;241;281;341},1),"North","NorthEast","East","SouthEast","South","SouthWest","West","NorthWest","North")</f>
        <v>North</v>
      </c>
      <c r="AC1184" s="5">
        <f>CHOOSE(MATCH(AB1184,{"South";"SouthEast";"SouthWest";"North";"NorthEast";"East";"West";"NorthWest"},0),1,2,3,4,5,6,7,8)</f>
        <v>4</v>
      </c>
      <c r="AD1184" s="2">
        <f t="shared" si="213"/>
        <v>1</v>
      </c>
      <c r="AE1184">
        <v>1014.8</v>
      </c>
      <c r="AF1184" s="4" t="s">
        <v>1949</v>
      </c>
      <c r="AG1184" s="2">
        <f t="shared" si="214"/>
        <v>0</v>
      </c>
      <c r="AH1184" t="s">
        <v>1950</v>
      </c>
      <c r="AI1184" s="2">
        <f t="shared" si="215"/>
        <v>9</v>
      </c>
      <c r="AJ1184" s="2">
        <f t="shared" si="216"/>
        <v>0</v>
      </c>
      <c r="AK1184" s="3">
        <v>76.999999999534339</v>
      </c>
      <c r="AM1184" s="2">
        <v>0</v>
      </c>
      <c r="AN1184">
        <v>0</v>
      </c>
      <c r="AO1184">
        <v>0.1</v>
      </c>
      <c r="AP1184">
        <v>0</v>
      </c>
      <c r="AQ1184" s="2">
        <f>IF((2*G1184 + M1184 -P1184 + 3*W1184 + 2*Z1184+2*AD1184 + AG1184+2*AJ1184 + 4*AM1184) &gt;=8,1,0)</f>
        <v>1</v>
      </c>
    </row>
    <row r="1185" spans="1:43" x14ac:dyDescent="0.25">
      <c r="A1185" t="s">
        <v>27</v>
      </c>
      <c r="B1185" s="1">
        <v>41154</v>
      </c>
      <c r="C1185" s="7">
        <f t="shared" si="208"/>
        <v>2012</v>
      </c>
      <c r="D1185">
        <v>87.2</v>
      </c>
      <c r="E1185">
        <v>71.8</v>
      </c>
      <c r="F1185">
        <v>78.099999999999994</v>
      </c>
      <c r="G1185" s="2">
        <f t="shared" si="207"/>
        <v>1</v>
      </c>
      <c r="H1185">
        <v>85.8</v>
      </c>
      <c r="I1185">
        <v>71.8</v>
      </c>
      <c r="J1185">
        <v>77.8</v>
      </c>
      <c r="K1185">
        <v>55.3</v>
      </c>
      <c r="L1185">
        <v>46.2</v>
      </c>
      <c r="M1185" s="2">
        <f t="shared" si="209"/>
        <v>1</v>
      </c>
      <c r="N1185">
        <v>0</v>
      </c>
      <c r="P1185" s="2">
        <f t="shared" si="210"/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35.6</v>
      </c>
      <c r="W1185" s="2">
        <f t="shared" si="211"/>
        <v>1</v>
      </c>
      <c r="X1185">
        <v>20.399999999999999</v>
      </c>
      <c r="Z1185" s="2">
        <f t="shared" si="212"/>
        <v>1</v>
      </c>
      <c r="AA1185">
        <v>359.7</v>
      </c>
      <c r="AB1185" s="2" t="str">
        <f>CHOOSE(MATCH(AA1185,{0;11;80;111;161;191;241;281;341},1),"North","NorthEast","East","SouthEast","South","SouthWest","West","NorthWest","North")</f>
        <v>North</v>
      </c>
      <c r="AC1185" s="5">
        <f>CHOOSE(MATCH(AB1185,{"South";"SouthEast";"SouthWest";"North";"NorthEast";"East";"West";"NorthWest"},0),1,2,3,4,5,6,7,8)</f>
        <v>4</v>
      </c>
      <c r="AD1185" s="2">
        <f t="shared" si="213"/>
        <v>1</v>
      </c>
      <c r="AE1185">
        <v>1017.1</v>
      </c>
      <c r="AF1185" s="4" t="s">
        <v>1700</v>
      </c>
      <c r="AG1185" s="2">
        <f t="shared" si="214"/>
        <v>0</v>
      </c>
      <c r="AH1185" t="s">
        <v>1951</v>
      </c>
      <c r="AI1185" s="2">
        <f t="shared" si="215"/>
        <v>9</v>
      </c>
      <c r="AJ1185" s="2">
        <f t="shared" si="216"/>
        <v>0</v>
      </c>
      <c r="AK1185" s="3">
        <v>3475.0000000011642</v>
      </c>
      <c r="AM1185" s="2">
        <v>1</v>
      </c>
      <c r="AN1185">
        <v>0</v>
      </c>
      <c r="AO1185">
        <v>5</v>
      </c>
      <c r="AP1185">
        <v>0</v>
      </c>
      <c r="AQ1185" s="2">
        <f>IF((2*G1185 + M1185 -P1185 + 3*W1185 + 2*Z1185+2*AD1185 + AG1185+2*AJ1185 + 4*AM1185) &gt;=8,1,0)</f>
        <v>1</v>
      </c>
    </row>
    <row r="1186" spans="1:43" x14ac:dyDescent="0.25">
      <c r="A1186" t="s">
        <v>27</v>
      </c>
      <c r="B1186" s="1">
        <v>41155</v>
      </c>
      <c r="C1186" s="7">
        <f t="shared" si="208"/>
        <v>2012</v>
      </c>
      <c r="D1186">
        <v>86.8</v>
      </c>
      <c r="E1186">
        <v>70.2</v>
      </c>
      <c r="F1186">
        <v>77.7</v>
      </c>
      <c r="G1186" s="2">
        <f t="shared" si="207"/>
        <v>1</v>
      </c>
      <c r="H1186">
        <v>85.6</v>
      </c>
      <c r="I1186">
        <v>70.2</v>
      </c>
      <c r="J1186">
        <v>77.3</v>
      </c>
      <c r="K1186">
        <v>54.8</v>
      </c>
      <c r="L1186">
        <v>46.2</v>
      </c>
      <c r="M1186" s="2">
        <f t="shared" si="209"/>
        <v>1</v>
      </c>
      <c r="N1186">
        <v>0</v>
      </c>
      <c r="P1186" s="2">
        <f t="shared" si="210"/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26.4</v>
      </c>
      <c r="W1186" s="2">
        <f t="shared" si="211"/>
        <v>1</v>
      </c>
      <c r="X1186">
        <v>19.7</v>
      </c>
      <c r="Z1186" s="2">
        <f t="shared" si="212"/>
        <v>1</v>
      </c>
      <c r="AA1186">
        <v>3.8</v>
      </c>
      <c r="AB1186" s="2" t="str">
        <f>CHOOSE(MATCH(AA1186,{0;11;80;111;161;191;241;281;341},1),"North","NorthEast","East","SouthEast","South","SouthWest","West","NorthWest","North")</f>
        <v>North</v>
      </c>
      <c r="AC1186" s="5">
        <f>CHOOSE(MATCH(AB1186,{"South";"SouthEast";"SouthWest";"North";"NorthEast";"East";"West";"NorthWest"},0),1,2,3,4,5,6,7,8)</f>
        <v>4</v>
      </c>
      <c r="AD1186" s="2">
        <f t="shared" si="213"/>
        <v>1</v>
      </c>
      <c r="AE1186">
        <v>1015.2</v>
      </c>
      <c r="AF1186" s="4" t="s">
        <v>1952</v>
      </c>
      <c r="AG1186" s="2">
        <f t="shared" si="214"/>
        <v>0</v>
      </c>
      <c r="AH1186" t="s">
        <v>1953</v>
      </c>
      <c r="AI1186" s="2">
        <f t="shared" si="215"/>
        <v>9</v>
      </c>
      <c r="AJ1186" s="2">
        <f t="shared" si="216"/>
        <v>0</v>
      </c>
      <c r="AK1186" s="3">
        <v>18.999999999068681</v>
      </c>
      <c r="AM1186" s="2">
        <v>0</v>
      </c>
      <c r="AN1186">
        <v>0</v>
      </c>
      <c r="AO1186">
        <v>0.2</v>
      </c>
      <c r="AP1186">
        <v>0</v>
      </c>
      <c r="AQ1186" s="2">
        <f>IF((2*G1186 + M1186 -P1186 + 3*W1186 + 2*Z1186+2*AD1186 + AG1186+2*AJ1186 + 4*AM1186) &gt;=8,1,0)</f>
        <v>1</v>
      </c>
    </row>
    <row r="1187" spans="1:43" x14ac:dyDescent="0.25">
      <c r="A1187" t="s">
        <v>27</v>
      </c>
      <c r="B1187" s="1">
        <v>41155</v>
      </c>
      <c r="C1187" s="7">
        <f t="shared" si="208"/>
        <v>2012</v>
      </c>
      <c r="D1187">
        <v>86.8</v>
      </c>
      <c r="E1187">
        <v>70.2</v>
      </c>
      <c r="F1187">
        <v>77.7</v>
      </c>
      <c r="G1187" s="2">
        <f t="shared" si="207"/>
        <v>1</v>
      </c>
      <c r="H1187">
        <v>85.6</v>
      </c>
      <c r="I1187">
        <v>70.2</v>
      </c>
      <c r="J1187">
        <v>77.3</v>
      </c>
      <c r="K1187">
        <v>54.8</v>
      </c>
      <c r="L1187">
        <v>46.2</v>
      </c>
      <c r="M1187" s="2">
        <f t="shared" si="209"/>
        <v>1</v>
      </c>
      <c r="N1187">
        <v>0</v>
      </c>
      <c r="P1187" s="2">
        <f t="shared" si="210"/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26.4</v>
      </c>
      <c r="W1187" s="2">
        <f t="shared" si="211"/>
        <v>1</v>
      </c>
      <c r="X1187">
        <v>19.7</v>
      </c>
      <c r="Z1187" s="2">
        <f t="shared" si="212"/>
        <v>1</v>
      </c>
      <c r="AA1187">
        <v>3.8</v>
      </c>
      <c r="AB1187" s="2" t="str">
        <f>CHOOSE(MATCH(AA1187,{0;11;80;111;161;191;241;281;341},1),"North","NorthEast","East","SouthEast","South","SouthWest","West","NorthWest","North")</f>
        <v>North</v>
      </c>
      <c r="AC1187" s="5">
        <f>CHOOSE(MATCH(AB1187,{"South";"SouthEast";"SouthWest";"North";"NorthEast";"East";"West";"NorthWest"},0),1,2,3,4,5,6,7,8)</f>
        <v>4</v>
      </c>
      <c r="AD1187" s="2">
        <f t="shared" si="213"/>
        <v>1</v>
      </c>
      <c r="AE1187">
        <v>1015.2</v>
      </c>
      <c r="AF1187" s="4" t="s">
        <v>1954</v>
      </c>
      <c r="AG1187" s="2">
        <f t="shared" si="214"/>
        <v>1</v>
      </c>
      <c r="AH1187" t="s">
        <v>1955</v>
      </c>
      <c r="AI1187" s="2">
        <f t="shared" si="215"/>
        <v>9</v>
      </c>
      <c r="AJ1187" s="2">
        <f t="shared" si="216"/>
        <v>0</v>
      </c>
      <c r="AK1187" s="3">
        <v>309.00000000139698</v>
      </c>
      <c r="AM1187" s="2">
        <v>0</v>
      </c>
      <c r="AN1187">
        <v>0.1</v>
      </c>
      <c r="AO1187">
        <v>0</v>
      </c>
      <c r="AP1187">
        <v>0</v>
      </c>
      <c r="AQ1187" s="2">
        <f>IF((2*G1187 + M1187 -P1187 + 3*W1187 + 2*Z1187+2*AD1187 + AG1187+2*AJ1187 + 4*AM1187) &gt;=8,1,0)</f>
        <v>1</v>
      </c>
    </row>
    <row r="1188" spans="1:43" x14ac:dyDescent="0.25">
      <c r="A1188" t="s">
        <v>27</v>
      </c>
      <c r="B1188" s="1">
        <v>41161</v>
      </c>
      <c r="C1188" s="7">
        <f t="shared" si="208"/>
        <v>2012</v>
      </c>
      <c r="D1188">
        <v>89.5</v>
      </c>
      <c r="E1188">
        <v>71.900000000000006</v>
      </c>
      <c r="F1188">
        <v>79.2</v>
      </c>
      <c r="G1188" s="2">
        <f t="shared" si="207"/>
        <v>1</v>
      </c>
      <c r="H1188">
        <v>85.8</v>
      </c>
      <c r="I1188">
        <v>71.900000000000006</v>
      </c>
      <c r="J1188">
        <v>78.099999999999994</v>
      </c>
      <c r="K1188">
        <v>48.9</v>
      </c>
      <c r="L1188">
        <v>36.200000000000003</v>
      </c>
      <c r="M1188" s="2">
        <f t="shared" si="209"/>
        <v>1</v>
      </c>
      <c r="N1188">
        <v>0</v>
      </c>
      <c r="P1188" s="2">
        <f t="shared" si="210"/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31.9</v>
      </c>
      <c r="W1188" s="2">
        <f t="shared" si="211"/>
        <v>1</v>
      </c>
      <c r="X1188">
        <v>18.2</v>
      </c>
      <c r="Z1188" s="2">
        <f t="shared" si="212"/>
        <v>1</v>
      </c>
      <c r="AA1188">
        <v>0.5</v>
      </c>
      <c r="AB1188" s="2" t="str">
        <f>CHOOSE(MATCH(AA1188,{0;11;80;111;161;191;241;281;341},1),"North","NorthEast","East","SouthEast","South","SouthWest","West","NorthWest","North")</f>
        <v>North</v>
      </c>
      <c r="AC1188" s="5">
        <f>CHOOSE(MATCH(AB1188,{"South";"SouthEast";"SouthWest";"North";"NorthEast";"East";"West";"NorthWest"},0),1,2,3,4,5,6,7,8)</f>
        <v>4</v>
      </c>
      <c r="AD1188" s="2">
        <f t="shared" si="213"/>
        <v>1</v>
      </c>
      <c r="AE1188">
        <v>1014.3</v>
      </c>
      <c r="AF1188" s="4" t="s">
        <v>1956</v>
      </c>
      <c r="AG1188" s="2">
        <f t="shared" si="214"/>
        <v>0</v>
      </c>
      <c r="AH1188" t="s">
        <v>1957</v>
      </c>
      <c r="AI1188" s="2">
        <f t="shared" si="215"/>
        <v>9</v>
      </c>
      <c r="AJ1188" s="2">
        <f t="shared" si="216"/>
        <v>0</v>
      </c>
      <c r="AK1188" s="3">
        <v>11326.999999999531</v>
      </c>
      <c r="AM1188" s="2">
        <v>1</v>
      </c>
      <c r="AN1188">
        <v>500</v>
      </c>
      <c r="AO1188">
        <v>0</v>
      </c>
      <c r="AP1188">
        <v>0</v>
      </c>
      <c r="AQ1188" s="2">
        <f>IF((2*G1188 + M1188 -P1188 + 3*W1188 + 2*Z1188+2*AD1188 + AG1188+2*AJ1188 + 4*AM1188) &gt;=8,1,0)</f>
        <v>1</v>
      </c>
    </row>
    <row r="1189" spans="1:43" x14ac:dyDescent="0.25">
      <c r="A1189" t="s">
        <v>27</v>
      </c>
      <c r="B1189" s="1">
        <v>41161</v>
      </c>
      <c r="C1189" s="7">
        <f t="shared" si="208"/>
        <v>2012</v>
      </c>
      <c r="D1189">
        <v>89.5</v>
      </c>
      <c r="E1189">
        <v>71.900000000000006</v>
      </c>
      <c r="F1189">
        <v>79.2</v>
      </c>
      <c r="G1189" s="2">
        <f t="shared" si="207"/>
        <v>1</v>
      </c>
      <c r="H1189">
        <v>85.8</v>
      </c>
      <c r="I1189">
        <v>71.900000000000006</v>
      </c>
      <c r="J1189">
        <v>78.099999999999994</v>
      </c>
      <c r="K1189">
        <v>48.9</v>
      </c>
      <c r="L1189">
        <v>36.200000000000003</v>
      </c>
      <c r="M1189" s="2">
        <f t="shared" si="209"/>
        <v>1</v>
      </c>
      <c r="N1189">
        <v>0</v>
      </c>
      <c r="P1189" s="2">
        <f t="shared" si="210"/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31.9</v>
      </c>
      <c r="W1189" s="2">
        <f t="shared" si="211"/>
        <v>1</v>
      </c>
      <c r="X1189">
        <v>18.2</v>
      </c>
      <c r="Z1189" s="2">
        <f t="shared" si="212"/>
        <v>1</v>
      </c>
      <c r="AA1189">
        <v>0.5</v>
      </c>
      <c r="AB1189" s="2" t="str">
        <f>CHOOSE(MATCH(AA1189,{0;11;80;111;161;191;241;281;341},1),"North","NorthEast","East","SouthEast","South","SouthWest","West","NorthWest","North")</f>
        <v>North</v>
      </c>
      <c r="AC1189" s="5">
        <f>CHOOSE(MATCH(AB1189,{"South";"SouthEast";"SouthWest";"North";"NorthEast";"East";"West";"NorthWest"},0),1,2,3,4,5,6,7,8)</f>
        <v>4</v>
      </c>
      <c r="AD1189" s="2">
        <f t="shared" si="213"/>
        <v>1</v>
      </c>
      <c r="AE1189">
        <v>1014.3</v>
      </c>
      <c r="AF1189" s="4" t="s">
        <v>1958</v>
      </c>
      <c r="AG1189" s="2">
        <f t="shared" si="214"/>
        <v>0</v>
      </c>
      <c r="AH1189" t="s">
        <v>1959</v>
      </c>
      <c r="AI1189" s="2">
        <f t="shared" si="215"/>
        <v>9</v>
      </c>
      <c r="AJ1189" s="2">
        <f t="shared" si="216"/>
        <v>0</v>
      </c>
      <c r="AK1189" s="3">
        <v>7748.0000000051223</v>
      </c>
      <c r="AM1189" s="2">
        <v>1</v>
      </c>
      <c r="AN1189">
        <v>30</v>
      </c>
      <c r="AO1189">
        <v>0</v>
      </c>
      <c r="AP1189">
        <v>0</v>
      </c>
      <c r="AQ1189" s="2">
        <f>IF((2*G1189 + M1189 -P1189 + 3*W1189 + 2*Z1189+2*AD1189 + AG1189+2*AJ1189 + 4*AM1189) &gt;=8,1,0)</f>
        <v>1</v>
      </c>
    </row>
    <row r="1190" spans="1:43" x14ac:dyDescent="0.25">
      <c r="A1190" t="s">
        <v>27</v>
      </c>
      <c r="B1190" s="1">
        <v>41169</v>
      </c>
      <c r="C1190" s="7">
        <f t="shared" si="208"/>
        <v>2012</v>
      </c>
      <c r="D1190">
        <v>81.3</v>
      </c>
      <c r="E1190">
        <v>66.8</v>
      </c>
      <c r="F1190">
        <v>72.3</v>
      </c>
      <c r="G1190" s="2">
        <f t="shared" si="207"/>
        <v>0</v>
      </c>
      <c r="H1190">
        <v>82</v>
      </c>
      <c r="I1190">
        <v>66.8</v>
      </c>
      <c r="J1190">
        <v>72.3</v>
      </c>
      <c r="K1190">
        <v>60</v>
      </c>
      <c r="L1190">
        <v>66.7</v>
      </c>
      <c r="M1190" s="2">
        <f t="shared" si="209"/>
        <v>0</v>
      </c>
      <c r="N1190">
        <v>0</v>
      </c>
      <c r="P1190" s="2">
        <f t="shared" si="210"/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s="2">
        <f t="shared" si="211"/>
        <v>0</v>
      </c>
      <c r="X1190">
        <v>10.9</v>
      </c>
      <c r="Z1190" s="2">
        <f t="shared" si="212"/>
        <v>0</v>
      </c>
      <c r="AA1190">
        <v>347.3</v>
      </c>
      <c r="AB1190" s="2" t="str">
        <f>CHOOSE(MATCH(AA1190,{0;11;80;111;161;191;241;281;341},1),"North","NorthEast","East","SouthEast","South","SouthWest","West","NorthWest","North")</f>
        <v>North</v>
      </c>
      <c r="AC1190" s="5">
        <f>CHOOSE(MATCH(AB1190,{"South";"SouthEast";"SouthWest";"North";"NorthEast";"East";"West";"NorthWest"},0),1,2,3,4,5,6,7,8)</f>
        <v>4</v>
      </c>
      <c r="AD1190" s="2">
        <f t="shared" si="213"/>
        <v>1</v>
      </c>
      <c r="AE1190">
        <v>1010.8</v>
      </c>
      <c r="AF1190" s="4" t="s">
        <v>1960</v>
      </c>
      <c r="AG1190" s="2">
        <f t="shared" si="214"/>
        <v>1</v>
      </c>
      <c r="AH1190" t="s">
        <v>1961</v>
      </c>
      <c r="AI1190" s="2">
        <f t="shared" si="215"/>
        <v>9</v>
      </c>
      <c r="AJ1190" s="2">
        <f t="shared" si="216"/>
        <v>0</v>
      </c>
      <c r="AK1190" s="3">
        <v>35.999999991618097</v>
      </c>
      <c r="AM1190" s="2">
        <v>0</v>
      </c>
      <c r="AN1190">
        <v>0</v>
      </c>
      <c r="AO1190">
        <v>0.1</v>
      </c>
      <c r="AP1190">
        <v>0</v>
      </c>
      <c r="AQ1190" s="2">
        <f>IF((2*G1190 + M1190 -P1190 + 3*W1190 + 2*Z1190+2*AD1190 + AG1190+2*AJ1190 + 4*AM1190) &gt;=8,1,0)</f>
        <v>0</v>
      </c>
    </row>
    <row r="1191" spans="1:43" x14ac:dyDescent="0.25">
      <c r="A1191" t="s">
        <v>27</v>
      </c>
      <c r="B1191" s="1">
        <v>41172</v>
      </c>
      <c r="C1191" s="7">
        <f t="shared" si="208"/>
        <v>2012</v>
      </c>
      <c r="D1191">
        <v>85.6</v>
      </c>
      <c r="E1191">
        <v>64.599999999999994</v>
      </c>
      <c r="F1191">
        <v>75.3</v>
      </c>
      <c r="G1191" s="2">
        <f t="shared" si="207"/>
        <v>1</v>
      </c>
      <c r="H1191">
        <v>84.2</v>
      </c>
      <c r="I1191">
        <v>64.599999999999994</v>
      </c>
      <c r="J1191">
        <v>74.900000000000006</v>
      </c>
      <c r="K1191">
        <v>59.2</v>
      </c>
      <c r="L1191">
        <v>61</v>
      </c>
      <c r="M1191" s="2">
        <f t="shared" si="209"/>
        <v>0</v>
      </c>
      <c r="N1191">
        <v>0</v>
      </c>
      <c r="P1191" s="2">
        <f t="shared" si="210"/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s="2">
        <f t="shared" si="211"/>
        <v>0</v>
      </c>
      <c r="X1191">
        <v>11.6</v>
      </c>
      <c r="Z1191" s="2">
        <f t="shared" si="212"/>
        <v>0</v>
      </c>
      <c r="AA1191">
        <v>252</v>
      </c>
      <c r="AB1191" s="2" t="str">
        <f>CHOOSE(MATCH(AA1191,{0;11;80;111;161;191;241;281;341},1),"North","NorthEast","East","SouthEast","South","SouthWest","West","NorthWest","North")</f>
        <v>West</v>
      </c>
      <c r="AC1191" s="5">
        <f>CHOOSE(MATCH(AB1191,{"South";"SouthEast";"SouthWest";"North";"NorthEast";"East";"West";"NorthWest"},0),1,2,3,4,5,6,7,8)</f>
        <v>7</v>
      </c>
      <c r="AD1191" s="2">
        <f t="shared" si="213"/>
        <v>0</v>
      </c>
      <c r="AE1191">
        <v>1011.6</v>
      </c>
      <c r="AF1191" s="4" t="s">
        <v>1962</v>
      </c>
      <c r="AG1191" s="2">
        <f t="shared" si="214"/>
        <v>0</v>
      </c>
      <c r="AH1191" t="s">
        <v>1963</v>
      </c>
      <c r="AI1191" s="2">
        <f t="shared" si="215"/>
        <v>9</v>
      </c>
      <c r="AJ1191" s="2">
        <f t="shared" si="216"/>
        <v>0</v>
      </c>
      <c r="AK1191" s="3">
        <v>631.99999999604188</v>
      </c>
      <c r="AM1191" s="2">
        <v>1</v>
      </c>
      <c r="AN1191">
        <v>0</v>
      </c>
      <c r="AO1191">
        <v>2</v>
      </c>
      <c r="AP1191">
        <v>0</v>
      </c>
      <c r="AQ1191" s="2">
        <f>IF((2*G1191 + M1191 -P1191 + 3*W1191 + 2*Z1191+2*AD1191 + AG1191+2*AJ1191 + 4*AM1191) &gt;=8,1,0)</f>
        <v>0</v>
      </c>
    </row>
    <row r="1192" spans="1:43" x14ac:dyDescent="0.25">
      <c r="A1192" t="s">
        <v>27</v>
      </c>
      <c r="B1192" s="1">
        <v>41173</v>
      </c>
      <c r="C1192" s="7">
        <f t="shared" si="208"/>
        <v>2012</v>
      </c>
      <c r="D1192">
        <v>80.900000000000006</v>
      </c>
      <c r="E1192">
        <v>66.2</v>
      </c>
      <c r="F1192">
        <v>72.8</v>
      </c>
      <c r="G1192" s="2">
        <f t="shared" si="207"/>
        <v>0</v>
      </c>
      <c r="H1192">
        <v>80</v>
      </c>
      <c r="I1192">
        <v>66.2</v>
      </c>
      <c r="J1192">
        <v>72.7</v>
      </c>
      <c r="K1192">
        <v>52.7</v>
      </c>
      <c r="L1192">
        <v>50.7</v>
      </c>
      <c r="M1192" s="2">
        <f t="shared" si="209"/>
        <v>0</v>
      </c>
      <c r="N1192">
        <v>0</v>
      </c>
      <c r="P1192" s="2">
        <f t="shared" si="210"/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s="2">
        <f t="shared" si="211"/>
        <v>0</v>
      </c>
      <c r="X1192">
        <v>15.4</v>
      </c>
      <c r="Z1192" s="2">
        <f t="shared" si="212"/>
        <v>0</v>
      </c>
      <c r="AA1192">
        <v>25.5</v>
      </c>
      <c r="AB1192" s="2" t="str">
        <f>CHOOSE(MATCH(AA1192,{0;11;80;111;161;191;241;281;341},1),"North","NorthEast","East","SouthEast","South","SouthWest","West","NorthWest","North")</f>
        <v>NorthEast</v>
      </c>
      <c r="AC1192" s="5">
        <f>CHOOSE(MATCH(AB1192,{"South";"SouthEast";"SouthWest";"North";"NorthEast";"East";"West";"NorthWest"},0),1,2,3,4,5,6,7,8)</f>
        <v>5</v>
      </c>
      <c r="AD1192" s="2">
        <f t="shared" si="213"/>
        <v>1</v>
      </c>
      <c r="AE1192">
        <v>1014.3</v>
      </c>
      <c r="AF1192" s="4" t="s">
        <v>1964</v>
      </c>
      <c r="AG1192" s="2">
        <f t="shared" si="214"/>
        <v>1</v>
      </c>
      <c r="AH1192" t="s">
        <v>1965</v>
      </c>
      <c r="AI1192" s="2">
        <f t="shared" si="215"/>
        <v>9</v>
      </c>
      <c r="AJ1192" s="2">
        <f t="shared" si="216"/>
        <v>0</v>
      </c>
      <c r="AK1192" s="3">
        <v>1245.9999999962749</v>
      </c>
      <c r="AM1192" s="2">
        <v>1</v>
      </c>
      <c r="AN1192">
        <v>2</v>
      </c>
      <c r="AO1192">
        <v>0</v>
      </c>
      <c r="AP1192">
        <v>0</v>
      </c>
      <c r="AQ1192" s="2">
        <f>IF((2*G1192 + M1192 -P1192 + 3*W1192 + 2*Z1192+2*AD1192 + AG1192+2*AJ1192 + 4*AM1192) &gt;=8,1,0)</f>
        <v>0</v>
      </c>
    </row>
    <row r="1193" spans="1:43" x14ac:dyDescent="0.25">
      <c r="A1193" t="s">
        <v>27</v>
      </c>
      <c r="B1193" s="1">
        <v>41177</v>
      </c>
      <c r="C1193" s="7">
        <f t="shared" si="208"/>
        <v>2012</v>
      </c>
      <c r="D1193">
        <v>88</v>
      </c>
      <c r="E1193">
        <v>63</v>
      </c>
      <c r="F1193">
        <v>75.3</v>
      </c>
      <c r="G1193" s="2">
        <f t="shared" si="207"/>
        <v>1</v>
      </c>
      <c r="H1193">
        <v>88.3</v>
      </c>
      <c r="I1193">
        <v>63</v>
      </c>
      <c r="J1193">
        <v>75.400000000000006</v>
      </c>
      <c r="K1193">
        <v>58.9</v>
      </c>
      <c r="L1193">
        <v>58.6</v>
      </c>
      <c r="M1193" s="2">
        <f t="shared" si="209"/>
        <v>0</v>
      </c>
      <c r="N1193">
        <v>0</v>
      </c>
      <c r="P1193" s="2">
        <f t="shared" si="210"/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s="2">
        <f t="shared" si="211"/>
        <v>0</v>
      </c>
      <c r="X1193">
        <v>9.4</v>
      </c>
      <c r="Z1193" s="2">
        <f t="shared" si="212"/>
        <v>0</v>
      </c>
      <c r="AA1193">
        <v>223.4</v>
      </c>
      <c r="AB1193" s="2" t="str">
        <f>CHOOSE(MATCH(AA1193,{0;11;80;111;161;191;241;281;341},1),"North","NorthEast","East","SouthEast","South","SouthWest","West","NorthWest","North")</f>
        <v>SouthWest</v>
      </c>
      <c r="AC1193" s="5">
        <f>CHOOSE(MATCH(AB1193,{"South";"SouthEast";"SouthWest";"North";"NorthEast";"East";"West";"NorthWest"},0),1,2,3,4,5,6,7,8)</f>
        <v>3</v>
      </c>
      <c r="AD1193" s="2">
        <f t="shared" si="213"/>
        <v>1</v>
      </c>
      <c r="AE1193">
        <v>1011.4</v>
      </c>
      <c r="AF1193" s="4" t="s">
        <v>1966</v>
      </c>
      <c r="AG1193" s="2">
        <f t="shared" si="214"/>
        <v>1</v>
      </c>
      <c r="AH1193" t="s">
        <v>1967</v>
      </c>
      <c r="AI1193" s="2">
        <f t="shared" si="215"/>
        <v>9</v>
      </c>
      <c r="AJ1193" s="2">
        <f t="shared" si="216"/>
        <v>0</v>
      </c>
      <c r="AK1193" s="3">
        <v>188.0000000051223</v>
      </c>
      <c r="AM1193" s="2">
        <v>0</v>
      </c>
      <c r="AN1193">
        <v>0</v>
      </c>
      <c r="AO1193">
        <v>2</v>
      </c>
      <c r="AP1193">
        <v>0</v>
      </c>
      <c r="AQ1193" s="2">
        <f>IF((2*G1193 + M1193 -P1193 + 3*W1193 + 2*Z1193+2*AD1193 + AG1193+2*AJ1193 + 4*AM1193) &gt;=8,1,0)</f>
        <v>0</v>
      </c>
    </row>
    <row r="1194" spans="1:43" x14ac:dyDescent="0.25">
      <c r="A1194" t="s">
        <v>27</v>
      </c>
      <c r="B1194" s="1">
        <v>41177</v>
      </c>
      <c r="C1194" s="7">
        <f t="shared" si="208"/>
        <v>2012</v>
      </c>
      <c r="D1194">
        <v>88</v>
      </c>
      <c r="E1194">
        <v>63</v>
      </c>
      <c r="F1194">
        <v>75.3</v>
      </c>
      <c r="G1194" s="2">
        <f t="shared" si="207"/>
        <v>1</v>
      </c>
      <c r="H1194">
        <v>88.3</v>
      </c>
      <c r="I1194">
        <v>63</v>
      </c>
      <c r="J1194">
        <v>75.400000000000006</v>
      </c>
      <c r="K1194">
        <v>58.9</v>
      </c>
      <c r="L1194">
        <v>58.6</v>
      </c>
      <c r="M1194" s="2">
        <f t="shared" si="209"/>
        <v>0</v>
      </c>
      <c r="N1194">
        <v>0</v>
      </c>
      <c r="P1194" s="2">
        <f t="shared" si="210"/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s="2">
        <f t="shared" si="211"/>
        <v>0</v>
      </c>
      <c r="X1194">
        <v>9.4</v>
      </c>
      <c r="Z1194" s="2">
        <f t="shared" si="212"/>
        <v>0</v>
      </c>
      <c r="AA1194">
        <v>223.4</v>
      </c>
      <c r="AB1194" s="2" t="str">
        <f>CHOOSE(MATCH(AA1194,{0;11;80;111;161;191;241;281;341},1),"North","NorthEast","East","SouthEast","South","SouthWest","West","NorthWest","North")</f>
        <v>SouthWest</v>
      </c>
      <c r="AC1194" s="5">
        <f>CHOOSE(MATCH(AB1194,{"South";"SouthEast";"SouthWest";"North";"NorthEast";"East";"West";"NorthWest"},0),1,2,3,4,5,6,7,8)</f>
        <v>3</v>
      </c>
      <c r="AD1194" s="2">
        <f t="shared" si="213"/>
        <v>1</v>
      </c>
      <c r="AE1194">
        <v>1011.4</v>
      </c>
      <c r="AF1194" s="4" t="s">
        <v>1964</v>
      </c>
      <c r="AG1194" s="2">
        <f t="shared" si="214"/>
        <v>1</v>
      </c>
      <c r="AH1194" t="s">
        <v>1968</v>
      </c>
      <c r="AI1194" s="2">
        <f t="shared" si="215"/>
        <v>9</v>
      </c>
      <c r="AJ1194" s="2">
        <f t="shared" si="216"/>
        <v>0</v>
      </c>
      <c r="AK1194" s="3">
        <v>8775.9999999927823</v>
      </c>
      <c r="AM1194" s="2">
        <v>1</v>
      </c>
      <c r="AN1194">
        <v>30</v>
      </c>
      <c r="AO1194">
        <v>0</v>
      </c>
      <c r="AP1194">
        <v>0</v>
      </c>
      <c r="AQ1194" s="2">
        <f>IF((2*G1194 + M1194 -P1194 + 3*W1194 + 2*Z1194+2*AD1194 + AG1194+2*AJ1194 + 4*AM1194) &gt;=8,1,0)</f>
        <v>1</v>
      </c>
    </row>
    <row r="1195" spans="1:43" x14ac:dyDescent="0.25">
      <c r="A1195" t="s">
        <v>27</v>
      </c>
      <c r="B1195" s="1">
        <v>41181</v>
      </c>
      <c r="C1195" s="7">
        <f t="shared" si="208"/>
        <v>2012</v>
      </c>
      <c r="D1195">
        <v>94</v>
      </c>
      <c r="E1195">
        <v>76.900000000000006</v>
      </c>
      <c r="F1195">
        <v>83.7</v>
      </c>
      <c r="G1195" s="2">
        <f t="shared" si="207"/>
        <v>1</v>
      </c>
      <c r="H1195">
        <v>89.9</v>
      </c>
      <c r="I1195">
        <v>76.900000000000006</v>
      </c>
      <c r="J1195">
        <v>81.900000000000006</v>
      </c>
      <c r="K1195">
        <v>45.4</v>
      </c>
      <c r="L1195">
        <v>27.3</v>
      </c>
      <c r="M1195" s="2">
        <f t="shared" si="209"/>
        <v>1</v>
      </c>
      <c r="N1195">
        <v>0</v>
      </c>
      <c r="P1195" s="2">
        <f t="shared" si="210"/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31.8</v>
      </c>
      <c r="W1195" s="2">
        <f t="shared" si="211"/>
        <v>1</v>
      </c>
      <c r="X1195">
        <v>18.5</v>
      </c>
      <c r="Z1195" s="2">
        <f t="shared" si="212"/>
        <v>1</v>
      </c>
      <c r="AA1195">
        <v>351.2</v>
      </c>
      <c r="AB1195" s="2" t="str">
        <f>CHOOSE(MATCH(AA1195,{0;11;80;111;161;191;241;281;341},1),"North","NorthEast","East","SouthEast","South","SouthWest","West","NorthWest","North")</f>
        <v>North</v>
      </c>
      <c r="AC1195" s="5">
        <f>CHOOSE(MATCH(AB1195,{"South";"SouthEast";"SouthWest";"North";"NorthEast";"East";"West";"NorthWest"},0),1,2,3,4,5,6,7,8)</f>
        <v>4</v>
      </c>
      <c r="AD1195" s="2">
        <f t="shared" si="213"/>
        <v>1</v>
      </c>
      <c r="AE1195">
        <v>1016.2</v>
      </c>
      <c r="AF1195" s="4" t="s">
        <v>1969</v>
      </c>
      <c r="AG1195" s="2">
        <f t="shared" si="214"/>
        <v>1</v>
      </c>
      <c r="AH1195" t="s">
        <v>1970</v>
      </c>
      <c r="AI1195" s="2">
        <f t="shared" si="215"/>
        <v>9</v>
      </c>
      <c r="AJ1195" s="2">
        <f t="shared" si="216"/>
        <v>0</v>
      </c>
      <c r="AK1195" s="3">
        <v>468.00000000628643</v>
      </c>
      <c r="AM1195" s="2">
        <v>1</v>
      </c>
      <c r="AN1195">
        <v>0</v>
      </c>
      <c r="AO1195">
        <v>5</v>
      </c>
      <c r="AP1195">
        <v>0</v>
      </c>
      <c r="AQ1195" s="2">
        <f>IF((2*G1195 + M1195 -P1195 + 3*W1195 + 2*Z1195+2*AD1195 + AG1195+2*AJ1195 + 4*AM1195) &gt;=8,1,0)</f>
        <v>1</v>
      </c>
    </row>
    <row r="1196" spans="1:43" x14ac:dyDescent="0.25">
      <c r="A1196" t="s">
        <v>27</v>
      </c>
      <c r="B1196" s="1">
        <v>41183</v>
      </c>
      <c r="C1196" s="7">
        <f t="shared" si="208"/>
        <v>2012</v>
      </c>
      <c r="D1196">
        <v>88.4</v>
      </c>
      <c r="E1196">
        <v>67.8</v>
      </c>
      <c r="F1196">
        <v>77.8</v>
      </c>
      <c r="G1196" s="2">
        <f t="shared" si="207"/>
        <v>1</v>
      </c>
      <c r="H1196">
        <v>86.1</v>
      </c>
      <c r="I1196">
        <v>67.8</v>
      </c>
      <c r="J1196">
        <v>76.7</v>
      </c>
      <c r="K1196">
        <v>48.7</v>
      </c>
      <c r="L1196">
        <v>37.799999999999997</v>
      </c>
      <c r="M1196" s="2">
        <f t="shared" si="209"/>
        <v>1</v>
      </c>
      <c r="N1196">
        <v>0</v>
      </c>
      <c r="P1196" s="2">
        <f t="shared" si="210"/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s="2">
        <f t="shared" si="211"/>
        <v>0</v>
      </c>
      <c r="X1196">
        <v>16.8</v>
      </c>
      <c r="Z1196" s="2">
        <f t="shared" si="212"/>
        <v>1</v>
      </c>
      <c r="AA1196">
        <v>356.5</v>
      </c>
      <c r="AB1196" s="2" t="str">
        <f>CHOOSE(MATCH(AA1196,{0;11;80;111;161;191;241;281;341},1),"North","NorthEast","East","SouthEast","South","SouthWest","West","NorthWest","North")</f>
        <v>North</v>
      </c>
      <c r="AC1196" s="5">
        <f>CHOOSE(MATCH(AB1196,{"South";"SouthEast";"SouthWest";"North";"NorthEast";"East";"West";"NorthWest"},0),1,2,3,4,5,6,7,8)</f>
        <v>4</v>
      </c>
      <c r="AD1196" s="2">
        <f t="shared" si="213"/>
        <v>1</v>
      </c>
      <c r="AE1196">
        <v>1017.1</v>
      </c>
      <c r="AF1196" s="4" t="s">
        <v>1971</v>
      </c>
      <c r="AG1196" s="2">
        <f t="shared" si="214"/>
        <v>1</v>
      </c>
      <c r="AH1196" t="s">
        <v>1972</v>
      </c>
      <c r="AI1196" s="2">
        <f t="shared" si="215"/>
        <v>10</v>
      </c>
      <c r="AJ1196" s="2">
        <f t="shared" si="216"/>
        <v>0</v>
      </c>
      <c r="AK1196" s="3">
        <v>1976.000000007916</v>
      </c>
      <c r="AM1196" s="2">
        <v>1</v>
      </c>
      <c r="AN1196">
        <v>0</v>
      </c>
      <c r="AO1196">
        <v>80</v>
      </c>
      <c r="AP1196">
        <v>0</v>
      </c>
      <c r="AQ1196" s="2">
        <f>IF((2*G1196 + M1196 -P1196 + 3*W1196 + 2*Z1196+2*AD1196 + AG1196+2*AJ1196 + 4*AM1196) &gt;=8,1,0)</f>
        <v>1</v>
      </c>
    </row>
    <row r="1197" spans="1:43" x14ac:dyDescent="0.25">
      <c r="A1197" t="s">
        <v>27</v>
      </c>
      <c r="B1197" s="1">
        <v>41189</v>
      </c>
      <c r="C1197" s="7">
        <f t="shared" si="208"/>
        <v>2012</v>
      </c>
      <c r="D1197">
        <v>83.4</v>
      </c>
      <c r="E1197">
        <v>61.6</v>
      </c>
      <c r="F1197">
        <v>72.5</v>
      </c>
      <c r="G1197" s="2">
        <f t="shared" si="207"/>
        <v>0</v>
      </c>
      <c r="H1197">
        <v>81.5</v>
      </c>
      <c r="I1197">
        <v>61.6</v>
      </c>
      <c r="J1197">
        <v>72.099999999999994</v>
      </c>
      <c r="K1197">
        <v>48.6</v>
      </c>
      <c r="L1197">
        <v>44.3</v>
      </c>
      <c r="M1197" s="2">
        <f t="shared" si="209"/>
        <v>1</v>
      </c>
      <c r="N1197">
        <v>0</v>
      </c>
      <c r="P1197" s="2">
        <f t="shared" si="210"/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s="2">
        <f t="shared" si="211"/>
        <v>0</v>
      </c>
      <c r="X1197">
        <v>10.4</v>
      </c>
      <c r="Z1197" s="2">
        <f t="shared" si="212"/>
        <v>0</v>
      </c>
      <c r="AA1197">
        <v>218.2</v>
      </c>
      <c r="AB1197" s="2" t="str">
        <f>CHOOSE(MATCH(AA1197,{0;11;80;111;161;191;241;281;341},1),"North","NorthEast","East","SouthEast","South","SouthWest","West","NorthWest","North")</f>
        <v>SouthWest</v>
      </c>
      <c r="AC1197" s="5">
        <f>CHOOSE(MATCH(AB1197,{"South";"SouthEast";"SouthWest";"North";"NorthEast";"East";"West";"NorthWest"},0),1,2,3,4,5,6,7,8)</f>
        <v>3</v>
      </c>
      <c r="AD1197" s="2">
        <f t="shared" si="213"/>
        <v>1</v>
      </c>
      <c r="AE1197">
        <v>1015.1</v>
      </c>
      <c r="AF1197" s="4" t="s">
        <v>1973</v>
      </c>
      <c r="AG1197" s="2">
        <f t="shared" si="214"/>
        <v>0</v>
      </c>
      <c r="AH1197" t="s">
        <v>1974</v>
      </c>
      <c r="AI1197" s="2">
        <f t="shared" si="215"/>
        <v>10</v>
      </c>
      <c r="AJ1197" s="2">
        <f t="shared" si="216"/>
        <v>0</v>
      </c>
      <c r="AK1197" s="3">
        <v>5371.9999999925494</v>
      </c>
      <c r="AM1197" s="2">
        <v>1</v>
      </c>
      <c r="AN1197">
        <v>0</v>
      </c>
      <c r="AO1197">
        <v>50</v>
      </c>
      <c r="AP1197">
        <v>0</v>
      </c>
      <c r="AQ1197" s="2">
        <f>IF((2*G1197 + M1197 -P1197 + 3*W1197 + 2*Z1197+2*AD1197 + AG1197+2*AJ1197 + 4*AM1197) &gt;=8,1,0)</f>
        <v>0</v>
      </c>
    </row>
    <row r="1198" spans="1:43" x14ac:dyDescent="0.25">
      <c r="A1198" t="s">
        <v>27</v>
      </c>
      <c r="B1198" s="1">
        <v>41191</v>
      </c>
      <c r="C1198" s="7">
        <f t="shared" si="208"/>
        <v>2012</v>
      </c>
      <c r="D1198">
        <v>76.7</v>
      </c>
      <c r="E1198">
        <v>66.8</v>
      </c>
      <c r="F1198">
        <v>70.8</v>
      </c>
      <c r="G1198" s="2">
        <f t="shared" si="207"/>
        <v>0</v>
      </c>
      <c r="H1198">
        <v>76.7</v>
      </c>
      <c r="I1198">
        <v>66.8</v>
      </c>
      <c r="J1198">
        <v>70.8</v>
      </c>
      <c r="K1198">
        <v>55.7</v>
      </c>
      <c r="L1198">
        <v>59</v>
      </c>
      <c r="M1198" s="2">
        <f t="shared" si="209"/>
        <v>0</v>
      </c>
      <c r="N1198">
        <v>0</v>
      </c>
      <c r="P1198" s="2">
        <f t="shared" si="210"/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s="2">
        <f t="shared" si="211"/>
        <v>0</v>
      </c>
      <c r="X1198">
        <v>11.8</v>
      </c>
      <c r="Z1198" s="2">
        <f t="shared" si="212"/>
        <v>0</v>
      </c>
      <c r="AA1198">
        <v>38.299999999999997</v>
      </c>
      <c r="AB1198" s="2" t="str">
        <f>CHOOSE(MATCH(AA1198,{0;11;80;111;161;191;241;281;341},1),"North","NorthEast","East","SouthEast","South","SouthWest","West","NorthWest","North")</f>
        <v>NorthEast</v>
      </c>
      <c r="AC1198" s="5">
        <f>CHOOSE(MATCH(AB1198,{"South";"SouthEast";"SouthWest";"North";"NorthEast";"East";"West";"NorthWest"},0),1,2,3,4,5,6,7,8)</f>
        <v>5</v>
      </c>
      <c r="AD1198" s="2">
        <f t="shared" si="213"/>
        <v>1</v>
      </c>
      <c r="AE1198">
        <v>1011.7</v>
      </c>
      <c r="AF1198" s="4" t="s">
        <v>1975</v>
      </c>
      <c r="AG1198" s="2">
        <f t="shared" si="214"/>
        <v>0</v>
      </c>
      <c r="AH1198" t="s">
        <v>1976</v>
      </c>
      <c r="AI1198" s="2">
        <f t="shared" si="215"/>
        <v>10</v>
      </c>
      <c r="AJ1198" s="2">
        <f t="shared" si="216"/>
        <v>0</v>
      </c>
      <c r="AK1198" s="3">
        <v>5077.9999999981374</v>
      </c>
      <c r="AM1198" s="2">
        <v>1</v>
      </c>
      <c r="AN1198">
        <v>0</v>
      </c>
      <c r="AO1198">
        <v>20</v>
      </c>
      <c r="AP1198">
        <v>0</v>
      </c>
      <c r="AQ1198" s="2">
        <f>IF((2*G1198 + M1198 -P1198 + 3*W1198 + 2*Z1198+2*AD1198 + AG1198+2*AJ1198 + 4*AM1198) &gt;=8,1,0)</f>
        <v>0</v>
      </c>
    </row>
    <row r="1199" spans="1:43" x14ac:dyDescent="0.25">
      <c r="A1199" t="s">
        <v>27</v>
      </c>
      <c r="B1199" s="1">
        <v>41195</v>
      </c>
      <c r="C1199" s="7">
        <f t="shared" si="208"/>
        <v>2012</v>
      </c>
      <c r="D1199">
        <v>81.2</v>
      </c>
      <c r="E1199">
        <v>64.900000000000006</v>
      </c>
      <c r="F1199">
        <v>72.3</v>
      </c>
      <c r="G1199" s="2">
        <f t="shared" si="207"/>
        <v>0</v>
      </c>
      <c r="H1199">
        <v>81.7</v>
      </c>
      <c r="I1199">
        <v>64.900000000000006</v>
      </c>
      <c r="J1199">
        <v>72.400000000000006</v>
      </c>
      <c r="K1199">
        <v>60.7</v>
      </c>
      <c r="L1199">
        <v>68.900000000000006</v>
      </c>
      <c r="M1199" s="2">
        <f t="shared" si="209"/>
        <v>0</v>
      </c>
      <c r="N1199">
        <v>0</v>
      </c>
      <c r="P1199" s="2">
        <f t="shared" si="210"/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s="2">
        <f t="shared" si="211"/>
        <v>0</v>
      </c>
      <c r="X1199">
        <v>13.8</v>
      </c>
      <c r="Z1199" s="2">
        <f t="shared" si="212"/>
        <v>0</v>
      </c>
      <c r="AA1199">
        <v>203.8</v>
      </c>
      <c r="AB1199" s="2" t="str">
        <f>CHOOSE(MATCH(AA1199,{0;11;80;111;161;191;241;281;341},1),"North","NorthEast","East","SouthEast","South","SouthWest","West","NorthWest","North")</f>
        <v>SouthWest</v>
      </c>
      <c r="AC1199" s="5">
        <f>CHOOSE(MATCH(AB1199,{"South";"SouthEast";"SouthWest";"North";"NorthEast";"East";"West";"NorthWest"},0),1,2,3,4,5,6,7,8)</f>
        <v>3</v>
      </c>
      <c r="AD1199" s="2">
        <f t="shared" si="213"/>
        <v>1</v>
      </c>
      <c r="AE1199">
        <v>1014.5</v>
      </c>
      <c r="AF1199" s="4" t="s">
        <v>1977</v>
      </c>
      <c r="AG1199" s="2">
        <f t="shared" si="214"/>
        <v>0</v>
      </c>
      <c r="AH1199" t="s">
        <v>1978</v>
      </c>
      <c r="AI1199" s="2">
        <f t="shared" si="215"/>
        <v>10</v>
      </c>
      <c r="AJ1199" s="2">
        <f t="shared" si="216"/>
        <v>0</v>
      </c>
      <c r="AK1199" s="3">
        <v>587.99999999930151</v>
      </c>
      <c r="AM1199" s="2">
        <v>1</v>
      </c>
      <c r="AN1199">
        <v>0</v>
      </c>
      <c r="AO1199">
        <v>35</v>
      </c>
      <c r="AP1199">
        <v>0</v>
      </c>
      <c r="AQ1199" s="2">
        <f>IF((2*G1199 + M1199 -P1199 + 3*W1199 + 2*Z1199+2*AD1199 + AG1199+2*AJ1199 + 4*AM1199) &gt;=8,1,0)</f>
        <v>0</v>
      </c>
    </row>
    <row r="1200" spans="1:43" x14ac:dyDescent="0.25">
      <c r="A1200" t="s">
        <v>27</v>
      </c>
      <c r="B1200" s="1">
        <v>41197</v>
      </c>
      <c r="C1200" s="7">
        <f t="shared" si="208"/>
        <v>2012</v>
      </c>
      <c r="D1200">
        <v>80.400000000000006</v>
      </c>
      <c r="E1200">
        <v>64.7</v>
      </c>
      <c r="F1200">
        <v>72.099999999999994</v>
      </c>
      <c r="G1200" s="2">
        <f t="shared" si="207"/>
        <v>0</v>
      </c>
      <c r="H1200">
        <v>81.400000000000006</v>
      </c>
      <c r="I1200">
        <v>64.7</v>
      </c>
      <c r="J1200">
        <v>72.099999999999994</v>
      </c>
      <c r="K1200">
        <v>62.6</v>
      </c>
      <c r="L1200">
        <v>73.099999999999994</v>
      </c>
      <c r="M1200" s="2">
        <f t="shared" si="209"/>
        <v>0</v>
      </c>
      <c r="N1200">
        <v>0</v>
      </c>
      <c r="P1200" s="2">
        <f t="shared" si="210"/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s="2">
        <f t="shared" si="211"/>
        <v>0</v>
      </c>
      <c r="X1200">
        <v>11.2</v>
      </c>
      <c r="Z1200" s="2">
        <f t="shared" si="212"/>
        <v>0</v>
      </c>
      <c r="AA1200">
        <v>215.4</v>
      </c>
      <c r="AB1200" s="2" t="str">
        <f>CHOOSE(MATCH(AA1200,{0;11;80;111;161;191;241;281;341},1),"North","NorthEast","East","SouthEast","South","SouthWest","West","NorthWest","North")</f>
        <v>SouthWest</v>
      </c>
      <c r="AC1200" s="5">
        <f>CHOOSE(MATCH(AB1200,{"South";"SouthEast";"SouthWest";"North";"NorthEast";"East";"West";"NorthWest"},0),1,2,3,4,5,6,7,8)</f>
        <v>3</v>
      </c>
      <c r="AD1200" s="2">
        <f t="shared" si="213"/>
        <v>1</v>
      </c>
      <c r="AE1200">
        <v>1014.6</v>
      </c>
      <c r="AF1200" s="4" t="s">
        <v>1979</v>
      </c>
      <c r="AG1200" s="2">
        <f t="shared" si="214"/>
        <v>1</v>
      </c>
      <c r="AH1200" t="s">
        <v>1980</v>
      </c>
      <c r="AI1200" s="2">
        <f t="shared" si="215"/>
        <v>10</v>
      </c>
      <c r="AJ1200" s="2">
        <f t="shared" si="216"/>
        <v>0</v>
      </c>
      <c r="AK1200" s="3">
        <v>214.99999999883579</v>
      </c>
      <c r="AM1200" s="2">
        <v>0</v>
      </c>
      <c r="AN1200">
        <v>2</v>
      </c>
      <c r="AO1200">
        <v>2</v>
      </c>
      <c r="AP1200">
        <v>0</v>
      </c>
      <c r="AQ1200" s="2">
        <f>IF((2*G1200 + M1200 -P1200 + 3*W1200 + 2*Z1200+2*AD1200 + AG1200+2*AJ1200 + 4*AM1200) &gt;=8,1,0)</f>
        <v>0</v>
      </c>
    </row>
    <row r="1201" spans="1:43" x14ac:dyDescent="0.25">
      <c r="A1201" t="s">
        <v>27</v>
      </c>
      <c r="B1201" s="1">
        <v>41202</v>
      </c>
      <c r="C1201" s="7">
        <f t="shared" si="208"/>
        <v>2012</v>
      </c>
      <c r="D1201">
        <v>80.7</v>
      </c>
      <c r="E1201">
        <v>65</v>
      </c>
      <c r="F1201">
        <v>70.7</v>
      </c>
      <c r="G1201" s="2">
        <f t="shared" si="207"/>
        <v>0</v>
      </c>
      <c r="H1201">
        <v>79.5</v>
      </c>
      <c r="I1201">
        <v>65</v>
      </c>
      <c r="J1201">
        <v>70.7</v>
      </c>
      <c r="K1201">
        <v>47.9</v>
      </c>
      <c r="L1201">
        <v>45.1</v>
      </c>
      <c r="M1201" s="2">
        <f t="shared" si="209"/>
        <v>1</v>
      </c>
      <c r="N1201">
        <v>0</v>
      </c>
      <c r="P1201" s="2">
        <f t="shared" si="210"/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s="2">
        <f t="shared" si="211"/>
        <v>0</v>
      </c>
      <c r="X1201">
        <v>15.7</v>
      </c>
      <c r="Z1201" s="2">
        <f t="shared" si="212"/>
        <v>0</v>
      </c>
      <c r="AA1201">
        <v>5.7</v>
      </c>
      <c r="AB1201" s="2" t="str">
        <f>CHOOSE(MATCH(AA1201,{0;11;80;111;161;191;241;281;341},1),"North","NorthEast","East","SouthEast","South","SouthWest","West","NorthWest","North")</f>
        <v>North</v>
      </c>
      <c r="AC1201" s="5">
        <f>CHOOSE(MATCH(AB1201,{"South";"SouthEast";"SouthWest";"North";"NorthEast";"East";"West";"NorthWest"},0),1,2,3,4,5,6,7,8)</f>
        <v>4</v>
      </c>
      <c r="AD1201" s="2">
        <f t="shared" si="213"/>
        <v>1</v>
      </c>
      <c r="AE1201">
        <v>1017.7</v>
      </c>
      <c r="AF1201" s="4" t="s">
        <v>1056</v>
      </c>
      <c r="AG1201" s="2">
        <f t="shared" si="214"/>
        <v>1</v>
      </c>
      <c r="AH1201" t="s">
        <v>1981</v>
      </c>
      <c r="AI1201" s="2">
        <f t="shared" si="215"/>
        <v>10</v>
      </c>
      <c r="AJ1201" s="2">
        <f t="shared" si="216"/>
        <v>0</v>
      </c>
      <c r="AK1201" s="3">
        <v>1055.0000000023281</v>
      </c>
      <c r="AM1201" s="2">
        <v>1</v>
      </c>
      <c r="AN1201">
        <v>10</v>
      </c>
      <c r="AO1201">
        <v>0</v>
      </c>
      <c r="AP1201">
        <v>0</v>
      </c>
      <c r="AQ1201" s="2">
        <f>IF((2*G1201 + M1201 -P1201 + 3*W1201 + 2*Z1201+2*AD1201 + AG1201+2*AJ1201 + 4*AM1201) &gt;=8,1,0)</f>
        <v>0</v>
      </c>
    </row>
    <row r="1202" spans="1:43" x14ac:dyDescent="0.25">
      <c r="A1202" t="s">
        <v>27</v>
      </c>
      <c r="B1202" s="1">
        <v>41210</v>
      </c>
      <c r="C1202" s="7">
        <f t="shared" si="208"/>
        <v>2012</v>
      </c>
      <c r="D1202">
        <v>77.5</v>
      </c>
      <c r="E1202">
        <v>71.599999999999994</v>
      </c>
      <c r="F1202">
        <v>74.3</v>
      </c>
      <c r="G1202" s="2">
        <f t="shared" si="207"/>
        <v>1</v>
      </c>
      <c r="H1202">
        <v>77.5</v>
      </c>
      <c r="I1202">
        <v>71.599999999999994</v>
      </c>
      <c r="J1202">
        <v>74.3</v>
      </c>
      <c r="K1202">
        <v>61.9</v>
      </c>
      <c r="L1202">
        <v>65.599999999999994</v>
      </c>
      <c r="M1202" s="2">
        <f t="shared" si="209"/>
        <v>0</v>
      </c>
      <c r="N1202">
        <v>0</v>
      </c>
      <c r="P1202" s="2">
        <f t="shared" si="210"/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34.4</v>
      </c>
      <c r="W1202" s="2">
        <f t="shared" si="211"/>
        <v>1</v>
      </c>
      <c r="X1202">
        <v>25.7</v>
      </c>
      <c r="Z1202" s="2">
        <f t="shared" si="212"/>
        <v>1</v>
      </c>
      <c r="AA1202">
        <v>165.8</v>
      </c>
      <c r="AB1202" s="2" t="str">
        <f>CHOOSE(MATCH(AA1202,{0;11;80;111;161;191;241;281;341},1),"North","NorthEast","East","SouthEast","South","SouthWest","West","NorthWest","North")</f>
        <v>South</v>
      </c>
      <c r="AC1202" s="5">
        <f>CHOOSE(MATCH(AB1202,{"South";"SouthEast";"SouthWest";"North";"NorthEast";"East";"West";"NorthWest"},0),1,2,3,4,5,6,7,8)</f>
        <v>1</v>
      </c>
      <c r="AD1202" s="2">
        <f t="shared" si="213"/>
        <v>0</v>
      </c>
      <c r="AE1202">
        <v>1008.7</v>
      </c>
      <c r="AF1202" s="4" t="s">
        <v>1982</v>
      </c>
      <c r="AG1202" s="2">
        <f t="shared" si="214"/>
        <v>1</v>
      </c>
      <c r="AH1202" t="s">
        <v>1983</v>
      </c>
      <c r="AI1202" s="2">
        <f t="shared" si="215"/>
        <v>10</v>
      </c>
      <c r="AJ1202" s="2">
        <f t="shared" si="216"/>
        <v>0</v>
      </c>
      <c r="AK1202" s="3">
        <v>190.00000000116421</v>
      </c>
      <c r="AM1202" s="2">
        <v>0</v>
      </c>
      <c r="AN1202">
        <v>0</v>
      </c>
      <c r="AO1202">
        <v>0.5</v>
      </c>
      <c r="AP1202">
        <v>0</v>
      </c>
      <c r="AQ1202" s="2">
        <f>IF((2*G1202 + M1202 -P1202 + 3*W1202 + 2*Z1202+2*AD1202 + AG1202+2*AJ1202 + 4*AM1202) &gt;=8,1,0)</f>
        <v>0</v>
      </c>
    </row>
    <row r="1203" spans="1:43" x14ac:dyDescent="0.25">
      <c r="A1203" t="s">
        <v>27</v>
      </c>
      <c r="B1203" s="1">
        <v>41222</v>
      </c>
      <c r="C1203" s="7">
        <f t="shared" si="208"/>
        <v>2012</v>
      </c>
      <c r="D1203">
        <v>64.8</v>
      </c>
      <c r="E1203">
        <v>51</v>
      </c>
      <c r="F1203">
        <v>57.2</v>
      </c>
      <c r="G1203" s="2">
        <f t="shared" si="207"/>
        <v>0</v>
      </c>
      <c r="H1203">
        <v>64.8</v>
      </c>
      <c r="I1203">
        <v>51</v>
      </c>
      <c r="J1203">
        <v>57.2</v>
      </c>
      <c r="K1203">
        <v>42.6</v>
      </c>
      <c r="L1203">
        <v>59.1</v>
      </c>
      <c r="M1203" s="2">
        <f t="shared" si="209"/>
        <v>0</v>
      </c>
      <c r="N1203">
        <v>0</v>
      </c>
      <c r="P1203" s="2">
        <f t="shared" si="210"/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s="2">
        <f t="shared" si="211"/>
        <v>0</v>
      </c>
      <c r="X1203">
        <v>11.7</v>
      </c>
      <c r="Z1203" s="2">
        <f t="shared" si="212"/>
        <v>0</v>
      </c>
      <c r="AA1203">
        <v>343.6</v>
      </c>
      <c r="AB1203" s="2" t="str">
        <f>CHOOSE(MATCH(AA1203,{0;11;80;111;161;191;241;281;341},1),"North","NorthEast","East","SouthEast","South","SouthWest","West","NorthWest","North")</f>
        <v>North</v>
      </c>
      <c r="AC1203" s="5">
        <f>CHOOSE(MATCH(AB1203,{"South";"SouthEast";"SouthWest";"North";"NorthEast";"East";"West";"NorthWest"},0),1,2,3,4,5,6,7,8)</f>
        <v>4</v>
      </c>
      <c r="AD1203" s="2">
        <f t="shared" si="213"/>
        <v>1</v>
      </c>
      <c r="AE1203">
        <v>1016.5</v>
      </c>
      <c r="AF1203" s="4" t="s">
        <v>1817</v>
      </c>
      <c r="AG1203" s="2">
        <f t="shared" si="214"/>
        <v>1</v>
      </c>
      <c r="AH1203" t="s">
        <v>1984</v>
      </c>
      <c r="AI1203" s="2">
        <f t="shared" si="215"/>
        <v>11</v>
      </c>
      <c r="AJ1203" s="2">
        <f t="shared" si="216"/>
        <v>0</v>
      </c>
      <c r="AK1203" s="3">
        <v>470.00000000232831</v>
      </c>
      <c r="AM1203" s="2">
        <v>1</v>
      </c>
      <c r="AN1203">
        <v>0</v>
      </c>
      <c r="AO1203">
        <v>2</v>
      </c>
      <c r="AP1203">
        <v>0</v>
      </c>
      <c r="AQ1203" s="2">
        <f>IF((2*G1203 + M1203 -P1203 + 3*W1203 + 2*Z1203+2*AD1203 + AG1203+2*AJ1203 + 4*AM1203) &gt;=8,1,0)</f>
        <v>0</v>
      </c>
    </row>
    <row r="1204" spans="1:43" x14ac:dyDescent="0.25">
      <c r="A1204" t="s">
        <v>27</v>
      </c>
      <c r="B1204" s="1">
        <v>41225</v>
      </c>
      <c r="C1204" s="7">
        <f t="shared" si="208"/>
        <v>2012</v>
      </c>
      <c r="D1204">
        <v>65.900000000000006</v>
      </c>
      <c r="E1204">
        <v>53.6</v>
      </c>
      <c r="F1204">
        <v>58.6</v>
      </c>
      <c r="G1204" s="2">
        <f t="shared" si="207"/>
        <v>0</v>
      </c>
      <c r="H1204">
        <v>65.900000000000006</v>
      </c>
      <c r="I1204">
        <v>53.6</v>
      </c>
      <c r="J1204">
        <v>58.6</v>
      </c>
      <c r="K1204">
        <v>46.5</v>
      </c>
      <c r="L1204">
        <v>64.5</v>
      </c>
      <c r="M1204" s="2">
        <f t="shared" si="209"/>
        <v>0</v>
      </c>
      <c r="N1204">
        <v>0</v>
      </c>
      <c r="P1204" s="2">
        <f t="shared" si="210"/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s="2">
        <f t="shared" si="211"/>
        <v>0</v>
      </c>
      <c r="X1204">
        <v>13.3</v>
      </c>
      <c r="Z1204" s="2">
        <f t="shared" si="212"/>
        <v>0</v>
      </c>
      <c r="AA1204">
        <v>358.3</v>
      </c>
      <c r="AB1204" s="2" t="str">
        <f>CHOOSE(MATCH(AA1204,{0;11;80;111;161;191;241;281;341},1),"North","NorthEast","East","SouthEast","South","SouthWest","West","NorthWest","North")</f>
        <v>North</v>
      </c>
      <c r="AC1204" s="5">
        <f>CHOOSE(MATCH(AB1204,{"South";"SouthEast";"SouthWest";"North";"NorthEast";"East";"West";"NorthWest"},0),1,2,3,4,5,6,7,8)</f>
        <v>4</v>
      </c>
      <c r="AD1204" s="2">
        <f t="shared" si="213"/>
        <v>1</v>
      </c>
      <c r="AE1204">
        <v>1024.4000000000001</v>
      </c>
      <c r="AF1204" s="4" t="s">
        <v>1243</v>
      </c>
      <c r="AG1204" s="2">
        <f t="shared" si="214"/>
        <v>0</v>
      </c>
      <c r="AH1204" t="s">
        <v>1985</v>
      </c>
      <c r="AI1204" s="2">
        <f t="shared" si="215"/>
        <v>11</v>
      </c>
      <c r="AJ1204" s="2">
        <f t="shared" si="216"/>
        <v>0</v>
      </c>
      <c r="AK1204" s="3">
        <v>303.00000000279402</v>
      </c>
      <c r="AM1204" s="2">
        <v>0</v>
      </c>
      <c r="AN1204">
        <v>0</v>
      </c>
      <c r="AO1204">
        <v>4</v>
      </c>
      <c r="AP1204">
        <v>0</v>
      </c>
      <c r="AQ1204" s="2">
        <f>IF((2*G1204 + M1204 -P1204 + 3*W1204 + 2*Z1204+2*AD1204 + AG1204+2*AJ1204 + 4*AM1204) &gt;=8,1,0)</f>
        <v>0</v>
      </c>
    </row>
    <row r="1205" spans="1:43" x14ac:dyDescent="0.25">
      <c r="A1205" t="s">
        <v>27</v>
      </c>
      <c r="B1205" s="1">
        <v>41237</v>
      </c>
      <c r="C1205" s="7">
        <f t="shared" si="208"/>
        <v>2012</v>
      </c>
      <c r="D1205">
        <v>62.4</v>
      </c>
      <c r="E1205">
        <v>52.2</v>
      </c>
      <c r="F1205">
        <v>56.5</v>
      </c>
      <c r="G1205" s="2">
        <f t="shared" si="207"/>
        <v>0</v>
      </c>
      <c r="H1205">
        <v>62.4</v>
      </c>
      <c r="I1205">
        <v>52.2</v>
      </c>
      <c r="J1205">
        <v>56.5</v>
      </c>
      <c r="K1205">
        <v>48.4</v>
      </c>
      <c r="L1205">
        <v>74.3</v>
      </c>
      <c r="M1205" s="2">
        <f t="shared" si="209"/>
        <v>0</v>
      </c>
      <c r="N1205">
        <v>0</v>
      </c>
      <c r="P1205" s="2">
        <f t="shared" si="210"/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s="2">
        <f t="shared" si="211"/>
        <v>0</v>
      </c>
      <c r="X1205">
        <v>14.7</v>
      </c>
      <c r="Z1205" s="2">
        <f t="shared" si="212"/>
        <v>0</v>
      </c>
      <c r="AA1205">
        <v>352.5</v>
      </c>
      <c r="AB1205" s="2" t="str">
        <f>CHOOSE(MATCH(AA1205,{0;11;80;111;161;191;241;281;341},1),"North","NorthEast","East","SouthEast","South","SouthWest","West","NorthWest","North")</f>
        <v>North</v>
      </c>
      <c r="AC1205" s="5">
        <f>CHOOSE(MATCH(AB1205,{"South";"SouthEast";"SouthWest";"North";"NorthEast";"East";"West";"NorthWest"},0),1,2,3,4,5,6,7,8)</f>
        <v>4</v>
      </c>
      <c r="AD1205" s="2">
        <f t="shared" si="213"/>
        <v>1</v>
      </c>
      <c r="AE1205">
        <v>1021.6</v>
      </c>
      <c r="AF1205" s="4" t="s">
        <v>1986</v>
      </c>
      <c r="AG1205" s="2">
        <f t="shared" si="214"/>
        <v>1</v>
      </c>
      <c r="AH1205" t="s">
        <v>1987</v>
      </c>
      <c r="AI1205" s="2">
        <f t="shared" si="215"/>
        <v>11</v>
      </c>
      <c r="AJ1205" s="2">
        <f t="shared" si="216"/>
        <v>0</v>
      </c>
      <c r="AK1205" s="3">
        <v>296.00000000093132</v>
      </c>
      <c r="AM1205" s="2">
        <v>0</v>
      </c>
      <c r="AN1205">
        <v>0</v>
      </c>
      <c r="AO1205">
        <v>1</v>
      </c>
      <c r="AP1205">
        <v>0</v>
      </c>
      <c r="AQ1205" s="2">
        <f>IF((2*G1205 + M1205 -P1205 + 3*W1205 + 2*Z1205+2*AD1205 + AG1205+2*AJ1205 + 4*AM1205) &gt;=8,1,0)</f>
        <v>0</v>
      </c>
    </row>
    <row r="1206" spans="1:43" x14ac:dyDescent="0.25">
      <c r="A1206" t="s">
        <v>27</v>
      </c>
      <c r="B1206" s="1">
        <v>41242</v>
      </c>
      <c r="C1206" s="7">
        <f t="shared" si="208"/>
        <v>2012</v>
      </c>
      <c r="D1206">
        <v>70.5</v>
      </c>
      <c r="E1206">
        <v>63.8</v>
      </c>
      <c r="F1206">
        <v>66.2</v>
      </c>
      <c r="G1206" s="2">
        <f t="shared" si="207"/>
        <v>0</v>
      </c>
      <c r="H1206">
        <v>70.5</v>
      </c>
      <c r="I1206">
        <v>63.8</v>
      </c>
      <c r="J1206">
        <v>66.2</v>
      </c>
      <c r="K1206">
        <v>55.6</v>
      </c>
      <c r="L1206">
        <v>69</v>
      </c>
      <c r="M1206" s="2">
        <f t="shared" si="209"/>
        <v>0</v>
      </c>
      <c r="N1206">
        <v>0.09</v>
      </c>
      <c r="P1206" s="2">
        <f t="shared" si="210"/>
        <v>0</v>
      </c>
      <c r="Q1206">
        <v>100</v>
      </c>
      <c r="R1206">
        <v>4.17</v>
      </c>
      <c r="S1206" t="s">
        <v>87</v>
      </c>
      <c r="T1206">
        <v>0</v>
      </c>
      <c r="U1206">
        <v>0</v>
      </c>
      <c r="V1206">
        <v>40.299999999999997</v>
      </c>
      <c r="W1206" s="2">
        <f t="shared" si="211"/>
        <v>1</v>
      </c>
      <c r="X1206">
        <v>19.3</v>
      </c>
      <c r="Z1206" s="2">
        <f t="shared" si="212"/>
        <v>1</v>
      </c>
      <c r="AA1206">
        <v>171.3</v>
      </c>
      <c r="AB1206" s="2" t="str">
        <f>CHOOSE(MATCH(AA1206,{0;11;80;111;161;191;241;281;341},1),"North","NorthEast","East","SouthEast","South","SouthWest","West","NorthWest","North")</f>
        <v>South</v>
      </c>
      <c r="AC1206" s="5">
        <f>CHOOSE(MATCH(AB1206,{"South";"SouthEast";"SouthWest";"North";"NorthEast";"East";"West";"NorthWest"},0),1,2,3,4,5,6,7,8)</f>
        <v>1</v>
      </c>
      <c r="AD1206" s="2">
        <f t="shared" si="213"/>
        <v>0</v>
      </c>
      <c r="AE1206">
        <v>1009.6</v>
      </c>
      <c r="AF1206" s="4" t="s">
        <v>1194</v>
      </c>
      <c r="AG1206" s="2">
        <f t="shared" si="214"/>
        <v>1</v>
      </c>
      <c r="AH1206" t="s">
        <v>1988</v>
      </c>
      <c r="AI1206" s="2">
        <f t="shared" si="215"/>
        <v>11</v>
      </c>
      <c r="AJ1206" s="2">
        <f t="shared" si="216"/>
        <v>0</v>
      </c>
      <c r="AK1206" s="3">
        <v>734.99999999650754</v>
      </c>
      <c r="AM1206" s="2">
        <v>1</v>
      </c>
      <c r="AN1206">
        <v>0</v>
      </c>
      <c r="AO1206">
        <v>10</v>
      </c>
      <c r="AP1206">
        <v>0</v>
      </c>
      <c r="AQ1206" s="2">
        <f>IF((2*G1206 + M1206 -P1206 + 3*W1206 + 2*Z1206+2*AD1206 + AG1206+2*AJ1206 + 4*AM1206) &gt;=8,1,0)</f>
        <v>1</v>
      </c>
    </row>
    <row r="1207" spans="1:43" x14ac:dyDescent="0.25">
      <c r="A1207" t="s">
        <v>27</v>
      </c>
      <c r="B1207" s="1">
        <v>41310</v>
      </c>
      <c r="C1207" s="7">
        <f t="shared" si="208"/>
        <v>2013</v>
      </c>
      <c r="D1207">
        <v>62.6</v>
      </c>
      <c r="E1207">
        <v>49.2</v>
      </c>
      <c r="F1207">
        <v>55.8</v>
      </c>
      <c r="G1207" s="2">
        <f t="shared" si="207"/>
        <v>0</v>
      </c>
      <c r="H1207">
        <v>62.6</v>
      </c>
      <c r="I1207">
        <v>49.2</v>
      </c>
      <c r="J1207">
        <v>55.8</v>
      </c>
      <c r="K1207">
        <v>48.2</v>
      </c>
      <c r="L1207">
        <v>76.5</v>
      </c>
      <c r="M1207" s="2">
        <f t="shared" si="209"/>
        <v>0</v>
      </c>
      <c r="N1207">
        <v>0</v>
      </c>
      <c r="O1207">
        <f>AVERAGE(N1207:N1279)</f>
        <v>3.3972602739726029E-3</v>
      </c>
      <c r="P1207" s="2">
        <f t="shared" si="210"/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s="2">
        <f t="shared" si="211"/>
        <v>0</v>
      </c>
      <c r="X1207">
        <v>12.2</v>
      </c>
      <c r="Y1207">
        <f>AVERAGE(X1207:X1279)</f>
        <v>16.072602739726026</v>
      </c>
      <c r="Z1207" s="2">
        <f t="shared" si="212"/>
        <v>0</v>
      </c>
      <c r="AA1207">
        <v>17</v>
      </c>
      <c r="AB1207" s="2" t="str">
        <f>CHOOSE(MATCH(AA1207,{0;11;80;111;161;191;241;281;341},1),"North","NorthEast","East","SouthEast","South","SouthWest","West","NorthWest","North")</f>
        <v>NorthEast</v>
      </c>
      <c r="AC1207" s="5">
        <f>CHOOSE(MATCH(AB1207,{"South";"SouthEast";"SouthWest";"North";"NorthEast";"East";"West";"NorthWest"},0),1,2,3,4,5,6,7,8)</f>
        <v>5</v>
      </c>
      <c r="AD1207" s="2">
        <f t="shared" si="213"/>
        <v>1</v>
      </c>
      <c r="AE1207">
        <v>1014</v>
      </c>
      <c r="AF1207" s="4" t="s">
        <v>1902</v>
      </c>
      <c r="AG1207" s="2">
        <f t="shared" si="214"/>
        <v>1</v>
      </c>
      <c r="AH1207" t="s">
        <v>2843</v>
      </c>
      <c r="AI1207" s="2">
        <f t="shared" si="215"/>
        <v>2</v>
      </c>
      <c r="AJ1207" s="2">
        <f t="shared" si="216"/>
        <v>0</v>
      </c>
      <c r="AK1207" s="3">
        <v>90</v>
      </c>
      <c r="AL1207" s="3">
        <f>AVERAGE(AK1207:AK1279)</f>
        <v>1103.1232876709682</v>
      </c>
      <c r="AM1207" s="2">
        <v>0</v>
      </c>
      <c r="AN1207">
        <v>0</v>
      </c>
      <c r="AO1207">
        <v>0.1</v>
      </c>
      <c r="AP1207">
        <v>0</v>
      </c>
      <c r="AQ1207" s="2">
        <f>IF((2*G1207 + M1207 -P1207 + 3*W1207 + 2*Z1207+2*AD1207 + AG1207+2*AJ1207 + 4*AM1207) &gt;=8,1,0)</f>
        <v>0</v>
      </c>
    </row>
    <row r="1208" spans="1:43" x14ac:dyDescent="0.25">
      <c r="A1208" t="s">
        <v>27</v>
      </c>
      <c r="B1208" s="1">
        <v>41311</v>
      </c>
      <c r="C1208" s="7">
        <f t="shared" si="208"/>
        <v>2013</v>
      </c>
      <c r="D1208">
        <v>61.3</v>
      </c>
      <c r="E1208">
        <v>42.7</v>
      </c>
      <c r="F1208">
        <v>52.3</v>
      </c>
      <c r="G1208" s="2">
        <f t="shared" si="207"/>
        <v>0</v>
      </c>
      <c r="H1208">
        <v>61.3</v>
      </c>
      <c r="I1208">
        <v>41.5</v>
      </c>
      <c r="J1208">
        <v>52.2</v>
      </c>
      <c r="K1208">
        <v>45</v>
      </c>
      <c r="L1208">
        <v>76.8</v>
      </c>
      <c r="M1208" s="2">
        <f t="shared" si="209"/>
        <v>0</v>
      </c>
      <c r="N1208">
        <v>0</v>
      </c>
      <c r="P1208" s="2">
        <f t="shared" si="210"/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s="2">
        <f t="shared" si="211"/>
        <v>0</v>
      </c>
      <c r="X1208">
        <v>12.1</v>
      </c>
      <c r="Z1208" s="2">
        <f t="shared" si="212"/>
        <v>0</v>
      </c>
      <c r="AA1208">
        <v>211.7</v>
      </c>
      <c r="AB1208" s="2" t="str">
        <f>CHOOSE(MATCH(AA1208,{0;11;80;111;161;191;241;281;341},1),"North","NorthEast","East","SouthEast","South","SouthWest","West","NorthWest","North")</f>
        <v>SouthWest</v>
      </c>
      <c r="AC1208" s="5">
        <f>CHOOSE(MATCH(AB1208,{"South";"SouthEast";"SouthWest";"North";"NorthEast";"East";"West";"NorthWest"},0),1,2,3,4,5,6,7,8)</f>
        <v>3</v>
      </c>
      <c r="AD1208" s="2">
        <f t="shared" si="213"/>
        <v>1</v>
      </c>
      <c r="AE1208">
        <v>1007.8</v>
      </c>
      <c r="AF1208" s="4" t="s">
        <v>1181</v>
      </c>
      <c r="AG1208" s="2">
        <f t="shared" si="214"/>
        <v>0</v>
      </c>
      <c r="AH1208" t="s">
        <v>2844</v>
      </c>
      <c r="AI1208" s="2">
        <f t="shared" si="215"/>
        <v>2</v>
      </c>
      <c r="AJ1208" s="2">
        <f t="shared" si="216"/>
        <v>0</v>
      </c>
      <c r="AK1208" s="3">
        <v>120.0000000034925</v>
      </c>
      <c r="AM1208" s="2">
        <v>0</v>
      </c>
      <c r="AN1208">
        <v>0</v>
      </c>
      <c r="AO1208">
        <v>0.1</v>
      </c>
      <c r="AP1208">
        <v>0</v>
      </c>
      <c r="AQ1208" s="2">
        <f>IF((2*G1208 + M1208 -P1208 + 3*W1208 + 2*Z1208+2*AD1208 + AG1208+2*AJ1208 + 4*AM1208) &gt;=8,1,0)</f>
        <v>0</v>
      </c>
    </row>
    <row r="1209" spans="1:43" x14ac:dyDescent="0.25">
      <c r="A1209" t="s">
        <v>27</v>
      </c>
      <c r="B1209" s="1">
        <v>41317</v>
      </c>
      <c r="C1209" s="7">
        <f t="shared" si="208"/>
        <v>2013</v>
      </c>
      <c r="D1209">
        <v>59.3</v>
      </c>
      <c r="E1209">
        <v>37.4</v>
      </c>
      <c r="F1209">
        <v>49.3</v>
      </c>
      <c r="G1209" s="2">
        <f t="shared" si="207"/>
        <v>0</v>
      </c>
      <c r="H1209">
        <v>59.3</v>
      </c>
      <c r="I1209">
        <v>37</v>
      </c>
      <c r="J1209">
        <v>49.2</v>
      </c>
      <c r="K1209">
        <v>38.700000000000003</v>
      </c>
      <c r="L1209">
        <v>67.400000000000006</v>
      </c>
      <c r="M1209" s="2">
        <f t="shared" si="209"/>
        <v>0</v>
      </c>
      <c r="N1209">
        <v>0</v>
      </c>
      <c r="P1209" s="2">
        <f t="shared" si="210"/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s="2">
        <f t="shared" si="211"/>
        <v>0</v>
      </c>
      <c r="X1209">
        <v>12.1</v>
      </c>
      <c r="Z1209" s="2">
        <f t="shared" si="212"/>
        <v>0</v>
      </c>
      <c r="AA1209">
        <v>173</v>
      </c>
      <c r="AB1209" s="2" t="str">
        <f>CHOOSE(MATCH(AA1209,{0;11;80;111;161;191;241;281;341},1),"North","NorthEast","East","SouthEast","South","SouthWest","West","NorthWest","North")</f>
        <v>South</v>
      </c>
      <c r="AC1209" s="5">
        <f>CHOOSE(MATCH(AB1209,{"South";"SouthEast";"SouthWest";"North";"NorthEast";"East";"West";"NorthWest"},0),1,2,3,4,5,6,7,8)</f>
        <v>1</v>
      </c>
      <c r="AD1209" s="2">
        <f t="shared" si="213"/>
        <v>0</v>
      </c>
      <c r="AE1209">
        <v>1017.3</v>
      </c>
      <c r="AF1209" s="4" t="s">
        <v>2001</v>
      </c>
      <c r="AG1209" s="2">
        <f t="shared" si="214"/>
        <v>1</v>
      </c>
      <c r="AH1209" t="s">
        <v>2845</v>
      </c>
      <c r="AI1209" s="2">
        <f t="shared" si="215"/>
        <v>2</v>
      </c>
      <c r="AJ1209" s="2">
        <f t="shared" si="216"/>
        <v>0</v>
      </c>
      <c r="AK1209" s="3">
        <v>290.00000000232831</v>
      </c>
      <c r="AM1209" s="2">
        <v>0</v>
      </c>
      <c r="AN1209">
        <v>0</v>
      </c>
      <c r="AO1209">
        <v>7</v>
      </c>
      <c r="AP1209">
        <v>0</v>
      </c>
      <c r="AQ1209" s="2">
        <f>IF((2*G1209 + M1209 -P1209 + 3*W1209 + 2*Z1209+2*AD1209 + AG1209+2*AJ1209 + 4*AM1209) &gt;=8,1,0)</f>
        <v>0</v>
      </c>
    </row>
    <row r="1210" spans="1:43" x14ac:dyDescent="0.25">
      <c r="A1210" t="s">
        <v>27</v>
      </c>
      <c r="B1210" s="1">
        <v>41338</v>
      </c>
      <c r="C1210" s="7">
        <f t="shared" si="208"/>
        <v>2013</v>
      </c>
      <c r="D1210">
        <v>56.4</v>
      </c>
      <c r="E1210">
        <v>39.9</v>
      </c>
      <c r="F1210">
        <v>47.9</v>
      </c>
      <c r="G1210" s="2">
        <f t="shared" si="207"/>
        <v>0</v>
      </c>
      <c r="H1210">
        <v>56.4</v>
      </c>
      <c r="I1210">
        <v>37.200000000000003</v>
      </c>
      <c r="J1210">
        <v>46.6</v>
      </c>
      <c r="K1210">
        <v>36.1</v>
      </c>
      <c r="L1210">
        <v>64.900000000000006</v>
      </c>
      <c r="M1210" s="2">
        <f t="shared" si="209"/>
        <v>0</v>
      </c>
      <c r="N1210">
        <v>0</v>
      </c>
      <c r="P1210" s="2">
        <f t="shared" si="210"/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s="2">
        <f t="shared" si="211"/>
        <v>0</v>
      </c>
      <c r="X1210">
        <v>15.1</v>
      </c>
      <c r="Z1210" s="2">
        <f t="shared" si="212"/>
        <v>0</v>
      </c>
      <c r="AA1210">
        <v>16.100000000000001</v>
      </c>
      <c r="AB1210" s="2" t="str">
        <f>CHOOSE(MATCH(AA1210,{0;11;80;111;161;191;241;281;341},1),"North","NorthEast","East","SouthEast","South","SouthWest","West","NorthWest","North")</f>
        <v>NorthEast</v>
      </c>
      <c r="AC1210" s="5">
        <f>CHOOSE(MATCH(AB1210,{"South";"SouthEast";"SouthWest";"North";"NorthEast";"East";"West";"NorthWest"},0),1,2,3,4,5,6,7,8)</f>
        <v>5</v>
      </c>
      <c r="AD1210" s="2">
        <f t="shared" si="213"/>
        <v>1</v>
      </c>
      <c r="AE1210">
        <v>1026.5</v>
      </c>
      <c r="AF1210" s="4" t="s">
        <v>2658</v>
      </c>
      <c r="AG1210" s="2">
        <f t="shared" si="214"/>
        <v>1</v>
      </c>
      <c r="AH1210" t="s">
        <v>2846</v>
      </c>
      <c r="AI1210" s="2">
        <f t="shared" si="215"/>
        <v>3</v>
      </c>
      <c r="AJ1210" s="2">
        <f t="shared" si="216"/>
        <v>0</v>
      </c>
      <c r="AK1210" s="3">
        <v>75.00000000349246</v>
      </c>
      <c r="AM1210" s="2">
        <v>0</v>
      </c>
      <c r="AN1210">
        <v>0.2</v>
      </c>
      <c r="AO1210">
        <v>0</v>
      </c>
      <c r="AP1210">
        <v>0</v>
      </c>
      <c r="AQ1210" s="2">
        <f>IF((2*G1210 + M1210 -P1210 + 3*W1210 + 2*Z1210+2*AD1210 + AG1210+2*AJ1210 + 4*AM1210) &gt;=8,1,0)</f>
        <v>0</v>
      </c>
    </row>
    <row r="1211" spans="1:43" x14ac:dyDescent="0.25">
      <c r="A1211" t="s">
        <v>27</v>
      </c>
      <c r="B1211" s="1">
        <v>41365</v>
      </c>
      <c r="C1211" s="7">
        <f t="shared" ref="C1211:C1273" si="217">YEAR(B1211)</f>
        <v>2013</v>
      </c>
      <c r="D1211">
        <v>72.2</v>
      </c>
      <c r="E1211">
        <v>53.8</v>
      </c>
      <c r="F1211">
        <v>62.3</v>
      </c>
      <c r="G1211" s="2">
        <f t="shared" si="207"/>
        <v>0</v>
      </c>
      <c r="H1211">
        <v>72.2</v>
      </c>
      <c r="I1211">
        <v>53.8</v>
      </c>
      <c r="J1211">
        <v>62.3</v>
      </c>
      <c r="K1211">
        <v>43</v>
      </c>
      <c r="L1211">
        <v>53.4</v>
      </c>
      <c r="M1211" s="2">
        <f t="shared" ref="M1211:M1273" si="218">IF(L1211&lt;=49.3,1,0)</f>
        <v>0</v>
      </c>
      <c r="N1211">
        <v>0</v>
      </c>
      <c r="P1211" s="2">
        <f t="shared" ref="P1211:P1273" si="219">IF(N1211&lt;=0.01,1,0)</f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32.200000000000003</v>
      </c>
      <c r="W1211" s="2">
        <f t="shared" ref="W1211:W1273" si="220">IF(V1211&lt;=10,0,1)</f>
        <v>1</v>
      </c>
      <c r="X1211">
        <v>17.3</v>
      </c>
      <c r="Z1211" s="2">
        <f t="shared" ref="Z1211:Z1273" si="221">IF(X1211&gt;=16,1,0)</f>
        <v>1</v>
      </c>
      <c r="AA1211">
        <v>281.7</v>
      </c>
      <c r="AB1211" s="2" t="str">
        <f>CHOOSE(MATCH(AA1211,{0;11;80;111;161;191;241;281;341},1),"North","NorthEast","East","SouthEast","South","SouthWest","West","NorthWest","North")</f>
        <v>NorthWest</v>
      </c>
      <c r="AC1211" s="5">
        <f>CHOOSE(MATCH(AB1211,{"South";"SouthEast";"SouthWest";"North";"NorthEast";"East";"West";"NorthWest"},0),1,2,3,4,5,6,7,8)</f>
        <v>8</v>
      </c>
      <c r="AD1211" s="2">
        <f t="shared" ref="AD1211:AD1273" si="222">IF(OR(AC1211=3,AC1211=4,AC1211=5,AC1211=8),1,0)</f>
        <v>1</v>
      </c>
      <c r="AE1211">
        <v>1009.2</v>
      </c>
      <c r="AF1211" s="4" t="s">
        <v>1169</v>
      </c>
      <c r="AG1211" s="2">
        <f t="shared" ref="AG1211:AG1273" si="223">IF(TIMEVALUE(AF1211)&lt;=TIME(12,30,0),0,1)</f>
        <v>0</v>
      </c>
      <c r="AH1211" t="s">
        <v>2847</v>
      </c>
      <c r="AI1211" s="2">
        <f t="shared" ref="AI1211:AI1273" si="224">MONTH(AH1211)</f>
        <v>4</v>
      </c>
      <c r="AJ1211" s="2">
        <f t="shared" ref="AJ1211:AJ1273" si="225">IF(OR(AI1211=6,AI1211=7,AI1211=8),1,0)</f>
        <v>0</v>
      </c>
      <c r="AK1211" s="3">
        <v>2739.9999999941788</v>
      </c>
      <c r="AM1211" s="2">
        <v>1</v>
      </c>
      <c r="AN1211">
        <v>0</v>
      </c>
      <c r="AO1211">
        <v>20</v>
      </c>
      <c r="AP1211">
        <v>0</v>
      </c>
      <c r="AQ1211" s="2">
        <f>IF((2*G1211 + M1211 -P1211 + 3*W1211 + 2*Z1211+2*AD1211 + AG1211+2*AJ1211 + 4*AM1211) &gt;=8,1,0)</f>
        <v>1</v>
      </c>
    </row>
    <row r="1212" spans="1:43" x14ac:dyDescent="0.25">
      <c r="A1212" t="s">
        <v>27</v>
      </c>
      <c r="B1212" s="1">
        <v>41367</v>
      </c>
      <c r="C1212" s="7">
        <f t="shared" si="217"/>
        <v>2013</v>
      </c>
      <c r="D1212">
        <v>69.8</v>
      </c>
      <c r="E1212">
        <v>58.7</v>
      </c>
      <c r="F1212">
        <v>62.8</v>
      </c>
      <c r="G1212" s="2">
        <f t="shared" si="207"/>
        <v>0</v>
      </c>
      <c r="H1212">
        <v>69.8</v>
      </c>
      <c r="I1212">
        <v>58.7</v>
      </c>
      <c r="J1212">
        <v>62.8</v>
      </c>
      <c r="K1212">
        <v>45.9</v>
      </c>
      <c r="L1212">
        <v>56.5</v>
      </c>
      <c r="M1212" s="2">
        <f t="shared" si="218"/>
        <v>0</v>
      </c>
      <c r="N1212">
        <v>0</v>
      </c>
      <c r="P1212" s="2">
        <f t="shared" si="219"/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27.5</v>
      </c>
      <c r="W1212" s="2">
        <f t="shared" si="220"/>
        <v>1</v>
      </c>
      <c r="X1212">
        <v>17</v>
      </c>
      <c r="Z1212" s="2">
        <f t="shared" si="221"/>
        <v>1</v>
      </c>
      <c r="AA1212">
        <v>279.89999999999998</v>
      </c>
      <c r="AB1212" s="2" t="str">
        <f>CHOOSE(MATCH(AA1212,{0;11;80;111;161;191;241;281;341},1),"North","NorthEast","East","SouthEast","South","SouthWest","West","NorthWest","North")</f>
        <v>West</v>
      </c>
      <c r="AC1212" s="5">
        <f>CHOOSE(MATCH(AB1212,{"South";"SouthEast";"SouthWest";"North";"NorthEast";"East";"West";"NorthWest"},0),1,2,3,4,5,6,7,8)</f>
        <v>7</v>
      </c>
      <c r="AD1212" s="2">
        <f t="shared" si="222"/>
        <v>0</v>
      </c>
      <c r="AE1212">
        <v>1000.5</v>
      </c>
      <c r="AF1212" s="4" t="s">
        <v>2085</v>
      </c>
      <c r="AG1212" s="2">
        <f t="shared" si="223"/>
        <v>1</v>
      </c>
      <c r="AH1212" t="s">
        <v>2848</v>
      </c>
      <c r="AI1212" s="2">
        <f t="shared" si="224"/>
        <v>4</v>
      </c>
      <c r="AJ1212" s="2">
        <f t="shared" si="225"/>
        <v>0</v>
      </c>
      <c r="AK1212" s="3">
        <v>362.00000000651931</v>
      </c>
      <c r="AM1212" s="2">
        <v>1</v>
      </c>
      <c r="AN1212">
        <v>0</v>
      </c>
      <c r="AO1212">
        <v>4</v>
      </c>
      <c r="AP1212">
        <v>0</v>
      </c>
      <c r="AQ1212" s="2">
        <f>IF((2*G1212 + M1212 -P1212 + 3*W1212 + 2*Z1212+2*AD1212 + AG1212+2*AJ1212 + 4*AM1212) &gt;=8,1,0)</f>
        <v>1</v>
      </c>
    </row>
    <row r="1213" spans="1:43" x14ac:dyDescent="0.25">
      <c r="A1213" t="s">
        <v>27</v>
      </c>
      <c r="B1213" s="1">
        <v>41368</v>
      </c>
      <c r="C1213" s="7">
        <f t="shared" si="217"/>
        <v>2013</v>
      </c>
      <c r="D1213">
        <v>71.099999999999994</v>
      </c>
      <c r="E1213">
        <v>52.4</v>
      </c>
      <c r="F1213">
        <v>62</v>
      </c>
      <c r="G1213" s="2">
        <f t="shared" si="207"/>
        <v>0</v>
      </c>
      <c r="H1213">
        <v>71.099999999999994</v>
      </c>
      <c r="I1213">
        <v>52.4</v>
      </c>
      <c r="J1213">
        <v>62</v>
      </c>
      <c r="K1213">
        <v>41.4</v>
      </c>
      <c r="L1213">
        <v>48.5</v>
      </c>
      <c r="M1213" s="2">
        <f t="shared" si="218"/>
        <v>1</v>
      </c>
      <c r="N1213">
        <v>0</v>
      </c>
      <c r="P1213" s="2">
        <f t="shared" si="219"/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32.200000000000003</v>
      </c>
      <c r="W1213" s="2">
        <f t="shared" si="220"/>
        <v>1</v>
      </c>
      <c r="X1213">
        <v>14.8</v>
      </c>
      <c r="Z1213" s="2">
        <f t="shared" si="221"/>
        <v>0</v>
      </c>
      <c r="AA1213">
        <v>289.8</v>
      </c>
      <c r="AB1213" s="2" t="str">
        <f>CHOOSE(MATCH(AA1213,{0;11;80;111;161;191;241;281;341},1),"North","NorthEast","East","SouthEast","South","SouthWest","West","NorthWest","North")</f>
        <v>NorthWest</v>
      </c>
      <c r="AC1213" s="5">
        <f>CHOOSE(MATCH(AB1213,{"South";"SouthEast";"SouthWest";"North";"NorthEast";"East";"West";"NorthWest"},0),1,2,3,4,5,6,7,8)</f>
        <v>8</v>
      </c>
      <c r="AD1213" s="2">
        <f t="shared" si="222"/>
        <v>1</v>
      </c>
      <c r="AE1213">
        <v>1008.4</v>
      </c>
      <c r="AF1213" s="4" t="s">
        <v>2849</v>
      </c>
      <c r="AG1213" s="2">
        <f t="shared" si="223"/>
        <v>0</v>
      </c>
      <c r="AH1213" t="s">
        <v>2850</v>
      </c>
      <c r="AI1213" s="2">
        <f t="shared" si="224"/>
        <v>4</v>
      </c>
      <c r="AJ1213" s="2">
        <f t="shared" si="225"/>
        <v>0</v>
      </c>
      <c r="AK1213" s="3">
        <v>780.99999999976717</v>
      </c>
      <c r="AM1213" s="2">
        <v>1</v>
      </c>
      <c r="AN1213">
        <v>0</v>
      </c>
      <c r="AO1213">
        <v>1</v>
      </c>
      <c r="AP1213">
        <v>0</v>
      </c>
      <c r="AQ1213" s="2">
        <f>IF((2*G1213 + M1213 -P1213 + 3*W1213 + 2*Z1213+2*AD1213 + AG1213+2*AJ1213 + 4*AM1213) &gt;=8,1,0)</f>
        <v>1</v>
      </c>
    </row>
    <row r="1214" spans="1:43" x14ac:dyDescent="0.25">
      <c r="A1214" t="s">
        <v>27</v>
      </c>
      <c r="B1214" s="1">
        <v>41373</v>
      </c>
      <c r="C1214" s="7">
        <f t="shared" si="217"/>
        <v>2013</v>
      </c>
      <c r="D1214">
        <v>67.5</v>
      </c>
      <c r="E1214">
        <v>47.8</v>
      </c>
      <c r="F1214">
        <v>58</v>
      </c>
      <c r="G1214" s="2">
        <f t="shared" si="207"/>
        <v>0</v>
      </c>
      <c r="H1214">
        <v>67.5</v>
      </c>
      <c r="I1214">
        <v>47.8</v>
      </c>
      <c r="J1214">
        <v>58</v>
      </c>
      <c r="K1214">
        <v>45.6</v>
      </c>
      <c r="L1214">
        <v>65.8</v>
      </c>
      <c r="M1214" s="2">
        <f t="shared" si="218"/>
        <v>0</v>
      </c>
      <c r="N1214">
        <v>0</v>
      </c>
      <c r="P1214" s="2">
        <f t="shared" si="219"/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26.4</v>
      </c>
      <c r="W1214" s="2">
        <f t="shared" si="220"/>
        <v>1</v>
      </c>
      <c r="X1214">
        <v>13.2</v>
      </c>
      <c r="Z1214" s="2">
        <f t="shared" si="221"/>
        <v>0</v>
      </c>
      <c r="AA1214">
        <v>293.8</v>
      </c>
      <c r="AB1214" s="2" t="str">
        <f>CHOOSE(MATCH(AA1214,{0;11;80;111;161;191;241;281;341},1),"North","NorthEast","East","SouthEast","South","SouthWest","West","NorthWest","North")</f>
        <v>NorthWest</v>
      </c>
      <c r="AC1214" s="5">
        <f>CHOOSE(MATCH(AB1214,{"South";"SouthEast";"SouthWest";"North";"NorthEast";"East";"West";"NorthWest"},0),1,2,3,4,5,6,7,8)</f>
        <v>8</v>
      </c>
      <c r="AD1214" s="2">
        <f t="shared" si="222"/>
        <v>1</v>
      </c>
      <c r="AE1214">
        <v>1013.2</v>
      </c>
      <c r="AF1214" s="4" t="s">
        <v>1831</v>
      </c>
      <c r="AG1214" s="2">
        <f t="shared" si="223"/>
        <v>1</v>
      </c>
      <c r="AH1214" t="s">
        <v>2851</v>
      </c>
      <c r="AI1214" s="2">
        <f t="shared" si="224"/>
        <v>4</v>
      </c>
      <c r="AJ1214" s="2">
        <f t="shared" si="225"/>
        <v>0</v>
      </c>
      <c r="AK1214" s="3">
        <v>135</v>
      </c>
      <c r="AM1214" s="2">
        <v>0</v>
      </c>
      <c r="AN1214">
        <v>0</v>
      </c>
      <c r="AO1214">
        <v>0.3</v>
      </c>
      <c r="AP1214">
        <v>0</v>
      </c>
      <c r="AQ1214" s="2">
        <f>IF((2*G1214 + M1214 -P1214 + 3*W1214 + 2*Z1214+2*AD1214 + AG1214+2*AJ1214 + 4*AM1214) &gt;=8,1,0)</f>
        <v>0</v>
      </c>
    </row>
    <row r="1215" spans="1:43" x14ac:dyDescent="0.25">
      <c r="A1215" t="s">
        <v>27</v>
      </c>
      <c r="B1215" s="1">
        <v>41374</v>
      </c>
      <c r="C1215" s="7">
        <f t="shared" si="217"/>
        <v>2013</v>
      </c>
      <c r="D1215">
        <v>68.900000000000006</v>
      </c>
      <c r="E1215">
        <v>48.5</v>
      </c>
      <c r="F1215">
        <v>59.8</v>
      </c>
      <c r="G1215" s="2">
        <f t="shared" ref="G1215:G1278" si="226">IF(F1215&lt;=73.6,0,1)</f>
        <v>0</v>
      </c>
      <c r="H1215">
        <v>68.900000000000006</v>
      </c>
      <c r="I1215">
        <v>47.6</v>
      </c>
      <c r="J1215">
        <v>59.7</v>
      </c>
      <c r="K1215">
        <v>45.5</v>
      </c>
      <c r="L1215">
        <v>61.1</v>
      </c>
      <c r="M1215" s="2">
        <f t="shared" si="218"/>
        <v>0</v>
      </c>
      <c r="N1215">
        <v>0</v>
      </c>
      <c r="P1215" s="2">
        <f t="shared" si="219"/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s="2">
        <f t="shared" si="220"/>
        <v>0</v>
      </c>
      <c r="X1215">
        <v>15.5</v>
      </c>
      <c r="Z1215" s="2">
        <f t="shared" si="221"/>
        <v>0</v>
      </c>
      <c r="AA1215">
        <v>202.9</v>
      </c>
      <c r="AB1215" s="2" t="str">
        <f>CHOOSE(MATCH(AA1215,{0;11;80;111;161;191;241;281;341},1),"North","NorthEast","East","SouthEast","South","SouthWest","West","NorthWest","North")</f>
        <v>SouthWest</v>
      </c>
      <c r="AC1215" s="5">
        <f>CHOOSE(MATCH(AB1215,{"South";"SouthEast";"SouthWest";"North";"NorthEast";"East";"West";"NorthWest"},0),1,2,3,4,5,6,7,8)</f>
        <v>3</v>
      </c>
      <c r="AD1215" s="2">
        <f t="shared" si="222"/>
        <v>1</v>
      </c>
      <c r="AE1215">
        <v>1014.1</v>
      </c>
      <c r="AF1215" s="4" t="s">
        <v>1891</v>
      </c>
      <c r="AG1215" s="2">
        <f t="shared" si="223"/>
        <v>1</v>
      </c>
      <c r="AH1215" t="s">
        <v>2852</v>
      </c>
      <c r="AI1215" s="2">
        <f t="shared" si="224"/>
        <v>4</v>
      </c>
      <c r="AJ1215" s="2">
        <f t="shared" si="225"/>
        <v>0</v>
      </c>
      <c r="AK1215" s="3">
        <v>375.00000000698492</v>
      </c>
      <c r="AM1215" s="2">
        <v>1</v>
      </c>
      <c r="AN1215">
        <v>0</v>
      </c>
      <c r="AO1215">
        <v>1.5</v>
      </c>
      <c r="AP1215">
        <v>0</v>
      </c>
      <c r="AQ1215" s="2">
        <f>IF((2*G1215 + M1215 -P1215 + 3*W1215 + 2*Z1215+2*AD1215 + AG1215+2*AJ1215 + 4*AM1215) &gt;=8,1,0)</f>
        <v>0</v>
      </c>
    </row>
    <row r="1216" spans="1:43" x14ac:dyDescent="0.25">
      <c r="A1216" t="s">
        <v>27</v>
      </c>
      <c r="B1216" s="1">
        <v>41375</v>
      </c>
      <c r="C1216" s="7">
        <f t="shared" si="217"/>
        <v>2013</v>
      </c>
      <c r="D1216">
        <v>72.400000000000006</v>
      </c>
      <c r="E1216">
        <v>50.6</v>
      </c>
      <c r="F1216">
        <v>60.5</v>
      </c>
      <c r="G1216" s="2">
        <f t="shared" si="226"/>
        <v>0</v>
      </c>
      <c r="H1216">
        <v>72.400000000000006</v>
      </c>
      <c r="I1216">
        <v>50.6</v>
      </c>
      <c r="J1216">
        <v>60.5</v>
      </c>
      <c r="K1216">
        <v>45.2</v>
      </c>
      <c r="L1216">
        <v>59.9</v>
      </c>
      <c r="M1216" s="2">
        <f t="shared" si="218"/>
        <v>0</v>
      </c>
      <c r="N1216">
        <v>0</v>
      </c>
      <c r="P1216" s="2">
        <f t="shared" si="219"/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s="2">
        <f t="shared" si="220"/>
        <v>0</v>
      </c>
      <c r="X1216">
        <v>11.4</v>
      </c>
      <c r="Z1216" s="2">
        <f t="shared" si="221"/>
        <v>0</v>
      </c>
      <c r="AA1216">
        <v>128.80000000000001</v>
      </c>
      <c r="AB1216" s="2" t="str">
        <f>CHOOSE(MATCH(AA1216,{0;11;80;111;161;191;241;281;341},1),"North","NorthEast","East","SouthEast","South","SouthWest","West","NorthWest","North")</f>
        <v>SouthEast</v>
      </c>
      <c r="AC1216" s="5">
        <f>CHOOSE(MATCH(AB1216,{"South";"SouthEast";"SouthWest";"North";"NorthEast";"East";"West";"NorthWest"},0),1,2,3,4,5,6,7,8)</f>
        <v>2</v>
      </c>
      <c r="AD1216" s="2">
        <f t="shared" si="222"/>
        <v>0</v>
      </c>
      <c r="AE1216">
        <v>1014.1</v>
      </c>
      <c r="AF1216" s="4" t="s">
        <v>2348</v>
      </c>
      <c r="AG1216" s="2">
        <f t="shared" si="223"/>
        <v>0</v>
      </c>
      <c r="AH1216" t="s">
        <v>2853</v>
      </c>
      <c r="AI1216" s="2">
        <f t="shared" si="224"/>
        <v>4</v>
      </c>
      <c r="AJ1216" s="2">
        <f t="shared" si="225"/>
        <v>0</v>
      </c>
      <c r="AK1216" s="3">
        <v>61.999999992549419</v>
      </c>
      <c r="AM1216" s="2">
        <v>0</v>
      </c>
      <c r="AN1216">
        <v>0</v>
      </c>
      <c r="AO1216">
        <v>0.1</v>
      </c>
      <c r="AP1216">
        <v>0</v>
      </c>
      <c r="AQ1216" s="2">
        <f>IF((2*G1216 + M1216 -P1216 + 3*W1216 + 2*Z1216+2*AD1216 + AG1216+2*AJ1216 + 4*AM1216) &gt;=8,1,0)</f>
        <v>0</v>
      </c>
    </row>
    <row r="1217" spans="1:43" x14ac:dyDescent="0.25">
      <c r="A1217" t="s">
        <v>27</v>
      </c>
      <c r="B1217" s="1">
        <v>41380</v>
      </c>
      <c r="C1217" s="7">
        <f t="shared" si="217"/>
        <v>2013</v>
      </c>
      <c r="D1217">
        <v>64.900000000000006</v>
      </c>
      <c r="E1217">
        <v>52.4</v>
      </c>
      <c r="F1217">
        <v>57.6</v>
      </c>
      <c r="G1217" s="2">
        <f t="shared" si="226"/>
        <v>0</v>
      </c>
      <c r="H1217">
        <v>64.900000000000006</v>
      </c>
      <c r="I1217">
        <v>52.4</v>
      </c>
      <c r="J1217">
        <v>57.6</v>
      </c>
      <c r="K1217">
        <v>41.8</v>
      </c>
      <c r="L1217">
        <v>57.1</v>
      </c>
      <c r="M1217" s="2">
        <f t="shared" si="218"/>
        <v>0</v>
      </c>
      <c r="N1217">
        <v>0.03</v>
      </c>
      <c r="P1217" s="2">
        <f t="shared" si="219"/>
        <v>0</v>
      </c>
      <c r="Q1217">
        <v>100</v>
      </c>
      <c r="R1217">
        <v>4.17</v>
      </c>
      <c r="S1217" t="s">
        <v>87</v>
      </c>
      <c r="T1217">
        <v>0</v>
      </c>
      <c r="U1217">
        <v>0</v>
      </c>
      <c r="V1217">
        <v>31.3</v>
      </c>
      <c r="W1217" s="2">
        <f t="shared" si="220"/>
        <v>1</v>
      </c>
      <c r="X1217">
        <v>19.899999999999999</v>
      </c>
      <c r="Z1217" s="2">
        <f t="shared" si="221"/>
        <v>1</v>
      </c>
      <c r="AA1217">
        <v>355.8</v>
      </c>
      <c r="AB1217" s="2" t="str">
        <f>CHOOSE(MATCH(AA1217,{0;11;80;111;161;191;241;281;341},1),"North","NorthEast","East","SouthEast","South","SouthWest","West","NorthWest","North")</f>
        <v>North</v>
      </c>
      <c r="AC1217" s="5">
        <f>CHOOSE(MATCH(AB1217,{"South";"SouthEast";"SouthWest";"North";"NorthEast";"East";"West";"NorthWest"},0),1,2,3,4,5,6,7,8)</f>
        <v>4</v>
      </c>
      <c r="AD1217" s="2">
        <f t="shared" si="222"/>
        <v>1</v>
      </c>
      <c r="AE1217">
        <v>1017.4</v>
      </c>
      <c r="AF1217" s="4" t="s">
        <v>1266</v>
      </c>
      <c r="AG1217" s="2">
        <f t="shared" si="223"/>
        <v>1</v>
      </c>
      <c r="AH1217" t="s">
        <v>2854</v>
      </c>
      <c r="AI1217" s="2">
        <f t="shared" si="224"/>
        <v>4</v>
      </c>
      <c r="AJ1217" s="2">
        <f t="shared" si="225"/>
        <v>0</v>
      </c>
      <c r="AK1217" s="3">
        <v>100.0000000011642</v>
      </c>
      <c r="AM1217" s="2">
        <v>0</v>
      </c>
      <c r="AN1217">
        <v>0.1</v>
      </c>
      <c r="AO1217">
        <v>0</v>
      </c>
      <c r="AP1217">
        <v>0</v>
      </c>
      <c r="AQ1217" s="2">
        <f>IF((2*G1217 + M1217 -P1217 + 3*W1217 + 2*Z1217+2*AD1217 + AG1217+2*AJ1217 + 4*AM1217) &gt;=8,1,0)</f>
        <v>1</v>
      </c>
    </row>
    <row r="1218" spans="1:43" x14ac:dyDescent="0.25">
      <c r="A1218" t="s">
        <v>27</v>
      </c>
      <c r="B1218" s="1">
        <v>41388</v>
      </c>
      <c r="C1218" s="7">
        <f t="shared" si="217"/>
        <v>2013</v>
      </c>
      <c r="D1218">
        <v>76.099999999999994</v>
      </c>
      <c r="E1218">
        <v>51.4</v>
      </c>
      <c r="F1218">
        <v>63.7</v>
      </c>
      <c r="G1218" s="2">
        <f t="shared" si="226"/>
        <v>0</v>
      </c>
      <c r="H1218">
        <v>76.099999999999994</v>
      </c>
      <c r="I1218">
        <v>51.4</v>
      </c>
      <c r="J1218">
        <v>63.7</v>
      </c>
      <c r="K1218">
        <v>45.2</v>
      </c>
      <c r="L1218">
        <v>53.8</v>
      </c>
      <c r="M1218" s="2">
        <f t="shared" si="218"/>
        <v>0</v>
      </c>
      <c r="N1218">
        <v>0</v>
      </c>
      <c r="P1218" s="2">
        <f t="shared" si="219"/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s="2">
        <f t="shared" si="220"/>
        <v>0</v>
      </c>
      <c r="X1218">
        <v>11.6</v>
      </c>
      <c r="Z1218" s="2">
        <f t="shared" si="221"/>
        <v>0</v>
      </c>
      <c r="AA1218">
        <v>50.9</v>
      </c>
      <c r="AB1218" s="2" t="str">
        <f>CHOOSE(MATCH(AA1218,{0;11;80;111;161;191;241;281;341},1),"North","NorthEast","East","SouthEast","South","SouthWest","West","NorthWest","North")</f>
        <v>NorthEast</v>
      </c>
      <c r="AC1218" s="5">
        <f>CHOOSE(MATCH(AB1218,{"South";"SouthEast";"SouthWest";"North";"NorthEast";"East";"West";"NorthWest"},0),1,2,3,4,5,6,7,8)</f>
        <v>5</v>
      </c>
      <c r="AD1218" s="2">
        <f t="shared" si="222"/>
        <v>1</v>
      </c>
      <c r="AE1218">
        <v>1025.3</v>
      </c>
      <c r="AF1218" s="4" t="s">
        <v>2855</v>
      </c>
      <c r="AG1218" s="2">
        <f t="shared" si="223"/>
        <v>1</v>
      </c>
      <c r="AH1218" t="s">
        <v>2856</v>
      </c>
      <c r="AI1218" s="2">
        <f t="shared" si="224"/>
        <v>4</v>
      </c>
      <c r="AJ1218" s="2">
        <f t="shared" si="225"/>
        <v>0</v>
      </c>
      <c r="AK1218" s="3">
        <v>105.00000000698491</v>
      </c>
      <c r="AM1218" s="2">
        <v>0</v>
      </c>
      <c r="AN1218">
        <v>0.1</v>
      </c>
      <c r="AO1218">
        <v>0</v>
      </c>
      <c r="AP1218">
        <v>0</v>
      </c>
      <c r="AQ1218" s="2">
        <f>IF((2*G1218 + M1218 -P1218 + 3*W1218 + 2*Z1218+2*AD1218 + AG1218+2*AJ1218 + 4*AM1218) &gt;=8,1,0)</f>
        <v>0</v>
      </c>
    </row>
    <row r="1219" spans="1:43" x14ac:dyDescent="0.25">
      <c r="A1219" t="s">
        <v>27</v>
      </c>
      <c r="B1219" s="1">
        <v>41393</v>
      </c>
      <c r="C1219" s="7">
        <f t="shared" si="217"/>
        <v>2013</v>
      </c>
      <c r="D1219">
        <v>82.3</v>
      </c>
      <c r="E1219">
        <v>51.8</v>
      </c>
      <c r="F1219">
        <v>68</v>
      </c>
      <c r="G1219" s="2">
        <f t="shared" si="226"/>
        <v>0</v>
      </c>
      <c r="H1219">
        <v>80.2</v>
      </c>
      <c r="I1219">
        <v>51.8</v>
      </c>
      <c r="J1219">
        <v>67.8</v>
      </c>
      <c r="K1219">
        <v>42.7</v>
      </c>
      <c r="L1219">
        <v>42.5</v>
      </c>
      <c r="M1219" s="2">
        <f t="shared" si="218"/>
        <v>1</v>
      </c>
      <c r="N1219">
        <v>0</v>
      </c>
      <c r="P1219" s="2">
        <f t="shared" si="219"/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s="2">
        <f t="shared" si="220"/>
        <v>0</v>
      </c>
      <c r="X1219">
        <v>9.6</v>
      </c>
      <c r="Z1219" s="2">
        <f t="shared" si="221"/>
        <v>0</v>
      </c>
      <c r="AA1219">
        <v>100.1</v>
      </c>
      <c r="AB1219" s="2" t="str">
        <f>CHOOSE(MATCH(AA1219,{0;11;80;111;161;191;241;281;341},1),"North","NorthEast","East","SouthEast","South","SouthWest","West","NorthWest","North")</f>
        <v>East</v>
      </c>
      <c r="AC1219" s="5">
        <f>CHOOSE(MATCH(AB1219,{"South";"SouthEast";"SouthWest";"North";"NorthEast";"East";"West";"NorthWest"},0),1,2,3,4,5,6,7,8)</f>
        <v>6</v>
      </c>
      <c r="AD1219" s="2">
        <f t="shared" si="222"/>
        <v>0</v>
      </c>
      <c r="AE1219">
        <v>1019</v>
      </c>
      <c r="AF1219" s="4" t="s">
        <v>2245</v>
      </c>
      <c r="AG1219" s="2">
        <f t="shared" si="223"/>
        <v>1</v>
      </c>
      <c r="AH1219" t="s">
        <v>2857</v>
      </c>
      <c r="AI1219" s="2">
        <f t="shared" si="224"/>
        <v>4</v>
      </c>
      <c r="AJ1219" s="2">
        <f t="shared" si="225"/>
        <v>0</v>
      </c>
      <c r="AK1219" s="3">
        <v>193.99999999324791</v>
      </c>
      <c r="AM1219" s="2">
        <v>0</v>
      </c>
      <c r="AN1219">
        <v>0</v>
      </c>
      <c r="AO1219">
        <v>5</v>
      </c>
      <c r="AP1219">
        <v>0</v>
      </c>
      <c r="AQ1219" s="2">
        <f>IF((2*G1219 + M1219 -P1219 + 3*W1219 + 2*Z1219+2*AD1219 + AG1219+2*AJ1219 + 4*AM1219) &gt;=8,1,0)</f>
        <v>0</v>
      </c>
    </row>
    <row r="1220" spans="1:43" x14ac:dyDescent="0.25">
      <c r="A1220" t="s">
        <v>27</v>
      </c>
      <c r="B1220" s="1">
        <v>41394</v>
      </c>
      <c r="C1220" s="7">
        <f t="shared" si="217"/>
        <v>2013</v>
      </c>
      <c r="D1220">
        <v>85.8</v>
      </c>
      <c r="E1220">
        <v>53.2</v>
      </c>
      <c r="F1220">
        <v>71.2</v>
      </c>
      <c r="G1220" s="2">
        <f t="shared" si="226"/>
        <v>0</v>
      </c>
      <c r="H1220">
        <v>82.9</v>
      </c>
      <c r="I1220">
        <v>53.2</v>
      </c>
      <c r="J1220">
        <v>70.3</v>
      </c>
      <c r="K1220">
        <v>44.1</v>
      </c>
      <c r="L1220">
        <v>41.2</v>
      </c>
      <c r="M1220" s="2">
        <f t="shared" si="218"/>
        <v>1</v>
      </c>
      <c r="N1220">
        <v>0</v>
      </c>
      <c r="P1220" s="2">
        <f t="shared" si="219"/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s="2">
        <f t="shared" si="220"/>
        <v>0</v>
      </c>
      <c r="X1220">
        <v>14.6</v>
      </c>
      <c r="Z1220" s="2">
        <f t="shared" si="221"/>
        <v>0</v>
      </c>
      <c r="AA1220">
        <v>8.9</v>
      </c>
      <c r="AB1220" s="2" t="str">
        <f>CHOOSE(MATCH(AA1220,{0;11;80;111;161;191;241;281;341},1),"North","NorthEast","East","SouthEast","South","SouthWest","West","NorthWest","North")</f>
        <v>North</v>
      </c>
      <c r="AC1220" s="5">
        <f>CHOOSE(MATCH(AB1220,{"South";"SouthEast";"SouthWest";"North";"NorthEast";"East";"West";"NorthWest"},0),1,2,3,4,5,6,7,8)</f>
        <v>4</v>
      </c>
      <c r="AD1220" s="2">
        <f t="shared" si="222"/>
        <v>1</v>
      </c>
      <c r="AE1220">
        <v>1019.1</v>
      </c>
      <c r="AF1220" s="4" t="s">
        <v>2858</v>
      </c>
      <c r="AG1220" s="2">
        <f t="shared" si="223"/>
        <v>0</v>
      </c>
      <c r="AH1220" t="s">
        <v>2859</v>
      </c>
      <c r="AI1220" s="2">
        <f t="shared" si="224"/>
        <v>4</v>
      </c>
      <c r="AJ1220" s="2">
        <f t="shared" si="225"/>
        <v>0</v>
      </c>
      <c r="AK1220" s="3">
        <v>187.00000000186259</v>
      </c>
      <c r="AM1220" s="2">
        <v>0</v>
      </c>
      <c r="AN1220">
        <v>0</v>
      </c>
      <c r="AO1220">
        <v>4</v>
      </c>
      <c r="AP1220">
        <v>0</v>
      </c>
      <c r="AQ1220" s="2">
        <f>IF((2*G1220 + M1220 -P1220 + 3*W1220 + 2*Z1220+2*AD1220 + AG1220+2*AJ1220 + 4*AM1220) &gt;=8,1,0)</f>
        <v>0</v>
      </c>
    </row>
    <row r="1221" spans="1:43" x14ac:dyDescent="0.25">
      <c r="A1221" t="s">
        <v>27</v>
      </c>
      <c r="B1221" s="1">
        <v>41395</v>
      </c>
      <c r="C1221" s="7">
        <f t="shared" si="217"/>
        <v>2013</v>
      </c>
      <c r="D1221">
        <v>88.2</v>
      </c>
      <c r="E1221">
        <v>64.599999999999994</v>
      </c>
      <c r="F1221">
        <v>76.099999999999994</v>
      </c>
      <c r="G1221" s="2">
        <f t="shared" si="226"/>
        <v>1</v>
      </c>
      <c r="H1221">
        <v>84.8</v>
      </c>
      <c r="I1221">
        <v>64.599999999999994</v>
      </c>
      <c r="J1221">
        <v>75</v>
      </c>
      <c r="K1221">
        <v>44.2</v>
      </c>
      <c r="L1221">
        <v>33.799999999999997</v>
      </c>
      <c r="M1221" s="2">
        <f t="shared" si="218"/>
        <v>1</v>
      </c>
      <c r="N1221">
        <v>0</v>
      </c>
      <c r="P1221" s="2">
        <f t="shared" si="219"/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s="2">
        <f t="shared" si="220"/>
        <v>0</v>
      </c>
      <c r="X1221">
        <v>17.100000000000001</v>
      </c>
      <c r="Z1221" s="2">
        <f t="shared" si="221"/>
        <v>1</v>
      </c>
      <c r="AA1221">
        <v>358.6</v>
      </c>
      <c r="AB1221" s="2" t="str">
        <f>CHOOSE(MATCH(AA1221,{0;11;80;111;161;191;241;281;341},1),"North","NorthEast","East","SouthEast","South","SouthWest","West","NorthWest","North")</f>
        <v>North</v>
      </c>
      <c r="AC1221" s="5">
        <f>CHOOSE(MATCH(AB1221,{"South";"SouthEast";"SouthWest";"North";"NorthEast";"East";"West";"NorthWest"},0),1,2,3,4,5,6,7,8)</f>
        <v>4</v>
      </c>
      <c r="AD1221" s="2">
        <f t="shared" si="222"/>
        <v>1</v>
      </c>
      <c r="AE1221">
        <v>1016.8</v>
      </c>
      <c r="AF1221" s="4" t="s">
        <v>2860</v>
      </c>
      <c r="AG1221" s="2">
        <f t="shared" si="223"/>
        <v>1</v>
      </c>
      <c r="AH1221" t="s">
        <v>2861</v>
      </c>
      <c r="AI1221" s="2">
        <f t="shared" si="224"/>
        <v>5</v>
      </c>
      <c r="AJ1221" s="2">
        <f t="shared" si="225"/>
        <v>0</v>
      </c>
      <c r="AK1221" s="3">
        <v>240.9999999997672</v>
      </c>
      <c r="AM1221" s="2">
        <v>0</v>
      </c>
      <c r="AN1221">
        <v>0</v>
      </c>
      <c r="AO1221">
        <v>2</v>
      </c>
      <c r="AP1221">
        <v>0</v>
      </c>
      <c r="AQ1221" s="2">
        <f>IF((2*G1221 + M1221 -P1221 + 3*W1221 + 2*Z1221+2*AD1221 + AG1221+2*AJ1221 + 4*AM1221) &gt;=8,1,0)</f>
        <v>0</v>
      </c>
    </row>
    <row r="1222" spans="1:43" x14ac:dyDescent="0.25">
      <c r="A1222" t="s">
        <v>27</v>
      </c>
      <c r="B1222" s="1">
        <v>41396</v>
      </c>
      <c r="C1222" s="7">
        <f t="shared" si="217"/>
        <v>2013</v>
      </c>
      <c r="D1222">
        <v>88.3</v>
      </c>
      <c r="E1222">
        <v>67.599999999999994</v>
      </c>
      <c r="F1222">
        <v>77.400000000000006</v>
      </c>
      <c r="G1222" s="2">
        <f t="shared" si="226"/>
        <v>1</v>
      </c>
      <c r="H1222">
        <v>84.7</v>
      </c>
      <c r="I1222">
        <v>67.599999999999994</v>
      </c>
      <c r="J1222">
        <v>76.3</v>
      </c>
      <c r="K1222">
        <v>40.200000000000003</v>
      </c>
      <c r="L1222">
        <v>27.2</v>
      </c>
      <c r="M1222" s="2">
        <f t="shared" si="218"/>
        <v>1</v>
      </c>
      <c r="N1222">
        <v>0</v>
      </c>
      <c r="P1222" s="2">
        <f t="shared" si="219"/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35.6</v>
      </c>
      <c r="W1222" s="2">
        <f t="shared" si="220"/>
        <v>1</v>
      </c>
      <c r="X1222">
        <v>21.2</v>
      </c>
      <c r="Z1222" s="2">
        <f t="shared" si="221"/>
        <v>1</v>
      </c>
      <c r="AA1222">
        <v>357.4</v>
      </c>
      <c r="AB1222" s="2" t="str">
        <f>CHOOSE(MATCH(AA1222,{0;11;80;111;161;191;241;281;341},1),"North","NorthEast","East","SouthEast","South","SouthWest","West","NorthWest","North")</f>
        <v>North</v>
      </c>
      <c r="AC1222" s="5">
        <f>CHOOSE(MATCH(AB1222,{"South";"SouthEast";"SouthWest";"North";"NorthEast";"East";"West";"NorthWest"},0),1,2,3,4,5,6,7,8)</f>
        <v>4</v>
      </c>
      <c r="AD1222" s="2">
        <f t="shared" si="222"/>
        <v>1</v>
      </c>
      <c r="AE1222">
        <v>1014.1</v>
      </c>
      <c r="AF1222" s="4" t="s">
        <v>2339</v>
      </c>
      <c r="AG1222" s="2">
        <f t="shared" si="223"/>
        <v>1</v>
      </c>
      <c r="AH1222" t="s">
        <v>2862</v>
      </c>
      <c r="AI1222" s="2">
        <f t="shared" si="224"/>
        <v>5</v>
      </c>
      <c r="AJ1222" s="2">
        <f t="shared" si="225"/>
        <v>0</v>
      </c>
      <c r="AK1222" s="3">
        <v>319.99999999534339</v>
      </c>
      <c r="AM1222" s="2">
        <v>0</v>
      </c>
      <c r="AN1222">
        <v>0</v>
      </c>
      <c r="AO1222">
        <v>30</v>
      </c>
      <c r="AP1222">
        <v>0</v>
      </c>
      <c r="AQ1222" s="2">
        <f>IF((2*G1222 + M1222 -P1222 + 3*W1222 + 2*Z1222+2*AD1222 + AG1222+2*AJ1222 + 4*AM1222) &gt;=8,1,0)</f>
        <v>1</v>
      </c>
    </row>
    <row r="1223" spans="1:43" x14ac:dyDescent="0.25">
      <c r="A1223" t="s">
        <v>27</v>
      </c>
      <c r="B1223" s="1">
        <v>41401</v>
      </c>
      <c r="C1223" s="7">
        <f t="shared" si="217"/>
        <v>2013</v>
      </c>
      <c r="D1223">
        <v>82</v>
      </c>
      <c r="E1223">
        <v>68</v>
      </c>
      <c r="F1223">
        <v>74</v>
      </c>
      <c r="G1223" s="2">
        <f t="shared" si="226"/>
        <v>1</v>
      </c>
      <c r="H1223">
        <v>80.5</v>
      </c>
      <c r="I1223">
        <v>68</v>
      </c>
      <c r="J1223">
        <v>73.900000000000006</v>
      </c>
      <c r="K1223">
        <v>49.9</v>
      </c>
      <c r="L1223">
        <v>43.3</v>
      </c>
      <c r="M1223" s="2">
        <f t="shared" si="218"/>
        <v>1</v>
      </c>
      <c r="N1223">
        <v>0</v>
      </c>
      <c r="P1223" s="2">
        <f t="shared" si="219"/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s="2">
        <f t="shared" si="220"/>
        <v>0</v>
      </c>
      <c r="X1223">
        <v>15.5</v>
      </c>
      <c r="Z1223" s="2">
        <f t="shared" si="221"/>
        <v>0</v>
      </c>
      <c r="AA1223">
        <v>15.5</v>
      </c>
      <c r="AB1223" s="2" t="str">
        <f>CHOOSE(MATCH(AA1223,{0;11;80;111;161;191;241;281;341},1),"North","NorthEast","East","SouthEast","South","SouthWest","West","NorthWest","North")</f>
        <v>NorthEast</v>
      </c>
      <c r="AC1223" s="5">
        <f>CHOOSE(MATCH(AB1223,{"South";"SouthEast";"SouthWest";"North";"NorthEast";"East";"West";"NorthWest"},0),1,2,3,4,5,6,7,8)</f>
        <v>5</v>
      </c>
      <c r="AD1223" s="2">
        <f t="shared" si="222"/>
        <v>1</v>
      </c>
      <c r="AE1223">
        <v>1014.3</v>
      </c>
      <c r="AF1223" s="4" t="s">
        <v>2863</v>
      </c>
      <c r="AG1223" s="2">
        <f t="shared" si="223"/>
        <v>1</v>
      </c>
      <c r="AH1223" t="s">
        <v>2864</v>
      </c>
      <c r="AI1223" s="2">
        <f t="shared" si="224"/>
        <v>5</v>
      </c>
      <c r="AJ1223" s="2">
        <f t="shared" si="225"/>
        <v>0</v>
      </c>
      <c r="AK1223" s="3">
        <v>220.99999999743889</v>
      </c>
      <c r="AM1223" s="2">
        <v>0</v>
      </c>
      <c r="AN1223">
        <v>1.5</v>
      </c>
      <c r="AO1223">
        <v>0</v>
      </c>
      <c r="AP1223">
        <v>0</v>
      </c>
      <c r="AQ1223" s="2">
        <f>IF((2*G1223 + M1223 -P1223 + 3*W1223 + 2*Z1223+2*AD1223 + AG1223+2*AJ1223 + 4*AM1223) &gt;=8,1,0)</f>
        <v>0</v>
      </c>
    </row>
    <row r="1224" spans="1:43" x14ac:dyDescent="0.25">
      <c r="A1224" t="s">
        <v>27</v>
      </c>
      <c r="B1224" s="1">
        <v>41405</v>
      </c>
      <c r="C1224" s="7">
        <f t="shared" si="217"/>
        <v>2013</v>
      </c>
      <c r="D1224">
        <v>78</v>
      </c>
      <c r="E1224">
        <v>55</v>
      </c>
      <c r="F1224">
        <v>67.7</v>
      </c>
      <c r="G1224" s="2">
        <f t="shared" si="226"/>
        <v>0</v>
      </c>
      <c r="H1224">
        <v>78</v>
      </c>
      <c r="I1224">
        <v>55</v>
      </c>
      <c r="J1224">
        <v>67.7</v>
      </c>
      <c r="K1224">
        <v>51.8</v>
      </c>
      <c r="L1224">
        <v>59.1</v>
      </c>
      <c r="M1224" s="2">
        <f t="shared" si="218"/>
        <v>0</v>
      </c>
      <c r="N1224">
        <v>0</v>
      </c>
      <c r="P1224" s="2">
        <f t="shared" si="219"/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s="2">
        <f t="shared" si="220"/>
        <v>0</v>
      </c>
      <c r="X1224">
        <v>12.8</v>
      </c>
      <c r="Z1224" s="2">
        <f t="shared" si="221"/>
        <v>0</v>
      </c>
      <c r="AA1224">
        <v>192.6</v>
      </c>
      <c r="AB1224" s="2" t="str">
        <f>CHOOSE(MATCH(AA1224,{0;11;80;111;161;191;241;281;341},1),"North","NorthEast","East","SouthEast","South","SouthWest","West","NorthWest","North")</f>
        <v>SouthWest</v>
      </c>
      <c r="AC1224" s="5">
        <f>CHOOSE(MATCH(AB1224,{"South";"SouthEast";"SouthWest";"North";"NorthEast";"East";"West";"NorthWest"},0),1,2,3,4,5,6,7,8)</f>
        <v>3</v>
      </c>
      <c r="AD1224" s="2">
        <f t="shared" si="222"/>
        <v>1</v>
      </c>
      <c r="AE1224">
        <v>1010.1</v>
      </c>
      <c r="AF1224" s="4" t="s">
        <v>2168</v>
      </c>
      <c r="AG1224" s="2">
        <f t="shared" si="223"/>
        <v>1</v>
      </c>
      <c r="AH1224" t="s">
        <v>2865</v>
      </c>
      <c r="AI1224" s="2">
        <f t="shared" si="224"/>
        <v>5</v>
      </c>
      <c r="AJ1224" s="2">
        <f t="shared" si="225"/>
        <v>0</v>
      </c>
      <c r="AK1224" s="3">
        <v>119.0000000002328</v>
      </c>
      <c r="AM1224" s="2">
        <v>0</v>
      </c>
      <c r="AN1224">
        <v>0</v>
      </c>
      <c r="AO1224">
        <v>5</v>
      </c>
      <c r="AP1224">
        <v>0</v>
      </c>
      <c r="AQ1224" s="2">
        <f>IF((2*G1224 + M1224 -P1224 + 3*W1224 + 2*Z1224+2*AD1224 + AG1224+2*AJ1224 + 4*AM1224) &gt;=8,1,0)</f>
        <v>0</v>
      </c>
    </row>
    <row r="1225" spans="1:43" x14ac:dyDescent="0.25">
      <c r="A1225" t="s">
        <v>27</v>
      </c>
      <c r="B1225" s="1">
        <v>41416</v>
      </c>
      <c r="C1225" s="7">
        <f t="shared" si="217"/>
        <v>2013</v>
      </c>
      <c r="D1225">
        <v>85.2</v>
      </c>
      <c r="E1225">
        <v>63.2</v>
      </c>
      <c r="F1225">
        <v>75.099999999999994</v>
      </c>
      <c r="G1225" s="2">
        <f t="shared" si="226"/>
        <v>1</v>
      </c>
      <c r="H1225">
        <v>83.1</v>
      </c>
      <c r="I1225">
        <v>63.2</v>
      </c>
      <c r="J1225">
        <v>74.599999999999994</v>
      </c>
      <c r="K1225">
        <v>53.1</v>
      </c>
      <c r="L1225">
        <v>48</v>
      </c>
      <c r="M1225" s="2">
        <f t="shared" si="218"/>
        <v>1</v>
      </c>
      <c r="N1225">
        <v>0</v>
      </c>
      <c r="P1225" s="2">
        <f t="shared" si="219"/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s="2">
        <f t="shared" si="220"/>
        <v>0</v>
      </c>
      <c r="X1225">
        <v>13.2</v>
      </c>
      <c r="Z1225" s="2">
        <f t="shared" si="221"/>
        <v>0</v>
      </c>
      <c r="AA1225">
        <v>189.7</v>
      </c>
      <c r="AB1225" s="2" t="str">
        <f>CHOOSE(MATCH(AA1225,{0;11;80;111;161;191;241;281;341},1),"North","NorthEast","East","SouthEast","South","SouthWest","West","NorthWest","North")</f>
        <v>South</v>
      </c>
      <c r="AC1225" s="5">
        <f>CHOOSE(MATCH(AB1225,{"South";"SouthEast";"SouthWest";"North";"NorthEast";"East";"West";"NorthWest"},0),1,2,3,4,5,6,7,8)</f>
        <v>1</v>
      </c>
      <c r="AD1225" s="2">
        <f t="shared" si="222"/>
        <v>0</v>
      </c>
      <c r="AE1225">
        <v>1010.3</v>
      </c>
      <c r="AF1225" s="4" t="s">
        <v>1224</v>
      </c>
      <c r="AG1225" s="2">
        <f t="shared" si="223"/>
        <v>1</v>
      </c>
      <c r="AH1225" t="s">
        <v>2866</v>
      </c>
      <c r="AI1225" s="2">
        <f t="shared" si="224"/>
        <v>5</v>
      </c>
      <c r="AJ1225" s="2">
        <f t="shared" si="225"/>
        <v>0</v>
      </c>
      <c r="AK1225" s="3">
        <v>920.00000000232831</v>
      </c>
      <c r="AM1225" s="2">
        <v>1</v>
      </c>
      <c r="AN1225">
        <v>0</v>
      </c>
      <c r="AO1225">
        <v>0.5</v>
      </c>
      <c r="AP1225">
        <v>0</v>
      </c>
      <c r="AQ1225" s="2">
        <f>IF((2*G1225 + M1225 -P1225 + 3*W1225 + 2*Z1225+2*AD1225 + AG1225+2*AJ1225 + 4*AM1225) &gt;=8,1,0)</f>
        <v>0</v>
      </c>
    </row>
    <row r="1226" spans="1:43" x14ac:dyDescent="0.25">
      <c r="A1226" t="s">
        <v>27</v>
      </c>
      <c r="B1226" s="1">
        <v>41419</v>
      </c>
      <c r="C1226" s="7">
        <f t="shared" si="217"/>
        <v>2013</v>
      </c>
      <c r="D1226">
        <v>82.3</v>
      </c>
      <c r="E1226">
        <v>63.1</v>
      </c>
      <c r="F1226">
        <v>72.8</v>
      </c>
      <c r="G1226" s="2">
        <f t="shared" si="226"/>
        <v>0</v>
      </c>
      <c r="H1226">
        <v>80.3</v>
      </c>
      <c r="I1226">
        <v>63.1</v>
      </c>
      <c r="J1226">
        <v>72.5</v>
      </c>
      <c r="K1226">
        <v>45.8</v>
      </c>
      <c r="L1226">
        <v>39.9</v>
      </c>
      <c r="M1226" s="2">
        <f t="shared" si="218"/>
        <v>1</v>
      </c>
      <c r="N1226">
        <v>0</v>
      </c>
      <c r="P1226" s="2">
        <f t="shared" si="219"/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26.4</v>
      </c>
      <c r="W1226" s="2">
        <f t="shared" si="220"/>
        <v>1</v>
      </c>
      <c r="X1226">
        <v>16.399999999999999</v>
      </c>
      <c r="Z1226" s="2">
        <f t="shared" si="221"/>
        <v>1</v>
      </c>
      <c r="AA1226">
        <v>269.10000000000002</v>
      </c>
      <c r="AB1226" s="2" t="str">
        <f>CHOOSE(MATCH(AA1226,{0;11;80;111;161;191;241;281;341},1),"North","NorthEast","East","SouthEast","South","SouthWest","West","NorthWest","North")</f>
        <v>West</v>
      </c>
      <c r="AC1226" s="5">
        <f>CHOOSE(MATCH(AB1226,{"South";"SouthEast";"SouthWest";"North";"NorthEast";"East";"West";"NorthWest"},0),1,2,3,4,5,6,7,8)</f>
        <v>7</v>
      </c>
      <c r="AD1226" s="2">
        <f t="shared" si="222"/>
        <v>0</v>
      </c>
      <c r="AE1226">
        <v>1013.1</v>
      </c>
      <c r="AF1226" s="4" t="s">
        <v>1158</v>
      </c>
      <c r="AG1226" s="2">
        <f t="shared" si="223"/>
        <v>1</v>
      </c>
      <c r="AH1226" t="s">
        <v>2867</v>
      </c>
      <c r="AI1226" s="2">
        <f t="shared" si="224"/>
        <v>5</v>
      </c>
      <c r="AJ1226" s="2">
        <f t="shared" si="225"/>
        <v>0</v>
      </c>
      <c r="AK1226" s="3">
        <v>344.99999999301508</v>
      </c>
      <c r="AM1226" s="2">
        <v>0</v>
      </c>
      <c r="AN1226">
        <v>0</v>
      </c>
      <c r="AO1226">
        <v>2</v>
      </c>
      <c r="AP1226">
        <v>0</v>
      </c>
      <c r="AQ1226" s="2">
        <f>IF((2*G1226 + M1226 -P1226 + 3*W1226 + 2*Z1226+2*AD1226 + AG1226+2*AJ1226 + 4*AM1226) &gt;=8,1,0)</f>
        <v>0</v>
      </c>
    </row>
    <row r="1227" spans="1:43" x14ac:dyDescent="0.25">
      <c r="A1227" t="s">
        <v>27</v>
      </c>
      <c r="B1227" s="1">
        <v>41420</v>
      </c>
      <c r="C1227" s="7">
        <f t="shared" si="217"/>
        <v>2013</v>
      </c>
      <c r="D1227">
        <v>83.4</v>
      </c>
      <c r="E1227">
        <v>60.6</v>
      </c>
      <c r="F1227">
        <v>73.900000000000006</v>
      </c>
      <c r="G1227" s="2">
        <f t="shared" si="226"/>
        <v>1</v>
      </c>
      <c r="H1227">
        <v>81.3</v>
      </c>
      <c r="I1227">
        <v>60.6</v>
      </c>
      <c r="J1227">
        <v>73.3</v>
      </c>
      <c r="K1227">
        <v>46.4</v>
      </c>
      <c r="L1227">
        <v>40.200000000000003</v>
      </c>
      <c r="M1227" s="2">
        <f t="shared" si="218"/>
        <v>1</v>
      </c>
      <c r="N1227">
        <v>0</v>
      </c>
      <c r="P1227" s="2">
        <f t="shared" si="219"/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s="2">
        <f t="shared" si="220"/>
        <v>0</v>
      </c>
      <c r="X1227">
        <v>12.8</v>
      </c>
      <c r="Z1227" s="2">
        <f t="shared" si="221"/>
        <v>0</v>
      </c>
      <c r="AA1227">
        <v>223.9</v>
      </c>
      <c r="AB1227" s="2" t="str">
        <f>CHOOSE(MATCH(AA1227,{0;11;80;111;161;191;241;281;341},1),"North","NorthEast","East","SouthEast","South","SouthWest","West","NorthWest","North")</f>
        <v>SouthWest</v>
      </c>
      <c r="AC1227" s="5">
        <f>CHOOSE(MATCH(AB1227,{"South";"SouthEast";"SouthWest";"North";"NorthEast";"East";"West";"NorthWest"},0),1,2,3,4,5,6,7,8)</f>
        <v>3</v>
      </c>
      <c r="AD1227" s="2">
        <f t="shared" si="222"/>
        <v>1</v>
      </c>
      <c r="AE1227">
        <v>1012.9</v>
      </c>
      <c r="AF1227" s="4" t="s">
        <v>2868</v>
      </c>
      <c r="AG1227" s="2">
        <f t="shared" si="223"/>
        <v>1</v>
      </c>
      <c r="AH1227" t="s">
        <v>2869</v>
      </c>
      <c r="AI1227" s="2">
        <f t="shared" si="224"/>
        <v>5</v>
      </c>
      <c r="AJ1227" s="2">
        <f t="shared" si="225"/>
        <v>0</v>
      </c>
      <c r="AK1227" s="3">
        <v>579.00000000139698</v>
      </c>
      <c r="AM1227" s="2">
        <v>1</v>
      </c>
      <c r="AN1227">
        <v>0</v>
      </c>
      <c r="AO1227">
        <v>30</v>
      </c>
      <c r="AP1227">
        <v>0</v>
      </c>
      <c r="AQ1227" s="2">
        <f>IF((2*G1227 + M1227 -P1227 + 3*W1227 + 2*Z1227+2*AD1227 + AG1227+2*AJ1227 + 4*AM1227) &gt;=8,1,0)</f>
        <v>1</v>
      </c>
    </row>
    <row r="1228" spans="1:43" x14ac:dyDescent="0.25">
      <c r="A1228" t="s">
        <v>27</v>
      </c>
      <c r="B1228" s="1">
        <v>41421</v>
      </c>
      <c r="C1228" s="7">
        <f t="shared" si="217"/>
        <v>2013</v>
      </c>
      <c r="D1228">
        <v>78.7</v>
      </c>
      <c r="E1228">
        <v>64.2</v>
      </c>
      <c r="F1228">
        <v>71.099999999999994</v>
      </c>
      <c r="G1228" s="2">
        <f t="shared" si="226"/>
        <v>0</v>
      </c>
      <c r="H1228">
        <v>78.7</v>
      </c>
      <c r="I1228">
        <v>64.2</v>
      </c>
      <c r="J1228">
        <v>71.099999999999994</v>
      </c>
      <c r="K1228">
        <v>41</v>
      </c>
      <c r="L1228">
        <v>34.799999999999997</v>
      </c>
      <c r="M1228" s="2">
        <f t="shared" si="218"/>
        <v>1</v>
      </c>
      <c r="N1228">
        <v>0</v>
      </c>
      <c r="P1228" s="2">
        <f t="shared" si="219"/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28.9</v>
      </c>
      <c r="W1228" s="2">
        <f t="shared" si="220"/>
        <v>1</v>
      </c>
      <c r="X1228">
        <v>13.1</v>
      </c>
      <c r="Z1228" s="2">
        <f t="shared" si="221"/>
        <v>0</v>
      </c>
      <c r="AA1228">
        <v>238.3</v>
      </c>
      <c r="AB1228" s="2" t="str">
        <f>CHOOSE(MATCH(AA1228,{0;11;80;111;161;191;241;281;341},1),"North","NorthEast","East","SouthEast","South","SouthWest","West","NorthWest","North")</f>
        <v>SouthWest</v>
      </c>
      <c r="AC1228" s="5">
        <f>CHOOSE(MATCH(AB1228,{"South";"SouthEast";"SouthWest";"North";"NorthEast";"East";"West";"NorthWest"},0),1,2,3,4,5,6,7,8)</f>
        <v>3</v>
      </c>
      <c r="AD1228" s="2">
        <f t="shared" si="222"/>
        <v>1</v>
      </c>
      <c r="AE1228">
        <v>1014.1</v>
      </c>
      <c r="AF1228" s="4" t="s">
        <v>2870</v>
      </c>
      <c r="AG1228" s="2">
        <f t="shared" si="223"/>
        <v>1</v>
      </c>
      <c r="AH1228" t="s">
        <v>2871</v>
      </c>
      <c r="AI1228" s="2">
        <f t="shared" si="224"/>
        <v>5</v>
      </c>
      <c r="AJ1228" s="2">
        <f t="shared" si="225"/>
        <v>0</v>
      </c>
      <c r="AK1228" s="3">
        <v>113.0000000016298</v>
      </c>
      <c r="AM1228" s="2">
        <v>0</v>
      </c>
      <c r="AN1228">
        <v>0</v>
      </c>
      <c r="AO1228">
        <v>5</v>
      </c>
      <c r="AP1228">
        <v>0</v>
      </c>
      <c r="AQ1228" s="2">
        <f>IF((2*G1228 + M1228 -P1228 + 3*W1228 + 2*Z1228+2*AD1228 + AG1228+2*AJ1228 + 4*AM1228) &gt;=8,1,0)</f>
        <v>0</v>
      </c>
    </row>
    <row r="1229" spans="1:43" x14ac:dyDescent="0.25">
      <c r="A1229" t="s">
        <v>27</v>
      </c>
      <c r="B1229" s="1">
        <v>41425</v>
      </c>
      <c r="C1229" s="7">
        <f t="shared" si="217"/>
        <v>2013</v>
      </c>
      <c r="D1229">
        <v>82.4</v>
      </c>
      <c r="E1229">
        <v>64.599999999999994</v>
      </c>
      <c r="F1229">
        <v>74.099999999999994</v>
      </c>
      <c r="G1229" s="2">
        <f t="shared" si="226"/>
        <v>1</v>
      </c>
      <c r="H1229">
        <v>80.5</v>
      </c>
      <c r="I1229">
        <v>64.599999999999994</v>
      </c>
      <c r="J1229">
        <v>73.599999999999994</v>
      </c>
      <c r="K1229">
        <v>45.6</v>
      </c>
      <c r="L1229">
        <v>39.200000000000003</v>
      </c>
      <c r="M1229" s="2">
        <f t="shared" si="218"/>
        <v>1</v>
      </c>
      <c r="N1229">
        <v>0</v>
      </c>
      <c r="P1229" s="2">
        <f t="shared" si="219"/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26.4</v>
      </c>
      <c r="W1229" s="2">
        <f t="shared" si="220"/>
        <v>1</v>
      </c>
      <c r="X1229">
        <v>12.5</v>
      </c>
      <c r="Z1229" s="2">
        <f t="shared" si="221"/>
        <v>0</v>
      </c>
      <c r="AA1229">
        <v>267.3</v>
      </c>
      <c r="AB1229" s="2" t="str">
        <f>CHOOSE(MATCH(AA1229,{0;11;80;111;161;191;241;281;341},1),"North","NorthEast","East","SouthEast","South","SouthWest","West","NorthWest","North")</f>
        <v>West</v>
      </c>
      <c r="AC1229" s="5">
        <f>CHOOSE(MATCH(AB1229,{"South";"SouthEast";"SouthWest";"North";"NorthEast";"East";"West";"NorthWest"},0),1,2,3,4,5,6,7,8)</f>
        <v>7</v>
      </c>
      <c r="AD1229" s="2">
        <f t="shared" si="222"/>
        <v>0</v>
      </c>
      <c r="AE1229">
        <v>1006.1</v>
      </c>
      <c r="AF1229" s="4" t="s">
        <v>1266</v>
      </c>
      <c r="AG1229" s="2">
        <f t="shared" si="223"/>
        <v>1</v>
      </c>
      <c r="AH1229" t="s">
        <v>2872</v>
      </c>
      <c r="AI1229" s="2">
        <f t="shared" si="224"/>
        <v>5</v>
      </c>
      <c r="AJ1229" s="2">
        <f t="shared" si="225"/>
        <v>0</v>
      </c>
      <c r="AK1229" s="3">
        <v>79.000000006053597</v>
      </c>
      <c r="AM1229" s="2">
        <v>0</v>
      </c>
      <c r="AN1229">
        <v>0</v>
      </c>
      <c r="AO1229">
        <v>0</v>
      </c>
      <c r="AP1229">
        <v>0.5</v>
      </c>
      <c r="AQ1229" s="2">
        <f>IF((2*G1229 + M1229 -P1229 + 3*W1229 + 2*Z1229+2*AD1229 + AG1229+2*AJ1229 + 4*AM1229) &gt;=8,1,0)</f>
        <v>0</v>
      </c>
    </row>
    <row r="1230" spans="1:43" x14ac:dyDescent="0.25">
      <c r="A1230" t="s">
        <v>27</v>
      </c>
      <c r="B1230" s="1">
        <v>41425</v>
      </c>
      <c r="C1230" s="7">
        <f t="shared" si="217"/>
        <v>2013</v>
      </c>
      <c r="D1230">
        <v>82.4</v>
      </c>
      <c r="E1230">
        <v>64.599999999999994</v>
      </c>
      <c r="F1230">
        <v>74.099999999999994</v>
      </c>
      <c r="G1230" s="2">
        <f t="shared" si="226"/>
        <v>1</v>
      </c>
      <c r="H1230">
        <v>80.5</v>
      </c>
      <c r="I1230">
        <v>64.599999999999994</v>
      </c>
      <c r="J1230">
        <v>73.599999999999994</v>
      </c>
      <c r="K1230">
        <v>45.6</v>
      </c>
      <c r="L1230">
        <v>39.200000000000003</v>
      </c>
      <c r="M1230" s="2">
        <f t="shared" si="218"/>
        <v>1</v>
      </c>
      <c r="N1230">
        <v>0</v>
      </c>
      <c r="P1230" s="2">
        <f t="shared" si="219"/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26.4</v>
      </c>
      <c r="W1230" s="2">
        <f t="shared" si="220"/>
        <v>1</v>
      </c>
      <c r="X1230">
        <v>12.5</v>
      </c>
      <c r="Z1230" s="2">
        <f t="shared" si="221"/>
        <v>0</v>
      </c>
      <c r="AA1230">
        <v>267.3</v>
      </c>
      <c r="AB1230" s="2" t="str">
        <f>CHOOSE(MATCH(AA1230,{0;11;80;111;161;191;241;281;341},1),"North","NorthEast","East","SouthEast","South","SouthWest","West","NorthWest","North")</f>
        <v>West</v>
      </c>
      <c r="AC1230" s="5">
        <f>CHOOSE(MATCH(AB1230,{"South";"SouthEast";"SouthWest";"North";"NorthEast";"East";"West";"NorthWest"},0),1,2,3,4,5,6,7,8)</f>
        <v>7</v>
      </c>
      <c r="AD1230" s="2">
        <f t="shared" si="222"/>
        <v>0</v>
      </c>
      <c r="AE1230">
        <v>1006.1</v>
      </c>
      <c r="AF1230" s="4" t="s">
        <v>2011</v>
      </c>
      <c r="AG1230" s="2">
        <f t="shared" si="223"/>
        <v>1</v>
      </c>
      <c r="AH1230" t="s">
        <v>2873</v>
      </c>
      <c r="AI1230" s="2">
        <f t="shared" si="224"/>
        <v>5</v>
      </c>
      <c r="AJ1230" s="2">
        <f t="shared" si="225"/>
        <v>0</v>
      </c>
      <c r="AK1230" s="3">
        <v>395.9999999916181</v>
      </c>
      <c r="AM1230" s="2">
        <v>1</v>
      </c>
      <c r="AN1230">
        <v>0</v>
      </c>
      <c r="AO1230">
        <v>5</v>
      </c>
      <c r="AP1230">
        <v>0</v>
      </c>
      <c r="AQ1230" s="2">
        <f>IF((2*G1230 + M1230 -P1230 + 3*W1230 + 2*Z1230+2*AD1230 + AG1230+2*AJ1230 + 4*AM1230) &gt;=8,1,0)</f>
        <v>1</v>
      </c>
    </row>
    <row r="1231" spans="1:43" x14ac:dyDescent="0.25">
      <c r="A1231" t="s">
        <v>27</v>
      </c>
      <c r="B1231" s="1">
        <v>41425</v>
      </c>
      <c r="C1231" s="7">
        <f t="shared" si="217"/>
        <v>2013</v>
      </c>
      <c r="D1231">
        <v>82.4</v>
      </c>
      <c r="E1231">
        <v>64.599999999999994</v>
      </c>
      <c r="F1231">
        <v>74.099999999999994</v>
      </c>
      <c r="G1231" s="2">
        <f t="shared" si="226"/>
        <v>1</v>
      </c>
      <c r="H1231">
        <v>80.5</v>
      </c>
      <c r="I1231">
        <v>64.599999999999994</v>
      </c>
      <c r="J1231">
        <v>73.599999999999994</v>
      </c>
      <c r="K1231">
        <v>45.6</v>
      </c>
      <c r="L1231">
        <v>39.200000000000003</v>
      </c>
      <c r="M1231" s="2">
        <f t="shared" si="218"/>
        <v>1</v>
      </c>
      <c r="N1231">
        <v>0</v>
      </c>
      <c r="P1231" s="2">
        <f t="shared" si="219"/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26.4</v>
      </c>
      <c r="W1231" s="2">
        <f t="shared" si="220"/>
        <v>1</v>
      </c>
      <c r="X1231">
        <v>12.5</v>
      </c>
      <c r="Z1231" s="2">
        <f t="shared" si="221"/>
        <v>0</v>
      </c>
      <c r="AA1231">
        <v>267.3</v>
      </c>
      <c r="AB1231" s="2" t="str">
        <f>CHOOSE(MATCH(AA1231,{0;11;80;111;161;191;241;281;341},1),"North","NorthEast","East","SouthEast","South","SouthWest","West","NorthWest","North")</f>
        <v>West</v>
      </c>
      <c r="AC1231" s="5">
        <f>CHOOSE(MATCH(AB1231,{"South";"SouthEast";"SouthWest";"North";"NorthEast";"East";"West";"NorthWest"},0),1,2,3,4,5,6,7,8)</f>
        <v>7</v>
      </c>
      <c r="AD1231" s="2">
        <f t="shared" si="222"/>
        <v>0</v>
      </c>
      <c r="AE1231">
        <v>1006.1</v>
      </c>
      <c r="AF1231" s="4" t="s">
        <v>2428</v>
      </c>
      <c r="AG1231" s="2">
        <f t="shared" si="223"/>
        <v>1</v>
      </c>
      <c r="AH1231" t="s">
        <v>2874</v>
      </c>
      <c r="AI1231" s="2">
        <f t="shared" si="224"/>
        <v>5</v>
      </c>
      <c r="AJ1231" s="2">
        <f t="shared" si="225"/>
        <v>0</v>
      </c>
      <c r="AK1231" s="3">
        <v>220.99999999743889</v>
      </c>
      <c r="AM1231" s="2">
        <v>0</v>
      </c>
      <c r="AN1231">
        <v>0</v>
      </c>
      <c r="AO1231">
        <v>25</v>
      </c>
      <c r="AP1231">
        <v>0</v>
      </c>
      <c r="AQ1231" s="2">
        <f>IF((2*G1231 + M1231 -P1231 + 3*W1231 + 2*Z1231+2*AD1231 + AG1231+2*AJ1231 + 4*AM1231) &gt;=8,1,0)</f>
        <v>0</v>
      </c>
    </row>
    <row r="1232" spans="1:43" x14ac:dyDescent="0.25">
      <c r="A1232" t="s">
        <v>27</v>
      </c>
      <c r="B1232" s="1">
        <v>41425</v>
      </c>
      <c r="C1232" s="7">
        <f t="shared" si="217"/>
        <v>2013</v>
      </c>
      <c r="D1232">
        <v>82.4</v>
      </c>
      <c r="E1232">
        <v>64.599999999999994</v>
      </c>
      <c r="F1232">
        <v>74.099999999999994</v>
      </c>
      <c r="G1232" s="2">
        <f t="shared" si="226"/>
        <v>1</v>
      </c>
      <c r="H1232">
        <v>80.5</v>
      </c>
      <c r="I1232">
        <v>64.599999999999994</v>
      </c>
      <c r="J1232">
        <v>73.599999999999994</v>
      </c>
      <c r="K1232">
        <v>45.6</v>
      </c>
      <c r="L1232">
        <v>39.200000000000003</v>
      </c>
      <c r="M1232" s="2">
        <f t="shared" si="218"/>
        <v>1</v>
      </c>
      <c r="N1232">
        <v>0</v>
      </c>
      <c r="P1232" s="2">
        <f t="shared" si="219"/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26.4</v>
      </c>
      <c r="W1232" s="2">
        <f t="shared" si="220"/>
        <v>1</v>
      </c>
      <c r="X1232">
        <v>12.5</v>
      </c>
      <c r="Z1232" s="2">
        <f t="shared" si="221"/>
        <v>0</v>
      </c>
      <c r="AA1232">
        <v>267.3</v>
      </c>
      <c r="AB1232" s="2" t="str">
        <f>CHOOSE(MATCH(AA1232,{0;11;80;111;161;191;241;281;341},1),"North","NorthEast","East","SouthEast","South","SouthWest","West","NorthWest","North")</f>
        <v>West</v>
      </c>
      <c r="AC1232" s="5">
        <f>CHOOSE(MATCH(AB1232,{"South";"SouthEast";"SouthWest";"North";"NorthEast";"East";"West";"NorthWest"},0),1,2,3,4,5,6,7,8)</f>
        <v>7</v>
      </c>
      <c r="AD1232" s="2">
        <f t="shared" si="222"/>
        <v>0</v>
      </c>
      <c r="AE1232">
        <v>1006.1</v>
      </c>
      <c r="AF1232" s="4" t="s">
        <v>1929</v>
      </c>
      <c r="AG1232" s="2">
        <f t="shared" si="223"/>
        <v>1</v>
      </c>
      <c r="AH1232" t="s">
        <v>2875</v>
      </c>
      <c r="AI1232" s="2">
        <f t="shared" si="224"/>
        <v>5</v>
      </c>
      <c r="AJ1232" s="2">
        <f t="shared" si="225"/>
        <v>0</v>
      </c>
      <c r="AK1232" s="3">
        <v>56.999999997206032</v>
      </c>
      <c r="AM1232" s="2">
        <v>0</v>
      </c>
      <c r="AN1232">
        <v>0</v>
      </c>
      <c r="AO1232">
        <v>0.1</v>
      </c>
      <c r="AP1232">
        <v>0</v>
      </c>
      <c r="AQ1232" s="2">
        <f>IF((2*G1232 + M1232 -P1232 + 3*W1232 + 2*Z1232+2*AD1232 + AG1232+2*AJ1232 + 4*AM1232) &gt;=8,1,0)</f>
        <v>0</v>
      </c>
    </row>
    <row r="1233" spans="1:43" x14ac:dyDescent="0.25">
      <c r="A1233" t="s">
        <v>27</v>
      </c>
      <c r="B1233" s="1">
        <v>41428</v>
      </c>
      <c r="C1233" s="7">
        <f t="shared" si="217"/>
        <v>2013</v>
      </c>
      <c r="D1233">
        <v>80.5</v>
      </c>
      <c r="E1233">
        <v>58.7</v>
      </c>
      <c r="F1233">
        <v>70.400000000000006</v>
      </c>
      <c r="G1233" s="2">
        <f t="shared" si="226"/>
        <v>0</v>
      </c>
      <c r="H1233">
        <v>79.7</v>
      </c>
      <c r="I1233">
        <v>58.7</v>
      </c>
      <c r="J1233">
        <v>70.400000000000006</v>
      </c>
      <c r="K1233">
        <v>48.6</v>
      </c>
      <c r="L1233">
        <v>48.1</v>
      </c>
      <c r="M1233" s="2">
        <f t="shared" si="218"/>
        <v>1</v>
      </c>
      <c r="N1233">
        <v>0</v>
      </c>
      <c r="P1233" s="2">
        <f t="shared" si="219"/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s="2">
        <f t="shared" si="220"/>
        <v>0</v>
      </c>
      <c r="X1233">
        <v>16.7</v>
      </c>
      <c r="Z1233" s="2">
        <f t="shared" si="221"/>
        <v>1</v>
      </c>
      <c r="AA1233">
        <v>197.4</v>
      </c>
      <c r="AB1233" s="2" t="str">
        <f>CHOOSE(MATCH(AA1233,{0;11;80;111;161;191;241;281;341},1),"North","NorthEast","East","SouthEast","South","SouthWest","West","NorthWest","North")</f>
        <v>SouthWest</v>
      </c>
      <c r="AC1233" s="5">
        <f>CHOOSE(MATCH(AB1233,{"South";"SouthEast";"SouthWest";"North";"NorthEast";"East";"West";"NorthWest"},0),1,2,3,4,5,6,7,8)</f>
        <v>3</v>
      </c>
      <c r="AD1233" s="2">
        <f t="shared" si="222"/>
        <v>1</v>
      </c>
      <c r="AE1233">
        <v>1011.1</v>
      </c>
      <c r="AF1233" s="4" t="s">
        <v>1870</v>
      </c>
      <c r="AG1233" s="2">
        <f t="shared" si="223"/>
        <v>1</v>
      </c>
      <c r="AH1233" t="s">
        <v>2876</v>
      </c>
      <c r="AI1233" s="2">
        <f t="shared" si="224"/>
        <v>6</v>
      </c>
      <c r="AJ1233" s="2">
        <f t="shared" si="225"/>
        <v>1</v>
      </c>
      <c r="AK1233" s="3">
        <v>148.99999999324791</v>
      </c>
      <c r="AM1233" s="2">
        <v>0</v>
      </c>
      <c r="AN1233">
        <v>0</v>
      </c>
      <c r="AO1233">
        <v>20</v>
      </c>
      <c r="AP1233">
        <v>0</v>
      </c>
      <c r="AQ1233" s="2">
        <f>IF((2*G1233 + M1233 -P1233 + 3*W1233 + 2*Z1233+2*AD1233 + AG1233+2*AJ1233 + 4*AM1233) &gt;=8,1,0)</f>
        <v>0</v>
      </c>
    </row>
    <row r="1234" spans="1:43" x14ac:dyDescent="0.25">
      <c r="A1234" t="s">
        <v>27</v>
      </c>
      <c r="B1234" s="1">
        <v>41431</v>
      </c>
      <c r="C1234" s="7">
        <f t="shared" si="217"/>
        <v>2013</v>
      </c>
      <c r="D1234">
        <v>80.3</v>
      </c>
      <c r="E1234">
        <v>61.2</v>
      </c>
      <c r="F1234">
        <v>72</v>
      </c>
      <c r="G1234" s="2">
        <f t="shared" si="226"/>
        <v>0</v>
      </c>
      <c r="H1234">
        <v>80</v>
      </c>
      <c r="I1234">
        <v>61.2</v>
      </c>
      <c r="J1234">
        <v>72</v>
      </c>
      <c r="K1234">
        <v>54.3</v>
      </c>
      <c r="L1234">
        <v>55.5</v>
      </c>
      <c r="M1234" s="2">
        <f t="shared" si="218"/>
        <v>0</v>
      </c>
      <c r="N1234">
        <v>0</v>
      </c>
      <c r="P1234" s="2">
        <f t="shared" si="219"/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s="2">
        <f t="shared" si="220"/>
        <v>0</v>
      </c>
      <c r="X1234">
        <v>11.9</v>
      </c>
      <c r="Z1234" s="2">
        <f t="shared" si="221"/>
        <v>0</v>
      </c>
      <c r="AA1234">
        <v>126.8</v>
      </c>
      <c r="AB1234" s="2" t="str">
        <f>CHOOSE(MATCH(AA1234,{0;11;80;111;161;191;241;281;341},1),"North","NorthEast","East","SouthEast","South","SouthWest","West","NorthWest","North")</f>
        <v>SouthEast</v>
      </c>
      <c r="AC1234" s="5">
        <f>CHOOSE(MATCH(AB1234,{"South";"SouthEast";"SouthWest";"North";"NorthEast";"East";"West";"NorthWest"},0),1,2,3,4,5,6,7,8)</f>
        <v>2</v>
      </c>
      <c r="AD1234" s="2">
        <f t="shared" si="222"/>
        <v>0</v>
      </c>
      <c r="AE1234">
        <v>1015.3</v>
      </c>
      <c r="AF1234" s="4" t="s">
        <v>2877</v>
      </c>
      <c r="AG1234" s="2">
        <f t="shared" si="223"/>
        <v>1</v>
      </c>
      <c r="AH1234" t="s">
        <v>2878</v>
      </c>
      <c r="AI1234" s="2">
        <f t="shared" si="224"/>
        <v>6</v>
      </c>
      <c r="AJ1234" s="2">
        <f t="shared" si="225"/>
        <v>1</v>
      </c>
      <c r="AK1234" s="3">
        <v>177.00000000069849</v>
      </c>
      <c r="AM1234" s="2">
        <v>0</v>
      </c>
      <c r="AN1234">
        <v>0</v>
      </c>
      <c r="AO1234">
        <v>1</v>
      </c>
      <c r="AP1234">
        <v>0</v>
      </c>
      <c r="AQ1234" s="2">
        <f>IF((2*G1234 + M1234 -P1234 + 3*W1234 + 2*Z1234+2*AD1234 + AG1234+2*AJ1234 + 4*AM1234) &gt;=8,1,0)</f>
        <v>0</v>
      </c>
    </row>
    <row r="1235" spans="1:43" x14ac:dyDescent="0.25">
      <c r="A1235" t="s">
        <v>27</v>
      </c>
      <c r="B1235" s="1">
        <v>41433</v>
      </c>
      <c r="C1235" s="7">
        <f t="shared" si="217"/>
        <v>2013</v>
      </c>
      <c r="D1235">
        <v>81.3</v>
      </c>
      <c r="E1235">
        <v>65.7</v>
      </c>
      <c r="F1235">
        <v>72.7</v>
      </c>
      <c r="G1235" s="2">
        <f t="shared" si="226"/>
        <v>0</v>
      </c>
      <c r="H1235">
        <v>80.7</v>
      </c>
      <c r="I1235">
        <v>65.7</v>
      </c>
      <c r="J1235">
        <v>72.599999999999994</v>
      </c>
      <c r="K1235">
        <v>56</v>
      </c>
      <c r="L1235">
        <v>57.4</v>
      </c>
      <c r="M1235" s="2">
        <f t="shared" si="218"/>
        <v>0</v>
      </c>
      <c r="N1235">
        <v>0</v>
      </c>
      <c r="P1235" s="2">
        <f t="shared" si="219"/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25.3</v>
      </c>
      <c r="W1235" s="2">
        <f t="shared" si="220"/>
        <v>1</v>
      </c>
      <c r="X1235">
        <v>13.5</v>
      </c>
      <c r="Z1235" s="2">
        <f t="shared" si="221"/>
        <v>0</v>
      </c>
      <c r="AA1235">
        <v>20.9</v>
      </c>
      <c r="AB1235" s="2" t="str">
        <f>CHOOSE(MATCH(AA1235,{0;11;80;111;161;191;241;281;341},1),"North","NorthEast","East","SouthEast","South","SouthWest","West","NorthWest","North")</f>
        <v>NorthEast</v>
      </c>
      <c r="AC1235" s="5">
        <f>CHOOSE(MATCH(AB1235,{"South";"SouthEast";"SouthWest";"North";"NorthEast";"East";"West";"NorthWest"},0),1,2,3,4,5,6,7,8)</f>
        <v>5</v>
      </c>
      <c r="AD1235" s="2">
        <f t="shared" si="222"/>
        <v>1</v>
      </c>
      <c r="AE1235">
        <v>1010.6</v>
      </c>
      <c r="AF1235" s="4" t="s">
        <v>2879</v>
      </c>
      <c r="AG1235" s="2">
        <f t="shared" si="223"/>
        <v>1</v>
      </c>
      <c r="AH1235" t="s">
        <v>2880</v>
      </c>
      <c r="AI1235" s="2">
        <f t="shared" si="224"/>
        <v>6</v>
      </c>
      <c r="AJ1235" s="2">
        <f t="shared" si="225"/>
        <v>1</v>
      </c>
      <c r="AK1235" s="3">
        <v>149.00000000372529</v>
      </c>
      <c r="AM1235" s="2">
        <v>0</v>
      </c>
      <c r="AN1235">
        <v>0</v>
      </c>
      <c r="AO1235">
        <v>0.1</v>
      </c>
      <c r="AP1235">
        <v>0</v>
      </c>
      <c r="AQ1235" s="2">
        <f>IF((2*G1235 + M1235 -P1235 + 3*W1235 + 2*Z1235+2*AD1235 + AG1235+2*AJ1235 + 4*AM1235) &gt;=8,1,0)</f>
        <v>0</v>
      </c>
    </row>
    <row r="1236" spans="1:43" x14ac:dyDescent="0.25">
      <c r="A1236" t="s">
        <v>27</v>
      </c>
      <c r="B1236" s="1">
        <v>41436</v>
      </c>
      <c r="C1236" s="7">
        <f t="shared" si="217"/>
        <v>2013</v>
      </c>
      <c r="D1236">
        <v>87</v>
      </c>
      <c r="E1236">
        <v>68.2</v>
      </c>
      <c r="F1236">
        <v>77.900000000000006</v>
      </c>
      <c r="G1236" s="2">
        <f t="shared" si="226"/>
        <v>1</v>
      </c>
      <c r="H1236">
        <v>84.1</v>
      </c>
      <c r="I1236">
        <v>68.2</v>
      </c>
      <c r="J1236">
        <v>77.2</v>
      </c>
      <c r="K1236">
        <v>55.4</v>
      </c>
      <c r="L1236">
        <v>48.8</v>
      </c>
      <c r="M1236" s="2">
        <f t="shared" si="218"/>
        <v>1</v>
      </c>
      <c r="N1236">
        <v>0</v>
      </c>
      <c r="P1236" s="2">
        <f t="shared" si="219"/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34.4</v>
      </c>
      <c r="W1236" s="2">
        <f t="shared" si="220"/>
        <v>1</v>
      </c>
      <c r="X1236">
        <v>13.3</v>
      </c>
      <c r="Z1236" s="2">
        <f t="shared" si="221"/>
        <v>0</v>
      </c>
      <c r="AA1236">
        <v>142.80000000000001</v>
      </c>
      <c r="AB1236" s="2" t="str">
        <f>CHOOSE(MATCH(AA1236,{0;11;80;111;161;191;241;281;341},1),"North","NorthEast","East","SouthEast","South","SouthWest","West","NorthWest","North")</f>
        <v>SouthEast</v>
      </c>
      <c r="AC1236" s="5">
        <f>CHOOSE(MATCH(AB1236,{"South";"SouthEast";"SouthWest";"North";"NorthEast";"East";"West";"NorthWest"},0),1,2,3,4,5,6,7,8)</f>
        <v>2</v>
      </c>
      <c r="AD1236" s="2">
        <f t="shared" si="222"/>
        <v>0</v>
      </c>
      <c r="AE1236">
        <v>1007.1</v>
      </c>
      <c r="AF1236" s="4" t="s">
        <v>1154</v>
      </c>
      <c r="AG1236" s="2">
        <f t="shared" si="223"/>
        <v>1</v>
      </c>
      <c r="AH1236" t="s">
        <v>2881</v>
      </c>
      <c r="AI1236" s="2">
        <f t="shared" si="224"/>
        <v>6</v>
      </c>
      <c r="AJ1236" s="2">
        <f t="shared" si="225"/>
        <v>1</v>
      </c>
      <c r="AK1236" s="3">
        <v>1827.999999996973</v>
      </c>
      <c r="AM1236" s="2">
        <v>1</v>
      </c>
      <c r="AN1236">
        <v>0</v>
      </c>
      <c r="AO1236">
        <v>0.2</v>
      </c>
      <c r="AP1236">
        <v>0</v>
      </c>
      <c r="AQ1236" s="2">
        <f>IF((2*G1236 + M1236 -P1236 + 3*W1236 + 2*Z1236+2*AD1236 + AG1236+2*AJ1236 + 4*AM1236) &gt;=8,1,0)</f>
        <v>1</v>
      </c>
    </row>
    <row r="1237" spans="1:43" x14ac:dyDescent="0.25">
      <c r="A1237" t="s">
        <v>27</v>
      </c>
      <c r="B1237" s="1">
        <v>41443</v>
      </c>
      <c r="C1237" s="7">
        <f t="shared" si="217"/>
        <v>2013</v>
      </c>
      <c r="D1237">
        <v>93</v>
      </c>
      <c r="E1237">
        <v>71.599999999999994</v>
      </c>
      <c r="F1237">
        <v>82.8</v>
      </c>
      <c r="G1237" s="2">
        <f t="shared" si="226"/>
        <v>1</v>
      </c>
      <c r="H1237">
        <v>90.7</v>
      </c>
      <c r="I1237">
        <v>71.599999999999994</v>
      </c>
      <c r="J1237">
        <v>81.7</v>
      </c>
      <c r="K1237">
        <v>54.8</v>
      </c>
      <c r="L1237">
        <v>39.799999999999997</v>
      </c>
      <c r="M1237" s="2">
        <f t="shared" si="218"/>
        <v>1</v>
      </c>
      <c r="N1237">
        <v>0</v>
      </c>
      <c r="P1237" s="2">
        <f t="shared" si="219"/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27.5</v>
      </c>
      <c r="W1237" s="2">
        <f t="shared" si="220"/>
        <v>1</v>
      </c>
      <c r="X1237">
        <v>21.8</v>
      </c>
      <c r="Z1237" s="2">
        <f t="shared" si="221"/>
        <v>1</v>
      </c>
      <c r="AA1237">
        <v>13.8</v>
      </c>
      <c r="AB1237" s="2" t="str">
        <f>CHOOSE(MATCH(AA1237,{0;11;80;111;161;191;241;281;341},1),"North","NorthEast","East","SouthEast","South","SouthWest","West","NorthWest","North")</f>
        <v>NorthEast</v>
      </c>
      <c r="AC1237" s="5">
        <f>CHOOSE(MATCH(AB1237,{"South";"SouthEast";"SouthWest";"North";"NorthEast";"East";"West";"NorthWest"},0),1,2,3,4,5,6,7,8)</f>
        <v>5</v>
      </c>
      <c r="AD1237" s="2">
        <f t="shared" si="222"/>
        <v>1</v>
      </c>
      <c r="AE1237">
        <v>1014.6</v>
      </c>
      <c r="AF1237" s="4" t="s">
        <v>1831</v>
      </c>
      <c r="AG1237" s="2">
        <f t="shared" si="223"/>
        <v>1</v>
      </c>
      <c r="AH1237" t="s">
        <v>2882</v>
      </c>
      <c r="AI1237" s="2">
        <f t="shared" si="224"/>
        <v>6</v>
      </c>
      <c r="AJ1237" s="2">
        <f t="shared" si="225"/>
        <v>1</v>
      </c>
      <c r="AK1237" s="3">
        <v>855</v>
      </c>
      <c r="AM1237" s="2">
        <v>1</v>
      </c>
      <c r="AN1237">
        <v>0</v>
      </c>
      <c r="AO1237">
        <v>3</v>
      </c>
      <c r="AP1237">
        <v>0</v>
      </c>
      <c r="AQ1237" s="2">
        <f>IF((2*G1237 + M1237 -P1237 + 3*W1237 + 2*Z1237+2*AD1237 + AG1237+2*AJ1237 + 4*AM1237) &gt;=8,1,0)</f>
        <v>1</v>
      </c>
    </row>
    <row r="1238" spans="1:43" x14ac:dyDescent="0.25">
      <c r="A1238" t="s">
        <v>27</v>
      </c>
      <c r="B1238" s="1">
        <v>41447</v>
      </c>
      <c r="C1238" s="7">
        <f t="shared" si="217"/>
        <v>2013</v>
      </c>
      <c r="D1238">
        <v>92</v>
      </c>
      <c r="E1238">
        <v>72.3</v>
      </c>
      <c r="F1238">
        <v>82.1</v>
      </c>
      <c r="G1238" s="2">
        <f t="shared" si="226"/>
        <v>1</v>
      </c>
      <c r="H1238">
        <v>88</v>
      </c>
      <c r="I1238">
        <v>72.3</v>
      </c>
      <c r="J1238">
        <v>80.5</v>
      </c>
      <c r="K1238">
        <v>48.4</v>
      </c>
      <c r="L1238">
        <v>32.9</v>
      </c>
      <c r="M1238" s="2">
        <f t="shared" si="218"/>
        <v>1</v>
      </c>
      <c r="N1238">
        <v>0</v>
      </c>
      <c r="P1238" s="2">
        <f t="shared" si="219"/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29.3</v>
      </c>
      <c r="W1238" s="2">
        <f t="shared" si="220"/>
        <v>1</v>
      </c>
      <c r="X1238">
        <v>18.899999999999999</v>
      </c>
      <c r="Z1238" s="2">
        <f t="shared" si="221"/>
        <v>1</v>
      </c>
      <c r="AA1238">
        <v>10</v>
      </c>
      <c r="AB1238" s="2" t="str">
        <f>CHOOSE(MATCH(AA1238,{0;11;80;111;161;191;241;281;341},1),"North","NorthEast","East","SouthEast","South","SouthWest","West","NorthWest","North")</f>
        <v>North</v>
      </c>
      <c r="AC1238" s="5">
        <f>CHOOSE(MATCH(AB1238,{"South";"SouthEast";"SouthWest";"North";"NorthEast";"East";"West";"NorthWest"},0),1,2,3,4,5,6,7,8)</f>
        <v>4</v>
      </c>
      <c r="AD1238" s="2">
        <f t="shared" si="222"/>
        <v>1</v>
      </c>
      <c r="AE1238">
        <v>1012.4</v>
      </c>
      <c r="AF1238" s="4" t="s">
        <v>2026</v>
      </c>
      <c r="AG1238" s="2">
        <f t="shared" si="223"/>
        <v>1</v>
      </c>
      <c r="AH1238" t="s">
        <v>2883</v>
      </c>
      <c r="AI1238" s="2">
        <f t="shared" si="224"/>
        <v>6</v>
      </c>
      <c r="AJ1238" s="2">
        <f t="shared" si="225"/>
        <v>1</v>
      </c>
      <c r="AK1238" s="3">
        <v>3409.9999999988358</v>
      </c>
      <c r="AM1238" s="2">
        <v>1</v>
      </c>
      <c r="AN1238">
        <v>0</v>
      </c>
      <c r="AO1238">
        <v>20</v>
      </c>
      <c r="AP1238">
        <v>0</v>
      </c>
      <c r="AQ1238" s="2">
        <f>IF((2*G1238 + M1238 -P1238 + 3*W1238 + 2*Z1238+2*AD1238 + AG1238+2*AJ1238 + 4*AM1238) &gt;=8,1,0)</f>
        <v>1</v>
      </c>
    </row>
    <row r="1239" spans="1:43" x14ac:dyDescent="0.25">
      <c r="A1239" t="s">
        <v>27</v>
      </c>
      <c r="B1239" s="1">
        <v>41447</v>
      </c>
      <c r="C1239" s="7">
        <f t="shared" si="217"/>
        <v>2013</v>
      </c>
      <c r="D1239">
        <v>92</v>
      </c>
      <c r="E1239">
        <v>72.3</v>
      </c>
      <c r="F1239">
        <v>82.1</v>
      </c>
      <c r="G1239" s="2">
        <f t="shared" si="226"/>
        <v>1</v>
      </c>
      <c r="H1239">
        <v>88</v>
      </c>
      <c r="I1239">
        <v>72.3</v>
      </c>
      <c r="J1239">
        <v>80.5</v>
      </c>
      <c r="K1239">
        <v>48.4</v>
      </c>
      <c r="L1239">
        <v>32.9</v>
      </c>
      <c r="M1239" s="2">
        <f t="shared" si="218"/>
        <v>1</v>
      </c>
      <c r="N1239">
        <v>0</v>
      </c>
      <c r="P1239" s="2">
        <f t="shared" si="219"/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29.3</v>
      </c>
      <c r="W1239" s="2">
        <f t="shared" si="220"/>
        <v>1</v>
      </c>
      <c r="X1239">
        <v>18.899999999999999</v>
      </c>
      <c r="Z1239" s="2">
        <f t="shared" si="221"/>
        <v>1</v>
      </c>
      <c r="AA1239">
        <v>10</v>
      </c>
      <c r="AB1239" s="2" t="str">
        <f>CHOOSE(MATCH(AA1239,{0;11;80;111;161;191;241;281;341},1),"North","NorthEast","East","SouthEast","South","SouthWest","West","NorthWest","North")</f>
        <v>North</v>
      </c>
      <c r="AC1239" s="5">
        <f>CHOOSE(MATCH(AB1239,{"South";"SouthEast";"SouthWest";"North";"NorthEast";"East";"West";"NorthWest"},0),1,2,3,4,5,6,7,8)</f>
        <v>4</v>
      </c>
      <c r="AD1239" s="2">
        <f t="shared" si="222"/>
        <v>1</v>
      </c>
      <c r="AE1239">
        <v>1012.4</v>
      </c>
      <c r="AF1239" s="4" t="s">
        <v>1704</v>
      </c>
      <c r="AG1239" s="2">
        <f t="shared" si="223"/>
        <v>1</v>
      </c>
      <c r="AH1239" t="s">
        <v>2884</v>
      </c>
      <c r="AI1239" s="2">
        <f t="shared" si="224"/>
        <v>6</v>
      </c>
      <c r="AJ1239" s="2">
        <f t="shared" si="225"/>
        <v>1</v>
      </c>
      <c r="AK1239" s="3">
        <v>3889.9999999918509</v>
      </c>
      <c r="AM1239" s="2">
        <v>1</v>
      </c>
      <c r="AN1239">
        <v>0</v>
      </c>
      <c r="AO1239">
        <v>10</v>
      </c>
      <c r="AP1239">
        <v>0</v>
      </c>
      <c r="AQ1239" s="2">
        <f>IF((2*G1239 + M1239 -P1239 + 3*W1239 + 2*Z1239+2*AD1239 + AG1239+2*AJ1239 + 4*AM1239) &gt;=8,1,0)</f>
        <v>1</v>
      </c>
    </row>
    <row r="1240" spans="1:43" x14ac:dyDescent="0.25">
      <c r="A1240" t="s">
        <v>27</v>
      </c>
      <c r="B1240" s="1">
        <v>41448</v>
      </c>
      <c r="C1240" s="7">
        <f t="shared" si="217"/>
        <v>2013</v>
      </c>
      <c r="D1240">
        <v>94.8</v>
      </c>
      <c r="E1240">
        <v>74.5</v>
      </c>
      <c r="F1240">
        <v>84.1</v>
      </c>
      <c r="G1240" s="2">
        <f t="shared" si="226"/>
        <v>1</v>
      </c>
      <c r="H1240">
        <v>92.3</v>
      </c>
      <c r="I1240">
        <v>74.5</v>
      </c>
      <c r="J1240">
        <v>82.9</v>
      </c>
      <c r="K1240">
        <v>52.5</v>
      </c>
      <c r="L1240">
        <v>34.5</v>
      </c>
      <c r="M1240" s="2">
        <f t="shared" si="218"/>
        <v>1</v>
      </c>
      <c r="N1240">
        <v>0</v>
      </c>
      <c r="P1240" s="2">
        <f t="shared" si="219"/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s="2">
        <f t="shared" si="220"/>
        <v>0</v>
      </c>
      <c r="X1240">
        <v>18.7</v>
      </c>
      <c r="Z1240" s="2">
        <f t="shared" si="221"/>
        <v>1</v>
      </c>
      <c r="AA1240">
        <v>35.5</v>
      </c>
      <c r="AB1240" s="2" t="str">
        <f>CHOOSE(MATCH(AA1240,{0;11;80;111;161;191;241;281;341},1),"North","NorthEast","East","SouthEast","South","SouthWest","West","NorthWest","North")</f>
        <v>NorthEast</v>
      </c>
      <c r="AC1240" s="5">
        <f>CHOOSE(MATCH(AB1240,{"South";"SouthEast";"SouthWest";"North";"NorthEast";"East";"West";"NorthWest"},0),1,2,3,4,5,6,7,8)</f>
        <v>5</v>
      </c>
      <c r="AD1240" s="2">
        <f t="shared" si="222"/>
        <v>1</v>
      </c>
      <c r="AE1240">
        <v>1010.2</v>
      </c>
      <c r="AF1240" s="4" t="s">
        <v>1990</v>
      </c>
      <c r="AG1240" s="2">
        <f t="shared" si="223"/>
        <v>0</v>
      </c>
      <c r="AH1240" t="s">
        <v>2885</v>
      </c>
      <c r="AI1240" s="2">
        <f t="shared" si="224"/>
        <v>6</v>
      </c>
      <c r="AJ1240" s="2">
        <f t="shared" si="225"/>
        <v>1</v>
      </c>
      <c r="AK1240" s="3">
        <v>1805.999999998603</v>
      </c>
      <c r="AM1240" s="2">
        <v>1</v>
      </c>
      <c r="AN1240">
        <v>5</v>
      </c>
      <c r="AO1240">
        <v>0</v>
      </c>
      <c r="AP1240">
        <v>0</v>
      </c>
      <c r="AQ1240" s="2">
        <f>IF((2*G1240 + M1240 -P1240 + 3*W1240 + 2*Z1240+2*AD1240 + AG1240+2*AJ1240 + 4*AM1240) &gt;=8,1,0)</f>
        <v>1</v>
      </c>
    </row>
    <row r="1241" spans="1:43" x14ac:dyDescent="0.25">
      <c r="A1241" t="s">
        <v>27</v>
      </c>
      <c r="B1241" s="1">
        <v>41449</v>
      </c>
      <c r="C1241" s="7">
        <f t="shared" si="217"/>
        <v>2013</v>
      </c>
      <c r="D1241">
        <v>95.9</v>
      </c>
      <c r="E1241">
        <v>68.3</v>
      </c>
      <c r="F1241">
        <v>82.5</v>
      </c>
      <c r="G1241" s="2">
        <f t="shared" si="226"/>
        <v>1</v>
      </c>
      <c r="H1241">
        <v>93.1</v>
      </c>
      <c r="I1241">
        <v>68.3</v>
      </c>
      <c r="J1241">
        <v>81.5</v>
      </c>
      <c r="K1241">
        <v>55.2</v>
      </c>
      <c r="L1241">
        <v>41.7</v>
      </c>
      <c r="M1241" s="2">
        <f t="shared" si="218"/>
        <v>1</v>
      </c>
      <c r="N1241">
        <v>0</v>
      </c>
      <c r="P1241" s="2">
        <f t="shared" si="219"/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s="2">
        <f t="shared" si="220"/>
        <v>0</v>
      </c>
      <c r="X1241">
        <v>13.8</v>
      </c>
      <c r="Z1241" s="2">
        <f t="shared" si="221"/>
        <v>0</v>
      </c>
      <c r="AA1241">
        <v>142.19999999999999</v>
      </c>
      <c r="AB1241" s="2" t="str">
        <f>CHOOSE(MATCH(AA1241,{0;11;80;111;161;191;241;281;341},1),"North","NorthEast","East","SouthEast","South","SouthWest","West","NorthWest","North")</f>
        <v>SouthEast</v>
      </c>
      <c r="AC1241" s="5">
        <f>CHOOSE(MATCH(AB1241,{"South";"SouthEast";"SouthWest";"North";"NorthEast";"East";"West";"NorthWest"},0),1,2,3,4,5,6,7,8)</f>
        <v>2</v>
      </c>
      <c r="AD1241" s="2">
        <f t="shared" si="222"/>
        <v>0</v>
      </c>
      <c r="AE1241">
        <v>1008.5</v>
      </c>
      <c r="AF1241" s="4" t="s">
        <v>1188</v>
      </c>
      <c r="AG1241" s="2">
        <f t="shared" si="223"/>
        <v>1</v>
      </c>
      <c r="AH1241" t="s">
        <v>2886</v>
      </c>
      <c r="AI1241" s="2">
        <f t="shared" si="224"/>
        <v>6</v>
      </c>
      <c r="AJ1241" s="2">
        <f t="shared" si="225"/>
        <v>1</v>
      </c>
      <c r="AK1241" s="3">
        <v>328.00000000046572</v>
      </c>
      <c r="AM1241" s="2">
        <v>0</v>
      </c>
      <c r="AN1241">
        <v>0</v>
      </c>
      <c r="AO1241">
        <v>5</v>
      </c>
      <c r="AP1241">
        <v>0</v>
      </c>
      <c r="AQ1241" s="2">
        <f>IF((2*G1241 + M1241 -P1241 + 3*W1241 + 2*Z1241+2*AD1241 + AG1241+2*AJ1241 + 4*AM1241) &gt;=8,1,0)</f>
        <v>0</v>
      </c>
    </row>
    <row r="1242" spans="1:43" x14ac:dyDescent="0.25">
      <c r="A1242" t="s">
        <v>27</v>
      </c>
      <c r="B1242" s="1">
        <v>41452</v>
      </c>
      <c r="C1242" s="7">
        <f t="shared" si="217"/>
        <v>2013</v>
      </c>
      <c r="D1242">
        <v>87</v>
      </c>
      <c r="E1242">
        <v>70.8</v>
      </c>
      <c r="F1242">
        <v>80.099999999999994</v>
      </c>
      <c r="G1242" s="2">
        <f t="shared" si="226"/>
        <v>1</v>
      </c>
      <c r="H1242">
        <v>87.7</v>
      </c>
      <c r="I1242">
        <v>70.8</v>
      </c>
      <c r="J1242">
        <v>80.099999999999994</v>
      </c>
      <c r="K1242">
        <v>60.8</v>
      </c>
      <c r="L1242">
        <v>52.6</v>
      </c>
      <c r="M1242" s="2">
        <f t="shared" si="218"/>
        <v>0</v>
      </c>
      <c r="N1242">
        <v>0</v>
      </c>
      <c r="P1242" s="2">
        <f t="shared" si="219"/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s="2">
        <f t="shared" si="220"/>
        <v>0</v>
      </c>
      <c r="X1242">
        <v>18.3</v>
      </c>
      <c r="Z1242" s="2">
        <f t="shared" si="221"/>
        <v>1</v>
      </c>
      <c r="AA1242">
        <v>5.0999999999999996</v>
      </c>
      <c r="AB1242" s="2" t="str">
        <f>CHOOSE(MATCH(AA1242,{0;11;80;111;161;191;241;281;341},1),"North","NorthEast","East","SouthEast","South","SouthWest","West","NorthWest","North")</f>
        <v>North</v>
      </c>
      <c r="AC1242" s="5">
        <f>CHOOSE(MATCH(AB1242,{"South";"SouthEast";"SouthWest";"North";"NorthEast";"East";"West";"NorthWest"},0),1,2,3,4,5,6,7,8)</f>
        <v>4</v>
      </c>
      <c r="AD1242" s="2">
        <f t="shared" si="222"/>
        <v>1</v>
      </c>
      <c r="AE1242">
        <v>1011.8</v>
      </c>
      <c r="AF1242" s="4" t="s">
        <v>1849</v>
      </c>
      <c r="AG1242" s="2">
        <f t="shared" si="223"/>
        <v>1</v>
      </c>
      <c r="AH1242" t="s">
        <v>2887</v>
      </c>
      <c r="AI1242" s="2">
        <f t="shared" si="224"/>
        <v>6</v>
      </c>
      <c r="AJ1242" s="2">
        <f t="shared" si="225"/>
        <v>1</v>
      </c>
      <c r="AK1242" s="3">
        <v>1225.0000000011639</v>
      </c>
      <c r="AM1242" s="2">
        <v>1</v>
      </c>
      <c r="AN1242">
        <v>0</v>
      </c>
      <c r="AO1242">
        <v>1.5</v>
      </c>
      <c r="AP1242">
        <v>0</v>
      </c>
      <c r="AQ1242" s="2">
        <f>IF((2*G1242 + M1242 -P1242 + 3*W1242 + 2*Z1242+2*AD1242 + AG1242+2*AJ1242 + 4*AM1242) &gt;=8,1,0)</f>
        <v>1</v>
      </c>
    </row>
    <row r="1243" spans="1:43" x14ac:dyDescent="0.25">
      <c r="A1243" t="s">
        <v>27</v>
      </c>
      <c r="B1243" s="1">
        <v>41455</v>
      </c>
      <c r="C1243" s="7">
        <f t="shared" si="217"/>
        <v>2013</v>
      </c>
      <c r="D1243">
        <v>84.8</v>
      </c>
      <c r="E1243">
        <v>70.099999999999994</v>
      </c>
      <c r="F1243">
        <v>77.400000000000006</v>
      </c>
      <c r="G1243" s="2">
        <f t="shared" si="226"/>
        <v>1</v>
      </c>
      <c r="H1243">
        <v>82.3</v>
      </c>
      <c r="I1243">
        <v>70.099999999999994</v>
      </c>
      <c r="J1243">
        <v>76.900000000000006</v>
      </c>
      <c r="K1243">
        <v>49.3</v>
      </c>
      <c r="L1243">
        <v>38.299999999999997</v>
      </c>
      <c r="M1243" s="2">
        <f t="shared" si="218"/>
        <v>1</v>
      </c>
      <c r="N1243">
        <v>0</v>
      </c>
      <c r="P1243" s="2">
        <f t="shared" si="219"/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27.5</v>
      </c>
      <c r="W1243" s="2">
        <f t="shared" si="220"/>
        <v>1</v>
      </c>
      <c r="X1243">
        <v>11.9</v>
      </c>
      <c r="Z1243" s="2">
        <f t="shared" si="221"/>
        <v>0</v>
      </c>
      <c r="AA1243">
        <v>343.1</v>
      </c>
      <c r="AB1243" s="2" t="str">
        <f>CHOOSE(MATCH(AA1243,{0;11;80;111;161;191;241;281;341},1),"North","NorthEast","East","SouthEast","South","SouthWest","West","NorthWest","North")</f>
        <v>North</v>
      </c>
      <c r="AC1243" s="5">
        <f>CHOOSE(MATCH(AB1243,{"South";"SouthEast";"SouthWest";"North";"NorthEast";"East";"West";"NorthWest"},0),1,2,3,4,5,6,7,8)</f>
        <v>4</v>
      </c>
      <c r="AD1243" s="2">
        <f t="shared" si="222"/>
        <v>1</v>
      </c>
      <c r="AE1243">
        <v>1008.5</v>
      </c>
      <c r="AF1243" s="4" t="s">
        <v>2355</v>
      </c>
      <c r="AG1243" s="2">
        <f t="shared" si="223"/>
        <v>0</v>
      </c>
      <c r="AH1243" t="s">
        <v>2888</v>
      </c>
      <c r="AI1243" s="2">
        <f t="shared" si="224"/>
        <v>6</v>
      </c>
      <c r="AJ1243" s="2">
        <f t="shared" si="225"/>
        <v>1</v>
      </c>
      <c r="AK1243" s="3">
        <v>28.000000007450581</v>
      </c>
      <c r="AM1243" s="2">
        <v>0</v>
      </c>
      <c r="AN1243">
        <v>0</v>
      </c>
      <c r="AO1243">
        <v>0.1</v>
      </c>
      <c r="AP1243">
        <v>0</v>
      </c>
      <c r="AQ1243" s="2">
        <f>IF((2*G1243 + M1243 -P1243 + 3*W1243 + 2*Z1243+2*AD1243 + AG1243+2*AJ1243 + 4*AM1243) &gt;=8,1,0)</f>
        <v>1</v>
      </c>
    </row>
    <row r="1244" spans="1:43" x14ac:dyDescent="0.25">
      <c r="A1244" t="s">
        <v>27</v>
      </c>
      <c r="B1244" s="1">
        <v>41463</v>
      </c>
      <c r="C1244" s="7">
        <f t="shared" si="217"/>
        <v>2013</v>
      </c>
      <c r="D1244">
        <v>91.6</v>
      </c>
      <c r="E1244">
        <v>77.3</v>
      </c>
      <c r="F1244">
        <v>83.8</v>
      </c>
      <c r="G1244" s="2">
        <f t="shared" si="226"/>
        <v>1</v>
      </c>
      <c r="H1244">
        <v>89.6</v>
      </c>
      <c r="I1244">
        <v>77.3</v>
      </c>
      <c r="J1244">
        <v>82.5</v>
      </c>
      <c r="K1244">
        <v>53.4</v>
      </c>
      <c r="L1244">
        <v>35.9</v>
      </c>
      <c r="M1244" s="2">
        <f t="shared" si="218"/>
        <v>1</v>
      </c>
      <c r="N1244">
        <v>0</v>
      </c>
      <c r="P1244" s="2">
        <f t="shared" si="219"/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32.200000000000003</v>
      </c>
      <c r="W1244" s="2">
        <f t="shared" si="220"/>
        <v>1</v>
      </c>
      <c r="X1244">
        <v>20.100000000000001</v>
      </c>
      <c r="Z1244" s="2">
        <f t="shared" si="221"/>
        <v>1</v>
      </c>
      <c r="AA1244">
        <v>355.9</v>
      </c>
      <c r="AB1244" s="2" t="str">
        <f>CHOOSE(MATCH(AA1244,{0;11;80;111;161;191;241;281;341},1),"North","NorthEast","East","SouthEast","South","SouthWest","West","NorthWest","North")</f>
        <v>North</v>
      </c>
      <c r="AC1244" s="5">
        <f>CHOOSE(MATCH(AB1244,{"South";"SouthEast";"SouthWest";"North";"NorthEast";"East";"West";"NorthWest"},0),1,2,3,4,5,6,7,8)</f>
        <v>4</v>
      </c>
      <c r="AD1244" s="2">
        <f t="shared" si="222"/>
        <v>1</v>
      </c>
      <c r="AE1244">
        <v>1014.7</v>
      </c>
      <c r="AF1244" s="4" t="s">
        <v>2889</v>
      </c>
      <c r="AG1244" s="2">
        <f t="shared" si="223"/>
        <v>0</v>
      </c>
      <c r="AH1244" t="s">
        <v>2890</v>
      </c>
      <c r="AI1244" s="2">
        <f t="shared" si="224"/>
        <v>7</v>
      </c>
      <c r="AJ1244" s="2">
        <f t="shared" si="225"/>
        <v>1</v>
      </c>
      <c r="AK1244" s="3">
        <v>41.000000007916242</v>
      </c>
      <c r="AM1244" s="2">
        <v>0</v>
      </c>
      <c r="AN1244">
        <v>0</v>
      </c>
      <c r="AO1244">
        <v>0.2</v>
      </c>
      <c r="AP1244">
        <v>0</v>
      </c>
      <c r="AQ1244" s="2">
        <f>IF((2*G1244 + M1244 -P1244 + 3*W1244 + 2*Z1244+2*AD1244 + AG1244+2*AJ1244 + 4*AM1244) &gt;=8,1,0)</f>
        <v>1</v>
      </c>
    </row>
    <row r="1245" spans="1:43" x14ac:dyDescent="0.25">
      <c r="A1245" t="s">
        <v>27</v>
      </c>
      <c r="B1245" s="1">
        <v>41463</v>
      </c>
      <c r="C1245" s="7">
        <f t="shared" si="217"/>
        <v>2013</v>
      </c>
      <c r="D1245">
        <v>91.6</v>
      </c>
      <c r="E1245">
        <v>77.3</v>
      </c>
      <c r="F1245">
        <v>83.8</v>
      </c>
      <c r="G1245" s="2">
        <f t="shared" si="226"/>
        <v>1</v>
      </c>
      <c r="H1245">
        <v>89.6</v>
      </c>
      <c r="I1245">
        <v>77.3</v>
      </c>
      <c r="J1245">
        <v>82.5</v>
      </c>
      <c r="K1245">
        <v>53.4</v>
      </c>
      <c r="L1245">
        <v>35.9</v>
      </c>
      <c r="M1245" s="2">
        <f t="shared" si="218"/>
        <v>1</v>
      </c>
      <c r="N1245">
        <v>0</v>
      </c>
      <c r="P1245" s="2">
        <f t="shared" si="219"/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32.200000000000003</v>
      </c>
      <c r="W1245" s="2">
        <f t="shared" si="220"/>
        <v>1</v>
      </c>
      <c r="X1245">
        <v>20.100000000000001</v>
      </c>
      <c r="Z1245" s="2">
        <f t="shared" si="221"/>
        <v>1</v>
      </c>
      <c r="AA1245">
        <v>355.9</v>
      </c>
      <c r="AB1245" s="2" t="str">
        <f>CHOOSE(MATCH(AA1245,{0;11;80;111;161;191;241;281;341},1),"North","NorthEast","East","SouthEast","South","SouthWest","West","NorthWest","North")</f>
        <v>North</v>
      </c>
      <c r="AC1245" s="5">
        <f>CHOOSE(MATCH(AB1245,{"South";"SouthEast";"SouthWest";"North";"NorthEast";"East";"West";"NorthWest"},0),1,2,3,4,5,6,7,8)</f>
        <v>4</v>
      </c>
      <c r="AD1245" s="2">
        <f t="shared" si="222"/>
        <v>1</v>
      </c>
      <c r="AE1245">
        <v>1014.7</v>
      </c>
      <c r="AF1245" s="4" t="s">
        <v>2891</v>
      </c>
      <c r="AG1245" s="2">
        <f t="shared" si="223"/>
        <v>0</v>
      </c>
      <c r="AH1245" t="s">
        <v>2892</v>
      </c>
      <c r="AI1245" s="2">
        <f t="shared" si="224"/>
        <v>7</v>
      </c>
      <c r="AJ1245" s="2">
        <f t="shared" si="225"/>
        <v>1</v>
      </c>
      <c r="AK1245" s="3">
        <v>186.99999999138529</v>
      </c>
      <c r="AM1245" s="2">
        <v>0</v>
      </c>
      <c r="AN1245">
        <v>0</v>
      </c>
      <c r="AO1245">
        <v>0.3</v>
      </c>
      <c r="AP1245">
        <v>0</v>
      </c>
      <c r="AQ1245" s="2">
        <f>IF((2*G1245 + M1245 -P1245 + 3*W1245 + 2*Z1245+2*AD1245 + AG1245+2*AJ1245 + 4*AM1245) &gt;=8,1,0)</f>
        <v>1</v>
      </c>
    </row>
    <row r="1246" spans="1:43" x14ac:dyDescent="0.25">
      <c r="A1246" t="s">
        <v>27</v>
      </c>
      <c r="B1246" s="1">
        <v>41463</v>
      </c>
      <c r="C1246" s="7">
        <f t="shared" si="217"/>
        <v>2013</v>
      </c>
      <c r="D1246">
        <v>91.6</v>
      </c>
      <c r="E1246">
        <v>77.3</v>
      </c>
      <c r="F1246">
        <v>83.8</v>
      </c>
      <c r="G1246" s="2">
        <f t="shared" si="226"/>
        <v>1</v>
      </c>
      <c r="H1246">
        <v>89.6</v>
      </c>
      <c r="I1246">
        <v>77.3</v>
      </c>
      <c r="J1246">
        <v>82.5</v>
      </c>
      <c r="K1246">
        <v>53.4</v>
      </c>
      <c r="L1246">
        <v>35.9</v>
      </c>
      <c r="M1246" s="2">
        <f t="shared" si="218"/>
        <v>1</v>
      </c>
      <c r="N1246">
        <v>0</v>
      </c>
      <c r="P1246" s="2">
        <f t="shared" si="219"/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32.200000000000003</v>
      </c>
      <c r="W1246" s="2">
        <f t="shared" si="220"/>
        <v>1</v>
      </c>
      <c r="X1246">
        <v>20.100000000000001</v>
      </c>
      <c r="Z1246" s="2">
        <f t="shared" si="221"/>
        <v>1</v>
      </c>
      <c r="AA1246">
        <v>355.9</v>
      </c>
      <c r="AB1246" s="2" t="str">
        <f>CHOOSE(MATCH(AA1246,{0;11;80;111;161;191;241;281;341},1),"North","NorthEast","East","SouthEast","South","SouthWest","West","NorthWest","North")</f>
        <v>North</v>
      </c>
      <c r="AC1246" s="5">
        <f>CHOOSE(MATCH(AB1246,{"South";"SouthEast";"SouthWest";"North";"NorthEast";"East";"West";"NorthWest"},0),1,2,3,4,5,6,7,8)</f>
        <v>4</v>
      </c>
      <c r="AD1246" s="2">
        <f t="shared" si="222"/>
        <v>1</v>
      </c>
      <c r="AE1246">
        <v>1014.7</v>
      </c>
      <c r="AF1246" s="4" t="s">
        <v>1780</v>
      </c>
      <c r="AG1246" s="2">
        <f t="shared" si="223"/>
        <v>1</v>
      </c>
      <c r="AH1246" t="s">
        <v>2893</v>
      </c>
      <c r="AI1246" s="2">
        <f t="shared" si="224"/>
        <v>7</v>
      </c>
      <c r="AJ1246" s="2">
        <f t="shared" si="225"/>
        <v>1</v>
      </c>
      <c r="AK1246" s="3">
        <v>400.00000000465661</v>
      </c>
      <c r="AM1246" s="2">
        <v>1</v>
      </c>
      <c r="AN1246">
        <v>0</v>
      </c>
      <c r="AO1246">
        <v>5</v>
      </c>
      <c r="AP1246">
        <v>0</v>
      </c>
      <c r="AQ1246" s="2">
        <f>IF((2*G1246 + M1246 -P1246 + 3*W1246 + 2*Z1246+2*AD1246 + AG1246+2*AJ1246 + 4*AM1246) &gt;=8,1,0)</f>
        <v>1</v>
      </c>
    </row>
    <row r="1247" spans="1:43" x14ac:dyDescent="0.25">
      <c r="A1247" t="s">
        <v>27</v>
      </c>
      <c r="B1247" s="1">
        <v>41464</v>
      </c>
      <c r="C1247" s="7">
        <f t="shared" si="217"/>
        <v>2013</v>
      </c>
      <c r="D1247">
        <v>92.4</v>
      </c>
      <c r="E1247">
        <v>77.5</v>
      </c>
      <c r="F1247">
        <v>84.6</v>
      </c>
      <c r="G1247" s="2">
        <f t="shared" si="226"/>
        <v>1</v>
      </c>
      <c r="H1247">
        <v>90.6</v>
      </c>
      <c r="I1247">
        <v>77.5</v>
      </c>
      <c r="J1247">
        <v>83.5</v>
      </c>
      <c r="K1247">
        <v>54</v>
      </c>
      <c r="L1247">
        <v>35.4</v>
      </c>
      <c r="M1247" s="2">
        <f t="shared" si="218"/>
        <v>1</v>
      </c>
      <c r="N1247">
        <v>0</v>
      </c>
      <c r="P1247" s="2">
        <f t="shared" si="219"/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30.2</v>
      </c>
      <c r="W1247" s="2">
        <f t="shared" si="220"/>
        <v>1</v>
      </c>
      <c r="X1247">
        <v>20.9</v>
      </c>
      <c r="Z1247" s="2">
        <f t="shared" si="221"/>
        <v>1</v>
      </c>
      <c r="AA1247">
        <v>355.2</v>
      </c>
      <c r="AB1247" s="2" t="str">
        <f>CHOOSE(MATCH(AA1247,{0;11;80;111;161;191;241;281;341},1),"North","NorthEast","East","SouthEast","South","SouthWest","West","NorthWest","North")</f>
        <v>North</v>
      </c>
      <c r="AC1247" s="5">
        <f>CHOOSE(MATCH(AB1247,{"South";"SouthEast";"SouthWest";"North";"NorthEast";"East";"West";"NorthWest"},0),1,2,3,4,5,6,7,8)</f>
        <v>4</v>
      </c>
      <c r="AD1247" s="2">
        <f t="shared" si="222"/>
        <v>1</v>
      </c>
      <c r="AE1247">
        <v>1012.8</v>
      </c>
      <c r="AF1247" s="4" t="s">
        <v>2894</v>
      </c>
      <c r="AG1247" s="2">
        <f t="shared" si="223"/>
        <v>0</v>
      </c>
      <c r="AH1247" t="s">
        <v>2895</v>
      </c>
      <c r="AI1247" s="2">
        <f t="shared" si="224"/>
        <v>7</v>
      </c>
      <c r="AJ1247" s="2">
        <f t="shared" si="225"/>
        <v>1</v>
      </c>
      <c r="AK1247" s="3">
        <v>39.999999994179227</v>
      </c>
      <c r="AM1247" s="2">
        <v>0</v>
      </c>
      <c r="AN1247">
        <v>0</v>
      </c>
      <c r="AO1247">
        <v>0.1</v>
      </c>
      <c r="AP1247">
        <v>0</v>
      </c>
      <c r="AQ1247" s="2">
        <f>IF((2*G1247 + M1247 -P1247 + 3*W1247 + 2*Z1247+2*AD1247 + AG1247+2*AJ1247 + 4*AM1247) &gt;=8,1,0)</f>
        <v>1</v>
      </c>
    </row>
    <row r="1248" spans="1:43" x14ac:dyDescent="0.25">
      <c r="A1248" t="s">
        <v>27</v>
      </c>
      <c r="B1248" s="1">
        <v>41469</v>
      </c>
      <c r="C1248" s="7">
        <f t="shared" si="217"/>
        <v>2013</v>
      </c>
      <c r="D1248">
        <v>91.2</v>
      </c>
      <c r="E1248">
        <v>71.7</v>
      </c>
      <c r="F1248">
        <v>81.3</v>
      </c>
      <c r="G1248" s="2">
        <f t="shared" si="226"/>
        <v>1</v>
      </c>
      <c r="H1248">
        <v>88.7</v>
      </c>
      <c r="I1248">
        <v>71.7</v>
      </c>
      <c r="J1248">
        <v>80.3</v>
      </c>
      <c r="K1248">
        <v>54</v>
      </c>
      <c r="L1248">
        <v>40.200000000000003</v>
      </c>
      <c r="M1248" s="2">
        <f t="shared" si="218"/>
        <v>1</v>
      </c>
      <c r="N1248">
        <v>0</v>
      </c>
      <c r="P1248" s="2">
        <f t="shared" si="219"/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s="2">
        <f t="shared" si="220"/>
        <v>0</v>
      </c>
      <c r="X1248">
        <v>20.5</v>
      </c>
      <c r="Z1248" s="2">
        <f t="shared" si="221"/>
        <v>1</v>
      </c>
      <c r="AA1248">
        <v>12.5</v>
      </c>
      <c r="AB1248" s="2" t="str">
        <f>CHOOSE(MATCH(AA1248,{0;11;80;111;161;191;241;281;341},1),"North","NorthEast","East","SouthEast","South","SouthWest","West","NorthWest","North")</f>
        <v>NorthEast</v>
      </c>
      <c r="AC1248" s="5">
        <f>CHOOSE(MATCH(AB1248,{"South";"SouthEast";"SouthWest";"North";"NorthEast";"East";"West";"NorthWest"},0),1,2,3,4,5,6,7,8)</f>
        <v>5</v>
      </c>
      <c r="AD1248" s="2">
        <f t="shared" si="222"/>
        <v>1</v>
      </c>
      <c r="AE1248">
        <v>1012.4</v>
      </c>
      <c r="AF1248" s="4" t="s">
        <v>2896</v>
      </c>
      <c r="AG1248" s="2">
        <f t="shared" si="223"/>
        <v>1</v>
      </c>
      <c r="AH1248" t="s">
        <v>2897</v>
      </c>
      <c r="AI1248" s="2">
        <f t="shared" si="224"/>
        <v>7</v>
      </c>
      <c r="AJ1248" s="2">
        <f t="shared" si="225"/>
        <v>1</v>
      </c>
      <c r="AK1248" s="3">
        <v>1246.9999999995341</v>
      </c>
      <c r="AM1248" s="2">
        <v>1</v>
      </c>
      <c r="AN1248">
        <v>0</v>
      </c>
      <c r="AO1248">
        <v>50</v>
      </c>
      <c r="AP1248">
        <v>0</v>
      </c>
      <c r="AQ1248" s="2">
        <f>IF((2*G1248 + M1248 -P1248 + 3*W1248 + 2*Z1248+2*AD1248 + AG1248+2*AJ1248 + 4*AM1248) &gt;=8,1,0)</f>
        <v>1</v>
      </c>
    </row>
    <row r="1249" spans="1:43" x14ac:dyDescent="0.25">
      <c r="A1249" t="s">
        <v>27</v>
      </c>
      <c r="B1249" s="1">
        <v>41470</v>
      </c>
      <c r="C1249" s="7">
        <f t="shared" si="217"/>
        <v>2013</v>
      </c>
      <c r="D1249">
        <v>88.9</v>
      </c>
      <c r="E1249">
        <v>70.3</v>
      </c>
      <c r="F1249">
        <v>80.7</v>
      </c>
      <c r="G1249" s="2">
        <f t="shared" si="226"/>
        <v>1</v>
      </c>
      <c r="H1249">
        <v>87.2</v>
      </c>
      <c r="I1249">
        <v>70.3</v>
      </c>
      <c r="J1249">
        <v>79.7</v>
      </c>
      <c r="K1249">
        <v>52.1</v>
      </c>
      <c r="L1249">
        <v>38</v>
      </c>
      <c r="M1249" s="2">
        <f t="shared" si="218"/>
        <v>1</v>
      </c>
      <c r="N1249">
        <v>0</v>
      </c>
      <c r="P1249" s="2">
        <f t="shared" si="219"/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23</v>
      </c>
      <c r="W1249" s="2">
        <f t="shared" si="220"/>
        <v>1</v>
      </c>
      <c r="X1249">
        <v>18.2</v>
      </c>
      <c r="Z1249" s="2">
        <f t="shared" si="221"/>
        <v>1</v>
      </c>
      <c r="AA1249">
        <v>12.5</v>
      </c>
      <c r="AB1249" s="2" t="str">
        <f>CHOOSE(MATCH(AA1249,{0;11;80;111;161;191;241;281;341},1),"North","NorthEast","East","SouthEast","South","SouthWest","West","NorthWest","North")</f>
        <v>NorthEast</v>
      </c>
      <c r="AC1249" s="5">
        <f>CHOOSE(MATCH(AB1249,{"South";"SouthEast";"SouthWest";"North";"NorthEast";"East";"West";"NorthWest"},0),1,2,3,4,5,6,7,8)</f>
        <v>5</v>
      </c>
      <c r="AD1249" s="2">
        <f t="shared" si="222"/>
        <v>1</v>
      </c>
      <c r="AE1249">
        <v>1012.1</v>
      </c>
      <c r="AF1249" s="4" t="s">
        <v>1204</v>
      </c>
      <c r="AG1249" s="2">
        <f t="shared" si="223"/>
        <v>1</v>
      </c>
      <c r="AH1249" t="s">
        <v>2898</v>
      </c>
      <c r="AI1249" s="2">
        <f t="shared" si="224"/>
        <v>7</v>
      </c>
      <c r="AJ1249" s="2">
        <f t="shared" si="225"/>
        <v>1</v>
      </c>
      <c r="AK1249" s="3">
        <v>50.999999998603023</v>
      </c>
      <c r="AM1249" s="2">
        <v>0</v>
      </c>
      <c r="AN1249">
        <v>0</v>
      </c>
      <c r="AO1249">
        <v>0.6</v>
      </c>
      <c r="AP1249">
        <v>0</v>
      </c>
      <c r="AQ1249" s="2">
        <f>IF((2*G1249 + M1249 -P1249 + 3*W1249 + 2*Z1249+2*AD1249 + AG1249+2*AJ1249 + 4*AM1249) &gt;=8,1,0)</f>
        <v>1</v>
      </c>
    </row>
    <row r="1250" spans="1:43" x14ac:dyDescent="0.25">
      <c r="A1250" t="s">
        <v>27</v>
      </c>
      <c r="B1250" s="1">
        <v>41470</v>
      </c>
      <c r="C1250" s="7">
        <f t="shared" si="217"/>
        <v>2013</v>
      </c>
      <c r="D1250">
        <v>88.9</v>
      </c>
      <c r="E1250">
        <v>70.3</v>
      </c>
      <c r="F1250">
        <v>80.7</v>
      </c>
      <c r="G1250" s="2">
        <f t="shared" si="226"/>
        <v>1</v>
      </c>
      <c r="H1250">
        <v>87.2</v>
      </c>
      <c r="I1250">
        <v>70.3</v>
      </c>
      <c r="J1250">
        <v>79.7</v>
      </c>
      <c r="K1250">
        <v>52.1</v>
      </c>
      <c r="L1250">
        <v>38</v>
      </c>
      <c r="M1250" s="2">
        <f t="shared" si="218"/>
        <v>1</v>
      </c>
      <c r="N1250">
        <v>0</v>
      </c>
      <c r="P1250" s="2">
        <f t="shared" si="219"/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23</v>
      </c>
      <c r="W1250" s="2">
        <f t="shared" si="220"/>
        <v>1</v>
      </c>
      <c r="X1250">
        <v>18.2</v>
      </c>
      <c r="Z1250" s="2">
        <f t="shared" si="221"/>
        <v>1</v>
      </c>
      <c r="AA1250">
        <v>12.5</v>
      </c>
      <c r="AB1250" s="2" t="str">
        <f>CHOOSE(MATCH(AA1250,{0;11;80;111;161;191;241;281;341},1),"North","NorthEast","East","SouthEast","South","SouthWest","West","NorthWest","North")</f>
        <v>NorthEast</v>
      </c>
      <c r="AC1250" s="5">
        <f>CHOOSE(MATCH(AB1250,{"South";"SouthEast";"SouthWest";"North";"NorthEast";"East";"West";"NorthWest"},0),1,2,3,4,5,6,7,8)</f>
        <v>5</v>
      </c>
      <c r="AD1250" s="2">
        <f t="shared" si="222"/>
        <v>1</v>
      </c>
      <c r="AE1250">
        <v>1012.1</v>
      </c>
      <c r="AF1250" s="4" t="s">
        <v>1281</v>
      </c>
      <c r="AG1250" s="2">
        <f t="shared" si="223"/>
        <v>1</v>
      </c>
      <c r="AH1250" t="s">
        <v>2899</v>
      </c>
      <c r="AI1250" s="2">
        <f t="shared" si="224"/>
        <v>7</v>
      </c>
      <c r="AJ1250" s="2">
        <f t="shared" si="225"/>
        <v>1</v>
      </c>
      <c r="AK1250" s="3">
        <v>2441.0000000044238</v>
      </c>
      <c r="AM1250" s="2">
        <v>1</v>
      </c>
      <c r="AN1250">
        <v>0</v>
      </c>
      <c r="AO1250">
        <v>17.2</v>
      </c>
      <c r="AP1250">
        <v>0</v>
      </c>
      <c r="AQ1250" s="2">
        <f>IF((2*G1250 + M1250 -P1250 + 3*W1250 + 2*Z1250+2*AD1250 + AG1250+2*AJ1250 + 4*AM1250) &gt;=8,1,0)</f>
        <v>1</v>
      </c>
    </row>
    <row r="1251" spans="1:43" x14ac:dyDescent="0.25">
      <c r="A1251" t="s">
        <v>27</v>
      </c>
      <c r="B1251" s="1">
        <v>41470</v>
      </c>
      <c r="C1251" s="7">
        <f t="shared" si="217"/>
        <v>2013</v>
      </c>
      <c r="D1251">
        <v>88.9</v>
      </c>
      <c r="E1251">
        <v>70.3</v>
      </c>
      <c r="F1251">
        <v>80.7</v>
      </c>
      <c r="G1251" s="2">
        <f t="shared" si="226"/>
        <v>1</v>
      </c>
      <c r="H1251">
        <v>87.2</v>
      </c>
      <c r="I1251">
        <v>70.3</v>
      </c>
      <c r="J1251">
        <v>79.7</v>
      </c>
      <c r="K1251">
        <v>52.1</v>
      </c>
      <c r="L1251">
        <v>38</v>
      </c>
      <c r="M1251" s="2">
        <f t="shared" si="218"/>
        <v>1</v>
      </c>
      <c r="N1251">
        <v>0</v>
      </c>
      <c r="P1251" s="2">
        <f t="shared" si="219"/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23</v>
      </c>
      <c r="W1251" s="2">
        <f t="shared" si="220"/>
        <v>1</v>
      </c>
      <c r="X1251">
        <v>18.2</v>
      </c>
      <c r="Z1251" s="2">
        <f t="shared" si="221"/>
        <v>1</v>
      </c>
      <c r="AA1251">
        <v>12.5</v>
      </c>
      <c r="AB1251" s="2" t="str">
        <f>CHOOSE(MATCH(AA1251,{0;11;80;111;161;191;241;281;341},1),"North","NorthEast","East","SouthEast","South","SouthWest","West","NorthWest","North")</f>
        <v>NorthEast</v>
      </c>
      <c r="AC1251" s="5">
        <f>CHOOSE(MATCH(AB1251,{"South";"SouthEast";"SouthWest";"North";"NorthEast";"East";"West";"NorthWest"},0),1,2,3,4,5,6,7,8)</f>
        <v>5</v>
      </c>
      <c r="AD1251" s="2">
        <f t="shared" si="222"/>
        <v>1</v>
      </c>
      <c r="AE1251">
        <v>1012.1</v>
      </c>
      <c r="AF1251" s="4" t="s">
        <v>1918</v>
      </c>
      <c r="AG1251" s="2">
        <f t="shared" si="223"/>
        <v>0</v>
      </c>
      <c r="AH1251" t="s">
        <v>2900</v>
      </c>
      <c r="AI1251" s="2">
        <f t="shared" si="224"/>
        <v>7</v>
      </c>
      <c r="AJ1251" s="2">
        <f t="shared" si="225"/>
        <v>1</v>
      </c>
      <c r="AK1251" s="3">
        <v>50.000000005820773</v>
      </c>
      <c r="AM1251" s="2">
        <v>0</v>
      </c>
      <c r="AN1251">
        <v>0</v>
      </c>
      <c r="AO1251">
        <v>0.1</v>
      </c>
      <c r="AP1251">
        <v>0</v>
      </c>
      <c r="AQ1251" s="2">
        <f>IF((2*G1251 + M1251 -P1251 + 3*W1251 + 2*Z1251+2*AD1251 + AG1251+2*AJ1251 + 4*AM1251) &gt;=8,1,0)</f>
        <v>1</v>
      </c>
    </row>
    <row r="1252" spans="1:43" x14ac:dyDescent="0.25">
      <c r="A1252" t="s">
        <v>27</v>
      </c>
      <c r="B1252" s="1">
        <v>41471</v>
      </c>
      <c r="C1252" s="7">
        <f t="shared" si="217"/>
        <v>2013</v>
      </c>
      <c r="D1252">
        <v>88.4</v>
      </c>
      <c r="E1252">
        <v>72.400000000000006</v>
      </c>
      <c r="F1252">
        <v>80.900000000000006</v>
      </c>
      <c r="G1252" s="2">
        <f t="shared" si="226"/>
        <v>1</v>
      </c>
      <c r="H1252">
        <v>86.1</v>
      </c>
      <c r="I1252">
        <v>72.400000000000006</v>
      </c>
      <c r="J1252">
        <v>79.900000000000006</v>
      </c>
      <c r="K1252">
        <v>52.2</v>
      </c>
      <c r="L1252">
        <v>37.799999999999997</v>
      </c>
      <c r="M1252" s="2">
        <f t="shared" si="218"/>
        <v>1</v>
      </c>
      <c r="N1252">
        <v>0</v>
      </c>
      <c r="P1252" s="2">
        <f t="shared" si="219"/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s="2">
        <f t="shared" si="220"/>
        <v>0</v>
      </c>
      <c r="X1252">
        <v>18.399999999999999</v>
      </c>
      <c r="Z1252" s="2">
        <f t="shared" si="221"/>
        <v>1</v>
      </c>
      <c r="AA1252">
        <v>9</v>
      </c>
      <c r="AB1252" s="2" t="str">
        <f>CHOOSE(MATCH(AA1252,{0;11;80;111;161;191;241;281;341},1),"North","NorthEast","East","SouthEast","South","SouthWest","West","NorthWest","North")</f>
        <v>North</v>
      </c>
      <c r="AC1252" s="5">
        <f>CHOOSE(MATCH(AB1252,{"South";"SouthEast";"SouthWest";"North";"NorthEast";"East";"West";"NorthWest"},0),1,2,3,4,5,6,7,8)</f>
        <v>4</v>
      </c>
      <c r="AD1252" s="2">
        <f t="shared" si="222"/>
        <v>1</v>
      </c>
      <c r="AE1252">
        <v>1012.4</v>
      </c>
      <c r="AF1252" s="4" t="s">
        <v>2658</v>
      </c>
      <c r="AG1252" s="2">
        <f t="shared" si="223"/>
        <v>1</v>
      </c>
      <c r="AH1252" t="s">
        <v>2901</v>
      </c>
      <c r="AI1252" s="2">
        <f t="shared" si="224"/>
        <v>7</v>
      </c>
      <c r="AJ1252" s="2">
        <f t="shared" si="225"/>
        <v>1</v>
      </c>
      <c r="AK1252" s="3">
        <v>2835</v>
      </c>
      <c r="AM1252" s="2">
        <v>1</v>
      </c>
      <c r="AN1252">
        <v>0</v>
      </c>
      <c r="AO1252">
        <v>5</v>
      </c>
      <c r="AP1252">
        <v>0</v>
      </c>
      <c r="AQ1252" s="2">
        <f>IF((2*G1252 + M1252 -P1252 + 3*W1252 + 2*Z1252+2*AD1252 + AG1252+2*AJ1252 + 4*AM1252) &gt;=8,1,0)</f>
        <v>1</v>
      </c>
    </row>
    <row r="1253" spans="1:43" x14ac:dyDescent="0.25">
      <c r="A1253" t="s">
        <v>27</v>
      </c>
      <c r="B1253" s="1">
        <v>41472</v>
      </c>
      <c r="C1253" s="7">
        <f t="shared" si="217"/>
        <v>2013</v>
      </c>
      <c r="D1253">
        <v>83.1</v>
      </c>
      <c r="E1253">
        <v>73.400000000000006</v>
      </c>
      <c r="F1253">
        <v>77.3</v>
      </c>
      <c r="G1253" s="2">
        <f t="shared" si="226"/>
        <v>1</v>
      </c>
      <c r="H1253">
        <v>82.5</v>
      </c>
      <c r="I1253">
        <v>73.400000000000006</v>
      </c>
      <c r="J1253">
        <v>77.2</v>
      </c>
      <c r="K1253">
        <v>55.5</v>
      </c>
      <c r="L1253">
        <v>47.6</v>
      </c>
      <c r="M1253" s="2">
        <f t="shared" si="218"/>
        <v>1</v>
      </c>
      <c r="N1253">
        <v>0</v>
      </c>
      <c r="P1253" s="2">
        <f t="shared" si="219"/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35.6</v>
      </c>
      <c r="W1253" s="2">
        <f t="shared" si="220"/>
        <v>1</v>
      </c>
      <c r="X1253">
        <v>22.6</v>
      </c>
      <c r="Z1253" s="2">
        <f t="shared" si="221"/>
        <v>1</v>
      </c>
      <c r="AA1253">
        <v>354.2</v>
      </c>
      <c r="AB1253" s="2" t="str">
        <f>CHOOSE(MATCH(AA1253,{0;11;80;111;161;191;241;281;341},1),"North","NorthEast","East","SouthEast","South","SouthWest","West","NorthWest","North")</f>
        <v>North</v>
      </c>
      <c r="AC1253" s="5">
        <f>CHOOSE(MATCH(AB1253,{"South";"SouthEast";"SouthWest";"North";"NorthEast";"East";"West";"NorthWest"},0),1,2,3,4,5,6,7,8)</f>
        <v>4</v>
      </c>
      <c r="AD1253" s="2">
        <f t="shared" si="222"/>
        <v>1</v>
      </c>
      <c r="AE1253">
        <v>1014.5</v>
      </c>
      <c r="AF1253" s="4" t="s">
        <v>2902</v>
      </c>
      <c r="AG1253" s="2">
        <f t="shared" si="223"/>
        <v>1</v>
      </c>
      <c r="AH1253" t="s">
        <v>2903</v>
      </c>
      <c r="AI1253" s="2">
        <f t="shared" si="224"/>
        <v>7</v>
      </c>
      <c r="AJ1253" s="2">
        <f t="shared" si="225"/>
        <v>1</v>
      </c>
      <c r="AK1253" s="3">
        <v>8628.9999999955762</v>
      </c>
      <c r="AM1253" s="2">
        <v>1</v>
      </c>
      <c r="AN1253">
        <v>0</v>
      </c>
      <c r="AO1253">
        <v>50</v>
      </c>
      <c r="AP1253">
        <v>0</v>
      </c>
      <c r="AQ1253" s="2">
        <f>IF((2*G1253 + M1253 -P1253 + 3*W1253 + 2*Z1253+2*AD1253 + AG1253+2*AJ1253 + 4*AM1253) &gt;=8,1,0)</f>
        <v>1</v>
      </c>
    </row>
    <row r="1254" spans="1:43" x14ac:dyDescent="0.25">
      <c r="A1254" t="s">
        <v>27</v>
      </c>
      <c r="B1254" s="1">
        <v>41473</v>
      </c>
      <c r="C1254" s="7">
        <f t="shared" si="217"/>
        <v>2013</v>
      </c>
      <c r="D1254">
        <v>86.7</v>
      </c>
      <c r="E1254">
        <v>74</v>
      </c>
      <c r="F1254">
        <v>79.3</v>
      </c>
      <c r="G1254" s="2">
        <f t="shared" si="226"/>
        <v>1</v>
      </c>
      <c r="H1254">
        <v>84.2</v>
      </c>
      <c r="I1254">
        <v>74</v>
      </c>
      <c r="J1254">
        <v>78.599999999999994</v>
      </c>
      <c r="K1254">
        <v>52.9</v>
      </c>
      <c r="L1254">
        <v>41</v>
      </c>
      <c r="M1254" s="2">
        <f t="shared" si="218"/>
        <v>1</v>
      </c>
      <c r="N1254">
        <v>0</v>
      </c>
      <c r="P1254" s="2">
        <f t="shared" si="219"/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35.6</v>
      </c>
      <c r="W1254" s="2">
        <f t="shared" si="220"/>
        <v>1</v>
      </c>
      <c r="X1254">
        <v>20.5</v>
      </c>
      <c r="Z1254" s="2">
        <f t="shared" si="221"/>
        <v>1</v>
      </c>
      <c r="AA1254">
        <v>359.7</v>
      </c>
      <c r="AB1254" s="2" t="str">
        <f>CHOOSE(MATCH(AA1254,{0;11;80;111;161;191;241;281;341},1),"North","NorthEast","East","SouthEast","South","SouthWest","West","NorthWest","North")</f>
        <v>North</v>
      </c>
      <c r="AC1254" s="5">
        <f>CHOOSE(MATCH(AB1254,{"South";"SouthEast";"SouthWest";"North";"NorthEast";"East";"West";"NorthWest"},0),1,2,3,4,5,6,7,8)</f>
        <v>4</v>
      </c>
      <c r="AD1254" s="2">
        <f t="shared" si="222"/>
        <v>1</v>
      </c>
      <c r="AE1254">
        <v>1015.3</v>
      </c>
      <c r="AF1254" s="4" t="s">
        <v>2904</v>
      </c>
      <c r="AG1254" s="2">
        <f t="shared" si="223"/>
        <v>0</v>
      </c>
      <c r="AH1254" t="s">
        <v>2905</v>
      </c>
      <c r="AI1254" s="2">
        <f t="shared" si="224"/>
        <v>7</v>
      </c>
      <c r="AJ1254" s="2">
        <f t="shared" si="225"/>
        <v>1</v>
      </c>
      <c r="AK1254" s="3">
        <v>5314.9999999953434</v>
      </c>
      <c r="AM1254" s="2">
        <v>1</v>
      </c>
      <c r="AN1254">
        <v>0</v>
      </c>
      <c r="AO1254">
        <v>170</v>
      </c>
      <c r="AP1254">
        <v>0</v>
      </c>
      <c r="AQ1254" s="2">
        <f>IF((2*G1254 + M1254 -P1254 + 3*W1254 + 2*Z1254+2*AD1254 + AG1254+2*AJ1254 + 4*AM1254) &gt;=8,1,0)</f>
        <v>1</v>
      </c>
    </row>
    <row r="1255" spans="1:43" x14ac:dyDescent="0.25">
      <c r="A1255" t="s">
        <v>27</v>
      </c>
      <c r="B1255" s="1">
        <v>41475</v>
      </c>
      <c r="C1255" s="7">
        <f t="shared" si="217"/>
        <v>2013</v>
      </c>
      <c r="D1255">
        <v>88.4</v>
      </c>
      <c r="E1255">
        <v>69.7</v>
      </c>
      <c r="F1255">
        <v>79.900000000000006</v>
      </c>
      <c r="G1255" s="2">
        <f t="shared" si="226"/>
        <v>1</v>
      </c>
      <c r="H1255">
        <v>85.6</v>
      </c>
      <c r="I1255">
        <v>69.7</v>
      </c>
      <c r="J1255">
        <v>78.8</v>
      </c>
      <c r="K1255">
        <v>49.6</v>
      </c>
      <c r="L1255">
        <v>35.700000000000003</v>
      </c>
      <c r="M1255" s="2">
        <f t="shared" si="218"/>
        <v>1</v>
      </c>
      <c r="N1255">
        <v>0</v>
      </c>
      <c r="P1255" s="2">
        <f t="shared" si="219"/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39.1</v>
      </c>
      <c r="W1255" s="2">
        <f t="shared" si="220"/>
        <v>1</v>
      </c>
      <c r="X1255">
        <v>19.8</v>
      </c>
      <c r="Z1255" s="2">
        <f t="shared" si="221"/>
        <v>1</v>
      </c>
      <c r="AA1255">
        <v>3.1</v>
      </c>
      <c r="AB1255" s="2" t="str">
        <f>CHOOSE(MATCH(AA1255,{0;11;80;111;161;191;241;281;341},1),"North","NorthEast","East","SouthEast","South","SouthWest","West","NorthWest","North")</f>
        <v>North</v>
      </c>
      <c r="AC1255" s="5">
        <f>CHOOSE(MATCH(AB1255,{"South";"SouthEast";"SouthWest";"North";"NorthEast";"East";"West";"NorthWest"},0),1,2,3,4,5,6,7,8)</f>
        <v>4</v>
      </c>
      <c r="AD1255" s="2">
        <f t="shared" si="222"/>
        <v>1</v>
      </c>
      <c r="AE1255">
        <v>1011.1</v>
      </c>
      <c r="AF1255" s="4" t="s">
        <v>1200</v>
      </c>
      <c r="AG1255" s="2">
        <f t="shared" si="223"/>
        <v>0</v>
      </c>
      <c r="AH1255" t="s">
        <v>2906</v>
      </c>
      <c r="AI1255" s="2">
        <f t="shared" si="224"/>
        <v>7</v>
      </c>
      <c r="AJ1255" s="2">
        <f t="shared" si="225"/>
        <v>1</v>
      </c>
      <c r="AK1255" s="3">
        <v>110.9999999951106</v>
      </c>
      <c r="AM1255" s="2">
        <v>0</v>
      </c>
      <c r="AN1255">
        <v>0</v>
      </c>
      <c r="AO1255">
        <v>0.1</v>
      </c>
      <c r="AP1255">
        <v>0</v>
      </c>
      <c r="AQ1255" s="2">
        <f>IF((2*G1255 + M1255 -P1255 + 3*W1255 + 2*Z1255+2*AD1255 + AG1255+2*AJ1255 + 4*AM1255) &gt;=8,1,0)</f>
        <v>1</v>
      </c>
    </row>
    <row r="1256" spans="1:43" x14ac:dyDescent="0.25">
      <c r="A1256" t="s">
        <v>27</v>
      </c>
      <c r="B1256" s="1">
        <v>41484</v>
      </c>
      <c r="C1256" s="7">
        <f t="shared" si="217"/>
        <v>2013</v>
      </c>
      <c r="D1256">
        <v>95.6</v>
      </c>
      <c r="E1256">
        <v>75.900000000000006</v>
      </c>
      <c r="F1256">
        <v>85.3</v>
      </c>
      <c r="G1256" s="2">
        <f t="shared" si="226"/>
        <v>1</v>
      </c>
      <c r="H1256">
        <v>92.6</v>
      </c>
      <c r="I1256">
        <v>75.900000000000006</v>
      </c>
      <c r="J1256">
        <v>83.6</v>
      </c>
      <c r="K1256">
        <v>51.2</v>
      </c>
      <c r="L1256">
        <v>32.1</v>
      </c>
      <c r="M1256" s="2">
        <f t="shared" si="218"/>
        <v>1</v>
      </c>
      <c r="N1256">
        <v>0</v>
      </c>
      <c r="P1256" s="2">
        <f t="shared" si="219"/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24.2</v>
      </c>
      <c r="W1256" s="2">
        <f t="shared" si="220"/>
        <v>1</v>
      </c>
      <c r="X1256">
        <v>16.899999999999999</v>
      </c>
      <c r="Z1256" s="2">
        <f t="shared" si="221"/>
        <v>1</v>
      </c>
      <c r="AA1256">
        <v>8.1999999999999993</v>
      </c>
      <c r="AB1256" s="2" t="str">
        <f>CHOOSE(MATCH(AA1256,{0;11;80;111;161;191;241;281;341},1),"North","NorthEast","East","SouthEast","South","SouthWest","West","NorthWest","North")</f>
        <v>North</v>
      </c>
      <c r="AC1256" s="5">
        <f>CHOOSE(MATCH(AB1256,{"South";"SouthEast";"SouthWest";"North";"NorthEast";"East";"West";"NorthWest"},0),1,2,3,4,5,6,7,8)</f>
        <v>4</v>
      </c>
      <c r="AD1256" s="2">
        <f t="shared" si="222"/>
        <v>1</v>
      </c>
      <c r="AE1256">
        <v>1015.1</v>
      </c>
      <c r="AF1256" s="4" t="s">
        <v>1084</v>
      </c>
      <c r="AG1256" s="2">
        <f t="shared" si="223"/>
        <v>0</v>
      </c>
      <c r="AH1256" t="s">
        <v>2907</v>
      </c>
      <c r="AI1256" s="2">
        <f t="shared" si="224"/>
        <v>7</v>
      </c>
      <c r="AJ1256" s="2">
        <f t="shared" si="225"/>
        <v>1</v>
      </c>
      <c r="AK1256" s="3">
        <v>1290.000000003492</v>
      </c>
      <c r="AM1256" s="2">
        <v>1</v>
      </c>
      <c r="AN1256">
        <v>0</v>
      </c>
      <c r="AO1256">
        <v>4.5</v>
      </c>
      <c r="AP1256">
        <v>0</v>
      </c>
      <c r="AQ1256" s="2">
        <f>IF((2*G1256 + M1256 -P1256 + 3*W1256 + 2*Z1256+2*AD1256 + AG1256+2*AJ1256 + 4*AM1256) &gt;=8,1,0)</f>
        <v>1</v>
      </c>
    </row>
    <row r="1257" spans="1:43" x14ac:dyDescent="0.25">
      <c r="A1257" t="s">
        <v>27</v>
      </c>
      <c r="B1257" s="1">
        <v>41490</v>
      </c>
      <c r="C1257" s="7">
        <f t="shared" si="217"/>
        <v>2013</v>
      </c>
      <c r="D1257">
        <v>94.9</v>
      </c>
      <c r="E1257">
        <v>75.599999999999994</v>
      </c>
      <c r="F1257">
        <v>86.3</v>
      </c>
      <c r="G1257" s="2">
        <f t="shared" si="226"/>
        <v>1</v>
      </c>
      <c r="H1257">
        <v>91.8</v>
      </c>
      <c r="I1257">
        <v>75.599999999999994</v>
      </c>
      <c r="J1257">
        <v>84.6</v>
      </c>
      <c r="K1257">
        <v>51.3</v>
      </c>
      <c r="L1257">
        <v>30.9</v>
      </c>
      <c r="M1257" s="2">
        <f t="shared" si="218"/>
        <v>1</v>
      </c>
      <c r="N1257">
        <v>0</v>
      </c>
      <c r="P1257" s="2">
        <f t="shared" si="219"/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29.1</v>
      </c>
      <c r="W1257" s="2">
        <f t="shared" si="220"/>
        <v>1</v>
      </c>
      <c r="X1257">
        <v>19.5</v>
      </c>
      <c r="Z1257" s="2">
        <f t="shared" si="221"/>
        <v>1</v>
      </c>
      <c r="AA1257">
        <v>7.5</v>
      </c>
      <c r="AB1257" s="2" t="str">
        <f>CHOOSE(MATCH(AA1257,{0;11;80;111;161;191;241;281;341},1),"North","NorthEast","East","SouthEast","South","SouthWest","West","NorthWest","North")</f>
        <v>North</v>
      </c>
      <c r="AC1257" s="5">
        <f>CHOOSE(MATCH(AB1257,{"South";"SouthEast";"SouthWest";"North";"NorthEast";"East";"West";"NorthWest"},0),1,2,3,4,5,6,7,8)</f>
        <v>4</v>
      </c>
      <c r="AD1257" s="2">
        <f t="shared" si="222"/>
        <v>1</v>
      </c>
      <c r="AE1257">
        <v>1013.1</v>
      </c>
      <c r="AF1257" s="4" t="s">
        <v>1760</v>
      </c>
      <c r="AG1257" s="2">
        <f t="shared" si="223"/>
        <v>1</v>
      </c>
      <c r="AH1257" t="s">
        <v>2908</v>
      </c>
      <c r="AI1257" s="2">
        <f t="shared" si="224"/>
        <v>8</v>
      </c>
      <c r="AJ1257" s="2">
        <f t="shared" si="225"/>
        <v>1</v>
      </c>
      <c r="AK1257" s="3">
        <v>177.99999999348071</v>
      </c>
      <c r="AM1257" s="2">
        <v>0</v>
      </c>
      <c r="AN1257">
        <v>0</v>
      </c>
      <c r="AO1257">
        <v>0.1</v>
      </c>
      <c r="AP1257">
        <v>0</v>
      </c>
      <c r="AQ1257" s="2">
        <f>IF((2*G1257 + M1257 -P1257 + 3*W1257 + 2*Z1257+2*AD1257 + AG1257+2*AJ1257 + 4*AM1257) &gt;=8,1,0)</f>
        <v>1</v>
      </c>
    </row>
    <row r="1258" spans="1:43" x14ac:dyDescent="0.25">
      <c r="A1258" t="s">
        <v>27</v>
      </c>
      <c r="B1258" s="1">
        <v>41491</v>
      </c>
      <c r="C1258" s="7">
        <f t="shared" si="217"/>
        <v>2013</v>
      </c>
      <c r="D1258">
        <v>89</v>
      </c>
      <c r="E1258">
        <v>77.900000000000006</v>
      </c>
      <c r="F1258">
        <v>82.6</v>
      </c>
      <c r="G1258" s="2">
        <f t="shared" si="226"/>
        <v>1</v>
      </c>
      <c r="H1258">
        <v>86.6</v>
      </c>
      <c r="I1258">
        <v>77.900000000000006</v>
      </c>
      <c r="J1258">
        <v>81.5</v>
      </c>
      <c r="K1258">
        <v>50.9</v>
      </c>
      <c r="L1258">
        <v>33.799999999999997</v>
      </c>
      <c r="M1258" s="2">
        <f t="shared" si="218"/>
        <v>1</v>
      </c>
      <c r="N1258">
        <v>0</v>
      </c>
      <c r="P1258" s="2">
        <f t="shared" si="219"/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35.1</v>
      </c>
      <c r="W1258" s="2">
        <f t="shared" si="220"/>
        <v>1</v>
      </c>
      <c r="X1258">
        <v>21.5</v>
      </c>
      <c r="Z1258" s="2">
        <f t="shared" si="221"/>
        <v>1</v>
      </c>
      <c r="AA1258">
        <v>5.6</v>
      </c>
      <c r="AB1258" s="2" t="str">
        <f>CHOOSE(MATCH(AA1258,{0;11;80;111;161;191;241;281;341},1),"North","NorthEast","East","SouthEast","South","SouthWest","West","NorthWest","North")</f>
        <v>North</v>
      </c>
      <c r="AC1258" s="5">
        <f>CHOOSE(MATCH(AB1258,{"South";"SouthEast";"SouthWest";"North";"NorthEast";"East";"West";"NorthWest"},0),1,2,3,4,5,6,7,8)</f>
        <v>4</v>
      </c>
      <c r="AD1258" s="2">
        <f t="shared" si="222"/>
        <v>1</v>
      </c>
      <c r="AE1258">
        <v>1014</v>
      </c>
      <c r="AF1258" s="4" t="s">
        <v>2909</v>
      </c>
      <c r="AG1258" s="2">
        <f t="shared" si="223"/>
        <v>1</v>
      </c>
      <c r="AH1258" t="s">
        <v>2910</v>
      </c>
      <c r="AI1258" s="2">
        <f t="shared" si="224"/>
        <v>8</v>
      </c>
      <c r="AJ1258" s="2">
        <f t="shared" si="225"/>
        <v>1</v>
      </c>
      <c r="AK1258" s="3">
        <v>9979.9999999988358</v>
      </c>
      <c r="AM1258" s="2">
        <v>1</v>
      </c>
      <c r="AN1258">
        <v>0</v>
      </c>
      <c r="AO1258">
        <v>1500</v>
      </c>
      <c r="AP1258">
        <v>0</v>
      </c>
      <c r="AQ1258" s="2">
        <f>IF((2*G1258 + M1258 -P1258 + 3*W1258 + 2*Z1258+2*AD1258 + AG1258+2*AJ1258 + 4*AM1258) &gt;=8,1,0)</f>
        <v>1</v>
      </c>
    </row>
    <row r="1259" spans="1:43" x14ac:dyDescent="0.25">
      <c r="A1259" t="s">
        <v>27</v>
      </c>
      <c r="B1259" s="1">
        <v>41491</v>
      </c>
      <c r="C1259" s="7">
        <f t="shared" si="217"/>
        <v>2013</v>
      </c>
      <c r="D1259">
        <v>89</v>
      </c>
      <c r="E1259">
        <v>77.900000000000006</v>
      </c>
      <c r="F1259">
        <v>82.6</v>
      </c>
      <c r="G1259" s="2">
        <f t="shared" si="226"/>
        <v>1</v>
      </c>
      <c r="H1259">
        <v>86.6</v>
      </c>
      <c r="I1259">
        <v>77.900000000000006</v>
      </c>
      <c r="J1259">
        <v>81.5</v>
      </c>
      <c r="K1259">
        <v>50.9</v>
      </c>
      <c r="L1259">
        <v>33.799999999999997</v>
      </c>
      <c r="M1259" s="2">
        <f t="shared" si="218"/>
        <v>1</v>
      </c>
      <c r="N1259">
        <v>0</v>
      </c>
      <c r="P1259" s="2">
        <f t="shared" si="219"/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35.1</v>
      </c>
      <c r="W1259" s="2">
        <f t="shared" si="220"/>
        <v>1</v>
      </c>
      <c r="X1259">
        <v>21.5</v>
      </c>
      <c r="Z1259" s="2">
        <f t="shared" si="221"/>
        <v>1</v>
      </c>
      <c r="AA1259">
        <v>5.6</v>
      </c>
      <c r="AB1259" s="2" t="str">
        <f>CHOOSE(MATCH(AA1259,{0;11;80;111;161;191;241;281;341},1),"North","NorthEast","East","SouthEast","South","SouthWest","West","NorthWest","North")</f>
        <v>North</v>
      </c>
      <c r="AC1259" s="5">
        <f>CHOOSE(MATCH(AB1259,{"South";"SouthEast";"SouthWest";"North";"NorthEast";"East";"West";"NorthWest"},0),1,2,3,4,5,6,7,8)</f>
        <v>4</v>
      </c>
      <c r="AD1259" s="2">
        <f t="shared" si="222"/>
        <v>1</v>
      </c>
      <c r="AE1259">
        <v>1014</v>
      </c>
      <c r="AF1259" s="4" t="s">
        <v>2911</v>
      </c>
      <c r="AG1259" s="2">
        <f t="shared" si="223"/>
        <v>0</v>
      </c>
      <c r="AH1259" t="s">
        <v>2912</v>
      </c>
      <c r="AI1259" s="2">
        <f t="shared" si="224"/>
        <v>8</v>
      </c>
      <c r="AJ1259" s="2">
        <f t="shared" si="225"/>
        <v>1</v>
      </c>
      <c r="AK1259" s="3">
        <v>4861.0000000032596</v>
      </c>
      <c r="AM1259" s="2">
        <v>1</v>
      </c>
      <c r="AN1259">
        <v>150</v>
      </c>
      <c r="AO1259">
        <v>400</v>
      </c>
      <c r="AP1259">
        <v>0</v>
      </c>
      <c r="AQ1259" s="2">
        <f>IF((2*G1259 + M1259 -P1259 + 3*W1259 + 2*Z1259+2*AD1259 + AG1259+2*AJ1259 + 4*AM1259) &gt;=8,1,0)</f>
        <v>1</v>
      </c>
    </row>
    <row r="1260" spans="1:43" x14ac:dyDescent="0.25">
      <c r="A1260" t="s">
        <v>27</v>
      </c>
      <c r="B1260" s="1">
        <v>41496</v>
      </c>
      <c r="C1260" s="7">
        <f t="shared" si="217"/>
        <v>2013</v>
      </c>
      <c r="D1260">
        <v>94.1</v>
      </c>
      <c r="E1260">
        <v>73.7</v>
      </c>
      <c r="F1260">
        <v>82.4</v>
      </c>
      <c r="G1260" s="2">
        <f t="shared" si="226"/>
        <v>1</v>
      </c>
      <c r="H1260">
        <v>91.1</v>
      </c>
      <c r="I1260">
        <v>73.7</v>
      </c>
      <c r="J1260">
        <v>81.900000000000006</v>
      </c>
      <c r="K1260">
        <v>56.4</v>
      </c>
      <c r="L1260">
        <v>42.2</v>
      </c>
      <c r="M1260" s="2">
        <f t="shared" si="218"/>
        <v>1</v>
      </c>
      <c r="N1260">
        <v>0</v>
      </c>
      <c r="P1260" s="2">
        <f t="shared" si="219"/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23</v>
      </c>
      <c r="W1260" s="2">
        <f t="shared" si="220"/>
        <v>1</v>
      </c>
      <c r="X1260">
        <v>16.100000000000001</v>
      </c>
      <c r="Z1260" s="2">
        <f t="shared" si="221"/>
        <v>1</v>
      </c>
      <c r="AA1260">
        <v>5.5</v>
      </c>
      <c r="AB1260" s="2" t="str">
        <f>CHOOSE(MATCH(AA1260,{0;11;80;111;161;191;241;281;341},1),"North","NorthEast","East","SouthEast","South","SouthWest","West","NorthWest","North")</f>
        <v>North</v>
      </c>
      <c r="AC1260" s="5">
        <f>CHOOSE(MATCH(AB1260,{"South";"SouthEast";"SouthWest";"North";"NorthEast";"East";"West";"NorthWest"},0),1,2,3,4,5,6,7,8)</f>
        <v>4</v>
      </c>
      <c r="AD1260" s="2">
        <f t="shared" si="222"/>
        <v>1</v>
      </c>
      <c r="AE1260">
        <v>1006.6</v>
      </c>
      <c r="AF1260" s="4" t="s">
        <v>2913</v>
      </c>
      <c r="AG1260" s="2">
        <f t="shared" si="223"/>
        <v>1</v>
      </c>
      <c r="AH1260" t="s">
        <v>2914</v>
      </c>
      <c r="AI1260" s="2">
        <f t="shared" si="224"/>
        <v>8</v>
      </c>
      <c r="AJ1260" s="2">
        <f t="shared" si="225"/>
        <v>1</v>
      </c>
      <c r="AK1260" s="3">
        <v>1786.9999999995341</v>
      </c>
      <c r="AM1260" s="2">
        <v>1</v>
      </c>
      <c r="AN1260">
        <v>0</v>
      </c>
      <c r="AO1260">
        <v>3</v>
      </c>
      <c r="AP1260">
        <v>0</v>
      </c>
      <c r="AQ1260" s="2">
        <f>IF((2*G1260 + M1260 -P1260 + 3*W1260 + 2*Z1260+2*AD1260 + AG1260+2*AJ1260 + 4*AM1260) &gt;=8,1,0)</f>
        <v>1</v>
      </c>
    </row>
    <row r="1261" spans="1:43" x14ac:dyDescent="0.25">
      <c r="A1261" t="s">
        <v>27</v>
      </c>
      <c r="B1261" s="1">
        <v>41497</v>
      </c>
      <c r="C1261" s="7">
        <f t="shared" si="217"/>
        <v>2013</v>
      </c>
      <c r="D1261">
        <v>90.3</v>
      </c>
      <c r="E1261">
        <v>75.8</v>
      </c>
      <c r="F1261">
        <v>82.4</v>
      </c>
      <c r="G1261" s="2">
        <f t="shared" si="226"/>
        <v>1</v>
      </c>
      <c r="H1261">
        <v>87</v>
      </c>
      <c r="I1261">
        <v>75.8</v>
      </c>
      <c r="J1261">
        <v>81.099999999999994</v>
      </c>
      <c r="K1261">
        <v>53.8</v>
      </c>
      <c r="L1261">
        <v>39.4</v>
      </c>
      <c r="M1261" s="2">
        <f t="shared" si="218"/>
        <v>1</v>
      </c>
      <c r="N1261">
        <v>0</v>
      </c>
      <c r="P1261" s="2">
        <f t="shared" si="219"/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32.9</v>
      </c>
      <c r="W1261" s="2">
        <f t="shared" si="220"/>
        <v>1</v>
      </c>
      <c r="X1261">
        <v>25.1</v>
      </c>
      <c r="Z1261" s="2">
        <f t="shared" si="221"/>
        <v>1</v>
      </c>
      <c r="AA1261">
        <v>0.3</v>
      </c>
      <c r="AB1261" s="2" t="str">
        <f>CHOOSE(MATCH(AA1261,{0;11;80;111;161;191;241;281;341},1),"North","NorthEast","East","SouthEast","South","SouthWest","West","NorthWest","North")</f>
        <v>North</v>
      </c>
      <c r="AC1261" s="5">
        <f>CHOOSE(MATCH(AB1261,{"South";"SouthEast";"SouthWest";"North";"NorthEast";"East";"West";"NorthWest"},0),1,2,3,4,5,6,7,8)</f>
        <v>4</v>
      </c>
      <c r="AD1261" s="2">
        <f t="shared" si="222"/>
        <v>1</v>
      </c>
      <c r="AE1261">
        <v>1007.2</v>
      </c>
      <c r="AF1261" s="4" t="s">
        <v>2540</v>
      </c>
      <c r="AG1261" s="2">
        <f t="shared" si="223"/>
        <v>0</v>
      </c>
      <c r="AH1261" t="s">
        <v>2915</v>
      </c>
      <c r="AI1261" s="2">
        <f t="shared" si="224"/>
        <v>8</v>
      </c>
      <c r="AJ1261" s="2">
        <f t="shared" si="225"/>
        <v>1</v>
      </c>
      <c r="AK1261" s="3">
        <v>85.999999997438863</v>
      </c>
      <c r="AM1261" s="2">
        <v>0</v>
      </c>
      <c r="AN1261">
        <v>0</v>
      </c>
      <c r="AO1261">
        <v>0.5</v>
      </c>
      <c r="AP1261">
        <v>0</v>
      </c>
      <c r="AQ1261" s="2">
        <f>IF((2*G1261 + M1261 -P1261 + 3*W1261 + 2*Z1261+2*AD1261 + AG1261+2*AJ1261 + 4*AM1261) &gt;=8,1,0)</f>
        <v>1</v>
      </c>
    </row>
    <row r="1262" spans="1:43" x14ac:dyDescent="0.25">
      <c r="A1262" t="s">
        <v>27</v>
      </c>
      <c r="B1262" s="1">
        <v>41500</v>
      </c>
      <c r="C1262" s="7">
        <f t="shared" si="217"/>
        <v>2013</v>
      </c>
      <c r="D1262">
        <v>96</v>
      </c>
      <c r="E1262">
        <v>77</v>
      </c>
      <c r="F1262">
        <v>85.7</v>
      </c>
      <c r="G1262" s="2">
        <f t="shared" si="226"/>
        <v>1</v>
      </c>
      <c r="H1262">
        <v>92.3</v>
      </c>
      <c r="I1262">
        <v>77</v>
      </c>
      <c r="J1262">
        <v>83.6</v>
      </c>
      <c r="K1262">
        <v>48.9</v>
      </c>
      <c r="L1262">
        <v>28.9</v>
      </c>
      <c r="M1262" s="2">
        <f t="shared" si="218"/>
        <v>1</v>
      </c>
      <c r="N1262">
        <v>0</v>
      </c>
      <c r="P1262" s="2">
        <f t="shared" si="219"/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35.6</v>
      </c>
      <c r="W1262" s="2">
        <f t="shared" si="220"/>
        <v>1</v>
      </c>
      <c r="X1262">
        <v>19.2</v>
      </c>
      <c r="Z1262" s="2">
        <f t="shared" si="221"/>
        <v>1</v>
      </c>
      <c r="AA1262">
        <v>0.9</v>
      </c>
      <c r="AB1262" s="2" t="str">
        <f>CHOOSE(MATCH(AA1262,{0;11;80;111;161;191;241;281;341},1),"North","NorthEast","East","SouthEast","South","SouthWest","West","NorthWest","North")</f>
        <v>North</v>
      </c>
      <c r="AC1262" s="5">
        <f>CHOOSE(MATCH(AB1262,{"South";"SouthEast";"SouthWest";"North";"NorthEast";"East";"West";"NorthWest"},0),1,2,3,4,5,6,7,8)</f>
        <v>4</v>
      </c>
      <c r="AD1262" s="2">
        <f t="shared" si="222"/>
        <v>1</v>
      </c>
      <c r="AE1262">
        <v>1010.2</v>
      </c>
      <c r="AF1262" s="4" t="s">
        <v>1040</v>
      </c>
      <c r="AG1262" s="2">
        <f t="shared" si="223"/>
        <v>0</v>
      </c>
      <c r="AH1262" t="s">
        <v>2916</v>
      </c>
      <c r="AI1262" s="2">
        <f t="shared" si="224"/>
        <v>8</v>
      </c>
      <c r="AJ1262" s="2">
        <f t="shared" si="225"/>
        <v>1</v>
      </c>
      <c r="AK1262" s="3">
        <v>389.99999999301508</v>
      </c>
      <c r="AM1262" s="2">
        <v>1</v>
      </c>
      <c r="AN1262">
        <v>0</v>
      </c>
      <c r="AO1262">
        <v>1</v>
      </c>
      <c r="AP1262">
        <v>0</v>
      </c>
      <c r="AQ1262" s="2">
        <f>IF((2*G1262 + M1262 -P1262 + 3*W1262 + 2*Z1262+2*AD1262 + AG1262+2*AJ1262 + 4*AM1262) &gt;=8,1,0)</f>
        <v>1</v>
      </c>
    </row>
    <row r="1263" spans="1:43" x14ac:dyDescent="0.25">
      <c r="A1263" t="s">
        <v>27</v>
      </c>
      <c r="B1263" s="1">
        <v>41502</v>
      </c>
      <c r="C1263" s="7">
        <f t="shared" si="217"/>
        <v>2013</v>
      </c>
      <c r="D1263">
        <v>90.6</v>
      </c>
      <c r="E1263">
        <v>75.900000000000006</v>
      </c>
      <c r="F1263">
        <v>82.8</v>
      </c>
      <c r="G1263" s="2">
        <f t="shared" si="226"/>
        <v>1</v>
      </c>
      <c r="H1263">
        <v>90.8</v>
      </c>
      <c r="I1263">
        <v>75.900000000000006</v>
      </c>
      <c r="J1263">
        <v>83</v>
      </c>
      <c r="K1263">
        <v>60.2</v>
      </c>
      <c r="L1263">
        <v>46.8</v>
      </c>
      <c r="M1263" s="2">
        <f t="shared" si="218"/>
        <v>1</v>
      </c>
      <c r="N1263">
        <v>0</v>
      </c>
      <c r="P1263" s="2">
        <f t="shared" si="219"/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34.4</v>
      </c>
      <c r="W1263" s="2">
        <f t="shared" si="220"/>
        <v>1</v>
      </c>
      <c r="X1263">
        <v>20.100000000000001</v>
      </c>
      <c r="Z1263" s="2">
        <f t="shared" si="221"/>
        <v>1</v>
      </c>
      <c r="AA1263">
        <v>2.1</v>
      </c>
      <c r="AB1263" s="2" t="str">
        <f>CHOOSE(MATCH(AA1263,{0;11;80;111;161;191;241;281;341},1),"North","NorthEast","East","SouthEast","South","SouthWest","West","NorthWest","North")</f>
        <v>North</v>
      </c>
      <c r="AC1263" s="5">
        <f>CHOOSE(MATCH(AB1263,{"South";"SouthEast";"SouthWest";"North";"NorthEast";"East";"West";"NorthWest"},0),1,2,3,4,5,6,7,8)</f>
        <v>4</v>
      </c>
      <c r="AD1263" s="2">
        <f t="shared" si="222"/>
        <v>1</v>
      </c>
      <c r="AE1263">
        <v>1011.3</v>
      </c>
      <c r="AF1263" s="4" t="s">
        <v>2917</v>
      </c>
      <c r="AG1263" s="2">
        <f t="shared" si="223"/>
        <v>1</v>
      </c>
      <c r="AH1263" t="s">
        <v>2918</v>
      </c>
      <c r="AI1263" s="2">
        <f t="shared" si="224"/>
        <v>8</v>
      </c>
      <c r="AJ1263" s="2">
        <f t="shared" si="225"/>
        <v>1</v>
      </c>
      <c r="AK1263" s="3">
        <v>4672.0000000053551</v>
      </c>
      <c r="AM1263" s="2">
        <v>1</v>
      </c>
      <c r="AN1263">
        <v>15</v>
      </c>
      <c r="AO1263">
        <v>0</v>
      </c>
      <c r="AP1263">
        <v>0</v>
      </c>
      <c r="AQ1263" s="2">
        <f>IF((2*G1263 + M1263 -P1263 + 3*W1263 + 2*Z1263+2*AD1263 + AG1263+2*AJ1263 + 4*AM1263) &gt;=8,1,0)</f>
        <v>1</v>
      </c>
    </row>
    <row r="1264" spans="1:43" x14ac:dyDescent="0.25">
      <c r="A1264" t="s">
        <v>27</v>
      </c>
      <c r="B1264" s="1">
        <v>41502</v>
      </c>
      <c r="C1264" s="7">
        <f t="shared" si="217"/>
        <v>2013</v>
      </c>
      <c r="D1264">
        <v>90.6</v>
      </c>
      <c r="E1264">
        <v>75.900000000000006</v>
      </c>
      <c r="F1264">
        <v>82.8</v>
      </c>
      <c r="G1264" s="2">
        <f t="shared" si="226"/>
        <v>1</v>
      </c>
      <c r="H1264">
        <v>90.8</v>
      </c>
      <c r="I1264">
        <v>75.900000000000006</v>
      </c>
      <c r="J1264">
        <v>83</v>
      </c>
      <c r="K1264">
        <v>60.2</v>
      </c>
      <c r="L1264">
        <v>46.8</v>
      </c>
      <c r="M1264" s="2">
        <f t="shared" si="218"/>
        <v>1</v>
      </c>
      <c r="N1264">
        <v>0</v>
      </c>
      <c r="P1264" s="2">
        <f t="shared" si="219"/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34.4</v>
      </c>
      <c r="W1264" s="2">
        <f t="shared" si="220"/>
        <v>1</v>
      </c>
      <c r="X1264">
        <v>20.100000000000001</v>
      </c>
      <c r="Z1264" s="2">
        <f t="shared" si="221"/>
        <v>1</v>
      </c>
      <c r="AA1264">
        <v>2.1</v>
      </c>
      <c r="AB1264" s="2" t="str">
        <f>CHOOSE(MATCH(AA1264,{0;11;80;111;161;191;241;281;341},1),"North","NorthEast","East","SouthEast","South","SouthWest","West","NorthWest","North")</f>
        <v>North</v>
      </c>
      <c r="AC1264" s="5">
        <f>CHOOSE(MATCH(AB1264,{"South";"SouthEast";"SouthWest";"North";"NorthEast";"East";"West";"NorthWest"},0),1,2,3,4,5,6,7,8)</f>
        <v>4</v>
      </c>
      <c r="AD1264" s="2">
        <f t="shared" si="222"/>
        <v>1</v>
      </c>
      <c r="AE1264">
        <v>1011.3</v>
      </c>
      <c r="AF1264" s="4" t="s">
        <v>1812</v>
      </c>
      <c r="AG1264" s="2">
        <f t="shared" si="223"/>
        <v>1</v>
      </c>
      <c r="AH1264" t="s">
        <v>2919</v>
      </c>
      <c r="AI1264" s="2">
        <f t="shared" si="224"/>
        <v>8</v>
      </c>
      <c r="AJ1264" s="2">
        <f t="shared" si="225"/>
        <v>1</v>
      </c>
      <c r="AK1264" s="3">
        <v>180</v>
      </c>
      <c r="AM1264" s="2">
        <v>0</v>
      </c>
      <c r="AN1264">
        <v>0</v>
      </c>
      <c r="AO1264">
        <v>0.3</v>
      </c>
      <c r="AP1264">
        <v>0</v>
      </c>
      <c r="AQ1264" s="2">
        <f>IF((2*G1264 + M1264 -P1264 + 3*W1264 + 2*Z1264+2*AD1264 + AG1264+2*AJ1264 + 4*AM1264) &gt;=8,1,0)</f>
        <v>1</v>
      </c>
    </row>
    <row r="1265" spans="1:43" x14ac:dyDescent="0.25">
      <c r="A1265" t="s">
        <v>27</v>
      </c>
      <c r="B1265" s="1">
        <v>41507</v>
      </c>
      <c r="C1265" s="7">
        <f t="shared" si="217"/>
        <v>2013</v>
      </c>
      <c r="D1265">
        <v>88.3</v>
      </c>
      <c r="E1265">
        <v>76.099999999999994</v>
      </c>
      <c r="F1265">
        <v>81.400000000000006</v>
      </c>
      <c r="G1265" s="2">
        <f t="shared" si="226"/>
        <v>1</v>
      </c>
      <c r="H1265">
        <v>86.5</v>
      </c>
      <c r="I1265">
        <v>76.099999999999994</v>
      </c>
      <c r="J1265">
        <v>80.900000000000006</v>
      </c>
      <c r="K1265">
        <v>54.5</v>
      </c>
      <c r="L1265">
        <v>40</v>
      </c>
      <c r="M1265" s="2">
        <f t="shared" si="218"/>
        <v>1</v>
      </c>
      <c r="N1265">
        <v>0</v>
      </c>
      <c r="P1265" s="2">
        <f t="shared" si="219"/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32.1</v>
      </c>
      <c r="W1265" s="2">
        <f t="shared" si="220"/>
        <v>1</v>
      </c>
      <c r="X1265">
        <v>21.5</v>
      </c>
      <c r="Z1265" s="2">
        <f t="shared" si="221"/>
        <v>1</v>
      </c>
      <c r="AA1265">
        <v>3.4</v>
      </c>
      <c r="AB1265" s="2" t="str">
        <f>CHOOSE(MATCH(AA1265,{0;11;80;111;161;191;241;281;341},1),"North","NorthEast","East","SouthEast","South","SouthWest","West","NorthWest","North")</f>
        <v>North</v>
      </c>
      <c r="AC1265" s="5">
        <f>CHOOSE(MATCH(AB1265,{"South";"SouthEast";"SouthWest";"North";"NorthEast";"East";"West";"NorthWest"},0),1,2,3,4,5,6,7,8)</f>
        <v>4</v>
      </c>
      <c r="AD1265" s="2">
        <f t="shared" si="222"/>
        <v>1</v>
      </c>
      <c r="AE1265">
        <v>1011.7</v>
      </c>
      <c r="AF1265" s="4" t="s">
        <v>2920</v>
      </c>
      <c r="AG1265" s="2">
        <f t="shared" si="223"/>
        <v>0</v>
      </c>
      <c r="AH1265" t="s">
        <v>2921</v>
      </c>
      <c r="AI1265" s="2">
        <f t="shared" si="224"/>
        <v>8</v>
      </c>
      <c r="AJ1265" s="2">
        <f t="shared" si="225"/>
        <v>1</v>
      </c>
      <c r="AK1265" s="3">
        <v>3675.000000003492</v>
      </c>
      <c r="AM1265" s="2">
        <v>1</v>
      </c>
      <c r="AN1265">
        <v>0</v>
      </c>
      <c r="AO1265">
        <v>3.5</v>
      </c>
      <c r="AP1265">
        <v>0</v>
      </c>
      <c r="AQ1265" s="2">
        <f>IF((2*G1265 + M1265 -P1265 + 3*W1265 + 2*Z1265+2*AD1265 + AG1265+2*AJ1265 + 4*AM1265) &gt;=8,1,0)</f>
        <v>1</v>
      </c>
    </row>
    <row r="1266" spans="1:43" x14ac:dyDescent="0.25">
      <c r="A1266" t="s">
        <v>27</v>
      </c>
      <c r="B1266" s="1">
        <v>41508</v>
      </c>
      <c r="C1266" s="7">
        <f t="shared" si="217"/>
        <v>2013</v>
      </c>
      <c r="D1266">
        <v>87.2</v>
      </c>
      <c r="E1266">
        <v>74</v>
      </c>
      <c r="F1266">
        <v>80.2</v>
      </c>
      <c r="G1266" s="2">
        <f t="shared" si="226"/>
        <v>1</v>
      </c>
      <c r="H1266">
        <v>86.1</v>
      </c>
      <c r="I1266">
        <v>74</v>
      </c>
      <c r="J1266">
        <v>79.900000000000006</v>
      </c>
      <c r="K1266">
        <v>56.9</v>
      </c>
      <c r="L1266">
        <v>45.5</v>
      </c>
      <c r="M1266" s="2">
        <f t="shared" si="218"/>
        <v>1</v>
      </c>
      <c r="N1266">
        <v>0</v>
      </c>
      <c r="P1266" s="2">
        <f t="shared" si="219"/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31.3</v>
      </c>
      <c r="W1266" s="2">
        <f t="shared" si="220"/>
        <v>1</v>
      </c>
      <c r="X1266">
        <v>19.600000000000001</v>
      </c>
      <c r="Z1266" s="2">
        <f t="shared" si="221"/>
        <v>1</v>
      </c>
      <c r="AA1266">
        <v>358.1</v>
      </c>
      <c r="AB1266" s="2" t="str">
        <f>CHOOSE(MATCH(AA1266,{0;11;80;111;161;191;241;281;341},1),"North","NorthEast","East","SouthEast","South","SouthWest","West","NorthWest","North")</f>
        <v>North</v>
      </c>
      <c r="AC1266" s="5">
        <f>CHOOSE(MATCH(AB1266,{"South";"SouthEast";"SouthWest";"North";"NorthEast";"East";"West";"NorthWest"},0),1,2,3,4,5,6,7,8)</f>
        <v>4</v>
      </c>
      <c r="AD1266" s="2">
        <f t="shared" si="222"/>
        <v>1</v>
      </c>
      <c r="AE1266">
        <v>1010.9</v>
      </c>
      <c r="AF1266" s="4" t="s">
        <v>2922</v>
      </c>
      <c r="AG1266" s="2">
        <f t="shared" si="223"/>
        <v>1</v>
      </c>
      <c r="AH1266" t="s">
        <v>2923</v>
      </c>
      <c r="AI1266" s="2">
        <f t="shared" si="224"/>
        <v>8</v>
      </c>
      <c r="AJ1266" s="2">
        <f t="shared" si="225"/>
        <v>1</v>
      </c>
      <c r="AK1266" s="3">
        <v>45.99999999278225</v>
      </c>
      <c r="AM1266" s="2">
        <v>0</v>
      </c>
      <c r="AN1266">
        <v>0</v>
      </c>
      <c r="AO1266">
        <v>0.5</v>
      </c>
      <c r="AP1266">
        <v>0</v>
      </c>
      <c r="AQ1266" s="2">
        <f>IF((2*G1266 + M1266 -P1266 + 3*W1266 + 2*Z1266+2*AD1266 + AG1266+2*AJ1266 + 4*AM1266) &gt;=8,1,0)</f>
        <v>1</v>
      </c>
    </row>
    <row r="1267" spans="1:43" x14ac:dyDescent="0.25">
      <c r="A1267" t="s">
        <v>27</v>
      </c>
      <c r="B1267" s="1">
        <v>41509</v>
      </c>
      <c r="C1267" s="7">
        <f t="shared" si="217"/>
        <v>2013</v>
      </c>
      <c r="D1267">
        <v>89.6</v>
      </c>
      <c r="E1267">
        <v>75.5</v>
      </c>
      <c r="F1267">
        <v>81.2</v>
      </c>
      <c r="G1267" s="2">
        <f t="shared" si="226"/>
        <v>1</v>
      </c>
      <c r="H1267">
        <v>86.9</v>
      </c>
      <c r="I1267">
        <v>75.5</v>
      </c>
      <c r="J1267">
        <v>80.099999999999994</v>
      </c>
      <c r="K1267">
        <v>51.3</v>
      </c>
      <c r="L1267">
        <v>36.700000000000003</v>
      </c>
      <c r="M1267" s="2">
        <f t="shared" si="218"/>
        <v>1</v>
      </c>
      <c r="N1267">
        <v>0</v>
      </c>
      <c r="P1267" s="2">
        <f t="shared" si="219"/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30</v>
      </c>
      <c r="W1267" s="2">
        <f t="shared" si="220"/>
        <v>1</v>
      </c>
      <c r="X1267">
        <v>18.600000000000001</v>
      </c>
      <c r="Z1267" s="2">
        <f t="shared" si="221"/>
        <v>1</v>
      </c>
      <c r="AA1267">
        <v>1.2</v>
      </c>
      <c r="AB1267" s="2" t="str">
        <f>CHOOSE(MATCH(AA1267,{0;11;80;111;161;191;241;281;341},1),"North","NorthEast","East","SouthEast","South","SouthWest","West","NorthWest","North")</f>
        <v>North</v>
      </c>
      <c r="AC1267" s="5">
        <f>CHOOSE(MATCH(AB1267,{"South";"SouthEast";"SouthWest";"North";"NorthEast";"East";"West";"NorthWest"},0),1,2,3,4,5,6,7,8)</f>
        <v>4</v>
      </c>
      <c r="AD1267" s="2">
        <f t="shared" si="222"/>
        <v>1</v>
      </c>
      <c r="AE1267">
        <v>1012</v>
      </c>
      <c r="AF1267" s="4" t="s">
        <v>2924</v>
      </c>
      <c r="AG1267" s="2">
        <f t="shared" si="223"/>
        <v>1</v>
      </c>
      <c r="AH1267" t="s">
        <v>2925</v>
      </c>
      <c r="AI1267" s="2">
        <f t="shared" si="224"/>
        <v>8</v>
      </c>
      <c r="AJ1267" s="2">
        <f t="shared" si="225"/>
        <v>1</v>
      </c>
      <c r="AK1267" s="3">
        <v>62.000000003026798</v>
      </c>
      <c r="AM1267" s="2">
        <v>0</v>
      </c>
      <c r="AN1267">
        <v>0</v>
      </c>
      <c r="AO1267">
        <v>0.5</v>
      </c>
      <c r="AP1267">
        <v>0</v>
      </c>
      <c r="AQ1267" s="2">
        <f>IF((2*G1267 + M1267 -P1267 + 3*W1267 + 2*Z1267+2*AD1267 + AG1267+2*AJ1267 + 4*AM1267) &gt;=8,1,0)</f>
        <v>1</v>
      </c>
    </row>
    <row r="1268" spans="1:43" x14ac:dyDescent="0.25">
      <c r="A1268" t="s">
        <v>27</v>
      </c>
      <c r="B1268" s="1">
        <v>41511</v>
      </c>
      <c r="C1268" s="7">
        <f t="shared" si="217"/>
        <v>2013</v>
      </c>
      <c r="D1268">
        <v>91.3</v>
      </c>
      <c r="E1268">
        <v>68.599999999999994</v>
      </c>
      <c r="F1268">
        <v>80.2</v>
      </c>
      <c r="G1268" s="2">
        <f t="shared" si="226"/>
        <v>1</v>
      </c>
      <c r="H1268">
        <v>88.2</v>
      </c>
      <c r="I1268">
        <v>68.599999999999994</v>
      </c>
      <c r="J1268">
        <v>79.2</v>
      </c>
      <c r="K1268">
        <v>51.9</v>
      </c>
      <c r="L1268">
        <v>38.9</v>
      </c>
      <c r="M1268" s="2">
        <f t="shared" si="218"/>
        <v>1</v>
      </c>
      <c r="N1268">
        <v>0</v>
      </c>
      <c r="P1268" s="2">
        <f t="shared" si="219"/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s="2">
        <f t="shared" si="220"/>
        <v>0</v>
      </c>
      <c r="X1268">
        <v>10.199999999999999</v>
      </c>
      <c r="Z1268" s="2">
        <f t="shared" si="221"/>
        <v>0</v>
      </c>
      <c r="AA1268">
        <v>132.4</v>
      </c>
      <c r="AB1268" s="2" t="str">
        <f>CHOOSE(MATCH(AA1268,{0;11;80;111;161;191;241;281;341},1),"North","NorthEast","East","SouthEast","South","SouthWest","West","NorthWest","North")</f>
        <v>SouthEast</v>
      </c>
      <c r="AC1268" s="5">
        <f>CHOOSE(MATCH(AB1268,{"South";"SouthEast";"SouthWest";"North";"NorthEast";"East";"West";"NorthWest"},0),1,2,3,4,5,6,7,8)</f>
        <v>2</v>
      </c>
      <c r="AD1268" s="2">
        <f t="shared" si="222"/>
        <v>0</v>
      </c>
      <c r="AE1268">
        <v>1011.2</v>
      </c>
      <c r="AF1268" s="4" t="s">
        <v>2926</v>
      </c>
      <c r="AG1268" s="2">
        <f t="shared" si="223"/>
        <v>0</v>
      </c>
      <c r="AH1268" t="s">
        <v>2927</v>
      </c>
      <c r="AI1268" s="2">
        <f t="shared" si="224"/>
        <v>8</v>
      </c>
      <c r="AJ1268" s="2">
        <f t="shared" si="225"/>
        <v>1</v>
      </c>
      <c r="AK1268" s="3">
        <v>4700.0000000023283</v>
      </c>
      <c r="AM1268" s="2">
        <v>1</v>
      </c>
      <c r="AN1268">
        <v>0</v>
      </c>
      <c r="AO1268">
        <v>35</v>
      </c>
      <c r="AP1268">
        <v>0</v>
      </c>
      <c r="AQ1268" s="2">
        <f>IF((2*G1268 + M1268 -P1268 + 3*W1268 + 2*Z1268+2*AD1268 + AG1268+2*AJ1268 + 4*AM1268) &gt;=8,1,0)</f>
        <v>1</v>
      </c>
    </row>
    <row r="1269" spans="1:43" x14ac:dyDescent="0.25">
      <c r="A1269" t="s">
        <v>27</v>
      </c>
      <c r="B1269" s="1">
        <v>41512</v>
      </c>
      <c r="C1269" s="7">
        <f t="shared" si="217"/>
        <v>2013</v>
      </c>
      <c r="D1269">
        <v>94</v>
      </c>
      <c r="E1269">
        <v>69.7</v>
      </c>
      <c r="F1269">
        <v>81.2</v>
      </c>
      <c r="G1269" s="2">
        <f t="shared" si="226"/>
        <v>1</v>
      </c>
      <c r="H1269">
        <v>91.1</v>
      </c>
      <c r="I1269">
        <v>69.7</v>
      </c>
      <c r="J1269">
        <v>80.2</v>
      </c>
      <c r="K1269">
        <v>53.1</v>
      </c>
      <c r="L1269">
        <v>39.4</v>
      </c>
      <c r="M1269" s="2">
        <f t="shared" si="218"/>
        <v>1</v>
      </c>
      <c r="N1269">
        <v>0</v>
      </c>
      <c r="P1269" s="2">
        <f t="shared" si="219"/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s="2">
        <f t="shared" si="220"/>
        <v>0</v>
      </c>
      <c r="X1269">
        <v>11</v>
      </c>
      <c r="Z1269" s="2">
        <f t="shared" si="221"/>
        <v>0</v>
      </c>
      <c r="AA1269">
        <v>148.4</v>
      </c>
      <c r="AB1269" s="2" t="str">
        <f>CHOOSE(MATCH(AA1269,{0;11;80;111;161;191;241;281;341},1),"North","NorthEast","East","SouthEast","South","SouthWest","West","NorthWest","North")</f>
        <v>SouthEast</v>
      </c>
      <c r="AC1269" s="5">
        <f>CHOOSE(MATCH(AB1269,{"South";"SouthEast";"SouthWest";"North";"NorthEast";"East";"West";"NorthWest"},0),1,2,3,4,5,6,7,8)</f>
        <v>2</v>
      </c>
      <c r="AD1269" s="2">
        <f t="shared" si="222"/>
        <v>0</v>
      </c>
      <c r="AE1269">
        <v>1011.2</v>
      </c>
      <c r="AF1269" s="4" t="s">
        <v>2928</v>
      </c>
      <c r="AG1269" s="2">
        <f t="shared" si="223"/>
        <v>1</v>
      </c>
      <c r="AH1269" t="s">
        <v>2929</v>
      </c>
      <c r="AI1269" s="2">
        <f t="shared" si="224"/>
        <v>8</v>
      </c>
      <c r="AJ1269" s="2">
        <f t="shared" si="225"/>
        <v>1</v>
      </c>
      <c r="AK1269" s="3">
        <v>143.9999999979045</v>
      </c>
      <c r="AM1269" s="2">
        <v>0</v>
      </c>
      <c r="AN1269">
        <v>0.1</v>
      </c>
      <c r="AO1269">
        <v>0</v>
      </c>
      <c r="AP1269">
        <v>0</v>
      </c>
      <c r="AQ1269" s="2">
        <f>IF((2*G1269 + M1269 -P1269 + 3*W1269 + 2*Z1269+2*AD1269 + AG1269+2*AJ1269 + 4*AM1269) &gt;=8,1,0)</f>
        <v>0</v>
      </c>
    </row>
    <row r="1270" spans="1:43" x14ac:dyDescent="0.25">
      <c r="A1270" t="s">
        <v>27</v>
      </c>
      <c r="B1270" s="1">
        <v>41544</v>
      </c>
      <c r="C1270" s="7">
        <f t="shared" si="217"/>
        <v>2013</v>
      </c>
      <c r="D1270">
        <v>84.2</v>
      </c>
      <c r="E1270">
        <v>65.099999999999994</v>
      </c>
      <c r="F1270">
        <v>74.8</v>
      </c>
      <c r="G1270" s="2">
        <f t="shared" si="226"/>
        <v>1</v>
      </c>
      <c r="H1270">
        <v>83.2</v>
      </c>
      <c r="I1270">
        <v>65.099999999999994</v>
      </c>
      <c r="J1270">
        <v>74.3</v>
      </c>
      <c r="K1270">
        <v>55.1</v>
      </c>
      <c r="L1270">
        <v>52.9</v>
      </c>
      <c r="M1270" s="2">
        <f t="shared" si="218"/>
        <v>0</v>
      </c>
      <c r="N1270">
        <v>0</v>
      </c>
      <c r="P1270" s="2">
        <f t="shared" si="219"/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s="2">
        <f t="shared" si="220"/>
        <v>0</v>
      </c>
      <c r="X1270">
        <v>10.7</v>
      </c>
      <c r="Z1270" s="2">
        <f t="shared" si="221"/>
        <v>0</v>
      </c>
      <c r="AA1270">
        <v>31.2</v>
      </c>
      <c r="AB1270" s="2" t="str">
        <f>CHOOSE(MATCH(AA1270,{0;11;80;111;161;191;241;281;341},1),"North","NorthEast","East","SouthEast","South","SouthWest","West","NorthWest","North")</f>
        <v>NorthEast</v>
      </c>
      <c r="AC1270" s="5">
        <f>CHOOSE(MATCH(AB1270,{"South";"SouthEast";"SouthWest";"North";"NorthEast";"East";"West";"NorthWest"},0),1,2,3,4,5,6,7,8)</f>
        <v>5</v>
      </c>
      <c r="AD1270" s="2">
        <f t="shared" si="222"/>
        <v>1</v>
      </c>
      <c r="AE1270">
        <v>1012</v>
      </c>
      <c r="AF1270" s="4" t="s">
        <v>2027</v>
      </c>
      <c r="AG1270" s="2">
        <f t="shared" si="223"/>
        <v>1</v>
      </c>
      <c r="AH1270" t="s">
        <v>2930</v>
      </c>
      <c r="AI1270" s="2">
        <f t="shared" si="224"/>
        <v>9</v>
      </c>
      <c r="AJ1270" s="2">
        <f t="shared" si="225"/>
        <v>0</v>
      </c>
      <c r="AK1270" s="3">
        <v>180</v>
      </c>
      <c r="AM1270" s="2">
        <v>0</v>
      </c>
      <c r="AN1270">
        <v>8</v>
      </c>
      <c r="AO1270">
        <v>0</v>
      </c>
      <c r="AP1270">
        <v>0</v>
      </c>
      <c r="AQ1270" s="2">
        <f>IF((2*G1270 + M1270 -P1270 + 3*W1270 + 2*Z1270+2*AD1270 + AG1270+2*AJ1270 + 4*AM1270) &gt;=8,1,0)</f>
        <v>0</v>
      </c>
    </row>
    <row r="1271" spans="1:43" x14ac:dyDescent="0.25">
      <c r="A1271" t="s">
        <v>27</v>
      </c>
      <c r="B1271" s="1">
        <v>41548</v>
      </c>
      <c r="C1271" s="7">
        <f t="shared" si="217"/>
        <v>2013</v>
      </c>
      <c r="D1271">
        <v>80.599999999999994</v>
      </c>
      <c r="E1271">
        <v>65.099999999999994</v>
      </c>
      <c r="F1271">
        <v>73.5</v>
      </c>
      <c r="G1271" s="2">
        <f t="shared" si="226"/>
        <v>0</v>
      </c>
      <c r="H1271">
        <v>80.8</v>
      </c>
      <c r="I1271">
        <v>65.099999999999994</v>
      </c>
      <c r="J1271">
        <v>73.5</v>
      </c>
      <c r="K1271">
        <v>61.2</v>
      </c>
      <c r="L1271">
        <v>67.8</v>
      </c>
      <c r="M1271" s="2">
        <f t="shared" si="218"/>
        <v>0</v>
      </c>
      <c r="N1271">
        <v>0.218</v>
      </c>
      <c r="P1271" s="2">
        <f t="shared" si="219"/>
        <v>0</v>
      </c>
      <c r="Q1271">
        <v>100</v>
      </c>
      <c r="R1271">
        <v>8.33</v>
      </c>
      <c r="S1271" t="s">
        <v>87</v>
      </c>
      <c r="T1271">
        <v>0</v>
      </c>
      <c r="U1271">
        <v>0</v>
      </c>
      <c r="V1271">
        <v>32.200000000000003</v>
      </c>
      <c r="W1271" s="2">
        <f t="shared" si="220"/>
        <v>1</v>
      </c>
      <c r="X1271">
        <v>15.9</v>
      </c>
      <c r="Z1271" s="2">
        <f t="shared" si="221"/>
        <v>0</v>
      </c>
      <c r="AA1271">
        <v>267.89999999999998</v>
      </c>
      <c r="AB1271" s="2" t="str">
        <f>CHOOSE(MATCH(AA1271,{0;11;80;111;161;191;241;281;341},1),"North","NorthEast","East","SouthEast","South","SouthWest","West","NorthWest","North")</f>
        <v>West</v>
      </c>
      <c r="AC1271" s="5">
        <f>CHOOSE(MATCH(AB1271,{"South";"SouthEast";"SouthWest";"North";"NorthEast";"East";"West";"NorthWest"},0),1,2,3,4,5,6,7,8)</f>
        <v>7</v>
      </c>
      <c r="AD1271" s="2">
        <f t="shared" si="222"/>
        <v>0</v>
      </c>
      <c r="AE1271">
        <v>1002</v>
      </c>
      <c r="AF1271" s="4" t="s">
        <v>1994</v>
      </c>
      <c r="AG1271" s="2">
        <f t="shared" si="223"/>
        <v>1</v>
      </c>
      <c r="AH1271" t="s">
        <v>2931</v>
      </c>
      <c r="AI1271" s="2">
        <f t="shared" si="224"/>
        <v>10</v>
      </c>
      <c r="AJ1271" s="2">
        <f t="shared" si="225"/>
        <v>0</v>
      </c>
      <c r="AK1271" s="3">
        <v>136.99999999604191</v>
      </c>
      <c r="AM1271" s="2">
        <v>0</v>
      </c>
      <c r="AN1271">
        <v>0.2</v>
      </c>
      <c r="AO1271">
        <v>0</v>
      </c>
      <c r="AP1271">
        <v>0</v>
      </c>
      <c r="AQ1271" s="2">
        <f>IF((2*G1271 + M1271 -P1271 + 3*W1271 + 2*Z1271+2*AD1271 + AG1271+2*AJ1271 + 4*AM1271) &gt;=8,1,0)</f>
        <v>0</v>
      </c>
    </row>
    <row r="1272" spans="1:43" x14ac:dyDescent="0.25">
      <c r="A1272" t="s">
        <v>27</v>
      </c>
      <c r="B1272" s="1">
        <v>41551</v>
      </c>
      <c r="C1272" s="7">
        <f t="shared" si="217"/>
        <v>2013</v>
      </c>
      <c r="D1272">
        <v>60.2</v>
      </c>
      <c r="E1272">
        <v>55.9</v>
      </c>
      <c r="F1272">
        <v>57.6</v>
      </c>
      <c r="G1272" s="2">
        <f t="shared" si="226"/>
        <v>0</v>
      </c>
      <c r="H1272">
        <v>60.2</v>
      </c>
      <c r="I1272">
        <v>55.9</v>
      </c>
      <c r="J1272">
        <v>57.6</v>
      </c>
      <c r="K1272">
        <v>43.1</v>
      </c>
      <c r="L1272">
        <v>58.6</v>
      </c>
      <c r="M1272" s="2">
        <f t="shared" si="218"/>
        <v>0</v>
      </c>
      <c r="N1272">
        <v>0</v>
      </c>
      <c r="P1272" s="2">
        <f t="shared" si="219"/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s="2">
        <f t="shared" si="220"/>
        <v>0</v>
      </c>
      <c r="X1272">
        <v>15.1</v>
      </c>
      <c r="Z1272" s="2">
        <f t="shared" si="221"/>
        <v>0</v>
      </c>
      <c r="AA1272">
        <v>47.8</v>
      </c>
      <c r="AB1272" s="2" t="str">
        <f>CHOOSE(MATCH(AA1272,{0;11;80;111;161;191;241;281;341},1),"North","NorthEast","East","SouthEast","South","SouthWest","West","NorthWest","North")</f>
        <v>NorthEast</v>
      </c>
      <c r="AC1272" s="5">
        <f>CHOOSE(MATCH(AB1272,{"South";"SouthEast";"SouthWest";"North";"NorthEast";"East";"West";"NorthWest"},0),1,2,3,4,5,6,7,8)</f>
        <v>5</v>
      </c>
      <c r="AD1272" s="2">
        <f t="shared" si="222"/>
        <v>1</v>
      </c>
      <c r="AE1272">
        <v>1026</v>
      </c>
      <c r="AF1272" s="4" t="s">
        <v>1728</v>
      </c>
      <c r="AG1272" s="2">
        <f t="shared" si="223"/>
        <v>0</v>
      </c>
      <c r="AH1272" t="s">
        <v>2932</v>
      </c>
      <c r="AI1272" s="2">
        <f t="shared" si="224"/>
        <v>10</v>
      </c>
      <c r="AJ1272" s="2">
        <f t="shared" si="225"/>
        <v>0</v>
      </c>
      <c r="AK1272" s="3">
        <v>185.00000000582079</v>
      </c>
      <c r="AM1272" s="2">
        <v>0</v>
      </c>
      <c r="AN1272">
        <v>0</v>
      </c>
      <c r="AO1272">
        <v>1</v>
      </c>
      <c r="AP1272">
        <v>0</v>
      </c>
      <c r="AQ1272" s="2">
        <f>IF((2*G1272 + M1272 -P1272 + 3*W1272 + 2*Z1272+2*AD1272 + AG1272+2*AJ1272 + 4*AM1272) &gt;=8,1,0)</f>
        <v>0</v>
      </c>
    </row>
    <row r="1273" spans="1:43" x14ac:dyDescent="0.25">
      <c r="A1273" t="s">
        <v>27</v>
      </c>
      <c r="B1273" s="1">
        <v>41564</v>
      </c>
      <c r="C1273" s="7">
        <f t="shared" si="217"/>
        <v>2013</v>
      </c>
      <c r="D1273">
        <v>69.599999999999994</v>
      </c>
      <c r="E1273">
        <v>60.4</v>
      </c>
      <c r="F1273">
        <v>65.900000000000006</v>
      </c>
      <c r="G1273" s="2">
        <f t="shared" si="226"/>
        <v>0</v>
      </c>
      <c r="H1273">
        <v>69.599999999999994</v>
      </c>
      <c r="I1273">
        <v>60.4</v>
      </c>
      <c r="J1273">
        <v>65.900000000000006</v>
      </c>
      <c r="K1273">
        <v>49</v>
      </c>
      <c r="L1273">
        <v>56.3</v>
      </c>
      <c r="M1273" s="2">
        <f t="shared" si="218"/>
        <v>0</v>
      </c>
      <c r="N1273">
        <v>0</v>
      </c>
      <c r="P1273" s="2">
        <f t="shared" si="219"/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29.3</v>
      </c>
      <c r="W1273" s="2">
        <f t="shared" si="220"/>
        <v>1</v>
      </c>
      <c r="X1273">
        <v>17.100000000000001</v>
      </c>
      <c r="Z1273" s="2">
        <f t="shared" si="221"/>
        <v>1</v>
      </c>
      <c r="AA1273">
        <v>307.60000000000002</v>
      </c>
      <c r="AB1273" s="2" t="str">
        <f>CHOOSE(MATCH(AA1273,{0;11;80;111;161;191;241;281;341},1),"North","NorthEast","East","SouthEast","South","SouthWest","West","NorthWest","North")</f>
        <v>NorthWest</v>
      </c>
      <c r="AC1273" s="5">
        <f>CHOOSE(MATCH(AB1273,{"South";"SouthEast";"SouthWest";"North";"NorthEast";"East";"West";"NorthWest"},0),1,2,3,4,5,6,7,8)</f>
        <v>8</v>
      </c>
      <c r="AD1273" s="2">
        <f t="shared" si="222"/>
        <v>1</v>
      </c>
      <c r="AE1273">
        <v>1002.1</v>
      </c>
      <c r="AF1273" s="4" t="s">
        <v>1891</v>
      </c>
      <c r="AG1273" s="2">
        <f t="shared" si="223"/>
        <v>1</v>
      </c>
      <c r="AH1273" t="s">
        <v>2933</v>
      </c>
      <c r="AI1273" s="2">
        <f t="shared" si="224"/>
        <v>10</v>
      </c>
      <c r="AJ1273" s="2">
        <f t="shared" si="225"/>
        <v>0</v>
      </c>
      <c r="AK1273" s="3">
        <v>1345.0000000046571</v>
      </c>
      <c r="AM1273" s="2">
        <v>1</v>
      </c>
      <c r="AN1273">
        <v>10</v>
      </c>
      <c r="AO1273">
        <v>0</v>
      </c>
      <c r="AP1273">
        <v>0</v>
      </c>
      <c r="AQ1273" s="2">
        <f>IF((2*G1273 + M1273 -P1273 + 3*W1273 + 2*Z1273+2*AD1273 + AG1273+2*AJ1273 + 4*AM1273) &gt;=8,1,0)</f>
        <v>1</v>
      </c>
    </row>
    <row r="1274" spans="1:43" x14ac:dyDescent="0.25">
      <c r="A1274" t="s">
        <v>27</v>
      </c>
      <c r="B1274" s="1">
        <v>41582</v>
      </c>
      <c r="C1274" s="7">
        <f t="shared" ref="C1274:C1329" si="227">YEAR(B1274)</f>
        <v>2013</v>
      </c>
      <c r="D1274">
        <v>74.5</v>
      </c>
      <c r="E1274">
        <v>55.6</v>
      </c>
      <c r="F1274">
        <v>64.599999999999994</v>
      </c>
      <c r="G1274" s="2">
        <f t="shared" si="226"/>
        <v>0</v>
      </c>
      <c r="H1274">
        <v>74.5</v>
      </c>
      <c r="I1274">
        <v>55.6</v>
      </c>
      <c r="J1274">
        <v>64.599999999999994</v>
      </c>
      <c r="K1274">
        <v>55.3</v>
      </c>
      <c r="L1274">
        <v>73.599999999999994</v>
      </c>
      <c r="M1274" s="2">
        <f t="shared" ref="M1274:M1329" si="228">IF(L1274&lt;=49.3,1,0)</f>
        <v>0</v>
      </c>
      <c r="N1274">
        <v>0</v>
      </c>
      <c r="P1274" s="2">
        <f t="shared" ref="P1274:P1329" si="229">IF(N1274&lt;=0.01,1,0)</f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s="2">
        <f t="shared" ref="W1274:W1329" si="230">IF(V1274&lt;=10,0,1)</f>
        <v>0</v>
      </c>
      <c r="X1274">
        <v>11.2</v>
      </c>
      <c r="Z1274" s="2">
        <f t="shared" ref="Z1274:Z1329" si="231">IF(X1274&gt;=16,1,0)</f>
        <v>0</v>
      </c>
      <c r="AA1274">
        <v>214.8</v>
      </c>
      <c r="AB1274" s="2" t="str">
        <f>CHOOSE(MATCH(AA1274,{0;11;80;111;161;191;241;281;341},1),"North","NorthEast","East","SouthEast","South","SouthWest","West","NorthWest","North")</f>
        <v>SouthWest</v>
      </c>
      <c r="AC1274" s="5">
        <f>CHOOSE(MATCH(AB1274,{"South";"SouthEast";"SouthWest";"North";"NorthEast";"East";"West";"NorthWest"},0),1,2,3,4,5,6,7,8)</f>
        <v>3</v>
      </c>
      <c r="AD1274" s="2">
        <f t="shared" ref="AD1274:AD1329" si="232">IF(OR(AC1274=3,AC1274=4,AC1274=5,AC1274=8),1,0)</f>
        <v>1</v>
      </c>
      <c r="AE1274">
        <v>1016.3</v>
      </c>
      <c r="AF1274" s="4" t="s">
        <v>2934</v>
      </c>
      <c r="AG1274" s="2">
        <f t="shared" ref="AG1274:AG1329" si="233">IF(TIMEVALUE(AF1274)&lt;=TIME(12,30,0),0,1)</f>
        <v>0</v>
      </c>
      <c r="AH1274" t="s">
        <v>2935</v>
      </c>
      <c r="AI1274" s="2">
        <f t="shared" ref="AI1274:AI1329" si="234">MONTH(AH1274)</f>
        <v>11</v>
      </c>
      <c r="AJ1274" s="2">
        <f t="shared" ref="AJ1274:AJ1329" si="235">IF(OR(AI1274=6,AI1274=7,AI1274=8),1,0)</f>
        <v>0</v>
      </c>
      <c r="AK1274" s="3">
        <v>1729.9999999918509</v>
      </c>
      <c r="AM1274" s="2">
        <v>1</v>
      </c>
      <c r="AN1274">
        <v>0</v>
      </c>
      <c r="AO1274">
        <v>3</v>
      </c>
      <c r="AP1274">
        <v>0</v>
      </c>
      <c r="AQ1274" s="2">
        <f>IF((2*G1274 + M1274 -P1274 + 3*W1274 + 2*Z1274+2*AD1274 + AG1274+2*AJ1274 + 4*AM1274) &gt;=8,1,0)</f>
        <v>0</v>
      </c>
    </row>
    <row r="1275" spans="1:43" x14ac:dyDescent="0.25">
      <c r="A1275" t="s">
        <v>27</v>
      </c>
      <c r="B1275" s="1">
        <v>41585</v>
      </c>
      <c r="C1275" s="7">
        <f t="shared" si="227"/>
        <v>2013</v>
      </c>
      <c r="D1275">
        <v>69.5</v>
      </c>
      <c r="E1275">
        <v>54</v>
      </c>
      <c r="F1275">
        <v>62.8</v>
      </c>
      <c r="G1275" s="2">
        <f t="shared" si="226"/>
        <v>0</v>
      </c>
      <c r="H1275">
        <v>69.5</v>
      </c>
      <c r="I1275">
        <v>54</v>
      </c>
      <c r="J1275">
        <v>62.8</v>
      </c>
      <c r="K1275">
        <v>50.4</v>
      </c>
      <c r="L1275">
        <v>65.3</v>
      </c>
      <c r="M1275" s="2">
        <f t="shared" si="228"/>
        <v>0</v>
      </c>
      <c r="N1275">
        <v>0</v>
      </c>
      <c r="P1275" s="2">
        <f t="shared" si="229"/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34.4</v>
      </c>
      <c r="W1275" s="2">
        <f t="shared" si="230"/>
        <v>1</v>
      </c>
      <c r="X1275">
        <v>19.100000000000001</v>
      </c>
      <c r="Z1275" s="2">
        <f t="shared" si="231"/>
        <v>1</v>
      </c>
      <c r="AA1275">
        <v>2</v>
      </c>
      <c r="AB1275" s="2" t="str">
        <f>CHOOSE(MATCH(AA1275,{0;11;80;111;161;191;241;281;341},1),"North","NorthEast","East","SouthEast","South","SouthWest","West","NorthWest","North")</f>
        <v>North</v>
      </c>
      <c r="AC1275" s="5">
        <f>CHOOSE(MATCH(AB1275,{"South";"SouthEast";"SouthWest";"North";"NorthEast";"East";"West";"NorthWest"},0),1,2,3,4,5,6,7,8)</f>
        <v>4</v>
      </c>
      <c r="AD1275" s="2">
        <f t="shared" si="232"/>
        <v>1</v>
      </c>
      <c r="AE1275">
        <v>1012.7</v>
      </c>
      <c r="AF1275" s="4" t="s">
        <v>1255</v>
      </c>
      <c r="AG1275" s="2">
        <f t="shared" si="233"/>
        <v>0</v>
      </c>
      <c r="AH1275" t="s">
        <v>2936</v>
      </c>
      <c r="AI1275" s="2">
        <f t="shared" si="234"/>
        <v>11</v>
      </c>
      <c r="AJ1275" s="2">
        <f t="shared" si="235"/>
        <v>0</v>
      </c>
      <c r="AK1275" s="3">
        <v>50.000000005820773</v>
      </c>
      <c r="AM1275" s="2">
        <v>0</v>
      </c>
      <c r="AN1275">
        <v>0.5</v>
      </c>
      <c r="AO1275">
        <v>0</v>
      </c>
      <c r="AP1275">
        <v>0</v>
      </c>
      <c r="AQ1275" s="2">
        <f>IF((2*G1275 + M1275 -P1275 + 3*W1275 + 2*Z1275+2*AD1275 + AG1275+2*AJ1275 + 4*AM1275) &gt;=8,1,0)</f>
        <v>0</v>
      </c>
    </row>
    <row r="1276" spans="1:43" x14ac:dyDescent="0.25">
      <c r="A1276" t="s">
        <v>27</v>
      </c>
      <c r="B1276" s="1">
        <v>41617</v>
      </c>
      <c r="C1276" s="7">
        <f t="shared" si="227"/>
        <v>2013</v>
      </c>
      <c r="D1276">
        <v>58</v>
      </c>
      <c r="E1276">
        <v>35</v>
      </c>
      <c r="F1276">
        <v>45.9</v>
      </c>
      <c r="G1276" s="2">
        <f t="shared" si="226"/>
        <v>0</v>
      </c>
      <c r="H1276">
        <v>58</v>
      </c>
      <c r="I1276">
        <v>30.1</v>
      </c>
      <c r="J1276">
        <v>45.1</v>
      </c>
      <c r="K1276">
        <v>28.4</v>
      </c>
      <c r="L1276">
        <v>52.6</v>
      </c>
      <c r="M1276" s="2">
        <f t="shared" si="228"/>
        <v>0</v>
      </c>
      <c r="N1276">
        <v>0</v>
      </c>
      <c r="P1276" s="2">
        <f t="shared" si="229"/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s="2">
        <f t="shared" si="230"/>
        <v>0</v>
      </c>
      <c r="X1276">
        <v>8.4</v>
      </c>
      <c r="Z1276" s="2">
        <f t="shared" si="231"/>
        <v>0</v>
      </c>
      <c r="AA1276">
        <v>286.89999999999998</v>
      </c>
      <c r="AB1276" s="2" t="str">
        <f>CHOOSE(MATCH(AA1276,{0;11;80;111;161;191;241;281;341},1),"North","NorthEast","East","SouthEast","South","SouthWest","West","NorthWest","North")</f>
        <v>NorthWest</v>
      </c>
      <c r="AC1276" s="5">
        <f>CHOOSE(MATCH(AB1276,{"South";"SouthEast";"SouthWest";"North";"NorthEast";"East";"West";"NorthWest"},0),1,2,3,4,5,6,7,8)</f>
        <v>8</v>
      </c>
      <c r="AD1276" s="2">
        <f t="shared" si="232"/>
        <v>1</v>
      </c>
      <c r="AE1276">
        <v>1028.2</v>
      </c>
      <c r="AF1276" s="4" t="s">
        <v>1224</v>
      </c>
      <c r="AG1276" s="2">
        <f t="shared" si="233"/>
        <v>1</v>
      </c>
      <c r="AH1276" t="s">
        <v>2937</v>
      </c>
      <c r="AI1276" s="2">
        <f t="shared" si="234"/>
        <v>12</v>
      </c>
      <c r="AJ1276" s="2">
        <f t="shared" si="235"/>
        <v>0</v>
      </c>
      <c r="AK1276" s="3">
        <v>190.00000000116421</v>
      </c>
      <c r="AM1276" s="2">
        <v>0</v>
      </c>
      <c r="AN1276">
        <v>0</v>
      </c>
      <c r="AO1276">
        <v>3</v>
      </c>
      <c r="AP1276">
        <v>0</v>
      </c>
      <c r="AQ1276" s="2">
        <f>IF((2*G1276 + M1276 -P1276 + 3*W1276 + 2*Z1276+2*AD1276 + AG1276+2*AJ1276 + 4*AM1276) &gt;=8,1,0)</f>
        <v>0</v>
      </c>
    </row>
    <row r="1277" spans="1:43" x14ac:dyDescent="0.25">
      <c r="A1277" t="s">
        <v>27</v>
      </c>
      <c r="B1277" s="1">
        <v>41618</v>
      </c>
      <c r="C1277" s="7">
        <f t="shared" si="227"/>
        <v>2013</v>
      </c>
      <c r="D1277">
        <v>59.7</v>
      </c>
      <c r="E1277">
        <v>39</v>
      </c>
      <c r="F1277">
        <v>49.5</v>
      </c>
      <c r="G1277" s="2">
        <f t="shared" si="226"/>
        <v>0</v>
      </c>
      <c r="H1277">
        <v>59.7</v>
      </c>
      <c r="I1277">
        <v>37</v>
      </c>
      <c r="J1277">
        <v>48.1</v>
      </c>
      <c r="K1277">
        <v>35.6</v>
      </c>
      <c r="L1277">
        <v>61.3</v>
      </c>
      <c r="M1277" s="2">
        <f t="shared" si="228"/>
        <v>0</v>
      </c>
      <c r="N1277">
        <v>0</v>
      </c>
      <c r="P1277" s="2">
        <f t="shared" si="229"/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43.6</v>
      </c>
      <c r="W1277" s="2">
        <f t="shared" si="230"/>
        <v>1</v>
      </c>
      <c r="X1277">
        <v>21.8</v>
      </c>
      <c r="Z1277" s="2">
        <f t="shared" si="231"/>
        <v>1</v>
      </c>
      <c r="AA1277">
        <v>356.6</v>
      </c>
      <c r="AB1277" s="2" t="str">
        <f>CHOOSE(MATCH(AA1277,{0;11;80;111;161;191;241;281;341},1),"North","NorthEast","East","SouthEast","South","SouthWest","West","NorthWest","North")</f>
        <v>North</v>
      </c>
      <c r="AC1277" s="5">
        <f>CHOOSE(MATCH(AB1277,{"South";"SouthEast";"SouthWest";"North";"NorthEast";"East";"West";"NorthWest"},0),1,2,3,4,5,6,7,8)</f>
        <v>4</v>
      </c>
      <c r="AD1277" s="2">
        <f t="shared" si="232"/>
        <v>1</v>
      </c>
      <c r="AE1277">
        <v>1022.5</v>
      </c>
      <c r="AF1277" s="4" t="s">
        <v>1948</v>
      </c>
      <c r="AG1277" s="2">
        <f t="shared" si="233"/>
        <v>1</v>
      </c>
      <c r="AH1277" t="s">
        <v>2938</v>
      </c>
      <c r="AI1277" s="2">
        <f t="shared" si="234"/>
        <v>12</v>
      </c>
      <c r="AJ1277" s="2">
        <f t="shared" si="235"/>
        <v>0</v>
      </c>
      <c r="AK1277" s="3">
        <v>45</v>
      </c>
      <c r="AM1277" s="2">
        <v>0</v>
      </c>
      <c r="AN1277">
        <v>0.1</v>
      </c>
      <c r="AO1277">
        <v>0</v>
      </c>
      <c r="AP1277">
        <v>0</v>
      </c>
      <c r="AQ1277" s="2">
        <f>IF((2*G1277 + M1277 -P1277 + 3*W1277 + 2*Z1277+2*AD1277 + AG1277+2*AJ1277 + 4*AM1277) &gt;=8,1,0)</f>
        <v>0</v>
      </c>
    </row>
    <row r="1278" spans="1:43" x14ac:dyDescent="0.25">
      <c r="A1278" t="s">
        <v>27</v>
      </c>
      <c r="B1278" s="1">
        <v>41622</v>
      </c>
      <c r="C1278" s="7">
        <f t="shared" si="227"/>
        <v>2013</v>
      </c>
      <c r="D1278">
        <v>56.3</v>
      </c>
      <c r="E1278">
        <v>36.200000000000003</v>
      </c>
      <c r="F1278">
        <v>44.8</v>
      </c>
      <c r="G1278" s="2">
        <f t="shared" si="226"/>
        <v>0</v>
      </c>
      <c r="H1278">
        <v>56.3</v>
      </c>
      <c r="I1278">
        <v>33.5</v>
      </c>
      <c r="J1278">
        <v>44.2</v>
      </c>
      <c r="K1278">
        <v>36.700000000000003</v>
      </c>
      <c r="L1278">
        <v>74.8</v>
      </c>
      <c r="M1278" s="2">
        <f t="shared" si="228"/>
        <v>0</v>
      </c>
      <c r="N1278">
        <v>0</v>
      </c>
      <c r="P1278" s="2">
        <f t="shared" si="229"/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s="2">
        <f t="shared" si="230"/>
        <v>0</v>
      </c>
      <c r="X1278">
        <v>4.5999999999999996</v>
      </c>
      <c r="Z1278" s="2">
        <f t="shared" si="231"/>
        <v>0</v>
      </c>
      <c r="AA1278">
        <v>334.5</v>
      </c>
      <c r="AB1278" s="2" t="str">
        <f>CHOOSE(MATCH(AA1278,{0;11;80;111;161;191;241;281;341},1),"North","NorthEast","East","SouthEast","South","SouthWest","West","NorthWest","North")</f>
        <v>NorthWest</v>
      </c>
      <c r="AC1278" s="5">
        <f>CHOOSE(MATCH(AB1278,{"South";"SouthEast";"SouthWest";"North";"NorthEast";"East";"West";"NorthWest"},0),1,2,3,4,5,6,7,8)</f>
        <v>8</v>
      </c>
      <c r="AD1278" s="2">
        <f t="shared" si="232"/>
        <v>1</v>
      </c>
      <c r="AE1278">
        <v>1026.3</v>
      </c>
      <c r="AF1278" s="4" t="s">
        <v>1143</v>
      </c>
      <c r="AG1278" s="2">
        <f t="shared" si="233"/>
        <v>1</v>
      </c>
      <c r="AH1278" t="s">
        <v>2939</v>
      </c>
      <c r="AI1278" s="2">
        <f t="shared" si="234"/>
        <v>12</v>
      </c>
      <c r="AJ1278" s="2">
        <f t="shared" si="235"/>
        <v>0</v>
      </c>
      <c r="AK1278" s="3">
        <v>124.9999999988358</v>
      </c>
      <c r="AM1278" s="2">
        <v>0</v>
      </c>
      <c r="AN1278">
        <v>0</v>
      </c>
      <c r="AO1278">
        <v>1.5</v>
      </c>
      <c r="AP1278">
        <v>0</v>
      </c>
      <c r="AQ1278" s="2">
        <f>IF((2*G1278 + M1278 -P1278 + 3*W1278 + 2*Z1278+2*AD1278 + AG1278+2*AJ1278 + 4*AM1278) &gt;=8,1,0)</f>
        <v>0</v>
      </c>
    </row>
    <row r="1279" spans="1:43" x14ac:dyDescent="0.25">
      <c r="A1279" t="s">
        <v>27</v>
      </c>
      <c r="B1279" s="1">
        <v>41629</v>
      </c>
      <c r="C1279" s="7">
        <f t="shared" si="227"/>
        <v>2013</v>
      </c>
      <c r="D1279">
        <v>57.1</v>
      </c>
      <c r="E1279">
        <v>36.200000000000003</v>
      </c>
      <c r="F1279">
        <v>44.7</v>
      </c>
      <c r="G1279" s="2">
        <f t="shared" ref="G1279:G1342" si="236">IF(F1279&lt;=73.6,0,1)</f>
        <v>0</v>
      </c>
      <c r="H1279">
        <v>57.1</v>
      </c>
      <c r="I1279">
        <v>32.299999999999997</v>
      </c>
      <c r="J1279">
        <v>43.5</v>
      </c>
      <c r="K1279">
        <v>37.200000000000003</v>
      </c>
      <c r="L1279">
        <v>76</v>
      </c>
      <c r="M1279" s="2">
        <f t="shared" si="228"/>
        <v>0</v>
      </c>
      <c r="N1279">
        <v>0</v>
      </c>
      <c r="P1279" s="2">
        <f t="shared" si="229"/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s="2">
        <f t="shared" si="230"/>
        <v>0</v>
      </c>
      <c r="X1279">
        <v>4.7</v>
      </c>
      <c r="Z1279" s="2">
        <f t="shared" si="231"/>
        <v>0</v>
      </c>
      <c r="AA1279">
        <v>338.4</v>
      </c>
      <c r="AB1279" s="2" t="str">
        <f>CHOOSE(MATCH(AA1279,{0;11;80;111;161;191;241;281;341},1),"North","NorthEast","East","SouthEast","South","SouthWest","West","NorthWest","North")</f>
        <v>NorthWest</v>
      </c>
      <c r="AC1279" s="5">
        <f>CHOOSE(MATCH(AB1279,{"South";"SouthEast";"SouthWest";"North";"NorthEast";"East";"West";"NorthWest"},0),1,2,3,4,5,6,7,8)</f>
        <v>8</v>
      </c>
      <c r="AD1279" s="2">
        <f t="shared" si="232"/>
        <v>1</v>
      </c>
      <c r="AE1279">
        <v>1033.3</v>
      </c>
      <c r="AF1279" s="4" t="s">
        <v>2633</v>
      </c>
      <c r="AG1279" s="2">
        <f t="shared" si="233"/>
        <v>1</v>
      </c>
      <c r="AH1279" t="s">
        <v>2940</v>
      </c>
      <c r="AI1279" s="2">
        <f t="shared" si="234"/>
        <v>12</v>
      </c>
      <c r="AJ1279" s="2">
        <f t="shared" si="235"/>
        <v>0</v>
      </c>
      <c r="AK1279" s="3">
        <v>71.000000000931323</v>
      </c>
      <c r="AM1279" s="2">
        <v>0</v>
      </c>
      <c r="AN1279">
        <v>0</v>
      </c>
      <c r="AO1279">
        <v>0.1</v>
      </c>
      <c r="AP1279">
        <v>0</v>
      </c>
      <c r="AQ1279" s="2">
        <f>IF((2*G1279 + M1279 -P1279 + 3*W1279 + 2*Z1279+2*AD1279 + AG1279+2*AJ1279 + 4*AM1279) &gt;=8,1,0)</f>
        <v>0</v>
      </c>
    </row>
    <row r="1280" spans="1:43" x14ac:dyDescent="0.25">
      <c r="A1280" t="s">
        <v>27</v>
      </c>
      <c r="B1280" s="1">
        <v>41871</v>
      </c>
      <c r="C1280" s="7">
        <f t="shared" si="227"/>
        <v>2014</v>
      </c>
      <c r="D1280">
        <v>89.5</v>
      </c>
      <c r="E1280">
        <v>68.5</v>
      </c>
      <c r="F1280">
        <v>79.099999999999994</v>
      </c>
      <c r="G1280" s="2">
        <f t="shared" si="236"/>
        <v>1</v>
      </c>
      <c r="H1280">
        <v>87.5</v>
      </c>
      <c r="I1280">
        <v>68.5</v>
      </c>
      <c r="J1280">
        <v>78.599999999999994</v>
      </c>
      <c r="K1280">
        <v>53.4</v>
      </c>
      <c r="L1280">
        <v>42.1</v>
      </c>
      <c r="M1280" s="2">
        <f t="shared" si="228"/>
        <v>1</v>
      </c>
      <c r="N1280">
        <v>0</v>
      </c>
      <c r="O1280">
        <f>AVERAGE(N1280:N1295)</f>
        <v>1.6750000000000001E-2</v>
      </c>
      <c r="P1280" s="2">
        <f t="shared" si="229"/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20.3</v>
      </c>
      <c r="W1280" s="2">
        <f t="shared" si="230"/>
        <v>1</v>
      </c>
      <c r="X1280">
        <v>13.6</v>
      </c>
      <c r="Y1280">
        <f>AVERAGE(X1280:X1295)</f>
        <v>15.1875</v>
      </c>
      <c r="Z1280" s="2">
        <f t="shared" si="231"/>
        <v>0</v>
      </c>
      <c r="AA1280">
        <v>110.3</v>
      </c>
      <c r="AB1280" s="2" t="str">
        <f>CHOOSE(MATCH(AA1280,{0;11;80;111;161;191;241;281;341},1),"North","NorthEast","East","SouthEast","South","SouthWest","West","NorthWest","North")</f>
        <v>East</v>
      </c>
      <c r="AC1280" s="5">
        <f>CHOOSE(MATCH(AB1280,{"South";"SouthEast";"SouthWest";"North";"NorthEast";"East";"West";"NorthWest"},0),1,2,3,4,5,6,7,8)</f>
        <v>6</v>
      </c>
      <c r="AD1280" s="2">
        <f t="shared" si="232"/>
        <v>0</v>
      </c>
      <c r="AE1280">
        <v>1015.4</v>
      </c>
      <c r="AF1280" s="4" t="s">
        <v>1141</v>
      </c>
      <c r="AG1280" s="2">
        <f t="shared" si="233"/>
        <v>1</v>
      </c>
      <c r="AH1280" t="s">
        <v>2000</v>
      </c>
      <c r="AI1280" s="2">
        <f t="shared" si="234"/>
        <v>8</v>
      </c>
      <c r="AJ1280" s="2">
        <f t="shared" si="235"/>
        <v>1</v>
      </c>
      <c r="AK1280" s="3">
        <v>135</v>
      </c>
      <c r="AL1280" s="3">
        <f>AVERAGE(AK1280:AK1295)</f>
        <v>537.43749999950523</v>
      </c>
      <c r="AM1280" s="2">
        <v>0</v>
      </c>
      <c r="AN1280">
        <v>8</v>
      </c>
      <c r="AO1280">
        <v>0</v>
      </c>
      <c r="AP1280">
        <v>0</v>
      </c>
      <c r="AQ1280" s="2">
        <f>IF((2*G1280 + M1280 -P1280 + 3*W1280 + 2*Z1280+2*AD1280 + AG1280+2*AJ1280 + 4*AM1280) &gt;=8,1,0)</f>
        <v>1</v>
      </c>
    </row>
    <row r="1281" spans="1:43" x14ac:dyDescent="0.25">
      <c r="A1281" t="s">
        <v>27</v>
      </c>
      <c r="B1281" s="1">
        <v>41875</v>
      </c>
      <c r="C1281" s="7">
        <f t="shared" si="227"/>
        <v>2014</v>
      </c>
      <c r="D1281">
        <v>99.5</v>
      </c>
      <c r="E1281">
        <v>71</v>
      </c>
      <c r="F1281">
        <v>85.1</v>
      </c>
      <c r="G1281" s="2">
        <f t="shared" si="236"/>
        <v>1</v>
      </c>
      <c r="H1281">
        <v>96.2</v>
      </c>
      <c r="I1281">
        <v>71</v>
      </c>
      <c r="J1281">
        <v>84.2</v>
      </c>
      <c r="K1281">
        <v>57.7</v>
      </c>
      <c r="L1281">
        <v>44</v>
      </c>
      <c r="M1281" s="2">
        <f t="shared" si="228"/>
        <v>1</v>
      </c>
      <c r="N1281">
        <v>0</v>
      </c>
      <c r="P1281" s="2">
        <f t="shared" si="229"/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32.700000000000003</v>
      </c>
      <c r="W1281" s="2">
        <f t="shared" si="230"/>
        <v>1</v>
      </c>
      <c r="X1281">
        <v>14.8</v>
      </c>
      <c r="Z1281" s="2">
        <f t="shared" si="231"/>
        <v>0</v>
      </c>
      <c r="AA1281">
        <v>33.700000000000003</v>
      </c>
      <c r="AB1281" s="2" t="str">
        <f>CHOOSE(MATCH(AA1281,{0;11;80;111;161;191;241;281;341},1),"North","NorthEast","East","SouthEast","South","SouthWest","West","NorthWest","North")</f>
        <v>NorthEast</v>
      </c>
      <c r="AC1281" s="5">
        <f>CHOOSE(MATCH(AB1281,{"South";"SouthEast";"SouthWest";"North";"NorthEast";"East";"West";"NorthWest"},0),1,2,3,4,5,6,7,8)</f>
        <v>5</v>
      </c>
      <c r="AD1281" s="2">
        <f t="shared" si="232"/>
        <v>1</v>
      </c>
      <c r="AE1281">
        <v>1010.4</v>
      </c>
      <c r="AF1281" s="4" t="s">
        <v>2001</v>
      </c>
      <c r="AG1281" s="2">
        <f t="shared" si="233"/>
        <v>1</v>
      </c>
      <c r="AH1281" t="s">
        <v>2002</v>
      </c>
      <c r="AI1281" s="2">
        <f t="shared" si="234"/>
        <v>8</v>
      </c>
      <c r="AJ1281" s="2">
        <f t="shared" si="235"/>
        <v>1</v>
      </c>
      <c r="AK1281" s="3">
        <v>65.000000002328306</v>
      </c>
      <c r="AM1281" s="2">
        <v>0</v>
      </c>
      <c r="AN1281">
        <v>0.1</v>
      </c>
      <c r="AO1281">
        <v>0</v>
      </c>
      <c r="AP1281">
        <v>0</v>
      </c>
      <c r="AQ1281" s="2">
        <f>IF((2*G1281 + M1281 -P1281 + 3*W1281 + 2*Z1281+2*AD1281 + AG1281+2*AJ1281 + 4*AM1281) &gt;=8,1,0)</f>
        <v>1</v>
      </c>
    </row>
    <row r="1282" spans="1:43" x14ac:dyDescent="0.25">
      <c r="A1282" t="s">
        <v>27</v>
      </c>
      <c r="B1282" s="1">
        <v>41876</v>
      </c>
      <c r="C1282" s="7">
        <f t="shared" si="227"/>
        <v>2014</v>
      </c>
      <c r="D1282">
        <v>93.4</v>
      </c>
      <c r="E1282">
        <v>73.599999999999994</v>
      </c>
      <c r="F1282">
        <v>82.9</v>
      </c>
      <c r="G1282" s="2">
        <f t="shared" si="236"/>
        <v>1</v>
      </c>
      <c r="H1282">
        <v>92.8</v>
      </c>
      <c r="I1282">
        <v>73.599999999999994</v>
      </c>
      <c r="J1282">
        <v>83.3</v>
      </c>
      <c r="K1282">
        <v>61.7</v>
      </c>
      <c r="L1282">
        <v>50.1</v>
      </c>
      <c r="M1282" s="2">
        <f t="shared" si="228"/>
        <v>0</v>
      </c>
      <c r="N1282">
        <v>0</v>
      </c>
      <c r="P1282" s="2">
        <f t="shared" si="229"/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25</v>
      </c>
      <c r="W1282" s="2">
        <f t="shared" si="230"/>
        <v>1</v>
      </c>
      <c r="X1282">
        <v>16</v>
      </c>
      <c r="Z1282" s="2">
        <f t="shared" si="231"/>
        <v>1</v>
      </c>
      <c r="AA1282">
        <v>27.5</v>
      </c>
      <c r="AB1282" s="2" t="str">
        <f>CHOOSE(MATCH(AA1282,{0;11;80;111;161;191;241;281;341},1),"North","NorthEast","East","SouthEast","South","SouthWest","West","NorthWest","North")</f>
        <v>NorthEast</v>
      </c>
      <c r="AC1282" s="5">
        <f>CHOOSE(MATCH(AB1282,{"South";"SouthEast";"SouthWest";"North";"NorthEast";"East";"West";"NorthWest"},0),1,2,3,4,5,6,7,8)</f>
        <v>5</v>
      </c>
      <c r="AD1282" s="2">
        <f t="shared" si="232"/>
        <v>1</v>
      </c>
      <c r="AE1282">
        <v>1011.1</v>
      </c>
      <c r="AF1282" s="4" t="s">
        <v>2003</v>
      </c>
      <c r="AG1282" s="2">
        <f t="shared" si="233"/>
        <v>0</v>
      </c>
      <c r="AH1282" t="s">
        <v>2004</v>
      </c>
      <c r="AI1282" s="2">
        <f t="shared" si="234"/>
        <v>8</v>
      </c>
      <c r="AJ1282" s="2">
        <f t="shared" si="235"/>
        <v>1</v>
      </c>
      <c r="AK1282" s="3">
        <v>42.000000000698492</v>
      </c>
      <c r="AM1282" s="2">
        <v>0</v>
      </c>
      <c r="AN1282">
        <v>0</v>
      </c>
      <c r="AO1282">
        <v>0.01</v>
      </c>
      <c r="AP1282">
        <v>0</v>
      </c>
      <c r="AQ1282" s="2">
        <f>IF((2*G1282 + M1282 -P1282 + 3*W1282 + 2*Z1282+2*AD1282 + AG1282+2*AJ1282 + 4*AM1282) &gt;=8,1,0)</f>
        <v>1</v>
      </c>
    </row>
    <row r="1283" spans="1:43" x14ac:dyDescent="0.25">
      <c r="A1283" t="s">
        <v>27</v>
      </c>
      <c r="B1283" s="1">
        <v>41877</v>
      </c>
      <c r="C1283" s="7">
        <f t="shared" si="227"/>
        <v>2014</v>
      </c>
      <c r="D1283">
        <v>90</v>
      </c>
      <c r="E1283">
        <v>75.7</v>
      </c>
      <c r="F1283">
        <v>81.8</v>
      </c>
      <c r="G1283" s="2">
        <f t="shared" si="236"/>
        <v>1</v>
      </c>
      <c r="H1283">
        <v>88.8</v>
      </c>
      <c r="I1283">
        <v>75.7</v>
      </c>
      <c r="J1283">
        <v>81.599999999999994</v>
      </c>
      <c r="K1283">
        <v>60.8</v>
      </c>
      <c r="L1283">
        <v>50.4</v>
      </c>
      <c r="M1283" s="2">
        <f t="shared" si="228"/>
        <v>0</v>
      </c>
      <c r="N1283">
        <v>0</v>
      </c>
      <c r="P1283" s="2">
        <f t="shared" si="229"/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33.299999999999997</v>
      </c>
      <c r="W1283" s="2">
        <f t="shared" si="230"/>
        <v>1</v>
      </c>
      <c r="X1283">
        <v>16.399999999999999</v>
      </c>
      <c r="Z1283" s="2">
        <f t="shared" si="231"/>
        <v>1</v>
      </c>
      <c r="AA1283">
        <v>29.2</v>
      </c>
      <c r="AB1283" s="2" t="str">
        <f>CHOOSE(MATCH(AA1283,{0;11;80;111;161;191;241;281;341},1),"North","NorthEast","East","SouthEast","South","SouthWest","West","NorthWest","North")</f>
        <v>NorthEast</v>
      </c>
      <c r="AC1283" s="5">
        <f>CHOOSE(MATCH(AB1283,{"South";"SouthEast";"SouthWest";"North";"NorthEast";"East";"West";"NorthWest"},0),1,2,3,4,5,6,7,8)</f>
        <v>5</v>
      </c>
      <c r="AD1283" s="2">
        <f t="shared" si="232"/>
        <v>1</v>
      </c>
      <c r="AE1283">
        <v>1012.8</v>
      </c>
      <c r="AF1283" s="4" t="s">
        <v>1072</v>
      </c>
      <c r="AG1283" s="2">
        <f t="shared" si="233"/>
        <v>1</v>
      </c>
      <c r="AH1283" t="s">
        <v>2005</v>
      </c>
      <c r="AI1283" s="2">
        <f t="shared" si="234"/>
        <v>8</v>
      </c>
      <c r="AJ1283" s="2">
        <f t="shared" si="235"/>
        <v>1</v>
      </c>
      <c r="AK1283" s="3">
        <v>46.999999996041879</v>
      </c>
      <c r="AM1283" s="2">
        <v>0</v>
      </c>
      <c r="AN1283">
        <v>0</v>
      </c>
      <c r="AO1283">
        <v>2.5</v>
      </c>
      <c r="AP1283">
        <v>0</v>
      </c>
      <c r="AQ1283" s="2">
        <f>IF((2*G1283 + M1283 -P1283 + 3*W1283 + 2*Z1283+2*AD1283 + AG1283+2*AJ1283 + 4*AM1283) &gt;=8,1,0)</f>
        <v>1</v>
      </c>
    </row>
    <row r="1284" spans="1:43" x14ac:dyDescent="0.25">
      <c r="A1284" t="s">
        <v>27</v>
      </c>
      <c r="B1284" s="1">
        <v>41879</v>
      </c>
      <c r="C1284" s="7">
        <f t="shared" si="227"/>
        <v>2014</v>
      </c>
      <c r="D1284">
        <v>94.9</v>
      </c>
      <c r="E1284">
        <v>69.400000000000006</v>
      </c>
      <c r="F1284">
        <v>82.9</v>
      </c>
      <c r="G1284" s="2">
        <f t="shared" si="236"/>
        <v>1</v>
      </c>
      <c r="H1284">
        <v>93.9</v>
      </c>
      <c r="I1284">
        <v>69.400000000000006</v>
      </c>
      <c r="J1284">
        <v>82.8</v>
      </c>
      <c r="K1284">
        <v>60.4</v>
      </c>
      <c r="L1284">
        <v>49</v>
      </c>
      <c r="M1284" s="2">
        <f t="shared" si="228"/>
        <v>1</v>
      </c>
      <c r="N1284">
        <v>0</v>
      </c>
      <c r="P1284" s="2">
        <f t="shared" si="229"/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31.1</v>
      </c>
      <c r="W1284" s="2">
        <f t="shared" si="230"/>
        <v>1</v>
      </c>
      <c r="X1284">
        <v>16.8</v>
      </c>
      <c r="Z1284" s="2">
        <f t="shared" si="231"/>
        <v>1</v>
      </c>
      <c r="AA1284">
        <v>18.100000000000001</v>
      </c>
      <c r="AB1284" s="2" t="str">
        <f>CHOOSE(MATCH(AA1284,{0;11;80;111;161;191;241;281;341},1),"North","NorthEast","East","SouthEast","South","SouthWest","West","NorthWest","North")</f>
        <v>NorthEast</v>
      </c>
      <c r="AC1284" s="5">
        <f>CHOOSE(MATCH(AB1284,{"South";"SouthEast";"SouthWest";"North";"NorthEast";"East";"West";"NorthWest"},0),1,2,3,4,5,6,7,8)</f>
        <v>5</v>
      </c>
      <c r="AD1284" s="2">
        <f t="shared" si="232"/>
        <v>1</v>
      </c>
      <c r="AE1284">
        <v>1008.5</v>
      </c>
      <c r="AF1284" s="4" t="s">
        <v>2006</v>
      </c>
      <c r="AG1284" s="2">
        <f t="shared" si="233"/>
        <v>1</v>
      </c>
      <c r="AH1284" t="s">
        <v>2007</v>
      </c>
      <c r="AI1284" s="2">
        <f t="shared" si="234"/>
        <v>8</v>
      </c>
      <c r="AJ1284" s="2">
        <f t="shared" si="235"/>
        <v>1</v>
      </c>
      <c r="AK1284" s="3">
        <v>243.99999999906871</v>
      </c>
      <c r="AM1284" s="2">
        <v>0</v>
      </c>
      <c r="AN1284">
        <v>0</v>
      </c>
      <c r="AO1284">
        <v>2</v>
      </c>
      <c r="AP1284">
        <v>0</v>
      </c>
      <c r="AQ1284" s="2">
        <f>IF((2*G1284 + M1284 -P1284 + 3*W1284 + 2*Z1284+2*AD1284 + AG1284+2*AJ1284 + 4*AM1284) &gt;=8,1,0)</f>
        <v>1</v>
      </c>
    </row>
    <row r="1285" spans="1:43" x14ac:dyDescent="0.25">
      <c r="A1285" t="s">
        <v>27</v>
      </c>
      <c r="B1285" s="1">
        <v>41881</v>
      </c>
      <c r="C1285" s="7">
        <f t="shared" si="227"/>
        <v>2014</v>
      </c>
      <c r="D1285">
        <v>84.1</v>
      </c>
      <c r="E1285">
        <v>73.2</v>
      </c>
      <c r="F1285">
        <v>77.900000000000006</v>
      </c>
      <c r="G1285" s="2">
        <f t="shared" si="236"/>
        <v>1</v>
      </c>
      <c r="H1285">
        <v>82.6</v>
      </c>
      <c r="I1285">
        <v>73.2</v>
      </c>
      <c r="J1285">
        <v>77.5</v>
      </c>
      <c r="K1285">
        <v>52.9</v>
      </c>
      <c r="L1285">
        <v>42.7</v>
      </c>
      <c r="M1285" s="2">
        <f t="shared" si="228"/>
        <v>1</v>
      </c>
      <c r="N1285">
        <v>0</v>
      </c>
      <c r="P1285" s="2">
        <f t="shared" si="229"/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35.6</v>
      </c>
      <c r="W1285" s="2">
        <f t="shared" si="230"/>
        <v>1</v>
      </c>
      <c r="X1285">
        <v>22.6</v>
      </c>
      <c r="Z1285" s="2">
        <f t="shared" si="231"/>
        <v>1</v>
      </c>
      <c r="AA1285">
        <v>7.3</v>
      </c>
      <c r="AB1285" s="2" t="str">
        <f>CHOOSE(MATCH(AA1285,{0;11;80;111;161;191;241;281;341},1),"North","NorthEast","East","SouthEast","South","SouthWest","West","NorthWest","North")</f>
        <v>North</v>
      </c>
      <c r="AC1285" s="5">
        <f>CHOOSE(MATCH(AB1285,{"South";"SouthEast";"SouthWest";"North";"NorthEast";"East";"West";"NorthWest"},0),1,2,3,4,5,6,7,8)</f>
        <v>4</v>
      </c>
      <c r="AD1285" s="2">
        <f t="shared" si="232"/>
        <v>1</v>
      </c>
      <c r="AE1285">
        <v>1014.7</v>
      </c>
      <c r="AF1285" s="4" t="s">
        <v>2008</v>
      </c>
      <c r="AG1285" s="2">
        <f t="shared" si="233"/>
        <v>1</v>
      </c>
      <c r="AH1285" t="s">
        <v>2009</v>
      </c>
      <c r="AI1285" s="2">
        <f t="shared" si="234"/>
        <v>8</v>
      </c>
      <c r="AJ1285" s="2">
        <f t="shared" si="235"/>
        <v>1</v>
      </c>
      <c r="AK1285" s="3">
        <v>27.999999996973202</v>
      </c>
      <c r="AM1285" s="2">
        <v>0</v>
      </c>
      <c r="AN1285">
        <v>0</v>
      </c>
      <c r="AO1285">
        <v>0.15</v>
      </c>
      <c r="AP1285">
        <v>0</v>
      </c>
      <c r="AQ1285" s="2">
        <f>IF((2*G1285 + M1285 -P1285 + 3*W1285 + 2*Z1285+2*AD1285 + AG1285+2*AJ1285 + 4*AM1285) &gt;=8,1,0)</f>
        <v>1</v>
      </c>
    </row>
    <row r="1286" spans="1:43" x14ac:dyDescent="0.25">
      <c r="A1286" t="s">
        <v>27</v>
      </c>
      <c r="B1286" s="1">
        <v>41909</v>
      </c>
      <c r="C1286" s="7">
        <f t="shared" si="227"/>
        <v>2014</v>
      </c>
      <c r="D1286">
        <v>68.900000000000006</v>
      </c>
      <c r="E1286">
        <v>61.7</v>
      </c>
      <c r="F1286">
        <v>63.7</v>
      </c>
      <c r="G1286" s="2">
        <f t="shared" si="236"/>
        <v>0</v>
      </c>
      <c r="H1286">
        <v>68.900000000000006</v>
      </c>
      <c r="I1286">
        <v>61.7</v>
      </c>
      <c r="J1286">
        <v>63.7</v>
      </c>
      <c r="K1286">
        <v>48</v>
      </c>
      <c r="L1286">
        <v>57.1</v>
      </c>
      <c r="M1286" s="2">
        <f t="shared" si="228"/>
        <v>0</v>
      </c>
      <c r="N1286">
        <v>3.0000000000000001E-3</v>
      </c>
      <c r="P1286" s="2">
        <f t="shared" si="229"/>
        <v>1</v>
      </c>
      <c r="Q1286">
        <v>100</v>
      </c>
      <c r="R1286">
        <v>4.17</v>
      </c>
      <c r="S1286" t="s">
        <v>87</v>
      </c>
      <c r="T1286">
        <v>0</v>
      </c>
      <c r="U1286">
        <v>0</v>
      </c>
      <c r="V1286">
        <v>41.8</v>
      </c>
      <c r="W1286" s="2">
        <f t="shared" si="230"/>
        <v>1</v>
      </c>
      <c r="X1286">
        <v>19.3</v>
      </c>
      <c r="Z1286" s="2">
        <f t="shared" si="231"/>
        <v>1</v>
      </c>
      <c r="AA1286">
        <v>343.8</v>
      </c>
      <c r="AB1286" s="2" t="str">
        <f>CHOOSE(MATCH(AA1286,{0;11;80;111;161;191;241;281;341},1),"North","NorthEast","East","SouthEast","South","SouthWest","West","NorthWest","North")</f>
        <v>North</v>
      </c>
      <c r="AC1286" s="5">
        <f>CHOOSE(MATCH(AB1286,{"South";"SouthEast";"SouthWest";"North";"NorthEast";"East";"West";"NorthWest"},0),1,2,3,4,5,6,7,8)</f>
        <v>4</v>
      </c>
      <c r="AD1286" s="2">
        <f t="shared" si="232"/>
        <v>1</v>
      </c>
      <c r="AE1286">
        <v>1013.9</v>
      </c>
      <c r="AF1286" s="4" t="s">
        <v>2011</v>
      </c>
      <c r="AG1286" s="2">
        <f t="shared" si="233"/>
        <v>1</v>
      </c>
      <c r="AH1286" t="s">
        <v>2012</v>
      </c>
      <c r="AI1286" s="2">
        <f t="shared" si="234"/>
        <v>9</v>
      </c>
      <c r="AJ1286" s="2">
        <f t="shared" si="235"/>
        <v>0</v>
      </c>
      <c r="AK1286" s="3">
        <v>270</v>
      </c>
      <c r="AM1286" s="2">
        <v>0</v>
      </c>
      <c r="AN1286">
        <v>0</v>
      </c>
      <c r="AO1286">
        <v>0.1</v>
      </c>
      <c r="AP1286">
        <v>0</v>
      </c>
      <c r="AQ1286" s="2">
        <f>IF((2*G1286 + M1286 -P1286 + 3*W1286 + 2*Z1286+2*AD1286 + AG1286+2*AJ1286 + 4*AM1286) &gt;=8,1,0)</f>
        <v>0</v>
      </c>
    </row>
    <row r="1287" spans="1:43" x14ac:dyDescent="0.25">
      <c r="A1287" t="s">
        <v>27</v>
      </c>
      <c r="B1287" s="1">
        <v>41912</v>
      </c>
      <c r="C1287" s="7">
        <f t="shared" si="227"/>
        <v>2014</v>
      </c>
      <c r="D1287">
        <v>76.8</v>
      </c>
      <c r="E1287">
        <v>61.3</v>
      </c>
      <c r="F1287">
        <v>68.2</v>
      </c>
      <c r="G1287" s="2">
        <f t="shared" si="236"/>
        <v>0</v>
      </c>
      <c r="H1287">
        <v>76.8</v>
      </c>
      <c r="I1287">
        <v>61.3</v>
      </c>
      <c r="J1287">
        <v>68.2</v>
      </c>
      <c r="K1287">
        <v>48.3</v>
      </c>
      <c r="L1287">
        <v>50.3</v>
      </c>
      <c r="M1287" s="2">
        <f t="shared" si="228"/>
        <v>0</v>
      </c>
      <c r="N1287">
        <v>0</v>
      </c>
      <c r="P1287" s="2">
        <f t="shared" si="229"/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30.2</v>
      </c>
      <c r="W1287" s="2">
        <f t="shared" si="230"/>
        <v>1</v>
      </c>
      <c r="X1287">
        <v>17.2</v>
      </c>
      <c r="Z1287" s="2">
        <f t="shared" si="231"/>
        <v>1</v>
      </c>
      <c r="AA1287">
        <v>5.4</v>
      </c>
      <c r="AB1287" s="2" t="str">
        <f>CHOOSE(MATCH(AA1287,{0;11;80;111;161;191;241;281;341},1),"North","NorthEast","East","SouthEast","South","SouthWest","West","NorthWest","North")</f>
        <v>North</v>
      </c>
      <c r="AC1287" s="5">
        <f>CHOOSE(MATCH(AB1287,{"South";"SouthEast";"SouthWest";"North";"NorthEast";"East";"West";"NorthWest"},0),1,2,3,4,5,6,7,8)</f>
        <v>4</v>
      </c>
      <c r="AD1287" s="2">
        <f t="shared" si="232"/>
        <v>1</v>
      </c>
      <c r="AE1287">
        <v>1024</v>
      </c>
      <c r="AF1287" s="4" t="s">
        <v>2013</v>
      </c>
      <c r="AG1287" s="2">
        <f t="shared" si="233"/>
        <v>1</v>
      </c>
      <c r="AH1287" t="s">
        <v>2014</v>
      </c>
      <c r="AI1287" s="2">
        <f t="shared" si="234"/>
        <v>9</v>
      </c>
      <c r="AJ1287" s="2">
        <f t="shared" si="235"/>
        <v>0</v>
      </c>
      <c r="AK1287" s="3">
        <v>2871.000000002095</v>
      </c>
      <c r="AM1287" s="2">
        <v>1</v>
      </c>
      <c r="AN1287">
        <v>0</v>
      </c>
      <c r="AO1287">
        <v>43</v>
      </c>
      <c r="AP1287">
        <v>0</v>
      </c>
      <c r="AQ1287" s="2">
        <f>IF((2*G1287 + M1287 -P1287 + 3*W1287 + 2*Z1287+2*AD1287 + AG1287+2*AJ1287 + 4*AM1287) &gt;=8,1,0)</f>
        <v>1</v>
      </c>
    </row>
    <row r="1288" spans="1:43" x14ac:dyDescent="0.25">
      <c r="A1288" t="s">
        <v>27</v>
      </c>
      <c r="B1288" s="1">
        <v>41919</v>
      </c>
      <c r="C1288" s="7">
        <f t="shared" si="227"/>
        <v>2014</v>
      </c>
      <c r="D1288">
        <v>79.3</v>
      </c>
      <c r="E1288">
        <v>61.9</v>
      </c>
      <c r="F1288">
        <v>68.3</v>
      </c>
      <c r="G1288" s="2">
        <f t="shared" si="236"/>
        <v>0</v>
      </c>
      <c r="H1288">
        <v>79.3</v>
      </c>
      <c r="I1288">
        <v>61.9</v>
      </c>
      <c r="J1288">
        <v>68.3</v>
      </c>
      <c r="K1288">
        <v>57.3</v>
      </c>
      <c r="L1288">
        <v>68.900000000000006</v>
      </c>
      <c r="M1288" s="2">
        <f t="shared" si="228"/>
        <v>0</v>
      </c>
      <c r="N1288">
        <v>0.18099999999999999</v>
      </c>
      <c r="P1288" s="2">
        <f t="shared" si="229"/>
        <v>0</v>
      </c>
      <c r="Q1288">
        <v>100</v>
      </c>
      <c r="R1288">
        <v>4.17</v>
      </c>
      <c r="S1288" t="s">
        <v>87</v>
      </c>
      <c r="T1288">
        <v>0</v>
      </c>
      <c r="U1288">
        <v>0</v>
      </c>
      <c r="V1288">
        <v>22.6</v>
      </c>
      <c r="W1288" s="2">
        <f t="shared" si="230"/>
        <v>1</v>
      </c>
      <c r="X1288">
        <v>13.9</v>
      </c>
      <c r="Z1288" s="2">
        <f t="shared" si="231"/>
        <v>0</v>
      </c>
      <c r="AA1288">
        <v>325.10000000000002</v>
      </c>
      <c r="AB1288" s="2" t="str">
        <f>CHOOSE(MATCH(AA1288,{0;11;80;111;161;191;241;281;341},1),"North","NorthEast","East","SouthEast","South","SouthWest","West","NorthWest","North")</f>
        <v>NorthWest</v>
      </c>
      <c r="AC1288" s="5">
        <f>CHOOSE(MATCH(AB1288,{"South";"SouthEast";"SouthWest";"North";"NorthEast";"East";"West";"NorthWest"},0),1,2,3,4,5,6,7,8)</f>
        <v>8</v>
      </c>
      <c r="AD1288" s="2">
        <f t="shared" si="232"/>
        <v>1</v>
      </c>
      <c r="AE1288">
        <v>1020.3</v>
      </c>
      <c r="AF1288" s="4" t="s">
        <v>1219</v>
      </c>
      <c r="AG1288" s="2">
        <f t="shared" si="233"/>
        <v>1</v>
      </c>
      <c r="AH1288" t="s">
        <v>2015</v>
      </c>
      <c r="AI1288" s="2">
        <f t="shared" si="234"/>
        <v>10</v>
      </c>
      <c r="AJ1288" s="2">
        <f t="shared" si="235"/>
        <v>0</v>
      </c>
      <c r="AK1288" s="3">
        <v>110.9999999951106</v>
      </c>
      <c r="AM1288" s="2">
        <v>0</v>
      </c>
      <c r="AN1288">
        <v>30</v>
      </c>
      <c r="AO1288">
        <v>0</v>
      </c>
      <c r="AP1288">
        <v>0</v>
      </c>
      <c r="AQ1288" s="2">
        <f>IF((2*G1288 + M1288 -P1288 + 3*W1288 + 2*Z1288+2*AD1288 + AG1288+2*AJ1288 + 4*AM1288) &gt;=8,1,0)</f>
        <v>0</v>
      </c>
    </row>
    <row r="1289" spans="1:43" x14ac:dyDescent="0.25">
      <c r="A1289" t="s">
        <v>27</v>
      </c>
      <c r="B1289" s="1">
        <v>41922</v>
      </c>
      <c r="C1289" s="7">
        <f t="shared" si="227"/>
        <v>2014</v>
      </c>
      <c r="D1289">
        <v>76.099999999999994</v>
      </c>
      <c r="E1289">
        <v>62.3</v>
      </c>
      <c r="F1289">
        <v>68.5</v>
      </c>
      <c r="G1289" s="2">
        <f t="shared" si="236"/>
        <v>0</v>
      </c>
      <c r="H1289">
        <v>76.099999999999994</v>
      </c>
      <c r="I1289">
        <v>62.3</v>
      </c>
      <c r="J1289">
        <v>68.5</v>
      </c>
      <c r="K1289">
        <v>50.1</v>
      </c>
      <c r="L1289">
        <v>52.6</v>
      </c>
      <c r="M1289" s="2">
        <f t="shared" si="228"/>
        <v>0</v>
      </c>
      <c r="N1289">
        <v>0</v>
      </c>
      <c r="P1289" s="2">
        <f t="shared" si="229"/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33.6</v>
      </c>
      <c r="W1289" s="2">
        <f t="shared" si="230"/>
        <v>1</v>
      </c>
      <c r="X1289">
        <v>18.8</v>
      </c>
      <c r="Z1289" s="2">
        <f t="shared" si="231"/>
        <v>1</v>
      </c>
      <c r="AA1289">
        <v>356.2</v>
      </c>
      <c r="AB1289" s="2" t="str">
        <f>CHOOSE(MATCH(AA1289,{0;11;80;111;161;191;241;281;341},1),"North","NorthEast","East","SouthEast","South","SouthWest","West","NorthWest","North")</f>
        <v>North</v>
      </c>
      <c r="AC1289" s="5">
        <f>CHOOSE(MATCH(AB1289,{"South";"SouthEast";"SouthWest";"North";"NorthEast";"East";"West";"NorthWest"},0),1,2,3,4,5,6,7,8)</f>
        <v>4</v>
      </c>
      <c r="AD1289" s="2">
        <f t="shared" si="232"/>
        <v>1</v>
      </c>
      <c r="AE1289">
        <v>1018.8</v>
      </c>
      <c r="AF1289" s="4" t="s">
        <v>2016</v>
      </c>
      <c r="AG1289" s="2">
        <f t="shared" si="233"/>
        <v>1</v>
      </c>
      <c r="AH1289" t="s">
        <v>2017</v>
      </c>
      <c r="AI1289" s="2">
        <f t="shared" si="234"/>
        <v>10</v>
      </c>
      <c r="AJ1289" s="2">
        <f t="shared" si="235"/>
        <v>0</v>
      </c>
      <c r="AK1289" s="3">
        <v>3077.0000000030268</v>
      </c>
      <c r="AM1289" s="2">
        <v>1</v>
      </c>
      <c r="AN1289">
        <v>0</v>
      </c>
      <c r="AO1289">
        <v>0.5</v>
      </c>
      <c r="AP1289">
        <v>0</v>
      </c>
      <c r="AQ1289" s="2">
        <f>IF((2*G1289 + M1289 -P1289 + 3*W1289 + 2*Z1289+2*AD1289 + AG1289+2*AJ1289 + 4*AM1289) &gt;=8,1,0)</f>
        <v>1</v>
      </c>
    </row>
    <row r="1290" spans="1:43" x14ac:dyDescent="0.25">
      <c r="A1290" t="s">
        <v>27</v>
      </c>
      <c r="B1290" s="1">
        <v>41928</v>
      </c>
      <c r="C1290" s="7">
        <f t="shared" si="227"/>
        <v>2014</v>
      </c>
      <c r="D1290">
        <v>87.8</v>
      </c>
      <c r="E1290">
        <v>62.6</v>
      </c>
      <c r="F1290">
        <v>74</v>
      </c>
      <c r="G1290" s="2">
        <f t="shared" si="236"/>
        <v>1</v>
      </c>
      <c r="H1290">
        <v>84.5</v>
      </c>
      <c r="I1290">
        <v>62.6</v>
      </c>
      <c r="J1290">
        <v>73.599999999999994</v>
      </c>
      <c r="K1290">
        <v>57.5</v>
      </c>
      <c r="L1290">
        <v>62</v>
      </c>
      <c r="M1290" s="2">
        <f t="shared" si="228"/>
        <v>0</v>
      </c>
      <c r="N1290">
        <v>0</v>
      </c>
      <c r="P1290" s="2">
        <f t="shared" si="229"/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23.7</v>
      </c>
      <c r="W1290" s="2">
        <f t="shared" si="230"/>
        <v>1</v>
      </c>
      <c r="X1290">
        <v>13.1</v>
      </c>
      <c r="Z1290" s="2">
        <f t="shared" si="231"/>
        <v>0</v>
      </c>
      <c r="AA1290">
        <v>274.3</v>
      </c>
      <c r="AB1290" s="2" t="str">
        <f>CHOOSE(MATCH(AA1290,{0;11;80;111;161;191;241;281;341},1),"North","NorthEast","East","SouthEast","South","SouthWest","West","NorthWest","North")</f>
        <v>West</v>
      </c>
      <c r="AC1290" s="5">
        <f>CHOOSE(MATCH(AB1290,{"South";"SouthEast";"SouthWest";"North";"NorthEast";"East";"West";"NorthWest"},0),1,2,3,4,5,6,7,8)</f>
        <v>7</v>
      </c>
      <c r="AD1290" s="2">
        <f t="shared" si="232"/>
        <v>0</v>
      </c>
      <c r="AE1290">
        <v>1016</v>
      </c>
      <c r="AF1290" s="4" t="s">
        <v>2018</v>
      </c>
      <c r="AG1290" s="2">
        <f t="shared" si="233"/>
        <v>1</v>
      </c>
      <c r="AH1290" t="s">
        <v>2019</v>
      </c>
      <c r="AI1290" s="2">
        <f t="shared" si="234"/>
        <v>10</v>
      </c>
      <c r="AJ1290" s="2">
        <f t="shared" si="235"/>
        <v>0</v>
      </c>
      <c r="AK1290" s="3">
        <v>724.00000000256114</v>
      </c>
      <c r="AM1290" s="2">
        <v>1</v>
      </c>
      <c r="AN1290">
        <v>0.5</v>
      </c>
      <c r="AO1290">
        <v>0</v>
      </c>
      <c r="AP1290">
        <v>0</v>
      </c>
      <c r="AQ1290" s="2">
        <f>IF((2*G1290 + M1290 -P1290 + 3*W1290 + 2*Z1290+2*AD1290 + AG1290+2*AJ1290 + 4*AM1290) &gt;=8,1,0)</f>
        <v>1</v>
      </c>
    </row>
    <row r="1291" spans="1:43" x14ac:dyDescent="0.25">
      <c r="A1291" t="s">
        <v>27</v>
      </c>
      <c r="B1291" s="1">
        <v>41930</v>
      </c>
      <c r="C1291" s="7">
        <f t="shared" si="227"/>
        <v>2014</v>
      </c>
      <c r="D1291">
        <v>87.2</v>
      </c>
      <c r="E1291">
        <v>64.400000000000006</v>
      </c>
      <c r="F1291">
        <v>76.099999999999994</v>
      </c>
      <c r="G1291" s="2">
        <f t="shared" si="236"/>
        <v>1</v>
      </c>
      <c r="H1291">
        <v>84.6</v>
      </c>
      <c r="I1291">
        <v>64.400000000000006</v>
      </c>
      <c r="J1291">
        <v>75.5</v>
      </c>
      <c r="K1291">
        <v>52.2</v>
      </c>
      <c r="L1291">
        <v>45.5</v>
      </c>
      <c r="M1291" s="2">
        <f t="shared" si="228"/>
        <v>1</v>
      </c>
      <c r="N1291">
        <v>0</v>
      </c>
      <c r="P1291" s="2">
        <f t="shared" si="229"/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27.5</v>
      </c>
      <c r="W1291" s="2">
        <f t="shared" si="230"/>
        <v>1</v>
      </c>
      <c r="X1291">
        <v>15.3</v>
      </c>
      <c r="Z1291" s="2">
        <f t="shared" si="231"/>
        <v>0</v>
      </c>
      <c r="AA1291">
        <v>344.1</v>
      </c>
      <c r="AB1291" s="2" t="str">
        <f>CHOOSE(MATCH(AA1291,{0;11;80;111;161;191;241;281;341},1),"North","NorthEast","East","SouthEast","South","SouthWest","West","NorthWest","North")</f>
        <v>North</v>
      </c>
      <c r="AC1291" s="5">
        <f>CHOOSE(MATCH(AB1291,{"South";"SouthEast";"SouthWest";"North";"NorthEast";"East";"West";"NorthWest"},0),1,2,3,4,5,6,7,8)</f>
        <v>4</v>
      </c>
      <c r="AD1291" s="2">
        <f t="shared" si="232"/>
        <v>1</v>
      </c>
      <c r="AE1291">
        <v>1016.2</v>
      </c>
      <c r="AF1291" s="4" t="s">
        <v>2020</v>
      </c>
      <c r="AG1291" s="2">
        <f t="shared" si="233"/>
        <v>1</v>
      </c>
      <c r="AH1291" t="s">
        <v>2021</v>
      </c>
      <c r="AI1291" s="2">
        <f t="shared" si="234"/>
        <v>10</v>
      </c>
      <c r="AJ1291" s="2">
        <f t="shared" si="235"/>
        <v>0</v>
      </c>
      <c r="AK1291" s="3">
        <v>90</v>
      </c>
      <c r="AM1291" s="2">
        <v>0</v>
      </c>
      <c r="AN1291">
        <v>0.5</v>
      </c>
      <c r="AO1291">
        <v>0</v>
      </c>
      <c r="AP1291">
        <v>0</v>
      </c>
      <c r="AQ1291" s="2">
        <f>IF((2*G1291 + M1291 -P1291 + 3*W1291 + 2*Z1291+2*AD1291 + AG1291+2*AJ1291 + 4*AM1291) &gt;=8,1,0)</f>
        <v>1</v>
      </c>
    </row>
    <row r="1292" spans="1:43" x14ac:dyDescent="0.25">
      <c r="A1292" t="s">
        <v>27</v>
      </c>
      <c r="B1292" s="1">
        <v>41933</v>
      </c>
      <c r="C1292" s="7">
        <f t="shared" si="227"/>
        <v>2014</v>
      </c>
      <c r="D1292">
        <v>74.3</v>
      </c>
      <c r="E1292">
        <v>50.3</v>
      </c>
      <c r="F1292">
        <v>62.4</v>
      </c>
      <c r="G1292" s="2">
        <f t="shared" si="236"/>
        <v>0</v>
      </c>
      <c r="H1292">
        <v>74.3</v>
      </c>
      <c r="I1292">
        <v>50.3</v>
      </c>
      <c r="J1292">
        <v>62.4</v>
      </c>
      <c r="K1292">
        <v>47.9</v>
      </c>
      <c r="L1292">
        <v>61.1</v>
      </c>
      <c r="M1292" s="2">
        <f t="shared" si="228"/>
        <v>0</v>
      </c>
      <c r="N1292">
        <v>0</v>
      </c>
      <c r="P1292" s="2">
        <f t="shared" si="229"/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18.100000000000001</v>
      </c>
      <c r="W1292" s="2">
        <f t="shared" si="230"/>
        <v>1</v>
      </c>
      <c r="X1292">
        <v>11.1</v>
      </c>
      <c r="Z1292" s="2">
        <f t="shared" si="231"/>
        <v>0</v>
      </c>
      <c r="AA1292">
        <v>224.2</v>
      </c>
      <c r="AB1292" s="2" t="str">
        <f>CHOOSE(MATCH(AA1292,{0;11;80;111;161;191;241;281;341},1),"North","NorthEast","East","SouthEast","South","SouthWest","West","NorthWest","North")</f>
        <v>SouthWest</v>
      </c>
      <c r="AC1292" s="5">
        <f>CHOOSE(MATCH(AB1292,{"South";"SouthEast";"SouthWest";"North";"NorthEast";"East";"West";"NorthWest"},0),1,2,3,4,5,6,7,8)</f>
        <v>3</v>
      </c>
      <c r="AD1292" s="2">
        <f t="shared" si="232"/>
        <v>1</v>
      </c>
      <c r="AE1292">
        <v>1014.9</v>
      </c>
      <c r="AF1292" s="4" t="s">
        <v>1849</v>
      </c>
      <c r="AG1292" s="2">
        <f t="shared" si="233"/>
        <v>1</v>
      </c>
      <c r="AH1292" t="s">
        <v>2022</v>
      </c>
      <c r="AI1292" s="2">
        <f t="shared" si="234"/>
        <v>10</v>
      </c>
      <c r="AJ1292" s="2">
        <f t="shared" si="235"/>
        <v>0</v>
      </c>
      <c r="AK1292" s="3">
        <v>319.99999999534339</v>
      </c>
      <c r="AM1292" s="2">
        <v>0</v>
      </c>
      <c r="AN1292">
        <v>5</v>
      </c>
      <c r="AO1292">
        <v>0</v>
      </c>
      <c r="AP1292">
        <v>0</v>
      </c>
      <c r="AQ1292" s="2">
        <f>IF((2*G1292 + M1292 -P1292 + 3*W1292 + 2*Z1292+2*AD1292 + AG1292+2*AJ1292 + 4*AM1292) &gt;=8,1,0)</f>
        <v>0</v>
      </c>
    </row>
    <row r="1293" spans="1:43" x14ac:dyDescent="0.25">
      <c r="A1293" t="s">
        <v>27</v>
      </c>
      <c r="B1293" s="1">
        <v>41939</v>
      </c>
      <c r="C1293" s="7">
        <f t="shared" si="227"/>
        <v>2014</v>
      </c>
      <c r="D1293">
        <v>60.7</v>
      </c>
      <c r="E1293">
        <v>53.4</v>
      </c>
      <c r="F1293">
        <v>56.7</v>
      </c>
      <c r="G1293" s="2">
        <f t="shared" si="236"/>
        <v>0</v>
      </c>
      <c r="H1293">
        <v>60.7</v>
      </c>
      <c r="I1293">
        <v>53.4</v>
      </c>
      <c r="J1293">
        <v>56.7</v>
      </c>
      <c r="K1293">
        <v>47.4</v>
      </c>
      <c r="L1293">
        <v>71.099999999999994</v>
      </c>
      <c r="M1293" s="2">
        <f t="shared" si="228"/>
        <v>0</v>
      </c>
      <c r="N1293">
        <v>0</v>
      </c>
      <c r="P1293" s="2">
        <f t="shared" si="229"/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27.5</v>
      </c>
      <c r="W1293" s="2">
        <f t="shared" si="230"/>
        <v>1</v>
      </c>
      <c r="X1293">
        <v>15.9</v>
      </c>
      <c r="Z1293" s="2">
        <f t="shared" si="231"/>
        <v>0</v>
      </c>
      <c r="AA1293">
        <v>358.1</v>
      </c>
      <c r="AB1293" s="2" t="str">
        <f>CHOOSE(MATCH(AA1293,{0;11;80;111;161;191;241;281;341},1),"North","NorthEast","East","SouthEast","South","SouthWest","West","NorthWest","North")</f>
        <v>North</v>
      </c>
      <c r="AC1293" s="5">
        <f>CHOOSE(MATCH(AB1293,{"South";"SouthEast";"SouthWest";"North";"NorthEast";"East";"West";"NorthWest"},0),1,2,3,4,5,6,7,8)</f>
        <v>4</v>
      </c>
      <c r="AD1293" s="2">
        <f t="shared" si="232"/>
        <v>1</v>
      </c>
      <c r="AE1293">
        <v>1022</v>
      </c>
      <c r="AF1293" s="4" t="s">
        <v>2001</v>
      </c>
      <c r="AG1293" s="2">
        <f t="shared" si="233"/>
        <v>1</v>
      </c>
      <c r="AH1293" t="s">
        <v>2023</v>
      </c>
      <c r="AI1293" s="2">
        <f t="shared" si="234"/>
        <v>10</v>
      </c>
      <c r="AJ1293" s="2">
        <f t="shared" si="235"/>
        <v>0</v>
      </c>
      <c r="AK1293" s="3">
        <v>249.99999999767169</v>
      </c>
      <c r="AM1293" s="2">
        <v>0</v>
      </c>
      <c r="AN1293">
        <v>0</v>
      </c>
      <c r="AO1293">
        <v>15</v>
      </c>
      <c r="AP1293">
        <v>0</v>
      </c>
      <c r="AQ1293" s="2">
        <f>IF((2*G1293 + M1293 -P1293 + 3*W1293 + 2*Z1293+2*AD1293 + AG1293+2*AJ1293 + 4*AM1293) &gt;=8,1,0)</f>
        <v>0</v>
      </c>
    </row>
    <row r="1294" spans="1:43" x14ac:dyDescent="0.25">
      <c r="A1294" t="s">
        <v>27</v>
      </c>
      <c r="B1294" s="1">
        <v>41952</v>
      </c>
      <c r="C1294" s="7">
        <f t="shared" si="227"/>
        <v>2014</v>
      </c>
      <c r="D1294">
        <v>68</v>
      </c>
      <c r="E1294">
        <v>53.1</v>
      </c>
      <c r="F1294">
        <v>60.4</v>
      </c>
      <c r="G1294" s="2">
        <f t="shared" si="236"/>
        <v>0</v>
      </c>
      <c r="H1294">
        <v>68</v>
      </c>
      <c r="I1294">
        <v>53.1</v>
      </c>
      <c r="J1294">
        <v>60.4</v>
      </c>
      <c r="K1294">
        <v>54.4</v>
      </c>
      <c r="L1294">
        <v>81.3</v>
      </c>
      <c r="M1294" s="2">
        <f t="shared" si="228"/>
        <v>0</v>
      </c>
      <c r="N1294">
        <v>8.4000000000000005E-2</v>
      </c>
      <c r="P1294" s="2">
        <f t="shared" si="229"/>
        <v>0</v>
      </c>
      <c r="Q1294">
        <v>100</v>
      </c>
      <c r="R1294">
        <v>8.33</v>
      </c>
      <c r="S1294" t="s">
        <v>87</v>
      </c>
      <c r="T1294">
        <v>0</v>
      </c>
      <c r="U1294">
        <v>0</v>
      </c>
      <c r="V1294">
        <v>14.1</v>
      </c>
      <c r="W1294" s="2">
        <f t="shared" si="230"/>
        <v>1</v>
      </c>
      <c r="X1294">
        <v>6.7</v>
      </c>
      <c r="Z1294" s="2">
        <f t="shared" si="231"/>
        <v>0</v>
      </c>
      <c r="AA1294">
        <v>121.6</v>
      </c>
      <c r="AB1294" s="2" t="str">
        <f>CHOOSE(MATCH(AA1294,{0;11;80;111;161;191;241;281;341},1),"North","NorthEast","East","SouthEast","South","SouthWest","West","NorthWest","North")</f>
        <v>SouthEast</v>
      </c>
      <c r="AC1294" s="5">
        <f>CHOOSE(MATCH(AB1294,{"South";"SouthEast";"SouthWest";"North";"NorthEast";"East";"West";"NorthWest"},0),1,2,3,4,5,6,7,8)</f>
        <v>2</v>
      </c>
      <c r="AD1294" s="2">
        <f t="shared" si="232"/>
        <v>0</v>
      </c>
      <c r="AE1294">
        <v>1015</v>
      </c>
      <c r="AF1294" s="4" t="s">
        <v>1762</v>
      </c>
      <c r="AG1294" s="2">
        <f t="shared" si="233"/>
        <v>1</v>
      </c>
      <c r="AH1294" t="s">
        <v>2024</v>
      </c>
      <c r="AI1294" s="2">
        <f t="shared" si="234"/>
        <v>11</v>
      </c>
      <c r="AJ1294" s="2">
        <f t="shared" si="235"/>
        <v>0</v>
      </c>
      <c r="AK1294" s="3">
        <v>225</v>
      </c>
      <c r="AM1294" s="2">
        <v>0</v>
      </c>
      <c r="AN1294">
        <v>0.2</v>
      </c>
      <c r="AO1294">
        <v>0</v>
      </c>
      <c r="AP1294">
        <v>0</v>
      </c>
      <c r="AQ1294" s="2">
        <f>IF((2*G1294 + M1294 -P1294 + 3*W1294 + 2*Z1294+2*AD1294 + AG1294+2*AJ1294 + 4*AM1294) &gt;=8,1,0)</f>
        <v>0</v>
      </c>
    </row>
    <row r="1295" spans="1:43" x14ac:dyDescent="0.25">
      <c r="A1295" t="s">
        <v>27</v>
      </c>
      <c r="B1295" s="1">
        <v>41989</v>
      </c>
      <c r="C1295" s="7">
        <f t="shared" si="227"/>
        <v>2014</v>
      </c>
      <c r="D1295">
        <v>59.9</v>
      </c>
      <c r="E1295">
        <v>47.7</v>
      </c>
      <c r="F1295">
        <v>54.7</v>
      </c>
      <c r="G1295" s="2">
        <f t="shared" si="236"/>
        <v>0</v>
      </c>
      <c r="H1295">
        <v>59.9</v>
      </c>
      <c r="I1295">
        <v>46.6</v>
      </c>
      <c r="J1295">
        <v>54.7</v>
      </c>
      <c r="K1295">
        <v>48.9</v>
      </c>
      <c r="L1295">
        <v>81</v>
      </c>
      <c r="M1295" s="2">
        <f t="shared" si="228"/>
        <v>0</v>
      </c>
      <c r="N1295">
        <v>0</v>
      </c>
      <c r="P1295" s="2">
        <f t="shared" si="229"/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20.6</v>
      </c>
      <c r="W1295" s="2">
        <f t="shared" si="230"/>
        <v>1</v>
      </c>
      <c r="X1295">
        <v>11.5</v>
      </c>
      <c r="Z1295" s="2">
        <f t="shared" si="231"/>
        <v>0</v>
      </c>
      <c r="AA1295">
        <v>173.3</v>
      </c>
      <c r="AB1295" s="2" t="str">
        <f>CHOOSE(MATCH(AA1295,{0;11;80;111;161;191;241;281;341},1),"North","NorthEast","East","SouthEast","South","SouthWest","West","NorthWest","North")</f>
        <v>South</v>
      </c>
      <c r="AC1295" s="5">
        <f>CHOOSE(MATCH(AB1295,{"South";"SouthEast";"SouthWest";"North";"NorthEast";"East";"West";"NorthWest"},0),1,2,3,4,5,6,7,8)</f>
        <v>1</v>
      </c>
      <c r="AD1295" s="2">
        <f t="shared" si="232"/>
        <v>0</v>
      </c>
      <c r="AE1295">
        <v>1022.2</v>
      </c>
      <c r="AF1295" s="4" t="s">
        <v>1817</v>
      </c>
      <c r="AG1295" s="2">
        <f t="shared" si="233"/>
        <v>1</v>
      </c>
      <c r="AH1295" t="s">
        <v>2025</v>
      </c>
      <c r="AI1295" s="2">
        <f t="shared" si="234"/>
        <v>12</v>
      </c>
      <c r="AJ1295" s="2">
        <f t="shared" si="235"/>
        <v>0</v>
      </c>
      <c r="AK1295" s="3">
        <v>100.0000000011642</v>
      </c>
      <c r="AM1295" s="2">
        <v>0</v>
      </c>
      <c r="AN1295">
        <v>0</v>
      </c>
      <c r="AO1295">
        <v>0.5</v>
      </c>
      <c r="AP1295">
        <v>0</v>
      </c>
      <c r="AQ1295" s="2">
        <f>IF((2*G1295 + M1295 -P1295 + 3*W1295 + 2*Z1295+2*AD1295 + AG1295+2*AJ1295 + 4*AM1295) &gt;=8,1,0)</f>
        <v>0</v>
      </c>
    </row>
    <row r="1296" spans="1:43" x14ac:dyDescent="0.25">
      <c r="A1296" t="s">
        <v>27</v>
      </c>
      <c r="B1296" s="1">
        <v>42036</v>
      </c>
      <c r="C1296" s="7">
        <f t="shared" si="227"/>
        <v>2015</v>
      </c>
      <c r="D1296">
        <v>68.099999999999994</v>
      </c>
      <c r="E1296">
        <v>59.3</v>
      </c>
      <c r="F1296">
        <v>63.4</v>
      </c>
      <c r="G1296" s="2">
        <f t="shared" si="236"/>
        <v>0</v>
      </c>
      <c r="H1296">
        <v>68.099999999999994</v>
      </c>
      <c r="I1296">
        <v>59.3</v>
      </c>
      <c r="J1296">
        <v>63.4</v>
      </c>
      <c r="K1296">
        <v>49.5</v>
      </c>
      <c r="L1296">
        <v>61.5</v>
      </c>
      <c r="M1296" s="2">
        <f t="shared" si="228"/>
        <v>0</v>
      </c>
      <c r="N1296">
        <v>0</v>
      </c>
      <c r="O1296">
        <f>AVERAGE(N1296:N1356)</f>
        <v>9.3114754098360657E-3</v>
      </c>
      <c r="P1296" s="2">
        <f t="shared" si="229"/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51.9</v>
      </c>
      <c r="W1296" s="2">
        <f t="shared" si="230"/>
        <v>1</v>
      </c>
      <c r="X1296">
        <v>33.200000000000003</v>
      </c>
      <c r="Y1296">
        <f>AVERAGE(X1296:X1356)</f>
        <v>17.626229508196726</v>
      </c>
      <c r="Z1296" s="2">
        <f t="shared" si="231"/>
        <v>1</v>
      </c>
      <c r="AA1296">
        <v>198.7</v>
      </c>
      <c r="AB1296" s="2" t="str">
        <f>CHOOSE(MATCH(AA1296,{0;11;80;111;161;191;241;281;341},1),"North","NorthEast","East","SouthEast","South","SouthWest","West","NorthWest","North")</f>
        <v>SouthWest</v>
      </c>
      <c r="AC1296" s="5">
        <f>CHOOSE(MATCH(AB1296,{"South";"SouthEast";"SouthWest";"North";"NorthEast";"East";"West";"NorthWest"},0),1,2,3,4,5,6,7,8)</f>
        <v>3</v>
      </c>
      <c r="AD1296" s="2">
        <f t="shared" si="232"/>
        <v>1</v>
      </c>
      <c r="AE1296">
        <v>996.9</v>
      </c>
      <c r="AF1296" s="4" t="s">
        <v>2027</v>
      </c>
      <c r="AG1296" s="2">
        <f t="shared" si="233"/>
        <v>1</v>
      </c>
      <c r="AH1296" t="s">
        <v>2028</v>
      </c>
      <c r="AI1296" s="2">
        <f t="shared" si="234"/>
        <v>2</v>
      </c>
      <c r="AJ1296" s="2">
        <f t="shared" si="235"/>
        <v>0</v>
      </c>
      <c r="AK1296" s="3">
        <v>94.999999995343387</v>
      </c>
      <c r="AL1296" s="3">
        <f>AVERAGE(AK1296:AK1356)</f>
        <v>1457.3770491802898</v>
      </c>
      <c r="AM1296" s="2">
        <v>0</v>
      </c>
      <c r="AN1296">
        <v>0</v>
      </c>
      <c r="AO1296">
        <v>7</v>
      </c>
      <c r="AP1296">
        <v>0</v>
      </c>
      <c r="AQ1296" s="2">
        <f>IF((2*G1296 + M1296 -P1296 + 3*W1296 + 2*Z1296+2*AD1296 + AG1296+2*AJ1296 + 4*AM1296) &gt;=8,1,0)</f>
        <v>0</v>
      </c>
    </row>
    <row r="1297" spans="1:43" x14ac:dyDescent="0.25">
      <c r="A1297" t="s">
        <v>27</v>
      </c>
      <c r="B1297" s="1">
        <v>42042</v>
      </c>
      <c r="C1297" s="7">
        <f t="shared" si="227"/>
        <v>2015</v>
      </c>
      <c r="D1297">
        <v>62.1</v>
      </c>
      <c r="E1297">
        <v>42.2</v>
      </c>
      <c r="F1297">
        <v>51.8</v>
      </c>
      <c r="G1297" s="2">
        <f t="shared" si="236"/>
        <v>0</v>
      </c>
      <c r="H1297">
        <v>62.1</v>
      </c>
      <c r="I1297">
        <v>41.4</v>
      </c>
      <c r="J1297">
        <v>51.5</v>
      </c>
      <c r="K1297">
        <v>40.4</v>
      </c>
      <c r="L1297">
        <v>66.7</v>
      </c>
      <c r="M1297" s="2">
        <f t="shared" si="228"/>
        <v>0</v>
      </c>
      <c r="N1297">
        <v>0</v>
      </c>
      <c r="P1297" s="2">
        <f t="shared" si="229"/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20.6</v>
      </c>
      <c r="W1297" s="2">
        <f t="shared" si="230"/>
        <v>1</v>
      </c>
      <c r="X1297">
        <v>9.5</v>
      </c>
      <c r="Z1297" s="2">
        <f t="shared" si="231"/>
        <v>0</v>
      </c>
      <c r="AA1297">
        <v>295.39999999999998</v>
      </c>
      <c r="AB1297" s="2" t="str">
        <f>CHOOSE(MATCH(AA1297,{0;11;80;111;161;191;241;281;341},1),"North","NorthEast","East","SouthEast","South","SouthWest","West","NorthWest","North")</f>
        <v>NorthWest</v>
      </c>
      <c r="AC1297" s="5">
        <f>CHOOSE(MATCH(AB1297,{"South";"SouthEast";"SouthWest";"North";"NorthEast";"East";"West";"NorthWest"},0),1,2,3,4,5,6,7,8)</f>
        <v>8</v>
      </c>
      <c r="AD1297" s="2">
        <f t="shared" si="232"/>
        <v>1</v>
      </c>
      <c r="AE1297">
        <v>1014.1</v>
      </c>
      <c r="AF1297" s="4" t="s">
        <v>1774</v>
      </c>
      <c r="AG1297" s="2">
        <f t="shared" si="233"/>
        <v>1</v>
      </c>
      <c r="AH1297" t="s">
        <v>2029</v>
      </c>
      <c r="AI1297" s="2">
        <f t="shared" si="234"/>
        <v>2</v>
      </c>
      <c r="AJ1297" s="2">
        <f t="shared" si="235"/>
        <v>0</v>
      </c>
      <c r="AK1297" s="3">
        <v>95.000000005820766</v>
      </c>
      <c r="AM1297" s="2">
        <v>0</v>
      </c>
      <c r="AN1297">
        <v>0</v>
      </c>
      <c r="AO1297">
        <v>0.2</v>
      </c>
      <c r="AP1297">
        <v>0</v>
      </c>
      <c r="AQ1297" s="2">
        <f>IF((2*G1297 + M1297 -P1297 + 3*W1297 + 2*Z1297+2*AD1297 + AG1297+2*AJ1297 + 4*AM1297) &gt;=8,1,0)</f>
        <v>0</v>
      </c>
    </row>
    <row r="1298" spans="1:43" x14ac:dyDescent="0.25">
      <c r="A1298" t="s">
        <v>27</v>
      </c>
      <c r="B1298" s="1">
        <v>42115</v>
      </c>
      <c r="C1298" s="7">
        <f t="shared" si="227"/>
        <v>2015</v>
      </c>
      <c r="D1298">
        <v>66.3</v>
      </c>
      <c r="E1298">
        <v>45.1</v>
      </c>
      <c r="F1298">
        <v>55.9</v>
      </c>
      <c r="G1298" s="2">
        <f t="shared" si="236"/>
        <v>0</v>
      </c>
      <c r="H1298">
        <v>66.3</v>
      </c>
      <c r="I1298">
        <v>45.1</v>
      </c>
      <c r="J1298">
        <v>55.8</v>
      </c>
      <c r="K1298">
        <v>39.799999999999997</v>
      </c>
      <c r="L1298">
        <v>58.9</v>
      </c>
      <c r="M1298" s="2">
        <f t="shared" si="228"/>
        <v>0</v>
      </c>
      <c r="N1298">
        <v>0</v>
      </c>
      <c r="P1298" s="2">
        <f t="shared" si="229"/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33.5</v>
      </c>
      <c r="W1298" s="2">
        <f t="shared" si="230"/>
        <v>1</v>
      </c>
      <c r="X1298">
        <v>20.100000000000001</v>
      </c>
      <c r="Z1298" s="2">
        <f t="shared" si="231"/>
        <v>1</v>
      </c>
      <c r="AA1298">
        <v>6.7</v>
      </c>
      <c r="AB1298" s="2" t="str">
        <f>CHOOSE(MATCH(AA1298,{0;11;80;111;161;191;241;281;341},1),"North","NorthEast","East","SouthEast","South","SouthWest","West","NorthWest","North")</f>
        <v>North</v>
      </c>
      <c r="AC1298" s="5">
        <f>CHOOSE(MATCH(AB1298,{"South";"SouthEast";"SouthWest";"North";"NorthEast";"East";"West";"NorthWest"},0),1,2,3,4,5,6,7,8)</f>
        <v>4</v>
      </c>
      <c r="AD1298" s="2">
        <f t="shared" si="232"/>
        <v>1</v>
      </c>
      <c r="AE1298">
        <v>1014.6</v>
      </c>
      <c r="AF1298" s="4" t="s">
        <v>2031</v>
      </c>
      <c r="AG1298" s="2">
        <f t="shared" si="233"/>
        <v>1</v>
      </c>
      <c r="AH1298" t="s">
        <v>2032</v>
      </c>
      <c r="AI1298" s="2">
        <f t="shared" si="234"/>
        <v>4</v>
      </c>
      <c r="AJ1298" s="2">
        <f t="shared" si="235"/>
        <v>0</v>
      </c>
      <c r="AK1298" s="3">
        <v>275.99999999860302</v>
      </c>
      <c r="AM1298" s="2">
        <v>0</v>
      </c>
      <c r="AN1298">
        <v>0</v>
      </c>
      <c r="AO1298">
        <v>0.5</v>
      </c>
      <c r="AP1298">
        <v>0</v>
      </c>
      <c r="AQ1298" s="2">
        <f>IF((2*G1298 + M1298 -P1298 + 3*W1298 + 2*Z1298+2*AD1298 + AG1298+2*AJ1298 + 4*AM1298) &gt;=8,1,0)</f>
        <v>0</v>
      </c>
    </row>
    <row r="1299" spans="1:43" x14ac:dyDescent="0.25">
      <c r="A1299" t="s">
        <v>27</v>
      </c>
      <c r="B1299" s="1">
        <v>42122</v>
      </c>
      <c r="C1299" s="7">
        <f t="shared" si="227"/>
        <v>2015</v>
      </c>
      <c r="D1299">
        <v>73.5</v>
      </c>
      <c r="E1299">
        <v>50.6</v>
      </c>
      <c r="F1299">
        <v>64.8</v>
      </c>
      <c r="G1299" s="2">
        <f t="shared" si="236"/>
        <v>0</v>
      </c>
      <c r="H1299">
        <v>73.5</v>
      </c>
      <c r="I1299">
        <v>50.6</v>
      </c>
      <c r="J1299">
        <v>64.8</v>
      </c>
      <c r="K1299">
        <v>48.6</v>
      </c>
      <c r="L1299">
        <v>57.1</v>
      </c>
      <c r="M1299" s="2">
        <f t="shared" si="228"/>
        <v>0</v>
      </c>
      <c r="N1299">
        <v>0</v>
      </c>
      <c r="P1299" s="2">
        <f t="shared" si="229"/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27.5</v>
      </c>
      <c r="W1299" s="2">
        <f t="shared" si="230"/>
        <v>1</v>
      </c>
      <c r="X1299">
        <v>15.3</v>
      </c>
      <c r="Z1299" s="2">
        <f t="shared" si="231"/>
        <v>0</v>
      </c>
      <c r="AA1299">
        <v>230.5</v>
      </c>
      <c r="AB1299" s="2" t="str">
        <f>CHOOSE(MATCH(AA1299,{0;11;80;111;161;191;241;281;341},1),"North","NorthEast","East","SouthEast","South","SouthWest","West","NorthWest","North")</f>
        <v>SouthWest</v>
      </c>
      <c r="AC1299" s="5">
        <f>CHOOSE(MATCH(AB1299,{"South";"SouthEast";"SouthWest";"North";"NorthEast";"East";"West";"NorthWest"},0),1,2,3,4,5,6,7,8)</f>
        <v>3</v>
      </c>
      <c r="AD1299" s="2">
        <f t="shared" si="232"/>
        <v>1</v>
      </c>
      <c r="AE1299">
        <v>1010.1</v>
      </c>
      <c r="AF1299" s="4" t="s">
        <v>2033</v>
      </c>
      <c r="AG1299" s="2">
        <f t="shared" si="233"/>
        <v>1</v>
      </c>
      <c r="AH1299" t="s">
        <v>2034</v>
      </c>
      <c r="AI1299" s="2">
        <f t="shared" si="234"/>
        <v>4</v>
      </c>
      <c r="AJ1299" s="2">
        <f t="shared" si="235"/>
        <v>0</v>
      </c>
      <c r="AK1299" s="3">
        <v>72.000000004190952</v>
      </c>
      <c r="AM1299" s="2">
        <v>0</v>
      </c>
      <c r="AN1299">
        <v>0</v>
      </c>
      <c r="AO1299">
        <v>0.06</v>
      </c>
      <c r="AP1299">
        <v>0</v>
      </c>
      <c r="AQ1299" s="2">
        <f>IF((2*G1299 + M1299 -P1299 + 3*W1299 + 2*Z1299+2*AD1299 + AG1299+2*AJ1299 + 4*AM1299) &gt;=8,1,0)</f>
        <v>0</v>
      </c>
    </row>
    <row r="1300" spans="1:43" x14ac:dyDescent="0.25">
      <c r="A1300" t="s">
        <v>27</v>
      </c>
      <c r="B1300" s="1">
        <v>42139</v>
      </c>
      <c r="C1300" s="7">
        <f t="shared" si="227"/>
        <v>2015</v>
      </c>
      <c r="D1300">
        <v>80.8</v>
      </c>
      <c r="E1300">
        <v>59</v>
      </c>
      <c r="F1300">
        <v>71</v>
      </c>
      <c r="G1300" s="2">
        <f t="shared" si="236"/>
        <v>0</v>
      </c>
      <c r="H1300">
        <v>79.900000000000006</v>
      </c>
      <c r="I1300">
        <v>59</v>
      </c>
      <c r="J1300">
        <v>70.900000000000006</v>
      </c>
      <c r="K1300">
        <v>50.3</v>
      </c>
      <c r="L1300">
        <v>50.1</v>
      </c>
      <c r="M1300" s="2">
        <f t="shared" si="228"/>
        <v>0</v>
      </c>
      <c r="N1300">
        <v>0</v>
      </c>
      <c r="P1300" s="2">
        <f t="shared" si="229"/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25.1</v>
      </c>
      <c r="W1300" s="2">
        <f t="shared" si="230"/>
        <v>1</v>
      </c>
      <c r="X1300">
        <v>13.5</v>
      </c>
      <c r="Z1300" s="2">
        <f t="shared" si="231"/>
        <v>0</v>
      </c>
      <c r="AA1300">
        <v>177.2</v>
      </c>
      <c r="AB1300" s="2" t="str">
        <f>CHOOSE(MATCH(AA1300,{0;11;80;111;161;191;241;281;341},1),"North","NorthEast","East","SouthEast","South","SouthWest","West","NorthWest","North")</f>
        <v>South</v>
      </c>
      <c r="AC1300" s="5">
        <f>CHOOSE(MATCH(AB1300,{"South";"SouthEast";"SouthWest";"North";"NorthEast";"East";"West";"NorthWest"},0),1,2,3,4,5,6,7,8)</f>
        <v>1</v>
      </c>
      <c r="AD1300" s="2">
        <f t="shared" si="232"/>
        <v>0</v>
      </c>
      <c r="AE1300">
        <v>1014.6</v>
      </c>
      <c r="AF1300" s="4" t="s">
        <v>1141</v>
      </c>
      <c r="AG1300" s="2">
        <f t="shared" si="233"/>
        <v>1</v>
      </c>
      <c r="AH1300" t="s">
        <v>2035</v>
      </c>
      <c r="AI1300" s="2">
        <f t="shared" si="234"/>
        <v>5</v>
      </c>
      <c r="AJ1300" s="2">
        <f t="shared" si="235"/>
        <v>0</v>
      </c>
      <c r="AK1300" s="3">
        <v>45</v>
      </c>
      <c r="AM1300" s="2">
        <v>0</v>
      </c>
      <c r="AN1300">
        <v>0</v>
      </c>
      <c r="AO1300">
        <v>0.03</v>
      </c>
      <c r="AP1300">
        <v>0</v>
      </c>
      <c r="AQ1300" s="2">
        <f>IF((2*G1300 + M1300 -P1300 + 3*W1300 + 2*Z1300+2*AD1300 + AG1300+2*AJ1300 + 4*AM1300) &gt;=8,1,0)</f>
        <v>0</v>
      </c>
    </row>
    <row r="1301" spans="1:43" x14ac:dyDescent="0.25">
      <c r="A1301" t="s">
        <v>27</v>
      </c>
      <c r="B1301" s="1">
        <v>42142</v>
      </c>
      <c r="C1301" s="7">
        <f t="shared" si="227"/>
        <v>2015</v>
      </c>
      <c r="D1301">
        <v>81.2</v>
      </c>
      <c r="E1301">
        <v>52.4</v>
      </c>
      <c r="F1301">
        <v>68.099999999999994</v>
      </c>
      <c r="G1301" s="2">
        <f t="shared" si="236"/>
        <v>0</v>
      </c>
      <c r="H1301">
        <v>79.900000000000006</v>
      </c>
      <c r="I1301">
        <v>52.4</v>
      </c>
      <c r="J1301">
        <v>67.900000000000006</v>
      </c>
      <c r="K1301">
        <v>48.8</v>
      </c>
      <c r="L1301">
        <v>54.1</v>
      </c>
      <c r="M1301" s="2">
        <f t="shared" si="228"/>
        <v>0</v>
      </c>
      <c r="N1301">
        <v>0</v>
      </c>
      <c r="P1301" s="2">
        <f t="shared" si="229"/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21</v>
      </c>
      <c r="W1301" s="2">
        <f t="shared" si="230"/>
        <v>1</v>
      </c>
      <c r="X1301">
        <v>9.1</v>
      </c>
      <c r="Z1301" s="2">
        <f t="shared" si="231"/>
        <v>0</v>
      </c>
      <c r="AA1301">
        <v>106.2</v>
      </c>
      <c r="AB1301" s="2" t="str">
        <f>CHOOSE(MATCH(AA1301,{0;11;80;111;161;191;241;281;341},1),"North","NorthEast","East","SouthEast","South","SouthWest","West","NorthWest","North")</f>
        <v>East</v>
      </c>
      <c r="AC1301" s="5">
        <f>CHOOSE(MATCH(AB1301,{"South";"SouthEast";"SouthWest";"North";"NorthEast";"East";"West";"NorthWest"},0),1,2,3,4,5,6,7,8)</f>
        <v>6</v>
      </c>
      <c r="AD1301" s="2">
        <f t="shared" si="232"/>
        <v>0</v>
      </c>
      <c r="AE1301">
        <v>1013.7</v>
      </c>
      <c r="AF1301" s="4" t="s">
        <v>2036</v>
      </c>
      <c r="AG1301" s="2">
        <f t="shared" si="233"/>
        <v>1</v>
      </c>
      <c r="AH1301" t="s">
        <v>2037</v>
      </c>
      <c r="AI1301" s="2">
        <f t="shared" si="234"/>
        <v>5</v>
      </c>
      <c r="AJ1301" s="2">
        <f t="shared" si="235"/>
        <v>0</v>
      </c>
      <c r="AK1301" s="3">
        <v>20.00000000232831</v>
      </c>
      <c r="AM1301" s="2">
        <v>0</v>
      </c>
      <c r="AN1301">
        <v>0</v>
      </c>
      <c r="AO1301">
        <v>0.04</v>
      </c>
      <c r="AP1301">
        <v>0</v>
      </c>
      <c r="AQ1301" s="2">
        <f>IF((2*G1301 + M1301 -P1301 + 3*W1301 + 2*Z1301+2*AD1301 + AG1301+2*AJ1301 + 4*AM1301) &gt;=8,1,0)</f>
        <v>0</v>
      </c>
    </row>
    <row r="1302" spans="1:43" x14ac:dyDescent="0.25">
      <c r="A1302" t="s">
        <v>27</v>
      </c>
      <c r="B1302" s="1">
        <v>42152</v>
      </c>
      <c r="C1302" s="7">
        <f t="shared" si="227"/>
        <v>2015</v>
      </c>
      <c r="D1302">
        <v>74.099999999999994</v>
      </c>
      <c r="E1302">
        <v>60.8</v>
      </c>
      <c r="F1302">
        <v>65.5</v>
      </c>
      <c r="G1302" s="2">
        <f t="shared" si="236"/>
        <v>0</v>
      </c>
      <c r="H1302">
        <v>74.099999999999994</v>
      </c>
      <c r="I1302">
        <v>60.8</v>
      </c>
      <c r="J1302">
        <v>65.5</v>
      </c>
      <c r="K1302">
        <v>55.8</v>
      </c>
      <c r="L1302">
        <v>71.400000000000006</v>
      </c>
      <c r="M1302" s="2">
        <f t="shared" si="228"/>
        <v>0</v>
      </c>
      <c r="N1302">
        <v>0.22700000000000001</v>
      </c>
      <c r="P1302" s="2">
        <f t="shared" si="229"/>
        <v>0</v>
      </c>
      <c r="Q1302">
        <v>100</v>
      </c>
      <c r="R1302">
        <v>12.5</v>
      </c>
      <c r="S1302" t="s">
        <v>87</v>
      </c>
      <c r="T1302">
        <v>0</v>
      </c>
      <c r="U1302">
        <v>0</v>
      </c>
      <c r="V1302">
        <v>20.399999999999999</v>
      </c>
      <c r="W1302" s="2">
        <f t="shared" si="230"/>
        <v>1</v>
      </c>
      <c r="X1302">
        <v>8.8000000000000007</v>
      </c>
      <c r="Z1302" s="2">
        <f t="shared" si="231"/>
        <v>0</v>
      </c>
      <c r="AA1302">
        <v>346.3</v>
      </c>
      <c r="AB1302" s="2" t="str">
        <f>CHOOSE(MATCH(AA1302,{0;11;80;111;161;191;241;281;341},1),"North","NorthEast","East","SouthEast","South","SouthWest","West","NorthWest","North")</f>
        <v>North</v>
      </c>
      <c r="AC1302" s="5">
        <f>CHOOSE(MATCH(AB1302,{"South";"SouthEast";"SouthWest";"North";"NorthEast";"East";"West";"NorthWest"},0),1,2,3,4,5,6,7,8)</f>
        <v>4</v>
      </c>
      <c r="AD1302" s="2">
        <f t="shared" si="232"/>
        <v>1</v>
      </c>
      <c r="AE1302">
        <v>1008.9</v>
      </c>
      <c r="AF1302" s="4" t="s">
        <v>2038</v>
      </c>
      <c r="AG1302" s="2">
        <f t="shared" si="233"/>
        <v>1</v>
      </c>
      <c r="AH1302" t="s">
        <v>2039</v>
      </c>
      <c r="AI1302" s="2">
        <f t="shared" si="234"/>
        <v>5</v>
      </c>
      <c r="AJ1302" s="2">
        <f t="shared" si="235"/>
        <v>0</v>
      </c>
      <c r="AK1302" s="3">
        <v>155.99999999511061</v>
      </c>
      <c r="AM1302" s="2">
        <v>0</v>
      </c>
      <c r="AN1302">
        <v>0</v>
      </c>
      <c r="AO1302">
        <v>0.01</v>
      </c>
      <c r="AP1302">
        <v>0</v>
      </c>
      <c r="AQ1302" s="2">
        <f>IF((2*G1302 + M1302 -P1302 + 3*W1302 + 2*Z1302+2*AD1302 + AG1302+2*AJ1302 + 4*AM1302) &gt;=8,1,0)</f>
        <v>0</v>
      </c>
    </row>
    <row r="1303" spans="1:43" x14ac:dyDescent="0.25">
      <c r="A1303" t="s">
        <v>27</v>
      </c>
      <c r="B1303" s="1">
        <v>42159</v>
      </c>
      <c r="C1303" s="7">
        <f t="shared" si="227"/>
        <v>2015</v>
      </c>
      <c r="D1303">
        <v>84.1</v>
      </c>
      <c r="E1303">
        <v>67.5</v>
      </c>
      <c r="F1303">
        <v>76.099999999999994</v>
      </c>
      <c r="G1303" s="2">
        <f t="shared" si="236"/>
        <v>1</v>
      </c>
      <c r="H1303">
        <v>82.1</v>
      </c>
      <c r="I1303">
        <v>67.5</v>
      </c>
      <c r="J1303">
        <v>75.599999999999994</v>
      </c>
      <c r="K1303">
        <v>49.2</v>
      </c>
      <c r="L1303">
        <v>39.6</v>
      </c>
      <c r="M1303" s="2">
        <f t="shared" si="228"/>
        <v>1</v>
      </c>
      <c r="N1303">
        <v>0</v>
      </c>
      <c r="P1303" s="2">
        <f t="shared" si="229"/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37.4</v>
      </c>
      <c r="W1303" s="2">
        <f t="shared" si="230"/>
        <v>1</v>
      </c>
      <c r="X1303">
        <v>18.100000000000001</v>
      </c>
      <c r="Z1303" s="2">
        <f t="shared" si="231"/>
        <v>1</v>
      </c>
      <c r="AA1303">
        <v>14</v>
      </c>
      <c r="AB1303" s="2" t="str">
        <f>CHOOSE(MATCH(AA1303,{0;11;80;111;161;191;241;281;341},1),"North","NorthEast","East","SouthEast","South","SouthWest","West","NorthWest","North")</f>
        <v>NorthEast</v>
      </c>
      <c r="AC1303" s="5">
        <f>CHOOSE(MATCH(AB1303,{"South";"SouthEast";"SouthWest";"North";"NorthEast";"East";"West";"NorthWest"},0),1,2,3,4,5,6,7,8)</f>
        <v>5</v>
      </c>
      <c r="AD1303" s="2">
        <f t="shared" si="232"/>
        <v>1</v>
      </c>
      <c r="AE1303">
        <v>1016</v>
      </c>
      <c r="AF1303" s="4" t="s">
        <v>1152</v>
      </c>
      <c r="AG1303" s="2">
        <f t="shared" si="233"/>
        <v>1</v>
      </c>
      <c r="AH1303" t="s">
        <v>2040</v>
      </c>
      <c r="AI1303" s="2">
        <f t="shared" si="234"/>
        <v>6</v>
      </c>
      <c r="AJ1303" s="2">
        <f t="shared" si="235"/>
        <v>1</v>
      </c>
      <c r="AK1303" s="3">
        <v>1061.0000000009311</v>
      </c>
      <c r="AM1303" s="2">
        <v>1</v>
      </c>
      <c r="AN1303">
        <v>0</v>
      </c>
      <c r="AO1303">
        <v>8</v>
      </c>
      <c r="AP1303">
        <v>0</v>
      </c>
      <c r="AQ1303" s="2">
        <f>IF((2*G1303 + M1303 -P1303 + 3*W1303 + 2*Z1303+2*AD1303 + AG1303+2*AJ1303 + 4*AM1303) &gt;=8,1,0)</f>
        <v>1</v>
      </c>
    </row>
    <row r="1304" spans="1:43" x14ac:dyDescent="0.25">
      <c r="A1304" t="s">
        <v>27</v>
      </c>
      <c r="B1304" s="1">
        <v>42160</v>
      </c>
      <c r="C1304" s="7">
        <f t="shared" si="227"/>
        <v>2015</v>
      </c>
      <c r="D1304">
        <v>79.400000000000006</v>
      </c>
      <c r="E1304">
        <v>67.3</v>
      </c>
      <c r="F1304">
        <v>73.099999999999994</v>
      </c>
      <c r="G1304" s="2">
        <f t="shared" si="236"/>
        <v>0</v>
      </c>
      <c r="H1304">
        <v>79.400000000000006</v>
      </c>
      <c r="I1304">
        <v>67.3</v>
      </c>
      <c r="J1304">
        <v>73.099999999999994</v>
      </c>
      <c r="K1304">
        <v>55.1</v>
      </c>
      <c r="L1304">
        <v>53.7</v>
      </c>
      <c r="M1304" s="2">
        <f t="shared" si="228"/>
        <v>0</v>
      </c>
      <c r="N1304">
        <v>0.14000000000000001</v>
      </c>
      <c r="P1304" s="2">
        <f t="shared" si="229"/>
        <v>0</v>
      </c>
      <c r="Q1304">
        <v>100</v>
      </c>
      <c r="R1304">
        <v>8.33</v>
      </c>
      <c r="S1304" t="s">
        <v>87</v>
      </c>
      <c r="T1304">
        <v>0</v>
      </c>
      <c r="U1304">
        <v>0</v>
      </c>
      <c r="V1304">
        <v>31.5</v>
      </c>
      <c r="W1304" s="2">
        <f t="shared" si="230"/>
        <v>1</v>
      </c>
      <c r="X1304">
        <v>17.600000000000001</v>
      </c>
      <c r="Z1304" s="2">
        <f t="shared" si="231"/>
        <v>1</v>
      </c>
      <c r="AA1304">
        <v>7.8</v>
      </c>
      <c r="AB1304" s="2" t="str">
        <f>CHOOSE(MATCH(AA1304,{0;11;80;111;161;191;241;281;341},1),"North","NorthEast","East","SouthEast","South","SouthWest","West","NorthWest","North")</f>
        <v>North</v>
      </c>
      <c r="AC1304" s="5">
        <f>CHOOSE(MATCH(AB1304,{"South";"SouthEast";"SouthWest";"North";"NorthEast";"East";"West";"NorthWest"},0),1,2,3,4,5,6,7,8)</f>
        <v>4</v>
      </c>
      <c r="AD1304" s="2">
        <f t="shared" si="232"/>
        <v>1</v>
      </c>
      <c r="AE1304">
        <v>1015.8</v>
      </c>
      <c r="AF1304" s="4" t="s">
        <v>2041</v>
      </c>
      <c r="AG1304" s="2">
        <f t="shared" si="233"/>
        <v>1</v>
      </c>
      <c r="AH1304" t="s">
        <v>2042</v>
      </c>
      <c r="AI1304" s="2">
        <f t="shared" si="234"/>
        <v>6</v>
      </c>
      <c r="AJ1304" s="2">
        <f t="shared" si="235"/>
        <v>1</v>
      </c>
      <c r="AK1304" s="3">
        <v>62.999999995809048</v>
      </c>
      <c r="AM1304" s="2">
        <v>0</v>
      </c>
      <c r="AN1304">
        <v>0</v>
      </c>
      <c r="AO1304">
        <v>0.01</v>
      </c>
      <c r="AP1304">
        <v>0</v>
      </c>
      <c r="AQ1304" s="2">
        <f>IF((2*G1304 + M1304 -P1304 + 3*W1304 + 2*Z1304+2*AD1304 + AG1304+2*AJ1304 + 4*AM1304) &gt;=8,1,0)</f>
        <v>1</v>
      </c>
    </row>
    <row r="1305" spans="1:43" x14ac:dyDescent="0.25">
      <c r="A1305" t="s">
        <v>27</v>
      </c>
      <c r="B1305" s="1">
        <v>42165</v>
      </c>
      <c r="C1305" s="7">
        <f t="shared" si="227"/>
        <v>2015</v>
      </c>
      <c r="D1305">
        <v>80.599999999999994</v>
      </c>
      <c r="E1305">
        <v>61.9</v>
      </c>
      <c r="F1305">
        <v>71.8</v>
      </c>
      <c r="G1305" s="2">
        <f t="shared" si="236"/>
        <v>0</v>
      </c>
      <c r="H1305">
        <v>80</v>
      </c>
      <c r="I1305">
        <v>61.9</v>
      </c>
      <c r="J1305">
        <v>71.8</v>
      </c>
      <c r="K1305">
        <v>55.3</v>
      </c>
      <c r="L1305">
        <v>58.1</v>
      </c>
      <c r="M1305" s="2">
        <f t="shared" si="228"/>
        <v>0</v>
      </c>
      <c r="N1305">
        <v>1E-3</v>
      </c>
      <c r="P1305" s="2">
        <f t="shared" si="229"/>
        <v>1</v>
      </c>
      <c r="Q1305">
        <v>100</v>
      </c>
      <c r="R1305">
        <v>4.17</v>
      </c>
      <c r="S1305" t="s">
        <v>87</v>
      </c>
      <c r="T1305">
        <v>0</v>
      </c>
      <c r="U1305">
        <v>0</v>
      </c>
      <c r="V1305">
        <v>18.600000000000001</v>
      </c>
      <c r="W1305" s="2">
        <f t="shared" si="230"/>
        <v>1</v>
      </c>
      <c r="X1305">
        <v>10.4</v>
      </c>
      <c r="Z1305" s="2">
        <f t="shared" si="231"/>
        <v>0</v>
      </c>
      <c r="AA1305">
        <v>92.9</v>
      </c>
      <c r="AB1305" s="2" t="str">
        <f>CHOOSE(MATCH(AA1305,{0;11;80;111;161;191;241;281;341},1),"North","NorthEast","East","SouthEast","South","SouthWest","West","NorthWest","North")</f>
        <v>East</v>
      </c>
      <c r="AC1305" s="5">
        <f>CHOOSE(MATCH(AB1305,{"South";"SouthEast";"SouthWest";"North";"NorthEast";"East";"West";"NorthWest"},0),1,2,3,4,5,6,7,8)</f>
        <v>6</v>
      </c>
      <c r="AD1305" s="2">
        <f t="shared" si="232"/>
        <v>0</v>
      </c>
      <c r="AE1305">
        <v>1013.7</v>
      </c>
      <c r="AF1305" s="4" t="s">
        <v>1712</v>
      </c>
      <c r="AG1305" s="2">
        <f t="shared" si="233"/>
        <v>0</v>
      </c>
      <c r="AH1305" t="s">
        <v>2043</v>
      </c>
      <c r="AI1305" s="2">
        <f t="shared" si="234"/>
        <v>6</v>
      </c>
      <c r="AJ1305" s="2">
        <f t="shared" si="235"/>
        <v>1</v>
      </c>
      <c r="AK1305" s="3">
        <v>61.999999992549419</v>
      </c>
      <c r="AM1305" s="2">
        <v>0</v>
      </c>
      <c r="AN1305">
        <v>2</v>
      </c>
      <c r="AO1305">
        <v>0</v>
      </c>
      <c r="AP1305">
        <v>0</v>
      </c>
      <c r="AQ1305" s="2">
        <f>IF((2*G1305 + M1305 -P1305 + 3*W1305 + 2*Z1305+2*AD1305 + AG1305+2*AJ1305 + 4*AM1305) &gt;=8,1,0)</f>
        <v>0</v>
      </c>
    </row>
    <row r="1306" spans="1:43" x14ac:dyDescent="0.25">
      <c r="A1306" t="s">
        <v>27</v>
      </c>
      <c r="B1306" s="1">
        <v>42168</v>
      </c>
      <c r="C1306" s="7">
        <f t="shared" si="227"/>
        <v>2015</v>
      </c>
      <c r="D1306">
        <v>88</v>
      </c>
      <c r="E1306">
        <v>69.2</v>
      </c>
      <c r="F1306">
        <v>78.599999999999994</v>
      </c>
      <c r="G1306" s="2">
        <f t="shared" si="236"/>
        <v>1</v>
      </c>
      <c r="H1306">
        <v>84.9</v>
      </c>
      <c r="I1306">
        <v>69.2</v>
      </c>
      <c r="J1306">
        <v>77.5</v>
      </c>
      <c r="K1306">
        <v>50.3</v>
      </c>
      <c r="L1306">
        <v>39.1</v>
      </c>
      <c r="M1306" s="2">
        <f t="shared" si="228"/>
        <v>1</v>
      </c>
      <c r="N1306">
        <v>0</v>
      </c>
      <c r="P1306" s="2">
        <f t="shared" si="229"/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29.8</v>
      </c>
      <c r="W1306" s="2">
        <f t="shared" si="230"/>
        <v>1</v>
      </c>
      <c r="X1306">
        <v>17.3</v>
      </c>
      <c r="Z1306" s="2">
        <f t="shared" si="231"/>
        <v>1</v>
      </c>
      <c r="AA1306">
        <v>16</v>
      </c>
      <c r="AB1306" s="2" t="str">
        <f>CHOOSE(MATCH(AA1306,{0;11;80;111;161;191;241;281;341},1),"North","NorthEast","East","SouthEast","South","SouthWest","West","NorthWest","North")</f>
        <v>NorthEast</v>
      </c>
      <c r="AC1306" s="5">
        <f>CHOOSE(MATCH(AB1306,{"South";"SouthEast";"SouthWest";"North";"NorthEast";"East";"West";"NorthWest"},0),1,2,3,4,5,6,7,8)</f>
        <v>5</v>
      </c>
      <c r="AD1306" s="2">
        <f t="shared" si="232"/>
        <v>1</v>
      </c>
      <c r="AE1306">
        <v>1015.9</v>
      </c>
      <c r="AF1306" s="4" t="s">
        <v>2044</v>
      </c>
      <c r="AG1306" s="2">
        <f t="shared" si="233"/>
        <v>1</v>
      </c>
      <c r="AH1306" t="s">
        <v>2045</v>
      </c>
      <c r="AI1306" s="2">
        <f t="shared" si="234"/>
        <v>6</v>
      </c>
      <c r="AJ1306" s="2">
        <f t="shared" si="235"/>
        <v>1</v>
      </c>
      <c r="AK1306" s="3">
        <v>4134.9999999941792</v>
      </c>
      <c r="AM1306" s="2">
        <v>1</v>
      </c>
      <c r="AN1306">
        <v>0</v>
      </c>
      <c r="AO1306">
        <v>214</v>
      </c>
      <c r="AP1306">
        <v>0</v>
      </c>
      <c r="AQ1306" s="2">
        <f>IF((2*G1306 + M1306 -P1306 + 3*W1306 + 2*Z1306+2*AD1306 + AG1306+2*AJ1306 + 4*AM1306) &gt;=8,1,0)</f>
        <v>1</v>
      </c>
    </row>
    <row r="1307" spans="1:43" x14ac:dyDescent="0.25">
      <c r="A1307" t="s">
        <v>27</v>
      </c>
      <c r="B1307" s="1">
        <v>42168</v>
      </c>
      <c r="C1307" s="7">
        <f t="shared" si="227"/>
        <v>2015</v>
      </c>
      <c r="D1307">
        <v>88</v>
      </c>
      <c r="E1307">
        <v>69.2</v>
      </c>
      <c r="F1307">
        <v>78.599999999999994</v>
      </c>
      <c r="G1307" s="2">
        <f t="shared" si="236"/>
        <v>1</v>
      </c>
      <c r="H1307">
        <v>84.9</v>
      </c>
      <c r="I1307">
        <v>69.2</v>
      </c>
      <c r="J1307">
        <v>77.5</v>
      </c>
      <c r="K1307">
        <v>50.3</v>
      </c>
      <c r="L1307">
        <v>39.1</v>
      </c>
      <c r="M1307" s="2">
        <f t="shared" si="228"/>
        <v>1</v>
      </c>
      <c r="N1307">
        <v>0</v>
      </c>
      <c r="P1307" s="2">
        <f t="shared" si="229"/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29.8</v>
      </c>
      <c r="W1307" s="2">
        <f t="shared" si="230"/>
        <v>1</v>
      </c>
      <c r="X1307">
        <v>17.3</v>
      </c>
      <c r="Z1307" s="2">
        <f t="shared" si="231"/>
        <v>1</v>
      </c>
      <c r="AA1307">
        <v>16</v>
      </c>
      <c r="AB1307" s="2" t="str">
        <f>CHOOSE(MATCH(AA1307,{0;11;80;111;161;191;241;281;341},1),"North","NorthEast","East","SouthEast","South","SouthWest","West","NorthWest","North")</f>
        <v>NorthEast</v>
      </c>
      <c r="AC1307" s="5">
        <f>CHOOSE(MATCH(AB1307,{"South";"SouthEast";"SouthWest";"North";"NorthEast";"East";"West";"NorthWest"},0),1,2,3,4,5,6,7,8)</f>
        <v>5</v>
      </c>
      <c r="AD1307" s="2">
        <f t="shared" si="232"/>
        <v>1</v>
      </c>
      <c r="AE1307">
        <v>1015.9</v>
      </c>
      <c r="AF1307" s="4" t="s">
        <v>2046</v>
      </c>
      <c r="AG1307" s="2">
        <f t="shared" si="233"/>
        <v>0</v>
      </c>
      <c r="AH1307" t="s">
        <v>2047</v>
      </c>
      <c r="AI1307" s="2">
        <f t="shared" si="234"/>
        <v>6</v>
      </c>
      <c r="AJ1307" s="2">
        <f t="shared" si="235"/>
        <v>1</v>
      </c>
      <c r="AK1307" s="3">
        <v>46.999999996041879</v>
      </c>
      <c r="AM1307" s="2">
        <v>0</v>
      </c>
      <c r="AN1307">
        <v>0</v>
      </c>
      <c r="AO1307">
        <v>0.1</v>
      </c>
      <c r="AP1307">
        <v>0</v>
      </c>
      <c r="AQ1307" s="2">
        <f>IF((2*G1307 + M1307 -P1307 + 3*W1307 + 2*Z1307+2*AD1307 + AG1307+2*AJ1307 + 4*AM1307) &gt;=8,1,0)</f>
        <v>1</v>
      </c>
    </row>
    <row r="1308" spans="1:43" x14ac:dyDescent="0.25">
      <c r="A1308" t="s">
        <v>27</v>
      </c>
      <c r="B1308" s="1">
        <v>42168</v>
      </c>
      <c r="C1308" s="7">
        <f t="shared" si="227"/>
        <v>2015</v>
      </c>
      <c r="D1308">
        <v>88</v>
      </c>
      <c r="E1308">
        <v>69.2</v>
      </c>
      <c r="F1308">
        <v>78.599999999999994</v>
      </c>
      <c r="G1308" s="2">
        <f t="shared" si="236"/>
        <v>1</v>
      </c>
      <c r="H1308">
        <v>84.9</v>
      </c>
      <c r="I1308">
        <v>69.2</v>
      </c>
      <c r="J1308">
        <v>77.5</v>
      </c>
      <c r="K1308">
        <v>50.3</v>
      </c>
      <c r="L1308">
        <v>39.1</v>
      </c>
      <c r="M1308" s="2">
        <f t="shared" si="228"/>
        <v>1</v>
      </c>
      <c r="N1308">
        <v>0</v>
      </c>
      <c r="P1308" s="2">
        <f t="shared" si="229"/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29.8</v>
      </c>
      <c r="W1308" s="2">
        <f t="shared" si="230"/>
        <v>1</v>
      </c>
      <c r="X1308">
        <v>17.3</v>
      </c>
      <c r="Z1308" s="2">
        <f t="shared" si="231"/>
        <v>1</v>
      </c>
      <c r="AA1308">
        <v>16</v>
      </c>
      <c r="AB1308" s="2" t="str">
        <f>CHOOSE(MATCH(AA1308,{0;11;80;111;161;191;241;281;341},1),"North","NorthEast","East","SouthEast","South","SouthWest","West","NorthWest","North")</f>
        <v>NorthEast</v>
      </c>
      <c r="AC1308" s="5">
        <f>CHOOSE(MATCH(AB1308,{"South";"SouthEast";"SouthWest";"North";"NorthEast";"East";"West";"NorthWest"},0),1,2,3,4,5,6,7,8)</f>
        <v>5</v>
      </c>
      <c r="AD1308" s="2">
        <f t="shared" si="232"/>
        <v>1</v>
      </c>
      <c r="AE1308">
        <v>1015.9</v>
      </c>
      <c r="AF1308" s="4" t="s">
        <v>1243</v>
      </c>
      <c r="AG1308" s="2">
        <f t="shared" si="233"/>
        <v>0</v>
      </c>
      <c r="AH1308" t="s">
        <v>2048</v>
      </c>
      <c r="AI1308" s="2">
        <f t="shared" si="234"/>
        <v>6</v>
      </c>
      <c r="AJ1308" s="2">
        <f t="shared" si="235"/>
        <v>1</v>
      </c>
      <c r="AK1308" s="3">
        <v>37.999999998137348</v>
      </c>
      <c r="AM1308" s="2">
        <v>0</v>
      </c>
      <c r="AN1308">
        <v>0</v>
      </c>
      <c r="AO1308">
        <v>0.5</v>
      </c>
      <c r="AP1308">
        <v>0</v>
      </c>
      <c r="AQ1308" s="2">
        <f>IF((2*G1308 + M1308 -P1308 + 3*W1308 + 2*Z1308+2*AD1308 + AG1308+2*AJ1308 + 4*AM1308) &gt;=8,1,0)</f>
        <v>1</v>
      </c>
    </row>
    <row r="1309" spans="1:43" x14ac:dyDescent="0.25">
      <c r="A1309" t="s">
        <v>27</v>
      </c>
      <c r="B1309" s="1">
        <v>42169</v>
      </c>
      <c r="C1309" s="7">
        <f t="shared" si="227"/>
        <v>2015</v>
      </c>
      <c r="D1309">
        <v>90.8</v>
      </c>
      <c r="E1309">
        <v>65.7</v>
      </c>
      <c r="F1309">
        <v>78.900000000000006</v>
      </c>
      <c r="G1309" s="2">
        <f t="shared" si="236"/>
        <v>1</v>
      </c>
      <c r="H1309">
        <v>87.8</v>
      </c>
      <c r="I1309">
        <v>65.7</v>
      </c>
      <c r="J1309">
        <v>77.8</v>
      </c>
      <c r="K1309">
        <v>50.2</v>
      </c>
      <c r="L1309">
        <v>38.1</v>
      </c>
      <c r="M1309" s="2">
        <f t="shared" si="228"/>
        <v>1</v>
      </c>
      <c r="N1309">
        <v>0</v>
      </c>
      <c r="P1309" s="2">
        <f t="shared" si="229"/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19</v>
      </c>
      <c r="W1309" s="2">
        <f t="shared" si="230"/>
        <v>1</v>
      </c>
      <c r="X1309">
        <v>12</v>
      </c>
      <c r="Z1309" s="2">
        <f t="shared" si="231"/>
        <v>0</v>
      </c>
      <c r="AA1309">
        <v>123.8</v>
      </c>
      <c r="AB1309" s="2" t="str">
        <f>CHOOSE(MATCH(AA1309,{0;11;80;111;161;191;241;281;341},1),"North","NorthEast","East","SouthEast","South","SouthWest","West","NorthWest","North")</f>
        <v>SouthEast</v>
      </c>
      <c r="AC1309" s="5">
        <f>CHOOSE(MATCH(AB1309,{"South";"SouthEast";"SouthWest";"North";"NorthEast";"East";"West";"NorthWest"},0),1,2,3,4,5,6,7,8)</f>
        <v>2</v>
      </c>
      <c r="AD1309" s="2">
        <f t="shared" si="232"/>
        <v>0</v>
      </c>
      <c r="AE1309">
        <v>1014.4</v>
      </c>
      <c r="AF1309" s="4" t="s">
        <v>2049</v>
      </c>
      <c r="AG1309" s="2">
        <f t="shared" si="233"/>
        <v>1</v>
      </c>
      <c r="AH1309" t="s">
        <v>2050</v>
      </c>
      <c r="AI1309" s="2">
        <f t="shared" si="234"/>
        <v>6</v>
      </c>
      <c r="AJ1309" s="2">
        <f t="shared" si="235"/>
        <v>1</v>
      </c>
      <c r="AK1309" s="3">
        <v>117.00000000419099</v>
      </c>
      <c r="AM1309" s="2">
        <v>0</v>
      </c>
      <c r="AN1309">
        <v>0</v>
      </c>
      <c r="AO1309">
        <v>300</v>
      </c>
      <c r="AP1309">
        <v>0</v>
      </c>
      <c r="AQ1309" s="2">
        <f>IF((2*G1309 + M1309 -P1309 + 3*W1309 + 2*Z1309+2*AD1309 + AG1309+2*AJ1309 + 4*AM1309) &gt;=8,1,0)</f>
        <v>1</v>
      </c>
    </row>
    <row r="1310" spans="1:43" x14ac:dyDescent="0.25">
      <c r="A1310" t="s">
        <v>27</v>
      </c>
      <c r="B1310" s="1">
        <v>42171</v>
      </c>
      <c r="C1310" s="7">
        <f t="shared" si="227"/>
        <v>2015</v>
      </c>
      <c r="D1310">
        <v>94.4</v>
      </c>
      <c r="E1310">
        <v>70.2</v>
      </c>
      <c r="F1310">
        <v>82.5</v>
      </c>
      <c r="G1310" s="2">
        <f t="shared" si="236"/>
        <v>1</v>
      </c>
      <c r="H1310">
        <v>91.3</v>
      </c>
      <c r="I1310">
        <v>70.2</v>
      </c>
      <c r="J1310">
        <v>81.400000000000006</v>
      </c>
      <c r="K1310">
        <v>53.4</v>
      </c>
      <c r="L1310">
        <v>38.6</v>
      </c>
      <c r="M1310" s="2">
        <f t="shared" si="228"/>
        <v>1</v>
      </c>
      <c r="N1310">
        <v>0</v>
      </c>
      <c r="P1310" s="2">
        <f t="shared" si="229"/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27.7</v>
      </c>
      <c r="W1310" s="2">
        <f t="shared" si="230"/>
        <v>1</v>
      </c>
      <c r="X1310">
        <v>11.5</v>
      </c>
      <c r="Z1310" s="2">
        <f t="shared" si="231"/>
        <v>0</v>
      </c>
      <c r="AA1310">
        <v>114.8</v>
      </c>
      <c r="AB1310" s="2" t="str">
        <f>CHOOSE(MATCH(AA1310,{0;11;80;111;161;191;241;281;341},1),"North","NorthEast","East","SouthEast","South","SouthWest","West","NorthWest","North")</f>
        <v>SouthEast</v>
      </c>
      <c r="AC1310" s="5">
        <f>CHOOSE(MATCH(AB1310,{"South";"SouthEast";"SouthWest";"North";"NorthEast";"East";"West";"NorthWest"},0),1,2,3,4,5,6,7,8)</f>
        <v>2</v>
      </c>
      <c r="AD1310" s="2">
        <f t="shared" si="232"/>
        <v>0</v>
      </c>
      <c r="AE1310">
        <v>1009.8</v>
      </c>
      <c r="AF1310" s="4" t="s">
        <v>2051</v>
      </c>
      <c r="AG1310" s="2">
        <f t="shared" si="233"/>
        <v>1</v>
      </c>
      <c r="AH1310" t="s">
        <v>2052</v>
      </c>
      <c r="AI1310" s="2">
        <f t="shared" si="234"/>
        <v>6</v>
      </c>
      <c r="AJ1310" s="2">
        <f t="shared" si="235"/>
        <v>1</v>
      </c>
      <c r="AK1310" s="3">
        <v>145.00000000116421</v>
      </c>
      <c r="AM1310" s="2">
        <v>0</v>
      </c>
      <c r="AN1310">
        <v>0</v>
      </c>
      <c r="AO1310">
        <v>0.3</v>
      </c>
      <c r="AP1310">
        <v>0</v>
      </c>
      <c r="AQ1310" s="2">
        <f>IF((2*G1310 + M1310 -P1310 + 3*W1310 + 2*Z1310+2*AD1310 + AG1310+2*AJ1310 + 4*AM1310) &gt;=8,1,0)</f>
        <v>1</v>
      </c>
    </row>
    <row r="1311" spans="1:43" x14ac:dyDescent="0.25">
      <c r="A1311" t="s">
        <v>27</v>
      </c>
      <c r="B1311" s="1">
        <v>42183</v>
      </c>
      <c r="C1311" s="7">
        <f t="shared" si="227"/>
        <v>2015</v>
      </c>
      <c r="D1311">
        <v>82.4</v>
      </c>
      <c r="E1311">
        <v>65.7</v>
      </c>
      <c r="F1311">
        <v>73.5</v>
      </c>
      <c r="G1311" s="2">
        <f t="shared" si="236"/>
        <v>0</v>
      </c>
      <c r="H1311">
        <v>81.5</v>
      </c>
      <c r="I1311">
        <v>65.7</v>
      </c>
      <c r="J1311">
        <v>73.3</v>
      </c>
      <c r="K1311">
        <v>53.5</v>
      </c>
      <c r="L1311">
        <v>51</v>
      </c>
      <c r="M1311" s="2">
        <f t="shared" si="228"/>
        <v>0</v>
      </c>
      <c r="N1311">
        <v>3.5000000000000003E-2</v>
      </c>
      <c r="P1311" s="2">
        <f t="shared" si="229"/>
        <v>0</v>
      </c>
      <c r="Q1311">
        <v>100</v>
      </c>
      <c r="R1311">
        <v>4.17</v>
      </c>
      <c r="S1311" t="s">
        <v>87</v>
      </c>
      <c r="T1311">
        <v>0</v>
      </c>
      <c r="U1311">
        <v>0</v>
      </c>
      <c r="V1311">
        <v>21.3</v>
      </c>
      <c r="W1311" s="2">
        <f t="shared" si="230"/>
        <v>1</v>
      </c>
      <c r="X1311">
        <v>11.3</v>
      </c>
      <c r="Z1311" s="2">
        <f t="shared" si="231"/>
        <v>0</v>
      </c>
      <c r="AA1311">
        <v>1.6</v>
      </c>
      <c r="AB1311" s="2" t="str">
        <f>CHOOSE(MATCH(AA1311,{0;11;80;111;161;191;241;281;341},1),"North","NorthEast","East","SouthEast","South","SouthWest","West","NorthWest","North")</f>
        <v>North</v>
      </c>
      <c r="AC1311" s="5">
        <f>CHOOSE(MATCH(AB1311,{"South";"SouthEast";"SouthWest";"North";"NorthEast";"East";"West";"NorthWest"},0),1,2,3,4,5,6,7,8)</f>
        <v>4</v>
      </c>
      <c r="AD1311" s="2">
        <f t="shared" si="232"/>
        <v>1</v>
      </c>
      <c r="AE1311">
        <v>1012</v>
      </c>
      <c r="AF1311" s="4" t="s">
        <v>1837</v>
      </c>
      <c r="AG1311" s="2">
        <f t="shared" si="233"/>
        <v>1</v>
      </c>
      <c r="AH1311" t="s">
        <v>2053</v>
      </c>
      <c r="AI1311" s="2">
        <f t="shared" si="234"/>
        <v>6</v>
      </c>
      <c r="AJ1311" s="2">
        <f t="shared" si="235"/>
        <v>1</v>
      </c>
      <c r="AK1311" s="3">
        <v>655.00000000814907</v>
      </c>
      <c r="AM1311" s="2">
        <v>1</v>
      </c>
      <c r="AN1311">
        <v>0</v>
      </c>
      <c r="AO1311">
        <v>5</v>
      </c>
      <c r="AP1311">
        <v>0</v>
      </c>
      <c r="AQ1311" s="2">
        <f>IF((2*G1311 + M1311 -P1311 + 3*W1311 + 2*Z1311+2*AD1311 + AG1311+2*AJ1311 + 4*AM1311) &gt;=8,1,0)</f>
        <v>1</v>
      </c>
    </row>
    <row r="1312" spans="1:43" x14ac:dyDescent="0.25">
      <c r="A1312" t="s">
        <v>27</v>
      </c>
      <c r="B1312" s="1">
        <v>42189</v>
      </c>
      <c r="C1312" s="7">
        <f t="shared" si="227"/>
        <v>2015</v>
      </c>
      <c r="D1312">
        <v>83.6</v>
      </c>
      <c r="E1312">
        <v>70.5</v>
      </c>
      <c r="F1312">
        <v>77.099999999999994</v>
      </c>
      <c r="G1312" s="2">
        <f t="shared" si="236"/>
        <v>1</v>
      </c>
      <c r="H1312">
        <v>82</v>
      </c>
      <c r="I1312">
        <v>70.5</v>
      </c>
      <c r="J1312">
        <v>76.8</v>
      </c>
      <c r="K1312">
        <v>52.5</v>
      </c>
      <c r="L1312">
        <v>43.2</v>
      </c>
      <c r="M1312" s="2">
        <f t="shared" si="228"/>
        <v>1</v>
      </c>
      <c r="N1312">
        <v>0</v>
      </c>
      <c r="P1312" s="2">
        <f t="shared" si="229"/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35.799999999999997</v>
      </c>
      <c r="W1312" s="2">
        <f t="shared" si="230"/>
        <v>1</v>
      </c>
      <c r="X1312">
        <v>22.7</v>
      </c>
      <c r="Z1312" s="2">
        <f t="shared" si="231"/>
        <v>1</v>
      </c>
      <c r="AA1312">
        <v>13.8</v>
      </c>
      <c r="AB1312" s="2" t="str">
        <f>CHOOSE(MATCH(AA1312,{0;11;80;111;161;191;241;281;341},1),"North","NorthEast","East","SouthEast","South","SouthWest","West","NorthWest","North")</f>
        <v>NorthEast</v>
      </c>
      <c r="AC1312" s="5">
        <f>CHOOSE(MATCH(AB1312,{"South";"SouthEast";"SouthWest";"North";"NorthEast";"East";"West";"NorthWest"},0),1,2,3,4,5,6,7,8)</f>
        <v>5</v>
      </c>
      <c r="AD1312" s="2">
        <f t="shared" si="232"/>
        <v>1</v>
      </c>
      <c r="AE1312">
        <v>1019.3</v>
      </c>
      <c r="AF1312" s="4" t="s">
        <v>2054</v>
      </c>
      <c r="AG1312" s="2">
        <f t="shared" si="233"/>
        <v>1</v>
      </c>
      <c r="AH1312" t="s">
        <v>2055</v>
      </c>
      <c r="AI1312" s="2">
        <f t="shared" si="234"/>
        <v>7</v>
      </c>
      <c r="AJ1312" s="2">
        <f t="shared" si="235"/>
        <v>1</v>
      </c>
      <c r="AK1312" s="3">
        <v>1506.99999999837</v>
      </c>
      <c r="AM1312" s="2">
        <v>1</v>
      </c>
      <c r="AN1312">
        <v>10</v>
      </c>
      <c r="AO1312">
        <v>0</v>
      </c>
      <c r="AP1312">
        <v>0</v>
      </c>
      <c r="AQ1312" s="2">
        <f>IF((2*G1312 + M1312 -P1312 + 3*W1312 + 2*Z1312+2*AD1312 + AG1312+2*AJ1312 + 4*AM1312) &gt;=8,1,0)</f>
        <v>1</v>
      </c>
    </row>
    <row r="1313" spans="1:43" x14ac:dyDescent="0.25">
      <c r="A1313" t="s">
        <v>27</v>
      </c>
      <c r="B1313" s="1">
        <v>42190</v>
      </c>
      <c r="C1313" s="7">
        <f t="shared" si="227"/>
        <v>2015</v>
      </c>
      <c r="D1313">
        <v>85.4</v>
      </c>
      <c r="E1313">
        <v>68.900000000000006</v>
      </c>
      <c r="F1313">
        <v>77.400000000000006</v>
      </c>
      <c r="G1313" s="2">
        <f t="shared" si="236"/>
        <v>1</v>
      </c>
      <c r="H1313">
        <v>83.2</v>
      </c>
      <c r="I1313">
        <v>68.900000000000006</v>
      </c>
      <c r="J1313">
        <v>76.900000000000006</v>
      </c>
      <c r="K1313">
        <v>53.2</v>
      </c>
      <c r="L1313">
        <v>44.1</v>
      </c>
      <c r="M1313" s="2">
        <f t="shared" si="228"/>
        <v>1</v>
      </c>
      <c r="N1313">
        <v>0</v>
      </c>
      <c r="P1313" s="2">
        <f t="shared" si="229"/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27.7</v>
      </c>
      <c r="W1313" s="2">
        <f t="shared" si="230"/>
        <v>1</v>
      </c>
      <c r="X1313">
        <v>18</v>
      </c>
      <c r="Z1313" s="2">
        <f t="shared" si="231"/>
        <v>1</v>
      </c>
      <c r="AA1313">
        <v>17.2</v>
      </c>
      <c r="AB1313" s="2" t="str">
        <f>CHOOSE(MATCH(AA1313,{0;11;80;111;161;191;241;281;341},1),"North","NorthEast","East","SouthEast","South","SouthWest","West","NorthWest","North")</f>
        <v>NorthEast</v>
      </c>
      <c r="AC1313" s="5">
        <f>CHOOSE(MATCH(AB1313,{"South";"SouthEast";"SouthWest";"North";"NorthEast";"East";"West";"NorthWest"},0),1,2,3,4,5,6,7,8)</f>
        <v>5</v>
      </c>
      <c r="AD1313" s="2">
        <f t="shared" si="232"/>
        <v>1</v>
      </c>
      <c r="AE1313">
        <v>1017.3</v>
      </c>
      <c r="AF1313" s="4" t="s">
        <v>2056</v>
      </c>
      <c r="AG1313" s="2">
        <f t="shared" si="233"/>
        <v>1</v>
      </c>
      <c r="AH1313" t="s">
        <v>2057</v>
      </c>
      <c r="AI1313" s="2">
        <f t="shared" si="234"/>
        <v>7</v>
      </c>
      <c r="AJ1313" s="2">
        <f t="shared" si="235"/>
        <v>1</v>
      </c>
      <c r="AK1313" s="3">
        <v>213.000000002794</v>
      </c>
      <c r="AM1313" s="2">
        <v>0</v>
      </c>
      <c r="AN1313">
        <v>0</v>
      </c>
      <c r="AO1313">
        <v>3</v>
      </c>
      <c r="AP1313">
        <v>0</v>
      </c>
      <c r="AQ1313" s="2">
        <f>IF((2*G1313 + M1313 -P1313 + 3*W1313 + 2*Z1313+2*AD1313 + AG1313+2*AJ1313 + 4*AM1313) &gt;=8,1,0)</f>
        <v>1</v>
      </c>
    </row>
    <row r="1314" spans="1:43" x14ac:dyDescent="0.25">
      <c r="A1314" t="s">
        <v>27</v>
      </c>
      <c r="B1314" s="1">
        <v>42190</v>
      </c>
      <c r="C1314" s="7">
        <f t="shared" si="227"/>
        <v>2015</v>
      </c>
      <c r="D1314">
        <v>85.4</v>
      </c>
      <c r="E1314">
        <v>68.900000000000006</v>
      </c>
      <c r="F1314">
        <v>77.400000000000006</v>
      </c>
      <c r="G1314" s="2">
        <f t="shared" si="236"/>
        <v>1</v>
      </c>
      <c r="H1314">
        <v>83.2</v>
      </c>
      <c r="I1314">
        <v>68.900000000000006</v>
      </c>
      <c r="J1314">
        <v>76.900000000000006</v>
      </c>
      <c r="K1314">
        <v>53.2</v>
      </c>
      <c r="L1314">
        <v>44.1</v>
      </c>
      <c r="M1314" s="2">
        <f t="shared" si="228"/>
        <v>1</v>
      </c>
      <c r="N1314">
        <v>0</v>
      </c>
      <c r="P1314" s="2">
        <f t="shared" si="229"/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27.7</v>
      </c>
      <c r="W1314" s="2">
        <f t="shared" si="230"/>
        <v>1</v>
      </c>
      <c r="X1314">
        <v>18</v>
      </c>
      <c r="Z1314" s="2">
        <f t="shared" si="231"/>
        <v>1</v>
      </c>
      <c r="AA1314">
        <v>17.2</v>
      </c>
      <c r="AB1314" s="2" t="str">
        <f>CHOOSE(MATCH(AA1314,{0;11;80;111;161;191;241;281;341},1),"North","NorthEast","East","SouthEast","South","SouthWest","West","NorthWest","North")</f>
        <v>NorthEast</v>
      </c>
      <c r="AC1314" s="5">
        <f>CHOOSE(MATCH(AB1314,{"South";"SouthEast";"SouthWest";"North";"NorthEast";"East";"West";"NorthWest"},0),1,2,3,4,5,6,7,8)</f>
        <v>5</v>
      </c>
      <c r="AD1314" s="2">
        <f t="shared" si="232"/>
        <v>1</v>
      </c>
      <c r="AE1314">
        <v>1017.3</v>
      </c>
      <c r="AF1314" s="4" t="s">
        <v>2058</v>
      </c>
      <c r="AG1314" s="2">
        <f t="shared" si="233"/>
        <v>1</v>
      </c>
      <c r="AH1314" t="s">
        <v>2059</v>
      </c>
      <c r="AI1314" s="2">
        <f t="shared" si="234"/>
        <v>7</v>
      </c>
      <c r="AJ1314" s="2">
        <f t="shared" si="235"/>
        <v>1</v>
      </c>
      <c r="AK1314" s="3">
        <v>4139.0000000072177</v>
      </c>
      <c r="AM1314" s="2">
        <v>1</v>
      </c>
      <c r="AN1314">
        <v>0</v>
      </c>
      <c r="AO1314">
        <v>150</v>
      </c>
      <c r="AP1314">
        <v>0</v>
      </c>
      <c r="AQ1314" s="2">
        <f>IF((2*G1314 + M1314 -P1314 + 3*W1314 + 2*Z1314+2*AD1314 + AG1314+2*AJ1314 + 4*AM1314) &gt;=8,1,0)</f>
        <v>1</v>
      </c>
    </row>
    <row r="1315" spans="1:43" x14ac:dyDescent="0.25">
      <c r="A1315" t="s">
        <v>27</v>
      </c>
      <c r="B1315" s="1">
        <v>42195</v>
      </c>
      <c r="C1315" s="7">
        <f t="shared" si="227"/>
        <v>2015</v>
      </c>
      <c r="D1315">
        <v>89.6</v>
      </c>
      <c r="E1315">
        <v>66.2</v>
      </c>
      <c r="F1315">
        <v>80.2</v>
      </c>
      <c r="G1315" s="2">
        <f t="shared" si="236"/>
        <v>1</v>
      </c>
      <c r="H1315">
        <v>91.4</v>
      </c>
      <c r="I1315">
        <v>66.2</v>
      </c>
      <c r="J1315">
        <v>80.2</v>
      </c>
      <c r="K1315">
        <v>59.3</v>
      </c>
      <c r="L1315">
        <v>50.4</v>
      </c>
      <c r="M1315" s="2">
        <f t="shared" si="228"/>
        <v>0</v>
      </c>
      <c r="N1315">
        <v>0</v>
      </c>
      <c r="P1315" s="2">
        <f t="shared" si="229"/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20</v>
      </c>
      <c r="W1315" s="2">
        <f t="shared" si="230"/>
        <v>1</v>
      </c>
      <c r="X1315">
        <v>15.7</v>
      </c>
      <c r="Z1315" s="2">
        <f t="shared" si="231"/>
        <v>0</v>
      </c>
      <c r="AA1315">
        <v>42.2</v>
      </c>
      <c r="AB1315" s="2" t="str">
        <f>CHOOSE(MATCH(AA1315,{0;11;80;111;161;191;241;281;341},1),"North","NorthEast","East","SouthEast","South","SouthWest","West","NorthWest","North")</f>
        <v>NorthEast</v>
      </c>
      <c r="AC1315" s="5">
        <f>CHOOSE(MATCH(AB1315,{"South";"SouthEast";"SouthWest";"North";"NorthEast";"East";"West";"NorthWest"},0),1,2,3,4,5,6,7,8)</f>
        <v>5</v>
      </c>
      <c r="AD1315" s="2">
        <f t="shared" si="232"/>
        <v>1</v>
      </c>
      <c r="AE1315">
        <v>1011.1</v>
      </c>
      <c r="AF1315" s="4" t="s">
        <v>2026</v>
      </c>
      <c r="AG1315" s="2">
        <f t="shared" si="233"/>
        <v>1</v>
      </c>
      <c r="AH1315" t="s">
        <v>2060</v>
      </c>
      <c r="AI1315" s="2">
        <f t="shared" si="234"/>
        <v>7</v>
      </c>
      <c r="AJ1315" s="2">
        <f t="shared" si="235"/>
        <v>1</v>
      </c>
      <c r="AK1315" s="3">
        <v>409.99999999534339</v>
      </c>
      <c r="AM1315" s="2">
        <v>1</v>
      </c>
      <c r="AN1315">
        <v>0</v>
      </c>
      <c r="AO1315">
        <v>2</v>
      </c>
      <c r="AP1315">
        <v>0</v>
      </c>
      <c r="AQ1315" s="2">
        <f>IF((2*G1315 + M1315 -P1315 + 3*W1315 + 2*Z1315+2*AD1315 + AG1315+2*AJ1315 + 4*AM1315) &gt;=8,1,0)</f>
        <v>1</v>
      </c>
    </row>
    <row r="1316" spans="1:43" x14ac:dyDescent="0.25">
      <c r="A1316" t="s">
        <v>27</v>
      </c>
      <c r="B1316" s="1">
        <v>42196</v>
      </c>
      <c r="C1316" s="7">
        <f t="shared" si="227"/>
        <v>2015</v>
      </c>
      <c r="D1316">
        <v>86</v>
      </c>
      <c r="E1316">
        <v>74.599999999999994</v>
      </c>
      <c r="F1316">
        <v>80.2</v>
      </c>
      <c r="G1316" s="2">
        <f t="shared" si="236"/>
        <v>1</v>
      </c>
      <c r="H1316">
        <v>86.4</v>
      </c>
      <c r="I1316">
        <v>74.599999999999994</v>
      </c>
      <c r="J1316">
        <v>80.5</v>
      </c>
      <c r="K1316">
        <v>61.3</v>
      </c>
      <c r="L1316">
        <v>53.1</v>
      </c>
      <c r="M1316" s="2">
        <f t="shared" si="228"/>
        <v>0</v>
      </c>
      <c r="N1316">
        <v>0</v>
      </c>
      <c r="P1316" s="2">
        <f t="shared" si="229"/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28.4</v>
      </c>
      <c r="W1316" s="2">
        <f t="shared" si="230"/>
        <v>1</v>
      </c>
      <c r="X1316">
        <v>18.600000000000001</v>
      </c>
      <c r="Z1316" s="2">
        <f t="shared" si="231"/>
        <v>1</v>
      </c>
      <c r="AA1316">
        <v>17.3</v>
      </c>
      <c r="AB1316" s="2" t="str">
        <f>CHOOSE(MATCH(AA1316,{0;11;80;111;161;191;241;281;341},1),"North","NorthEast","East","SouthEast","South","SouthWest","West","NorthWest","North")</f>
        <v>NorthEast</v>
      </c>
      <c r="AC1316" s="5">
        <f>CHOOSE(MATCH(AB1316,{"South";"SouthEast";"SouthWest";"North";"NorthEast";"East";"West";"NorthWest"},0),1,2,3,4,5,6,7,8)</f>
        <v>5</v>
      </c>
      <c r="AD1316" s="2">
        <f t="shared" si="232"/>
        <v>1</v>
      </c>
      <c r="AE1316">
        <v>1013.5</v>
      </c>
      <c r="AF1316" s="4" t="s">
        <v>1056</v>
      </c>
      <c r="AG1316" s="2">
        <f t="shared" si="233"/>
        <v>1</v>
      </c>
      <c r="AH1316" t="s">
        <v>2061</v>
      </c>
      <c r="AI1316" s="2">
        <f t="shared" si="234"/>
        <v>7</v>
      </c>
      <c r="AJ1316" s="2">
        <f t="shared" si="235"/>
        <v>1</v>
      </c>
      <c r="AK1316" s="3">
        <v>79.999999998835847</v>
      </c>
      <c r="AM1316" s="2">
        <v>0</v>
      </c>
      <c r="AN1316">
        <v>0</v>
      </c>
      <c r="AO1316">
        <v>0.1</v>
      </c>
      <c r="AP1316">
        <v>0</v>
      </c>
      <c r="AQ1316" s="2">
        <f>IF((2*G1316 + M1316 -P1316 + 3*W1316 + 2*Z1316+2*AD1316 + AG1316+2*AJ1316 + 4*AM1316) &gt;=8,1,0)</f>
        <v>1</v>
      </c>
    </row>
    <row r="1317" spans="1:43" x14ac:dyDescent="0.25">
      <c r="A1317" t="s">
        <v>27</v>
      </c>
      <c r="B1317" s="1">
        <v>42197</v>
      </c>
      <c r="C1317" s="7">
        <f t="shared" si="227"/>
        <v>2015</v>
      </c>
      <c r="D1317">
        <v>86.6</v>
      </c>
      <c r="E1317">
        <v>70.400000000000006</v>
      </c>
      <c r="F1317">
        <v>79.099999999999994</v>
      </c>
      <c r="G1317" s="2">
        <f t="shared" si="236"/>
        <v>1</v>
      </c>
      <c r="H1317">
        <v>84.8</v>
      </c>
      <c r="I1317">
        <v>70.400000000000006</v>
      </c>
      <c r="J1317">
        <v>78.3</v>
      </c>
      <c r="K1317">
        <v>53</v>
      </c>
      <c r="L1317">
        <v>42</v>
      </c>
      <c r="M1317" s="2">
        <f t="shared" si="228"/>
        <v>1</v>
      </c>
      <c r="N1317">
        <v>0</v>
      </c>
      <c r="P1317" s="2">
        <f t="shared" si="229"/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32.200000000000003</v>
      </c>
      <c r="W1317" s="2">
        <f t="shared" si="230"/>
        <v>1</v>
      </c>
      <c r="X1317">
        <v>18.899999999999999</v>
      </c>
      <c r="Z1317" s="2">
        <f t="shared" si="231"/>
        <v>1</v>
      </c>
      <c r="AA1317">
        <v>16.7</v>
      </c>
      <c r="AB1317" s="2" t="str">
        <f>CHOOSE(MATCH(AA1317,{0;11;80;111;161;191;241;281;341},1),"North","NorthEast","East","SouthEast","South","SouthWest","West","NorthWest","North")</f>
        <v>NorthEast</v>
      </c>
      <c r="AC1317" s="5">
        <f>CHOOSE(MATCH(AB1317,{"South";"SouthEast";"SouthWest";"North";"NorthEast";"East";"West";"NorthWest"},0),1,2,3,4,5,6,7,8)</f>
        <v>5</v>
      </c>
      <c r="AD1317" s="2">
        <f t="shared" si="232"/>
        <v>1</v>
      </c>
      <c r="AE1317">
        <v>1013.3</v>
      </c>
      <c r="AF1317" s="4" t="s">
        <v>1781</v>
      </c>
      <c r="AG1317" s="2">
        <f t="shared" si="233"/>
        <v>0</v>
      </c>
      <c r="AH1317" t="s">
        <v>2062</v>
      </c>
      <c r="AI1317" s="2">
        <f t="shared" si="234"/>
        <v>7</v>
      </c>
      <c r="AJ1317" s="2">
        <f t="shared" si="235"/>
        <v>1</v>
      </c>
      <c r="AK1317" s="3">
        <v>57.000000007683411</v>
      </c>
      <c r="AM1317" s="2">
        <v>0</v>
      </c>
      <c r="AN1317">
        <v>1</v>
      </c>
      <c r="AO1317">
        <v>0</v>
      </c>
      <c r="AP1317">
        <v>0</v>
      </c>
      <c r="AQ1317" s="2">
        <f>IF((2*G1317 + M1317 -P1317 + 3*W1317 + 2*Z1317+2*AD1317 + AG1317+2*AJ1317 + 4*AM1317) &gt;=8,1,0)</f>
        <v>1</v>
      </c>
    </row>
    <row r="1318" spans="1:43" x14ac:dyDescent="0.25">
      <c r="A1318" t="s">
        <v>27</v>
      </c>
      <c r="B1318" s="1">
        <v>42197</v>
      </c>
      <c r="C1318" s="7">
        <f t="shared" si="227"/>
        <v>2015</v>
      </c>
      <c r="D1318">
        <v>86.6</v>
      </c>
      <c r="E1318">
        <v>70.400000000000006</v>
      </c>
      <c r="F1318">
        <v>79.099999999999994</v>
      </c>
      <c r="G1318" s="2">
        <f t="shared" si="236"/>
        <v>1</v>
      </c>
      <c r="H1318">
        <v>84.8</v>
      </c>
      <c r="I1318">
        <v>70.400000000000006</v>
      </c>
      <c r="J1318">
        <v>78.3</v>
      </c>
      <c r="K1318">
        <v>53</v>
      </c>
      <c r="L1318">
        <v>42</v>
      </c>
      <c r="M1318" s="2">
        <f t="shared" si="228"/>
        <v>1</v>
      </c>
      <c r="N1318">
        <v>0</v>
      </c>
      <c r="P1318" s="2">
        <f t="shared" si="229"/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32.200000000000003</v>
      </c>
      <c r="W1318" s="2">
        <f t="shared" si="230"/>
        <v>1</v>
      </c>
      <c r="X1318">
        <v>18.899999999999999</v>
      </c>
      <c r="Z1318" s="2">
        <f t="shared" si="231"/>
        <v>1</v>
      </c>
      <c r="AA1318">
        <v>16.7</v>
      </c>
      <c r="AB1318" s="2" t="str">
        <f>CHOOSE(MATCH(AA1318,{0;11;80;111;161;191;241;281;341},1),"North","NorthEast","East","SouthEast","South","SouthWest","West","NorthWest","North")</f>
        <v>NorthEast</v>
      </c>
      <c r="AC1318" s="5">
        <f>CHOOSE(MATCH(AB1318,{"South";"SouthEast";"SouthWest";"North";"NorthEast";"East";"West";"NorthWest"},0),1,2,3,4,5,6,7,8)</f>
        <v>5</v>
      </c>
      <c r="AD1318" s="2">
        <f t="shared" si="232"/>
        <v>1</v>
      </c>
      <c r="AE1318">
        <v>1013.3</v>
      </c>
      <c r="AF1318" s="4" t="s">
        <v>2063</v>
      </c>
      <c r="AG1318" s="2">
        <f t="shared" si="233"/>
        <v>0</v>
      </c>
      <c r="AH1318" t="s">
        <v>2064</v>
      </c>
      <c r="AI1318" s="2">
        <f t="shared" si="234"/>
        <v>7</v>
      </c>
      <c r="AJ1318" s="2">
        <f t="shared" si="235"/>
        <v>1</v>
      </c>
      <c r="AK1318" s="3">
        <v>390.99999999627471</v>
      </c>
      <c r="AM1318" s="2">
        <v>1</v>
      </c>
      <c r="AN1318">
        <v>0</v>
      </c>
      <c r="AO1318">
        <v>1</v>
      </c>
      <c r="AP1318">
        <v>0</v>
      </c>
      <c r="AQ1318" s="2">
        <f>IF((2*G1318 + M1318 -P1318 + 3*W1318 + 2*Z1318+2*AD1318 + AG1318+2*AJ1318 + 4*AM1318) &gt;=8,1,0)</f>
        <v>1</v>
      </c>
    </row>
    <row r="1319" spans="1:43" x14ac:dyDescent="0.25">
      <c r="A1319" t="s">
        <v>27</v>
      </c>
      <c r="B1319" s="1">
        <v>42201</v>
      </c>
      <c r="C1319" s="7">
        <f t="shared" si="227"/>
        <v>2015</v>
      </c>
      <c r="D1319">
        <v>90.2</v>
      </c>
      <c r="E1319">
        <v>74.8</v>
      </c>
      <c r="F1319">
        <v>83.3</v>
      </c>
      <c r="G1319" s="2">
        <f t="shared" si="236"/>
        <v>1</v>
      </c>
      <c r="H1319">
        <v>88.6</v>
      </c>
      <c r="I1319">
        <v>74.8</v>
      </c>
      <c r="J1319">
        <v>82.3</v>
      </c>
      <c r="K1319">
        <v>54.3</v>
      </c>
      <c r="L1319">
        <v>37.4</v>
      </c>
      <c r="M1319" s="2">
        <f t="shared" si="228"/>
        <v>1</v>
      </c>
      <c r="N1319">
        <v>0</v>
      </c>
      <c r="P1319" s="2">
        <f t="shared" si="229"/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37.4</v>
      </c>
      <c r="W1319" s="2">
        <f t="shared" si="230"/>
        <v>1</v>
      </c>
      <c r="X1319">
        <v>24.3</v>
      </c>
      <c r="Z1319" s="2">
        <f t="shared" si="231"/>
        <v>1</v>
      </c>
      <c r="AA1319">
        <v>10</v>
      </c>
      <c r="AB1319" s="2" t="str">
        <f>CHOOSE(MATCH(AA1319,{0;11;80;111;161;191;241;281;341},1),"North","NorthEast","East","SouthEast","South","SouthWest","West","NorthWest","North")</f>
        <v>North</v>
      </c>
      <c r="AC1319" s="5">
        <f>CHOOSE(MATCH(AB1319,{"South";"SouthEast";"SouthWest";"North";"NorthEast";"East";"West";"NorthWest"},0),1,2,3,4,5,6,7,8)</f>
        <v>4</v>
      </c>
      <c r="AD1319" s="2">
        <f t="shared" si="232"/>
        <v>1</v>
      </c>
      <c r="AE1319">
        <v>1015.4</v>
      </c>
      <c r="AF1319" s="4" t="s">
        <v>2065</v>
      </c>
      <c r="AG1319" s="2">
        <f t="shared" si="233"/>
        <v>1</v>
      </c>
      <c r="AH1319" t="s">
        <v>2066</v>
      </c>
      <c r="AI1319" s="2">
        <f t="shared" si="234"/>
        <v>7</v>
      </c>
      <c r="AJ1319" s="2">
        <f t="shared" si="235"/>
        <v>1</v>
      </c>
      <c r="AK1319" s="3">
        <v>239.00000000372529</v>
      </c>
      <c r="AM1319" s="2">
        <v>0</v>
      </c>
      <c r="AN1319">
        <v>0</v>
      </c>
      <c r="AO1319">
        <v>1</v>
      </c>
      <c r="AP1319">
        <v>0</v>
      </c>
      <c r="AQ1319" s="2">
        <f>IF((2*G1319 + M1319 -P1319 + 3*W1319 + 2*Z1319+2*AD1319 + AG1319+2*AJ1319 + 4*AM1319) &gt;=8,1,0)</f>
        <v>1</v>
      </c>
    </row>
    <row r="1320" spans="1:43" x14ac:dyDescent="0.25">
      <c r="A1320" t="s">
        <v>27</v>
      </c>
      <c r="B1320" s="1">
        <v>42202</v>
      </c>
      <c r="C1320" s="7">
        <f t="shared" si="227"/>
        <v>2015</v>
      </c>
      <c r="D1320">
        <v>90.2</v>
      </c>
      <c r="E1320">
        <v>77.3</v>
      </c>
      <c r="F1320">
        <v>83.4</v>
      </c>
      <c r="G1320" s="2">
        <f t="shared" si="236"/>
        <v>1</v>
      </c>
      <c r="H1320">
        <v>87</v>
      </c>
      <c r="I1320">
        <v>77.3</v>
      </c>
      <c r="J1320">
        <v>82.1</v>
      </c>
      <c r="K1320">
        <v>52.4</v>
      </c>
      <c r="L1320">
        <v>35.5</v>
      </c>
      <c r="M1320" s="2">
        <f t="shared" si="228"/>
        <v>1</v>
      </c>
      <c r="N1320">
        <v>0</v>
      </c>
      <c r="P1320" s="2">
        <f t="shared" si="229"/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41.4</v>
      </c>
      <c r="W1320" s="2">
        <f t="shared" si="230"/>
        <v>1</v>
      </c>
      <c r="X1320">
        <v>24.8</v>
      </c>
      <c r="Z1320" s="2">
        <f t="shared" si="231"/>
        <v>1</v>
      </c>
      <c r="AA1320">
        <v>12.7</v>
      </c>
      <c r="AB1320" s="2" t="str">
        <f>CHOOSE(MATCH(AA1320,{0;11;80;111;161;191;241;281;341},1),"North","NorthEast","East","SouthEast","South","SouthWest","West","NorthWest","North")</f>
        <v>NorthEast</v>
      </c>
      <c r="AC1320" s="5">
        <f>CHOOSE(MATCH(AB1320,{"South";"SouthEast";"SouthWest";"North";"NorthEast";"East";"West";"NorthWest"},0),1,2,3,4,5,6,7,8)</f>
        <v>5</v>
      </c>
      <c r="AD1320" s="2">
        <f t="shared" si="232"/>
        <v>1</v>
      </c>
      <c r="AE1320">
        <v>1015.4</v>
      </c>
      <c r="AF1320" s="4" t="s">
        <v>2067</v>
      </c>
      <c r="AG1320" s="2">
        <f t="shared" si="233"/>
        <v>0</v>
      </c>
      <c r="AH1320" t="s">
        <v>2068</v>
      </c>
      <c r="AI1320" s="2">
        <f t="shared" si="234"/>
        <v>7</v>
      </c>
      <c r="AJ1320" s="2">
        <f t="shared" si="235"/>
        <v>1</v>
      </c>
      <c r="AK1320" s="3">
        <v>24315.999999999771</v>
      </c>
      <c r="AM1320" s="2">
        <v>1</v>
      </c>
      <c r="AN1320">
        <v>0</v>
      </c>
      <c r="AO1320">
        <v>6000</v>
      </c>
      <c r="AP1320">
        <v>0</v>
      </c>
      <c r="AQ1320" s="2">
        <f>IF((2*G1320 + M1320 -P1320 + 3*W1320 + 2*Z1320+2*AD1320 + AG1320+2*AJ1320 + 4*AM1320) &gt;=8,1,0)</f>
        <v>1</v>
      </c>
    </row>
    <row r="1321" spans="1:43" x14ac:dyDescent="0.25">
      <c r="A1321" t="s">
        <v>27</v>
      </c>
      <c r="B1321" s="1">
        <v>42202</v>
      </c>
      <c r="C1321" s="7">
        <f t="shared" si="227"/>
        <v>2015</v>
      </c>
      <c r="D1321">
        <v>90.2</v>
      </c>
      <c r="E1321">
        <v>77.3</v>
      </c>
      <c r="F1321">
        <v>83.4</v>
      </c>
      <c r="G1321" s="2">
        <f t="shared" si="236"/>
        <v>1</v>
      </c>
      <c r="H1321">
        <v>87</v>
      </c>
      <c r="I1321">
        <v>77.3</v>
      </c>
      <c r="J1321">
        <v>82.1</v>
      </c>
      <c r="K1321">
        <v>52.4</v>
      </c>
      <c r="L1321">
        <v>35.5</v>
      </c>
      <c r="M1321" s="2">
        <f t="shared" si="228"/>
        <v>1</v>
      </c>
      <c r="N1321">
        <v>0</v>
      </c>
      <c r="P1321" s="2">
        <f t="shared" si="229"/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41.4</v>
      </c>
      <c r="W1321" s="2">
        <f t="shared" si="230"/>
        <v>1</v>
      </c>
      <c r="X1321">
        <v>24.8</v>
      </c>
      <c r="Z1321" s="2">
        <f t="shared" si="231"/>
        <v>1</v>
      </c>
      <c r="AA1321">
        <v>12.7</v>
      </c>
      <c r="AB1321" s="2" t="str">
        <f>CHOOSE(MATCH(AA1321,{0;11;80;111;161;191;241;281;341},1),"North","NorthEast","East","SouthEast","South","SouthWest","West","NorthWest","North")</f>
        <v>NorthEast</v>
      </c>
      <c r="AC1321" s="5">
        <f>CHOOSE(MATCH(AB1321,{"South";"SouthEast";"SouthWest";"North";"NorthEast";"East";"West";"NorthWest"},0),1,2,3,4,5,6,7,8)</f>
        <v>5</v>
      </c>
      <c r="AD1321" s="2">
        <f t="shared" si="232"/>
        <v>1</v>
      </c>
      <c r="AE1321">
        <v>1015.4</v>
      </c>
      <c r="AF1321" s="4" t="s">
        <v>2069</v>
      </c>
      <c r="AG1321" s="2">
        <f t="shared" si="233"/>
        <v>1</v>
      </c>
      <c r="AH1321" t="s">
        <v>2070</v>
      </c>
      <c r="AI1321" s="2">
        <f t="shared" si="234"/>
        <v>7</v>
      </c>
      <c r="AJ1321" s="2">
        <f t="shared" si="235"/>
        <v>1</v>
      </c>
      <c r="AK1321" s="3">
        <v>42.000000000698492</v>
      </c>
      <c r="AM1321" s="2">
        <v>0</v>
      </c>
      <c r="AN1321">
        <v>0</v>
      </c>
      <c r="AO1321">
        <v>0.2</v>
      </c>
      <c r="AP1321">
        <v>0</v>
      </c>
      <c r="AQ1321" s="2">
        <f>IF((2*G1321 + M1321 -P1321 + 3*W1321 + 2*Z1321+2*AD1321 + AG1321+2*AJ1321 + 4*AM1321) &gt;=8,1,0)</f>
        <v>1</v>
      </c>
    </row>
    <row r="1322" spans="1:43" x14ac:dyDescent="0.25">
      <c r="A1322" t="s">
        <v>27</v>
      </c>
      <c r="B1322" s="1">
        <v>42205</v>
      </c>
      <c r="C1322" s="7">
        <f t="shared" si="227"/>
        <v>2015</v>
      </c>
      <c r="D1322">
        <v>93.2</v>
      </c>
      <c r="E1322">
        <v>78.2</v>
      </c>
      <c r="F1322">
        <v>85.5</v>
      </c>
      <c r="G1322" s="2">
        <f t="shared" si="236"/>
        <v>1</v>
      </c>
      <c r="H1322">
        <v>88.7</v>
      </c>
      <c r="I1322">
        <v>78.2</v>
      </c>
      <c r="J1322">
        <v>83.1</v>
      </c>
      <c r="K1322">
        <v>42.7</v>
      </c>
      <c r="L1322">
        <v>23.5</v>
      </c>
      <c r="M1322" s="2">
        <f t="shared" si="228"/>
        <v>1</v>
      </c>
      <c r="N1322">
        <v>0</v>
      </c>
      <c r="P1322" s="2">
        <f t="shared" si="229"/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35.6</v>
      </c>
      <c r="W1322" s="2">
        <f t="shared" si="230"/>
        <v>1</v>
      </c>
      <c r="X1322">
        <v>20.399999999999999</v>
      </c>
      <c r="Z1322" s="2">
        <f t="shared" si="231"/>
        <v>1</v>
      </c>
      <c r="AA1322">
        <v>15.5</v>
      </c>
      <c r="AB1322" s="2" t="str">
        <f>CHOOSE(MATCH(AA1322,{0;11;80;111;161;191;241;281;341},1),"North","NorthEast","East","SouthEast","South","SouthWest","West","NorthWest","North")</f>
        <v>NorthEast</v>
      </c>
      <c r="AC1322" s="5">
        <f>CHOOSE(MATCH(AB1322,{"South";"SouthEast";"SouthWest";"North";"NorthEast";"East";"West";"NorthWest"},0),1,2,3,4,5,6,7,8)</f>
        <v>5</v>
      </c>
      <c r="AD1322" s="2">
        <f t="shared" si="232"/>
        <v>1</v>
      </c>
      <c r="AE1322">
        <v>1008.8</v>
      </c>
      <c r="AF1322" s="4" t="s">
        <v>1071</v>
      </c>
      <c r="AG1322" s="2">
        <f t="shared" si="233"/>
        <v>1</v>
      </c>
      <c r="AH1322" t="s">
        <v>2071</v>
      </c>
      <c r="AI1322" s="2">
        <f t="shared" si="234"/>
        <v>7</v>
      </c>
      <c r="AJ1322" s="2">
        <f t="shared" si="235"/>
        <v>1</v>
      </c>
      <c r="AK1322" s="3">
        <v>3225.000000003492</v>
      </c>
      <c r="AM1322" s="2">
        <v>1</v>
      </c>
      <c r="AN1322">
        <v>0</v>
      </c>
      <c r="AO1322">
        <v>6</v>
      </c>
      <c r="AP1322">
        <v>0</v>
      </c>
      <c r="AQ1322" s="2">
        <f>IF((2*G1322 + M1322 -P1322 + 3*W1322 + 2*Z1322+2*AD1322 + AG1322+2*AJ1322 + 4*AM1322) &gt;=8,1,0)</f>
        <v>1</v>
      </c>
    </row>
    <row r="1323" spans="1:43" x14ac:dyDescent="0.25">
      <c r="A1323" t="s">
        <v>27</v>
      </c>
      <c r="B1323" s="1">
        <v>42205</v>
      </c>
      <c r="C1323" s="7">
        <f t="shared" si="227"/>
        <v>2015</v>
      </c>
      <c r="D1323">
        <v>93.2</v>
      </c>
      <c r="E1323">
        <v>78.2</v>
      </c>
      <c r="F1323">
        <v>85.5</v>
      </c>
      <c r="G1323" s="2">
        <f t="shared" si="236"/>
        <v>1</v>
      </c>
      <c r="H1323">
        <v>88.7</v>
      </c>
      <c r="I1323">
        <v>78.2</v>
      </c>
      <c r="J1323">
        <v>83.1</v>
      </c>
      <c r="K1323">
        <v>42.7</v>
      </c>
      <c r="L1323">
        <v>23.5</v>
      </c>
      <c r="M1323" s="2">
        <f t="shared" si="228"/>
        <v>1</v>
      </c>
      <c r="N1323">
        <v>0</v>
      </c>
      <c r="P1323" s="2">
        <f t="shared" si="229"/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35.6</v>
      </c>
      <c r="W1323" s="2">
        <f t="shared" si="230"/>
        <v>1</v>
      </c>
      <c r="X1323">
        <v>20.399999999999999</v>
      </c>
      <c r="Z1323" s="2">
        <f t="shared" si="231"/>
        <v>1</v>
      </c>
      <c r="AA1323">
        <v>15.5</v>
      </c>
      <c r="AB1323" s="2" t="str">
        <f>CHOOSE(MATCH(AA1323,{0;11;80;111;161;191;241;281;341},1),"North","NorthEast","East","SouthEast","South","SouthWest","West","NorthWest","North")</f>
        <v>NorthEast</v>
      </c>
      <c r="AC1323" s="5">
        <f>CHOOSE(MATCH(AB1323,{"South";"SouthEast";"SouthWest";"North";"NorthEast";"East";"West";"NorthWest"},0),1,2,3,4,5,6,7,8)</f>
        <v>5</v>
      </c>
      <c r="AD1323" s="2">
        <f t="shared" si="232"/>
        <v>1</v>
      </c>
      <c r="AE1323">
        <v>1008.8</v>
      </c>
      <c r="AF1323" s="4" t="s">
        <v>1893</v>
      </c>
      <c r="AG1323" s="2">
        <f t="shared" si="233"/>
        <v>1</v>
      </c>
      <c r="AH1323" t="s">
        <v>2072</v>
      </c>
      <c r="AI1323" s="2">
        <f t="shared" si="234"/>
        <v>7</v>
      </c>
      <c r="AJ1323" s="2">
        <f t="shared" si="235"/>
        <v>1</v>
      </c>
      <c r="AK1323" s="3">
        <v>1188.9999999990689</v>
      </c>
      <c r="AM1323" s="2">
        <v>1</v>
      </c>
      <c r="AN1323">
        <v>3</v>
      </c>
      <c r="AO1323">
        <v>0</v>
      </c>
      <c r="AP1323">
        <v>0</v>
      </c>
      <c r="AQ1323" s="2">
        <f>IF((2*G1323 + M1323 -P1323 + 3*W1323 + 2*Z1323+2*AD1323 + AG1323+2*AJ1323 + 4*AM1323) &gt;=8,1,0)</f>
        <v>1</v>
      </c>
    </row>
    <row r="1324" spans="1:43" x14ac:dyDescent="0.25">
      <c r="A1324" t="s">
        <v>27</v>
      </c>
      <c r="B1324" s="1">
        <v>42207</v>
      </c>
      <c r="C1324" s="7">
        <f t="shared" si="227"/>
        <v>2015</v>
      </c>
      <c r="D1324">
        <v>90.2</v>
      </c>
      <c r="E1324">
        <v>80.599999999999994</v>
      </c>
      <c r="F1324">
        <v>85.3</v>
      </c>
      <c r="G1324" s="2">
        <f t="shared" si="236"/>
        <v>1</v>
      </c>
      <c r="H1324">
        <v>88.8</v>
      </c>
      <c r="I1324">
        <v>80.2</v>
      </c>
      <c r="J1324">
        <v>84.1</v>
      </c>
      <c r="K1324">
        <v>54.6</v>
      </c>
      <c r="L1324">
        <v>35.5</v>
      </c>
      <c r="M1324" s="2">
        <f t="shared" si="228"/>
        <v>1</v>
      </c>
      <c r="N1324">
        <v>0</v>
      </c>
      <c r="P1324" s="2">
        <f t="shared" si="229"/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41.4</v>
      </c>
      <c r="W1324" s="2">
        <f t="shared" si="230"/>
        <v>1</v>
      </c>
      <c r="X1324">
        <v>26.2</v>
      </c>
      <c r="Z1324" s="2">
        <f t="shared" si="231"/>
        <v>1</v>
      </c>
      <c r="AA1324">
        <v>9.5</v>
      </c>
      <c r="AB1324" s="2" t="str">
        <f>CHOOSE(MATCH(AA1324,{0;11;80;111;161;191;241;281;341},1),"North","NorthEast","East","SouthEast","South","SouthWest","West","NorthWest","North")</f>
        <v>North</v>
      </c>
      <c r="AC1324" s="5">
        <f>CHOOSE(MATCH(AB1324,{"South";"SouthEast";"SouthWest";"North";"NorthEast";"East";"West";"NorthWest"},0),1,2,3,4,5,6,7,8)</f>
        <v>4</v>
      </c>
      <c r="AD1324" s="2">
        <f t="shared" si="232"/>
        <v>1</v>
      </c>
      <c r="AE1324">
        <v>1010.7</v>
      </c>
      <c r="AF1324" s="4" t="s">
        <v>2073</v>
      </c>
      <c r="AG1324" s="2">
        <f t="shared" si="233"/>
        <v>0</v>
      </c>
      <c r="AH1324" t="s">
        <v>2074</v>
      </c>
      <c r="AI1324" s="2">
        <f t="shared" si="234"/>
        <v>7</v>
      </c>
      <c r="AJ1324" s="2">
        <f t="shared" si="235"/>
        <v>1</v>
      </c>
      <c r="AK1324" s="3">
        <v>532.99999999813735</v>
      </c>
      <c r="AM1324" s="2">
        <v>1</v>
      </c>
      <c r="AN1324">
        <v>5</v>
      </c>
      <c r="AO1324">
        <v>0</v>
      </c>
      <c r="AP1324">
        <v>0</v>
      </c>
      <c r="AQ1324" s="2">
        <f>IF((2*G1324 + M1324 -P1324 + 3*W1324 + 2*Z1324+2*AD1324 + AG1324+2*AJ1324 + 4*AM1324) &gt;=8,1,0)</f>
        <v>1</v>
      </c>
    </row>
    <row r="1325" spans="1:43" x14ac:dyDescent="0.25">
      <c r="A1325" t="s">
        <v>27</v>
      </c>
      <c r="B1325" s="1">
        <v>42207</v>
      </c>
      <c r="C1325" s="7">
        <f t="shared" si="227"/>
        <v>2015</v>
      </c>
      <c r="D1325">
        <v>90.2</v>
      </c>
      <c r="E1325">
        <v>80.599999999999994</v>
      </c>
      <c r="F1325">
        <v>85.3</v>
      </c>
      <c r="G1325" s="2">
        <f t="shared" si="236"/>
        <v>1</v>
      </c>
      <c r="H1325">
        <v>88.8</v>
      </c>
      <c r="I1325">
        <v>80.2</v>
      </c>
      <c r="J1325">
        <v>84.1</v>
      </c>
      <c r="K1325">
        <v>54.6</v>
      </c>
      <c r="L1325">
        <v>35.5</v>
      </c>
      <c r="M1325" s="2">
        <f t="shared" si="228"/>
        <v>1</v>
      </c>
      <c r="N1325">
        <v>0</v>
      </c>
      <c r="P1325" s="2">
        <f t="shared" si="229"/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41.4</v>
      </c>
      <c r="W1325" s="2">
        <f t="shared" si="230"/>
        <v>1</v>
      </c>
      <c r="X1325">
        <v>26.2</v>
      </c>
      <c r="Z1325" s="2">
        <f t="shared" si="231"/>
        <v>1</v>
      </c>
      <c r="AA1325">
        <v>9.5</v>
      </c>
      <c r="AB1325" s="2" t="str">
        <f>CHOOSE(MATCH(AA1325,{0;11;80;111;161;191;241;281;341},1),"North","NorthEast","East","SouthEast","South","SouthWest","West","NorthWest","North")</f>
        <v>North</v>
      </c>
      <c r="AC1325" s="5">
        <f>CHOOSE(MATCH(AB1325,{"South";"SouthEast";"SouthWest";"North";"NorthEast";"East";"West";"NorthWest"},0),1,2,3,4,5,6,7,8)</f>
        <v>4</v>
      </c>
      <c r="AD1325" s="2">
        <f t="shared" si="232"/>
        <v>1</v>
      </c>
      <c r="AE1325">
        <v>1010.7</v>
      </c>
      <c r="AF1325" s="4" t="s">
        <v>1812</v>
      </c>
      <c r="AG1325" s="2">
        <f t="shared" si="233"/>
        <v>1</v>
      </c>
      <c r="AH1325" t="s">
        <v>2075</v>
      </c>
      <c r="AI1325" s="2">
        <f t="shared" si="234"/>
        <v>7</v>
      </c>
      <c r="AJ1325" s="2">
        <f t="shared" si="235"/>
        <v>1</v>
      </c>
      <c r="AK1325" s="3">
        <v>5790.0000000034916</v>
      </c>
      <c r="AM1325" s="2">
        <v>1</v>
      </c>
      <c r="AN1325">
        <v>0</v>
      </c>
      <c r="AO1325">
        <v>60</v>
      </c>
      <c r="AP1325">
        <v>0</v>
      </c>
      <c r="AQ1325" s="2">
        <f>IF((2*G1325 + M1325 -P1325 + 3*W1325 + 2*Z1325+2*AD1325 + AG1325+2*AJ1325 + 4*AM1325) &gt;=8,1,0)</f>
        <v>1</v>
      </c>
    </row>
    <row r="1326" spans="1:43" x14ac:dyDescent="0.25">
      <c r="A1326" t="s">
        <v>27</v>
      </c>
      <c r="B1326" s="1">
        <v>42215</v>
      </c>
      <c r="C1326" s="7">
        <f t="shared" si="227"/>
        <v>2015</v>
      </c>
      <c r="D1326">
        <v>98</v>
      </c>
      <c r="E1326">
        <v>74.599999999999994</v>
      </c>
      <c r="F1326">
        <v>86.9</v>
      </c>
      <c r="G1326" s="2">
        <f t="shared" si="236"/>
        <v>1</v>
      </c>
      <c r="H1326">
        <v>97.9</v>
      </c>
      <c r="I1326">
        <v>74.599999999999994</v>
      </c>
      <c r="J1326">
        <v>87.3</v>
      </c>
      <c r="K1326">
        <v>61.1</v>
      </c>
      <c r="L1326">
        <v>43.9</v>
      </c>
      <c r="M1326" s="2">
        <f t="shared" si="228"/>
        <v>1</v>
      </c>
      <c r="N1326">
        <v>0</v>
      </c>
      <c r="P1326" s="2">
        <f t="shared" si="229"/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19.5</v>
      </c>
      <c r="W1326" s="2">
        <f t="shared" si="230"/>
        <v>1</v>
      </c>
      <c r="X1326">
        <v>12.3</v>
      </c>
      <c r="Z1326" s="2">
        <f t="shared" si="231"/>
        <v>0</v>
      </c>
      <c r="AA1326">
        <v>103.6</v>
      </c>
      <c r="AB1326" s="2" t="str">
        <f>CHOOSE(MATCH(AA1326,{0;11;80;111;161;191;241;281;341},1),"North","NorthEast","East","SouthEast","South","SouthWest","West","NorthWest","North")</f>
        <v>East</v>
      </c>
      <c r="AC1326" s="5">
        <f>CHOOSE(MATCH(AB1326,{"South";"SouthEast";"SouthWest";"North";"NorthEast";"East";"West";"NorthWest"},0),1,2,3,4,5,6,7,8)</f>
        <v>6</v>
      </c>
      <c r="AD1326" s="2">
        <f t="shared" si="232"/>
        <v>0</v>
      </c>
      <c r="AE1326">
        <v>1006.6</v>
      </c>
      <c r="AF1326" s="4" t="s">
        <v>1700</v>
      </c>
      <c r="AG1326" s="2">
        <f t="shared" si="233"/>
        <v>0</v>
      </c>
      <c r="AH1326" t="s">
        <v>2076</v>
      </c>
      <c r="AI1326" s="2">
        <f t="shared" si="234"/>
        <v>7</v>
      </c>
      <c r="AJ1326" s="2">
        <f t="shared" si="235"/>
        <v>1</v>
      </c>
      <c r="AK1326" s="3">
        <v>1129.9999999953429</v>
      </c>
      <c r="AM1326" s="2">
        <v>1</v>
      </c>
      <c r="AN1326">
        <v>0</v>
      </c>
      <c r="AO1326">
        <v>5</v>
      </c>
      <c r="AP1326">
        <v>0</v>
      </c>
      <c r="AQ1326" s="2">
        <f>IF((2*G1326 + M1326 -P1326 + 3*W1326 + 2*Z1326+2*AD1326 + AG1326+2*AJ1326 + 4*AM1326) &gt;=8,1,0)</f>
        <v>1</v>
      </c>
    </row>
    <row r="1327" spans="1:43" x14ac:dyDescent="0.25">
      <c r="A1327" t="s">
        <v>27</v>
      </c>
      <c r="B1327" s="1">
        <v>42216</v>
      </c>
      <c r="C1327" s="7">
        <f t="shared" si="227"/>
        <v>2015</v>
      </c>
      <c r="D1327">
        <v>102.3</v>
      </c>
      <c r="E1327">
        <v>76.400000000000006</v>
      </c>
      <c r="F1327">
        <v>87.7</v>
      </c>
      <c r="G1327" s="2">
        <f t="shared" si="236"/>
        <v>1</v>
      </c>
      <c r="H1327">
        <v>99.4</v>
      </c>
      <c r="I1327">
        <v>76.400000000000006</v>
      </c>
      <c r="J1327">
        <v>87.5</v>
      </c>
      <c r="K1327">
        <v>59.7</v>
      </c>
      <c r="L1327">
        <v>41.3</v>
      </c>
      <c r="M1327" s="2">
        <f t="shared" si="228"/>
        <v>1</v>
      </c>
      <c r="N1327">
        <v>0</v>
      </c>
      <c r="P1327" s="2">
        <f t="shared" si="229"/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25.1</v>
      </c>
      <c r="W1327" s="2">
        <f t="shared" si="230"/>
        <v>1</v>
      </c>
      <c r="X1327">
        <v>12.7</v>
      </c>
      <c r="Z1327" s="2">
        <f t="shared" si="231"/>
        <v>0</v>
      </c>
      <c r="AA1327">
        <v>3.5</v>
      </c>
      <c r="AB1327" s="2" t="str">
        <f>CHOOSE(MATCH(AA1327,{0;11;80;111;161;191;241;281;341},1),"North","NorthEast","East","SouthEast","South","SouthWest","West","NorthWest","North")</f>
        <v>North</v>
      </c>
      <c r="AC1327" s="5">
        <f>CHOOSE(MATCH(AB1327,{"South";"SouthEast";"SouthWest";"North";"NorthEast";"East";"West";"NorthWest"},0),1,2,3,4,5,6,7,8)</f>
        <v>4</v>
      </c>
      <c r="AD1327" s="2">
        <f t="shared" si="232"/>
        <v>1</v>
      </c>
      <c r="AE1327">
        <v>1006.4</v>
      </c>
      <c r="AF1327" s="4" t="s">
        <v>1146</v>
      </c>
      <c r="AG1327" s="2">
        <f t="shared" si="233"/>
        <v>1</v>
      </c>
      <c r="AH1327" t="s">
        <v>2077</v>
      </c>
      <c r="AI1327" s="2">
        <f t="shared" si="234"/>
        <v>7</v>
      </c>
      <c r="AJ1327" s="2">
        <f t="shared" si="235"/>
        <v>1</v>
      </c>
      <c r="AK1327" s="3">
        <v>4299.9999999976717</v>
      </c>
      <c r="AM1327" s="2">
        <v>1</v>
      </c>
      <c r="AN1327">
        <v>0</v>
      </c>
      <c r="AO1327">
        <v>50</v>
      </c>
      <c r="AP1327">
        <v>0</v>
      </c>
      <c r="AQ1327" s="2">
        <f>IF((2*G1327 + M1327 -P1327 + 3*W1327 + 2*Z1327+2*AD1327 + AG1327+2*AJ1327 + 4*AM1327) &gt;=8,1,0)</f>
        <v>1</v>
      </c>
    </row>
    <row r="1328" spans="1:43" x14ac:dyDescent="0.25">
      <c r="A1328" t="s">
        <v>27</v>
      </c>
      <c r="B1328" s="1">
        <v>42217</v>
      </c>
      <c r="C1328" s="7">
        <f t="shared" si="227"/>
        <v>2015</v>
      </c>
      <c r="D1328">
        <v>93.3</v>
      </c>
      <c r="E1328">
        <v>82.5</v>
      </c>
      <c r="F1328">
        <v>87.4</v>
      </c>
      <c r="G1328" s="2">
        <f t="shared" si="236"/>
        <v>1</v>
      </c>
      <c r="H1328">
        <v>92.2</v>
      </c>
      <c r="I1328">
        <v>83.1</v>
      </c>
      <c r="J1328">
        <v>87.1</v>
      </c>
      <c r="K1328">
        <v>59.5</v>
      </c>
      <c r="L1328">
        <v>39.5</v>
      </c>
      <c r="M1328" s="2">
        <f t="shared" si="228"/>
        <v>1</v>
      </c>
      <c r="N1328">
        <v>0</v>
      </c>
      <c r="P1328" s="2">
        <f t="shared" si="229"/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30.9</v>
      </c>
      <c r="W1328" s="2">
        <f t="shared" si="230"/>
        <v>1</v>
      </c>
      <c r="X1328">
        <v>19.600000000000001</v>
      </c>
      <c r="Z1328" s="2">
        <f t="shared" si="231"/>
        <v>1</v>
      </c>
      <c r="AA1328">
        <v>13.3</v>
      </c>
      <c r="AB1328" s="2" t="str">
        <f>CHOOSE(MATCH(AA1328,{0;11;80;111;161;191;241;281;341},1),"North","NorthEast","East","SouthEast","South","SouthWest","West","NorthWest","North")</f>
        <v>NorthEast</v>
      </c>
      <c r="AC1328" s="5">
        <f>CHOOSE(MATCH(AB1328,{"South";"SouthEast";"SouthWest";"North";"NorthEast";"East";"West";"NorthWest"},0),1,2,3,4,5,6,7,8)</f>
        <v>5</v>
      </c>
      <c r="AD1328" s="2">
        <f t="shared" si="232"/>
        <v>1</v>
      </c>
      <c r="AE1328">
        <v>1011.1</v>
      </c>
      <c r="AF1328" s="4" t="s">
        <v>2078</v>
      </c>
      <c r="AG1328" s="2">
        <f t="shared" si="233"/>
        <v>1</v>
      </c>
      <c r="AH1328" t="s">
        <v>2079</v>
      </c>
      <c r="AI1328" s="2">
        <f t="shared" si="234"/>
        <v>8</v>
      </c>
      <c r="AJ1328" s="2">
        <f t="shared" si="235"/>
        <v>1</v>
      </c>
      <c r="AK1328" s="3">
        <v>372.00000000768341</v>
      </c>
      <c r="AM1328" s="2">
        <v>1</v>
      </c>
      <c r="AN1328">
        <v>0</v>
      </c>
      <c r="AO1328">
        <v>10</v>
      </c>
      <c r="AP1328">
        <v>0</v>
      </c>
      <c r="AQ1328" s="2">
        <f>IF((2*G1328 + M1328 -P1328 + 3*W1328 + 2*Z1328+2*AD1328 + AG1328+2*AJ1328 + 4*AM1328) &gt;=8,1,0)</f>
        <v>1</v>
      </c>
    </row>
    <row r="1329" spans="1:43" x14ac:dyDescent="0.25">
      <c r="A1329" t="s">
        <v>27</v>
      </c>
      <c r="B1329" s="1">
        <v>42218</v>
      </c>
      <c r="C1329" s="7">
        <f t="shared" si="227"/>
        <v>2015</v>
      </c>
      <c r="D1329">
        <v>90.2</v>
      </c>
      <c r="E1329">
        <v>79.599999999999994</v>
      </c>
      <c r="F1329">
        <v>84.8</v>
      </c>
      <c r="G1329" s="2">
        <f t="shared" si="236"/>
        <v>1</v>
      </c>
      <c r="H1329">
        <v>90</v>
      </c>
      <c r="I1329">
        <v>79.599999999999994</v>
      </c>
      <c r="J1329">
        <v>85</v>
      </c>
      <c r="K1329">
        <v>61</v>
      </c>
      <c r="L1329">
        <v>45.5</v>
      </c>
      <c r="M1329" s="2">
        <f t="shared" si="228"/>
        <v>1</v>
      </c>
      <c r="N1329">
        <v>0</v>
      </c>
      <c r="P1329" s="2">
        <f t="shared" si="229"/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42.5</v>
      </c>
      <c r="W1329" s="2">
        <f t="shared" si="230"/>
        <v>1</v>
      </c>
      <c r="X1329">
        <v>23.9</v>
      </c>
      <c r="Z1329" s="2">
        <f t="shared" si="231"/>
        <v>1</v>
      </c>
      <c r="AA1329">
        <v>9.3000000000000007</v>
      </c>
      <c r="AB1329" s="2" t="str">
        <f>CHOOSE(MATCH(AA1329,{0;11;80;111;161;191;241;281;341},1),"North","NorthEast","East","SouthEast","South","SouthWest","West","NorthWest","North")</f>
        <v>North</v>
      </c>
      <c r="AC1329" s="5">
        <f>CHOOSE(MATCH(AB1329,{"South";"SouthEast";"SouthWest";"North";"NorthEast";"East";"West";"NorthWest"},0),1,2,3,4,5,6,7,8)</f>
        <v>4</v>
      </c>
      <c r="AD1329" s="2">
        <f t="shared" si="232"/>
        <v>1</v>
      </c>
      <c r="AE1329">
        <v>1014.9</v>
      </c>
      <c r="AF1329" s="4" t="s">
        <v>2067</v>
      </c>
      <c r="AG1329" s="2">
        <f t="shared" si="233"/>
        <v>0</v>
      </c>
      <c r="AH1329" t="s">
        <v>2080</v>
      </c>
      <c r="AI1329" s="2">
        <f t="shared" si="234"/>
        <v>8</v>
      </c>
      <c r="AJ1329" s="2">
        <f t="shared" si="235"/>
        <v>1</v>
      </c>
      <c r="AK1329" s="3">
        <v>570.99999999627471</v>
      </c>
      <c r="AM1329" s="2">
        <v>1</v>
      </c>
      <c r="AN1329">
        <v>0</v>
      </c>
      <c r="AO1329">
        <v>6</v>
      </c>
      <c r="AP1329">
        <v>0</v>
      </c>
      <c r="AQ1329" s="2">
        <f>IF((2*G1329 + M1329 -P1329 + 3*W1329 + 2*Z1329+2*AD1329 + AG1329+2*AJ1329 + 4*AM1329) &gt;=8,1,0)</f>
        <v>1</v>
      </c>
    </row>
    <row r="1330" spans="1:43" x14ac:dyDescent="0.25">
      <c r="A1330" t="s">
        <v>27</v>
      </c>
      <c r="B1330" s="1">
        <v>42219</v>
      </c>
      <c r="C1330" s="7">
        <f t="shared" ref="C1330:C1387" si="237">YEAR(B1330)</f>
        <v>2015</v>
      </c>
      <c r="D1330">
        <v>91</v>
      </c>
      <c r="E1330">
        <v>78.8</v>
      </c>
      <c r="F1330">
        <v>83.8</v>
      </c>
      <c r="G1330" s="2">
        <f t="shared" si="236"/>
        <v>1</v>
      </c>
      <c r="H1330">
        <v>91.2</v>
      </c>
      <c r="I1330">
        <v>78.8</v>
      </c>
      <c r="J1330">
        <v>84.5</v>
      </c>
      <c r="K1330">
        <v>62.6</v>
      </c>
      <c r="L1330">
        <v>49.5</v>
      </c>
      <c r="M1330" s="2">
        <f t="shared" ref="M1330:M1387" si="238">IF(L1330&lt;=49.3,1,0)</f>
        <v>0</v>
      </c>
      <c r="N1330">
        <v>0</v>
      </c>
      <c r="P1330" s="2">
        <f t="shared" ref="P1330:P1387" si="239">IF(N1330&lt;=0.01,1,0)</f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32.9</v>
      </c>
      <c r="W1330" s="2">
        <f t="shared" ref="W1330:W1387" si="240">IF(V1330&lt;=10,0,1)</f>
        <v>1</v>
      </c>
      <c r="X1330">
        <v>20.399999999999999</v>
      </c>
      <c r="Z1330" s="2">
        <f t="shared" ref="Z1330:Z1387" si="241">IF(X1330&gt;=16,1,0)</f>
        <v>1</v>
      </c>
      <c r="AA1330">
        <v>5.9</v>
      </c>
      <c r="AB1330" s="2" t="str">
        <f>CHOOSE(MATCH(AA1330,{0;11;80;111;161;191;241;281;341},1),"North","NorthEast","East","SouthEast","South","SouthWest","West","NorthWest","North")</f>
        <v>North</v>
      </c>
      <c r="AC1330" s="5">
        <f>CHOOSE(MATCH(AB1330,{"South";"SouthEast";"SouthWest";"North";"NorthEast";"East";"West";"NorthWest"},0),1,2,3,4,5,6,7,8)</f>
        <v>4</v>
      </c>
      <c r="AD1330" s="2">
        <f t="shared" ref="AD1330:AD1387" si="242">IF(OR(AC1330=3,AC1330=4,AC1330=5,AC1330=8),1,0)</f>
        <v>1</v>
      </c>
      <c r="AE1330">
        <v>1013.3</v>
      </c>
      <c r="AF1330" s="4" t="s">
        <v>2081</v>
      </c>
      <c r="AG1330" s="2">
        <f t="shared" ref="AG1330:AG1387" si="243">IF(TIMEVALUE(AF1330)&lt;=TIME(12,30,0),0,1)</f>
        <v>0</v>
      </c>
      <c r="AH1330" t="s">
        <v>2082</v>
      </c>
      <c r="AI1330" s="2">
        <f t="shared" ref="AI1330:AI1387" si="244">MONTH(AH1330)</f>
        <v>8</v>
      </c>
      <c r="AJ1330" s="2">
        <f t="shared" ref="AJ1330:AJ1387" si="245">IF(OR(AI1330=6,AI1330=7,AI1330=8),1,0)</f>
        <v>1</v>
      </c>
      <c r="AK1330" s="3">
        <v>3443.0000000016298</v>
      </c>
      <c r="AM1330" s="2">
        <v>1</v>
      </c>
      <c r="AN1330">
        <v>0</v>
      </c>
      <c r="AO1330">
        <v>210</v>
      </c>
      <c r="AP1330">
        <v>0</v>
      </c>
      <c r="AQ1330" s="2">
        <f>IF((2*G1330 + M1330 -P1330 + 3*W1330 + 2*Z1330+2*AD1330 + AG1330+2*AJ1330 + 4*AM1330) &gt;=8,1,0)</f>
        <v>1</v>
      </c>
    </row>
    <row r="1331" spans="1:43" x14ac:dyDescent="0.25">
      <c r="A1331" t="s">
        <v>27</v>
      </c>
      <c r="B1331" s="1">
        <v>42221</v>
      </c>
      <c r="C1331" s="7">
        <f t="shared" si="237"/>
        <v>2015</v>
      </c>
      <c r="D1331">
        <v>93.3</v>
      </c>
      <c r="E1331">
        <v>75.8</v>
      </c>
      <c r="F1331">
        <v>85.3</v>
      </c>
      <c r="G1331" s="2">
        <f t="shared" si="236"/>
        <v>1</v>
      </c>
      <c r="H1331">
        <v>91.5</v>
      </c>
      <c r="I1331">
        <v>75.8</v>
      </c>
      <c r="J1331">
        <v>84.3</v>
      </c>
      <c r="K1331">
        <v>55.7</v>
      </c>
      <c r="L1331">
        <v>37.1</v>
      </c>
      <c r="M1331" s="2">
        <f t="shared" si="238"/>
        <v>1</v>
      </c>
      <c r="N1331">
        <v>0</v>
      </c>
      <c r="P1331" s="2">
        <f t="shared" si="239"/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29.5</v>
      </c>
      <c r="W1331" s="2">
        <f t="shared" si="240"/>
        <v>1</v>
      </c>
      <c r="X1331">
        <v>19</v>
      </c>
      <c r="Z1331" s="2">
        <f t="shared" si="241"/>
        <v>1</v>
      </c>
      <c r="AA1331">
        <v>5.8</v>
      </c>
      <c r="AB1331" s="2" t="str">
        <f>CHOOSE(MATCH(AA1331,{0;11;80;111;161;191;241;281;341},1),"North","NorthEast","East","SouthEast","South","SouthWest","West","NorthWest","North")</f>
        <v>North</v>
      </c>
      <c r="AC1331" s="5">
        <f>CHOOSE(MATCH(AB1331,{"South";"SouthEast";"SouthWest";"North";"NorthEast";"East";"West";"NorthWest"},0),1,2,3,4,5,6,7,8)</f>
        <v>4</v>
      </c>
      <c r="AD1331" s="2">
        <f t="shared" si="242"/>
        <v>1</v>
      </c>
      <c r="AE1331">
        <v>1009.4</v>
      </c>
      <c r="AF1331" s="4" t="s">
        <v>2083</v>
      </c>
      <c r="AG1331" s="2">
        <f t="shared" si="243"/>
        <v>1</v>
      </c>
      <c r="AH1331" t="s">
        <v>2084</v>
      </c>
      <c r="AI1331" s="2">
        <f t="shared" si="244"/>
        <v>8</v>
      </c>
      <c r="AJ1331" s="2">
        <f t="shared" si="245"/>
        <v>1</v>
      </c>
      <c r="AK1331" s="3">
        <v>34.999999998835847</v>
      </c>
      <c r="AM1331" s="2">
        <v>0</v>
      </c>
      <c r="AN1331">
        <v>0</v>
      </c>
      <c r="AO1331">
        <v>10</v>
      </c>
      <c r="AP1331">
        <v>0</v>
      </c>
      <c r="AQ1331" s="2">
        <f>IF((2*G1331 + M1331 -P1331 + 3*W1331 + 2*Z1331+2*AD1331 + AG1331+2*AJ1331 + 4*AM1331) &gt;=8,1,0)</f>
        <v>1</v>
      </c>
    </row>
    <row r="1332" spans="1:43" x14ac:dyDescent="0.25">
      <c r="A1332" t="s">
        <v>27</v>
      </c>
      <c r="B1332" s="1">
        <v>42222</v>
      </c>
      <c r="C1332" s="7">
        <f t="shared" si="237"/>
        <v>2015</v>
      </c>
      <c r="D1332">
        <v>93.8</v>
      </c>
      <c r="E1332">
        <v>78.8</v>
      </c>
      <c r="F1332">
        <v>86.3</v>
      </c>
      <c r="G1332" s="2">
        <f t="shared" si="236"/>
        <v>1</v>
      </c>
      <c r="H1332">
        <v>92.8</v>
      </c>
      <c r="I1332">
        <v>78.8</v>
      </c>
      <c r="J1332">
        <v>85.9</v>
      </c>
      <c r="K1332">
        <v>59.3</v>
      </c>
      <c r="L1332">
        <v>41.5</v>
      </c>
      <c r="M1332" s="2">
        <f t="shared" si="238"/>
        <v>1</v>
      </c>
      <c r="N1332">
        <v>0</v>
      </c>
      <c r="P1332" s="2">
        <f t="shared" si="239"/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36.9</v>
      </c>
      <c r="W1332" s="2">
        <f t="shared" si="240"/>
        <v>1</v>
      </c>
      <c r="X1332">
        <v>21.6</v>
      </c>
      <c r="Z1332" s="2">
        <f t="shared" si="241"/>
        <v>1</v>
      </c>
      <c r="AA1332">
        <v>5.5</v>
      </c>
      <c r="AB1332" s="2" t="str">
        <f>CHOOSE(MATCH(AA1332,{0;11;80;111;161;191;241;281;341},1),"North","NorthEast","East","SouthEast","South","SouthWest","West","NorthWest","North")</f>
        <v>North</v>
      </c>
      <c r="AC1332" s="5">
        <f>CHOOSE(MATCH(AB1332,{"South";"SouthEast";"SouthWest";"North";"NorthEast";"East";"West";"NorthWest"},0),1,2,3,4,5,6,7,8)</f>
        <v>4</v>
      </c>
      <c r="AD1332" s="2">
        <f t="shared" si="242"/>
        <v>1</v>
      </c>
      <c r="AE1332">
        <v>1009</v>
      </c>
      <c r="AF1332" s="4" t="s">
        <v>2085</v>
      </c>
      <c r="AG1332" s="2">
        <f t="shared" si="243"/>
        <v>1</v>
      </c>
      <c r="AH1332" t="s">
        <v>2086</v>
      </c>
      <c r="AI1332" s="2">
        <f t="shared" si="244"/>
        <v>8</v>
      </c>
      <c r="AJ1332" s="2">
        <f t="shared" si="245"/>
        <v>1</v>
      </c>
      <c r="AK1332" s="3">
        <v>92.000000006519258</v>
      </c>
      <c r="AM1332" s="2">
        <v>0</v>
      </c>
      <c r="AN1332">
        <v>0</v>
      </c>
      <c r="AO1332">
        <v>0.05</v>
      </c>
      <c r="AP1332">
        <v>0</v>
      </c>
      <c r="AQ1332" s="2">
        <f>IF((2*G1332 + M1332 -P1332 + 3*W1332 + 2*Z1332+2*AD1332 + AG1332+2*AJ1332 + 4*AM1332) &gt;=8,1,0)</f>
        <v>1</v>
      </c>
    </row>
    <row r="1333" spans="1:43" x14ac:dyDescent="0.25">
      <c r="A1333" t="s">
        <v>27</v>
      </c>
      <c r="B1333" s="1">
        <v>42222</v>
      </c>
      <c r="C1333" s="7">
        <f t="shared" si="237"/>
        <v>2015</v>
      </c>
      <c r="D1333">
        <v>93.8</v>
      </c>
      <c r="E1333">
        <v>78.8</v>
      </c>
      <c r="F1333">
        <v>86.3</v>
      </c>
      <c r="G1333" s="2">
        <f t="shared" si="236"/>
        <v>1</v>
      </c>
      <c r="H1333">
        <v>92.8</v>
      </c>
      <c r="I1333">
        <v>78.8</v>
      </c>
      <c r="J1333">
        <v>85.9</v>
      </c>
      <c r="K1333">
        <v>59.3</v>
      </c>
      <c r="L1333">
        <v>41.5</v>
      </c>
      <c r="M1333" s="2">
        <f t="shared" si="238"/>
        <v>1</v>
      </c>
      <c r="N1333">
        <v>0</v>
      </c>
      <c r="P1333" s="2">
        <f t="shared" si="239"/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36.9</v>
      </c>
      <c r="W1333" s="2">
        <f t="shared" si="240"/>
        <v>1</v>
      </c>
      <c r="X1333">
        <v>21.6</v>
      </c>
      <c r="Z1333" s="2">
        <f t="shared" si="241"/>
        <v>1</v>
      </c>
      <c r="AA1333">
        <v>5.5</v>
      </c>
      <c r="AB1333" s="2" t="str">
        <f>CHOOSE(MATCH(AA1333,{0;11;80;111;161;191;241;281;341},1),"North","NorthEast","East","SouthEast","South","SouthWest","West","NorthWest","North")</f>
        <v>North</v>
      </c>
      <c r="AC1333" s="5">
        <f>CHOOSE(MATCH(AB1333,{"South";"SouthEast";"SouthWest";"North";"NorthEast";"East";"West";"NorthWest"},0),1,2,3,4,5,6,7,8)</f>
        <v>4</v>
      </c>
      <c r="AD1333" s="2">
        <f t="shared" si="242"/>
        <v>1</v>
      </c>
      <c r="AE1333">
        <v>1009</v>
      </c>
      <c r="AF1333" s="4" t="s">
        <v>2087</v>
      </c>
      <c r="AG1333" s="2">
        <f t="shared" si="243"/>
        <v>1</v>
      </c>
      <c r="AH1333" t="s">
        <v>2088</v>
      </c>
      <c r="AI1333" s="2">
        <f t="shared" si="244"/>
        <v>8</v>
      </c>
      <c r="AJ1333" s="2">
        <f t="shared" si="245"/>
        <v>1</v>
      </c>
      <c r="AK1333" s="3">
        <v>2547.000000004191</v>
      </c>
      <c r="AM1333" s="2">
        <v>1</v>
      </c>
      <c r="AN1333">
        <v>0</v>
      </c>
      <c r="AO1333">
        <v>3</v>
      </c>
      <c r="AP1333">
        <v>0</v>
      </c>
      <c r="AQ1333" s="2">
        <f>IF((2*G1333 + M1333 -P1333 + 3*W1333 + 2*Z1333+2*AD1333 + AG1333+2*AJ1333 + 4*AM1333) &gt;=8,1,0)</f>
        <v>1</v>
      </c>
    </row>
    <row r="1334" spans="1:43" x14ac:dyDescent="0.25">
      <c r="A1334" t="s">
        <v>27</v>
      </c>
      <c r="B1334" s="1">
        <v>42224</v>
      </c>
      <c r="C1334" s="7">
        <f t="shared" si="237"/>
        <v>2015</v>
      </c>
      <c r="D1334">
        <v>87.2</v>
      </c>
      <c r="E1334">
        <v>77.599999999999994</v>
      </c>
      <c r="F1334">
        <v>82.2</v>
      </c>
      <c r="G1334" s="2">
        <f t="shared" si="236"/>
        <v>1</v>
      </c>
      <c r="H1334">
        <v>87</v>
      </c>
      <c r="I1334">
        <v>77.599999999999994</v>
      </c>
      <c r="J1334">
        <v>82.4</v>
      </c>
      <c r="K1334">
        <v>61.3</v>
      </c>
      <c r="L1334">
        <v>49.9</v>
      </c>
      <c r="M1334" s="2">
        <f t="shared" si="238"/>
        <v>0</v>
      </c>
      <c r="N1334">
        <v>0</v>
      </c>
      <c r="P1334" s="2">
        <f t="shared" si="239"/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36.5</v>
      </c>
      <c r="W1334" s="2">
        <f t="shared" si="240"/>
        <v>1</v>
      </c>
      <c r="X1334">
        <v>23.6</v>
      </c>
      <c r="Z1334" s="2">
        <f t="shared" si="241"/>
        <v>1</v>
      </c>
      <c r="AA1334">
        <v>7.3</v>
      </c>
      <c r="AB1334" s="2" t="str">
        <f>CHOOSE(MATCH(AA1334,{0;11;80;111;161;191;241;281;341},1),"North","NorthEast","East","SouthEast","South","SouthWest","West","NorthWest","North")</f>
        <v>North</v>
      </c>
      <c r="AC1334" s="5">
        <f>CHOOSE(MATCH(AB1334,{"South";"SouthEast";"SouthWest";"North";"NorthEast";"East";"West";"NorthWest"},0),1,2,3,4,5,6,7,8)</f>
        <v>4</v>
      </c>
      <c r="AD1334" s="2">
        <f t="shared" si="242"/>
        <v>1</v>
      </c>
      <c r="AE1334">
        <v>1012.9</v>
      </c>
      <c r="AF1334" s="4" t="s">
        <v>2089</v>
      </c>
      <c r="AG1334" s="2">
        <f t="shared" si="243"/>
        <v>1</v>
      </c>
      <c r="AH1334" t="s">
        <v>2090</v>
      </c>
      <c r="AI1334" s="2">
        <f t="shared" si="244"/>
        <v>8</v>
      </c>
      <c r="AJ1334" s="2">
        <f t="shared" si="245"/>
        <v>1</v>
      </c>
      <c r="AK1334" s="3">
        <v>12781.00000000326</v>
      </c>
      <c r="AM1334" s="2">
        <v>1</v>
      </c>
      <c r="AN1334">
        <v>25</v>
      </c>
      <c r="AO1334">
        <v>0</v>
      </c>
      <c r="AP1334">
        <v>0</v>
      </c>
      <c r="AQ1334" s="2">
        <f>IF((2*G1334 + M1334 -P1334 + 3*W1334 + 2*Z1334+2*AD1334 + AG1334+2*AJ1334 + 4*AM1334) &gt;=8,1,0)</f>
        <v>1</v>
      </c>
    </row>
    <row r="1335" spans="1:43" x14ac:dyDescent="0.25">
      <c r="A1335" t="s">
        <v>27</v>
      </c>
      <c r="B1335" s="1">
        <v>42225</v>
      </c>
      <c r="C1335" s="7">
        <f t="shared" si="237"/>
        <v>2015</v>
      </c>
      <c r="D1335">
        <v>88.9</v>
      </c>
      <c r="E1335">
        <v>76.8</v>
      </c>
      <c r="F1335">
        <v>82.5</v>
      </c>
      <c r="G1335" s="2">
        <f t="shared" si="236"/>
        <v>1</v>
      </c>
      <c r="H1335">
        <v>87.9</v>
      </c>
      <c r="I1335">
        <v>76.8</v>
      </c>
      <c r="J1335">
        <v>82.3</v>
      </c>
      <c r="K1335">
        <v>58.5</v>
      </c>
      <c r="L1335">
        <v>45</v>
      </c>
      <c r="M1335" s="2">
        <f t="shared" si="238"/>
        <v>1</v>
      </c>
      <c r="N1335">
        <v>0</v>
      </c>
      <c r="P1335" s="2">
        <f t="shared" si="239"/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32.9</v>
      </c>
      <c r="W1335" s="2">
        <f t="shared" si="240"/>
        <v>1</v>
      </c>
      <c r="X1335">
        <v>19.600000000000001</v>
      </c>
      <c r="Z1335" s="2">
        <f t="shared" si="241"/>
        <v>1</v>
      </c>
      <c r="AA1335">
        <v>11.9</v>
      </c>
      <c r="AB1335" s="2" t="str">
        <f>CHOOSE(MATCH(AA1335,{0;11;80;111;161;191;241;281;341},1),"North","NorthEast","East","SouthEast","South","SouthWest","West","NorthWest","North")</f>
        <v>NorthEast</v>
      </c>
      <c r="AC1335" s="5">
        <f>CHOOSE(MATCH(AB1335,{"South";"SouthEast";"SouthWest";"North";"NorthEast";"East";"West";"NorthWest"},0),1,2,3,4,5,6,7,8)</f>
        <v>5</v>
      </c>
      <c r="AD1335" s="2">
        <f t="shared" si="242"/>
        <v>1</v>
      </c>
      <c r="AE1335">
        <v>1013.4</v>
      </c>
      <c r="AF1335" s="4" t="s">
        <v>2091</v>
      </c>
      <c r="AG1335" s="2">
        <f t="shared" si="243"/>
        <v>1</v>
      </c>
      <c r="AH1335" t="s">
        <v>2092</v>
      </c>
      <c r="AI1335" s="2">
        <f t="shared" si="244"/>
        <v>8</v>
      </c>
      <c r="AJ1335" s="2">
        <f t="shared" si="245"/>
        <v>1</v>
      </c>
      <c r="AK1335" s="3">
        <v>21.999999998370189</v>
      </c>
      <c r="AM1335" s="2">
        <v>0</v>
      </c>
      <c r="AN1335">
        <v>0</v>
      </c>
      <c r="AO1335">
        <v>0.5</v>
      </c>
      <c r="AP1335">
        <v>0</v>
      </c>
      <c r="AQ1335" s="2">
        <f>IF((2*G1335 + M1335 -P1335 + 3*W1335 + 2*Z1335+2*AD1335 + AG1335+2*AJ1335 + 4*AM1335) &gt;=8,1,0)</f>
        <v>1</v>
      </c>
    </row>
    <row r="1336" spans="1:43" x14ac:dyDescent="0.25">
      <c r="A1336" t="s">
        <v>27</v>
      </c>
      <c r="B1336" s="1">
        <v>42227</v>
      </c>
      <c r="C1336" s="7">
        <f t="shared" si="237"/>
        <v>2015</v>
      </c>
      <c r="D1336">
        <v>93.2</v>
      </c>
      <c r="E1336">
        <v>68.599999999999994</v>
      </c>
      <c r="F1336">
        <v>81.8</v>
      </c>
      <c r="G1336" s="2">
        <f t="shared" si="236"/>
        <v>1</v>
      </c>
      <c r="H1336">
        <v>90.7</v>
      </c>
      <c r="I1336">
        <v>68.599999999999994</v>
      </c>
      <c r="J1336">
        <v>81.099999999999994</v>
      </c>
      <c r="K1336">
        <v>56.9</v>
      </c>
      <c r="L1336">
        <v>44.6</v>
      </c>
      <c r="M1336" s="2">
        <f t="shared" si="238"/>
        <v>1</v>
      </c>
      <c r="N1336">
        <v>0</v>
      </c>
      <c r="P1336" s="2">
        <f t="shared" si="239"/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20.399999999999999</v>
      </c>
      <c r="W1336" s="2">
        <f t="shared" si="240"/>
        <v>1</v>
      </c>
      <c r="X1336">
        <v>10</v>
      </c>
      <c r="Z1336" s="2">
        <f t="shared" si="241"/>
        <v>0</v>
      </c>
      <c r="AA1336">
        <v>145.6</v>
      </c>
      <c r="AB1336" s="2" t="str">
        <f>CHOOSE(MATCH(AA1336,{0;11;80;111;161;191;241;281;341},1),"North","NorthEast","East","SouthEast","South","SouthWest","West","NorthWest","North")</f>
        <v>SouthEast</v>
      </c>
      <c r="AC1336" s="5">
        <f>CHOOSE(MATCH(AB1336,{"South";"SouthEast";"SouthWest";"North";"NorthEast";"East";"West";"NorthWest"},0),1,2,3,4,5,6,7,8)</f>
        <v>2</v>
      </c>
      <c r="AD1336" s="2">
        <f t="shared" si="242"/>
        <v>0</v>
      </c>
      <c r="AE1336">
        <v>1011.4</v>
      </c>
      <c r="AF1336" s="4" t="s">
        <v>2093</v>
      </c>
      <c r="AG1336" s="2">
        <f t="shared" si="243"/>
        <v>0</v>
      </c>
      <c r="AH1336" t="s">
        <v>2094</v>
      </c>
      <c r="AI1336" s="2">
        <f t="shared" si="244"/>
        <v>8</v>
      </c>
      <c r="AJ1336" s="2">
        <f t="shared" si="245"/>
        <v>1</v>
      </c>
      <c r="AK1336" s="3">
        <v>53.000000005122267</v>
      </c>
      <c r="AM1336" s="2">
        <v>0</v>
      </c>
      <c r="AN1336">
        <v>0</v>
      </c>
      <c r="AO1336">
        <v>0.01</v>
      </c>
      <c r="AP1336">
        <v>0</v>
      </c>
      <c r="AQ1336" s="2">
        <f>IF((2*G1336 + M1336 -P1336 + 3*W1336 + 2*Z1336+2*AD1336 + AG1336+2*AJ1336 + 4*AM1336) &gt;=8,1,0)</f>
        <v>0</v>
      </c>
    </row>
    <row r="1337" spans="1:43" x14ac:dyDescent="0.25">
      <c r="A1337" t="s">
        <v>27</v>
      </c>
      <c r="B1337" s="1">
        <v>42230</v>
      </c>
      <c r="C1337" s="7">
        <f t="shared" si="237"/>
        <v>2015</v>
      </c>
      <c r="D1337">
        <v>90.6</v>
      </c>
      <c r="E1337">
        <v>72.900000000000006</v>
      </c>
      <c r="F1337">
        <v>82</v>
      </c>
      <c r="G1337" s="2">
        <f t="shared" si="236"/>
        <v>1</v>
      </c>
      <c r="H1337">
        <v>91.6</v>
      </c>
      <c r="I1337">
        <v>72.900000000000006</v>
      </c>
      <c r="J1337">
        <v>82.4</v>
      </c>
      <c r="K1337">
        <v>62.2</v>
      </c>
      <c r="L1337">
        <v>52.4</v>
      </c>
      <c r="M1337" s="2">
        <f t="shared" si="238"/>
        <v>0</v>
      </c>
      <c r="N1337">
        <v>0</v>
      </c>
      <c r="P1337" s="2">
        <f t="shared" si="239"/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17.7</v>
      </c>
      <c r="W1337" s="2">
        <f t="shared" si="240"/>
        <v>1</v>
      </c>
      <c r="X1337">
        <v>13.5</v>
      </c>
      <c r="Z1337" s="2">
        <f t="shared" si="241"/>
        <v>0</v>
      </c>
      <c r="AA1337">
        <v>23.8</v>
      </c>
      <c r="AB1337" s="2" t="str">
        <f>CHOOSE(MATCH(AA1337,{0;11;80;111;161;191;241;281;341},1),"North","NorthEast","East","SouthEast","South","SouthWest","West","NorthWest","North")</f>
        <v>NorthEast</v>
      </c>
      <c r="AC1337" s="5">
        <f>CHOOSE(MATCH(AB1337,{"South";"SouthEast";"SouthWest";"North";"NorthEast";"East";"West";"NorthWest"},0),1,2,3,4,5,6,7,8)</f>
        <v>5</v>
      </c>
      <c r="AD1337" s="2">
        <f t="shared" si="242"/>
        <v>1</v>
      </c>
      <c r="AE1337">
        <v>1009.6</v>
      </c>
      <c r="AF1337" s="4" t="s">
        <v>1785</v>
      </c>
      <c r="AG1337" s="2">
        <f t="shared" si="243"/>
        <v>1</v>
      </c>
      <c r="AH1337" t="s">
        <v>2095</v>
      </c>
      <c r="AI1337" s="2">
        <f t="shared" si="244"/>
        <v>8</v>
      </c>
      <c r="AJ1337" s="2">
        <f t="shared" si="245"/>
        <v>1</v>
      </c>
      <c r="AK1337" s="3">
        <v>5639.9999999965084</v>
      </c>
      <c r="AM1337" s="2">
        <v>1</v>
      </c>
      <c r="AN1337">
        <v>50</v>
      </c>
      <c r="AO1337">
        <v>5</v>
      </c>
      <c r="AP1337">
        <v>0</v>
      </c>
      <c r="AQ1337" s="2">
        <f>IF((2*G1337 + M1337 -P1337 + 3*W1337 + 2*Z1337+2*AD1337 + AG1337+2*AJ1337 + 4*AM1337) &gt;=8,1,0)</f>
        <v>1</v>
      </c>
    </row>
    <row r="1338" spans="1:43" x14ac:dyDescent="0.25">
      <c r="A1338" t="s">
        <v>27</v>
      </c>
      <c r="B1338" s="1">
        <v>42230</v>
      </c>
      <c r="C1338" s="7">
        <f t="shared" si="237"/>
        <v>2015</v>
      </c>
      <c r="D1338">
        <v>90.6</v>
      </c>
      <c r="E1338">
        <v>72.900000000000006</v>
      </c>
      <c r="F1338">
        <v>82</v>
      </c>
      <c r="G1338" s="2">
        <f t="shared" si="236"/>
        <v>1</v>
      </c>
      <c r="H1338">
        <v>91.6</v>
      </c>
      <c r="I1338">
        <v>72.900000000000006</v>
      </c>
      <c r="J1338">
        <v>82.4</v>
      </c>
      <c r="K1338">
        <v>62.2</v>
      </c>
      <c r="L1338">
        <v>52.4</v>
      </c>
      <c r="M1338" s="2">
        <f t="shared" si="238"/>
        <v>0</v>
      </c>
      <c r="N1338">
        <v>0</v>
      </c>
      <c r="P1338" s="2">
        <f t="shared" si="239"/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17.7</v>
      </c>
      <c r="W1338" s="2">
        <f t="shared" si="240"/>
        <v>1</v>
      </c>
      <c r="X1338">
        <v>13.5</v>
      </c>
      <c r="Z1338" s="2">
        <f t="shared" si="241"/>
        <v>0</v>
      </c>
      <c r="AA1338">
        <v>23.8</v>
      </c>
      <c r="AB1338" s="2" t="str">
        <f>CHOOSE(MATCH(AA1338,{0;11;80;111;161;191;241;281;341},1),"North","NorthEast","East","SouthEast","South","SouthWest","West","NorthWest","North")</f>
        <v>NorthEast</v>
      </c>
      <c r="AC1338" s="5">
        <f>CHOOSE(MATCH(AB1338,{"South";"SouthEast";"SouthWest";"North";"NorthEast";"East";"West";"NorthWest"},0),1,2,3,4,5,6,7,8)</f>
        <v>5</v>
      </c>
      <c r="AD1338" s="2">
        <f t="shared" si="242"/>
        <v>1</v>
      </c>
      <c r="AE1338">
        <v>1009.6</v>
      </c>
      <c r="AF1338" s="4" t="s">
        <v>2096</v>
      </c>
      <c r="AG1338" s="2">
        <f t="shared" si="243"/>
        <v>1</v>
      </c>
      <c r="AH1338" t="s">
        <v>2097</v>
      </c>
      <c r="AI1338" s="2">
        <f t="shared" si="244"/>
        <v>8</v>
      </c>
      <c r="AJ1338" s="2">
        <f t="shared" si="245"/>
        <v>1</v>
      </c>
      <c r="AK1338" s="3">
        <v>2794.9999999953429</v>
      </c>
      <c r="AM1338" s="2">
        <v>1</v>
      </c>
      <c r="AN1338">
        <v>10</v>
      </c>
      <c r="AO1338">
        <v>0</v>
      </c>
      <c r="AP1338">
        <v>0</v>
      </c>
      <c r="AQ1338" s="2">
        <f>IF((2*G1338 + M1338 -P1338 + 3*W1338 + 2*Z1338+2*AD1338 + AG1338+2*AJ1338 + 4*AM1338) &gt;=8,1,0)</f>
        <v>1</v>
      </c>
    </row>
    <row r="1339" spans="1:43" x14ac:dyDescent="0.25">
      <c r="A1339" t="s">
        <v>27</v>
      </c>
      <c r="B1339" s="1">
        <v>42230</v>
      </c>
      <c r="C1339" s="7">
        <f t="shared" si="237"/>
        <v>2015</v>
      </c>
      <c r="D1339">
        <v>90.6</v>
      </c>
      <c r="E1339">
        <v>72.900000000000006</v>
      </c>
      <c r="F1339">
        <v>82</v>
      </c>
      <c r="G1339" s="2">
        <f t="shared" si="236"/>
        <v>1</v>
      </c>
      <c r="H1339">
        <v>91.6</v>
      </c>
      <c r="I1339">
        <v>72.900000000000006</v>
      </c>
      <c r="J1339">
        <v>82.4</v>
      </c>
      <c r="K1339">
        <v>62.2</v>
      </c>
      <c r="L1339">
        <v>52.4</v>
      </c>
      <c r="M1339" s="2">
        <f t="shared" si="238"/>
        <v>0</v>
      </c>
      <c r="N1339">
        <v>0</v>
      </c>
      <c r="P1339" s="2">
        <f t="shared" si="239"/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17.7</v>
      </c>
      <c r="W1339" s="2">
        <f t="shared" si="240"/>
        <v>1</v>
      </c>
      <c r="X1339">
        <v>13.5</v>
      </c>
      <c r="Z1339" s="2">
        <f t="shared" si="241"/>
        <v>0</v>
      </c>
      <c r="AA1339">
        <v>23.8</v>
      </c>
      <c r="AB1339" s="2" t="str">
        <f>CHOOSE(MATCH(AA1339,{0;11;80;111;161;191;241;281;341},1),"North","NorthEast","East","SouthEast","South","SouthWest","West","NorthWest","North")</f>
        <v>NorthEast</v>
      </c>
      <c r="AC1339" s="5">
        <f>CHOOSE(MATCH(AB1339,{"South";"SouthEast";"SouthWest";"North";"NorthEast";"East";"West";"NorthWest"},0),1,2,3,4,5,6,7,8)</f>
        <v>5</v>
      </c>
      <c r="AD1339" s="2">
        <f t="shared" si="242"/>
        <v>1</v>
      </c>
      <c r="AE1339">
        <v>1009.6</v>
      </c>
      <c r="AF1339" s="4" t="s">
        <v>2098</v>
      </c>
      <c r="AG1339" s="2">
        <f t="shared" si="243"/>
        <v>1</v>
      </c>
      <c r="AH1339" t="s">
        <v>2099</v>
      </c>
      <c r="AI1339" s="2">
        <f t="shared" si="244"/>
        <v>8</v>
      </c>
      <c r="AJ1339" s="2">
        <f t="shared" si="245"/>
        <v>1</v>
      </c>
      <c r="AK1339" s="3">
        <v>37.999999998137348</v>
      </c>
      <c r="AM1339" s="2">
        <v>0</v>
      </c>
      <c r="AN1339">
        <v>0</v>
      </c>
      <c r="AO1339">
        <v>0.1</v>
      </c>
      <c r="AP1339">
        <v>0</v>
      </c>
      <c r="AQ1339" s="2">
        <f>IF((2*G1339 + M1339 -P1339 + 3*W1339 + 2*Z1339+2*AD1339 + AG1339+2*AJ1339 + 4*AM1339) &gt;=8,1,0)</f>
        <v>1</v>
      </c>
    </row>
    <row r="1340" spans="1:43" x14ac:dyDescent="0.25">
      <c r="A1340" t="s">
        <v>27</v>
      </c>
      <c r="B1340" s="1">
        <v>42232</v>
      </c>
      <c r="C1340" s="7">
        <f t="shared" si="237"/>
        <v>2015</v>
      </c>
      <c r="D1340">
        <v>93.2</v>
      </c>
      <c r="E1340">
        <v>72.3</v>
      </c>
      <c r="F1340">
        <v>83.2</v>
      </c>
      <c r="G1340" s="2">
        <f t="shared" si="236"/>
        <v>1</v>
      </c>
      <c r="H1340">
        <v>94.3</v>
      </c>
      <c r="I1340">
        <v>72.3</v>
      </c>
      <c r="J1340">
        <v>83.6</v>
      </c>
      <c r="K1340">
        <v>63.4</v>
      </c>
      <c r="L1340">
        <v>53.9</v>
      </c>
      <c r="M1340" s="2">
        <f t="shared" si="238"/>
        <v>0</v>
      </c>
      <c r="N1340">
        <v>2E-3</v>
      </c>
      <c r="P1340" s="2">
        <f t="shared" si="239"/>
        <v>1</v>
      </c>
      <c r="Q1340">
        <v>100</v>
      </c>
      <c r="R1340">
        <v>4.17</v>
      </c>
      <c r="S1340" t="s">
        <v>87</v>
      </c>
      <c r="T1340">
        <v>0</v>
      </c>
      <c r="U1340">
        <v>0</v>
      </c>
      <c r="V1340">
        <v>21.7</v>
      </c>
      <c r="W1340" s="2">
        <f t="shared" si="240"/>
        <v>1</v>
      </c>
      <c r="X1340">
        <v>13.1</v>
      </c>
      <c r="Z1340" s="2">
        <f t="shared" si="241"/>
        <v>0</v>
      </c>
      <c r="AA1340">
        <v>185.2</v>
      </c>
      <c r="AB1340" s="2" t="str">
        <f>CHOOSE(MATCH(AA1340,{0;11;80;111;161;191;241;281;341},1),"North","NorthEast","East","SouthEast","South","SouthWest","West","NorthWest","North")</f>
        <v>South</v>
      </c>
      <c r="AC1340" s="5">
        <f>CHOOSE(MATCH(AB1340,{"South";"SouthEast";"SouthWest";"North";"NorthEast";"East";"West";"NorthWest"},0),1,2,3,4,5,6,7,8)</f>
        <v>1</v>
      </c>
      <c r="AD1340" s="2">
        <f t="shared" si="242"/>
        <v>0</v>
      </c>
      <c r="AE1340">
        <v>1009.2</v>
      </c>
      <c r="AF1340" s="4" t="s">
        <v>1755</v>
      </c>
      <c r="AG1340" s="2">
        <f t="shared" si="243"/>
        <v>1</v>
      </c>
      <c r="AH1340" t="s">
        <v>2100</v>
      </c>
      <c r="AI1340" s="2">
        <f t="shared" si="244"/>
        <v>8</v>
      </c>
      <c r="AJ1340" s="2">
        <f t="shared" si="245"/>
        <v>1</v>
      </c>
      <c r="AK1340" s="3">
        <v>139.99999999534339</v>
      </c>
      <c r="AM1340" s="2">
        <v>0</v>
      </c>
      <c r="AN1340">
        <v>1</v>
      </c>
      <c r="AO1340">
        <v>0</v>
      </c>
      <c r="AP1340">
        <v>0</v>
      </c>
      <c r="AQ1340" s="2">
        <f>IF((2*G1340 + M1340 -P1340 + 3*W1340 + 2*Z1340+2*AD1340 + AG1340+2*AJ1340 + 4*AM1340) &gt;=8,1,0)</f>
        <v>0</v>
      </c>
    </row>
    <row r="1341" spans="1:43" x14ac:dyDescent="0.25">
      <c r="A1341" t="s">
        <v>27</v>
      </c>
      <c r="B1341" s="1">
        <v>42233</v>
      </c>
      <c r="C1341" s="7">
        <f t="shared" si="237"/>
        <v>2015</v>
      </c>
      <c r="D1341">
        <v>96.8</v>
      </c>
      <c r="E1341">
        <v>74.5</v>
      </c>
      <c r="F1341">
        <v>85.8</v>
      </c>
      <c r="G1341" s="2">
        <f t="shared" si="236"/>
        <v>1</v>
      </c>
      <c r="H1341">
        <v>93.3</v>
      </c>
      <c r="I1341">
        <v>74.5</v>
      </c>
      <c r="J1341">
        <v>84.9</v>
      </c>
      <c r="K1341">
        <v>57.2</v>
      </c>
      <c r="L1341">
        <v>40.9</v>
      </c>
      <c r="M1341" s="2">
        <f t="shared" si="238"/>
        <v>1</v>
      </c>
      <c r="N1341">
        <v>0</v>
      </c>
      <c r="P1341" s="2">
        <f t="shared" si="239"/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29.5</v>
      </c>
      <c r="W1341" s="2">
        <f t="shared" si="240"/>
        <v>1</v>
      </c>
      <c r="X1341">
        <v>14.6</v>
      </c>
      <c r="Z1341" s="2">
        <f t="shared" si="241"/>
        <v>0</v>
      </c>
      <c r="AA1341">
        <v>274.39999999999998</v>
      </c>
      <c r="AB1341" s="2" t="str">
        <f>CHOOSE(MATCH(AA1341,{0;11;80;111;161;191;241;281;341},1),"North","NorthEast","East","SouthEast","South","SouthWest","West","NorthWest","North")</f>
        <v>West</v>
      </c>
      <c r="AC1341" s="5">
        <f>CHOOSE(MATCH(AB1341,{"South";"SouthEast";"SouthWest";"North";"NorthEast";"East";"West";"NorthWest"},0),1,2,3,4,5,6,7,8)</f>
        <v>7</v>
      </c>
      <c r="AD1341" s="2">
        <f t="shared" si="242"/>
        <v>0</v>
      </c>
      <c r="AE1341">
        <v>1008.5</v>
      </c>
      <c r="AF1341" s="4" t="s">
        <v>1819</v>
      </c>
      <c r="AG1341" s="2">
        <f t="shared" si="243"/>
        <v>1</v>
      </c>
      <c r="AH1341" t="s">
        <v>2101</v>
      </c>
      <c r="AI1341" s="2">
        <f t="shared" si="244"/>
        <v>8</v>
      </c>
      <c r="AJ1341" s="2">
        <f t="shared" si="245"/>
        <v>1</v>
      </c>
      <c r="AK1341" s="3">
        <v>1080</v>
      </c>
      <c r="AM1341" s="2">
        <v>1</v>
      </c>
      <c r="AN1341">
        <v>0</v>
      </c>
      <c r="AO1341">
        <v>10</v>
      </c>
      <c r="AP1341">
        <v>0</v>
      </c>
      <c r="AQ1341" s="2">
        <f>IF((2*G1341 + M1341 -P1341 + 3*W1341 + 2*Z1341+2*AD1341 + AG1341+2*AJ1341 + 4*AM1341) &gt;=8,1,0)</f>
        <v>1</v>
      </c>
    </row>
    <row r="1342" spans="1:43" x14ac:dyDescent="0.25">
      <c r="A1342" t="s">
        <v>27</v>
      </c>
      <c r="B1342" s="1">
        <v>42237</v>
      </c>
      <c r="C1342" s="7">
        <f t="shared" si="237"/>
        <v>2015</v>
      </c>
      <c r="D1342">
        <v>87.6</v>
      </c>
      <c r="E1342">
        <v>75.7</v>
      </c>
      <c r="F1342">
        <v>81.099999999999994</v>
      </c>
      <c r="G1342" s="2">
        <f t="shared" si="236"/>
        <v>1</v>
      </c>
      <c r="H1342">
        <v>89.5</v>
      </c>
      <c r="I1342">
        <v>75.7</v>
      </c>
      <c r="J1342">
        <v>82</v>
      </c>
      <c r="K1342">
        <v>65</v>
      </c>
      <c r="L1342">
        <v>58.7</v>
      </c>
      <c r="M1342" s="2">
        <f t="shared" si="238"/>
        <v>0</v>
      </c>
      <c r="N1342">
        <v>1.9E-2</v>
      </c>
      <c r="P1342" s="2">
        <f t="shared" si="239"/>
        <v>0</v>
      </c>
      <c r="Q1342">
        <v>100</v>
      </c>
      <c r="R1342">
        <v>4.17</v>
      </c>
      <c r="S1342" t="s">
        <v>87</v>
      </c>
      <c r="T1342">
        <v>0</v>
      </c>
      <c r="U1342">
        <v>0</v>
      </c>
      <c r="V1342">
        <v>25</v>
      </c>
      <c r="W1342" s="2">
        <f t="shared" si="240"/>
        <v>1</v>
      </c>
      <c r="X1342">
        <v>17.7</v>
      </c>
      <c r="Z1342" s="2">
        <f t="shared" si="241"/>
        <v>1</v>
      </c>
      <c r="AA1342">
        <v>35.200000000000003</v>
      </c>
      <c r="AB1342" s="2" t="str">
        <f>CHOOSE(MATCH(AA1342,{0;11;80;111;161;191;241;281;341},1),"North","NorthEast","East","SouthEast","South","SouthWest","West","NorthWest","North")</f>
        <v>NorthEast</v>
      </c>
      <c r="AC1342" s="5">
        <f>CHOOSE(MATCH(AB1342,{"South";"SouthEast";"SouthWest";"North";"NorthEast";"East";"West";"NorthWest"},0),1,2,3,4,5,6,7,8)</f>
        <v>5</v>
      </c>
      <c r="AD1342" s="2">
        <f t="shared" si="242"/>
        <v>1</v>
      </c>
      <c r="AE1342">
        <v>1012.6</v>
      </c>
      <c r="AF1342" s="4" t="s">
        <v>1785</v>
      </c>
      <c r="AG1342" s="2">
        <f t="shared" si="243"/>
        <v>1</v>
      </c>
      <c r="AH1342" t="s">
        <v>2102</v>
      </c>
      <c r="AI1342" s="2">
        <f t="shared" si="244"/>
        <v>8</v>
      </c>
      <c r="AJ1342" s="2">
        <f t="shared" si="245"/>
        <v>1</v>
      </c>
      <c r="AK1342" s="3">
        <v>190.00000000116421</v>
      </c>
      <c r="AM1342" s="2">
        <v>0</v>
      </c>
      <c r="AN1342">
        <v>5</v>
      </c>
      <c r="AO1342">
        <v>0</v>
      </c>
      <c r="AP1342">
        <v>0</v>
      </c>
      <c r="AQ1342" s="2">
        <f>IF((2*G1342 + M1342 -P1342 + 3*W1342 + 2*Z1342+2*AD1342 + AG1342+2*AJ1342 + 4*AM1342) &gt;=8,1,0)</f>
        <v>1</v>
      </c>
    </row>
    <row r="1343" spans="1:43" x14ac:dyDescent="0.25">
      <c r="A1343" t="s">
        <v>27</v>
      </c>
      <c r="B1343" s="1">
        <v>42237</v>
      </c>
      <c r="C1343" s="7">
        <f t="shared" si="237"/>
        <v>2015</v>
      </c>
      <c r="D1343">
        <v>87.6</v>
      </c>
      <c r="E1343">
        <v>75.7</v>
      </c>
      <c r="F1343">
        <v>81.099999999999994</v>
      </c>
      <c r="G1343" s="2">
        <f t="shared" ref="G1343:G1406" si="246">IF(F1343&lt;=73.6,0,1)</f>
        <v>1</v>
      </c>
      <c r="H1343">
        <v>89.5</v>
      </c>
      <c r="I1343">
        <v>75.7</v>
      </c>
      <c r="J1343">
        <v>82</v>
      </c>
      <c r="K1343">
        <v>65</v>
      </c>
      <c r="L1343">
        <v>58.7</v>
      </c>
      <c r="M1343" s="2">
        <f t="shared" si="238"/>
        <v>0</v>
      </c>
      <c r="N1343">
        <v>1.9E-2</v>
      </c>
      <c r="P1343" s="2">
        <f t="shared" si="239"/>
        <v>0</v>
      </c>
      <c r="Q1343">
        <v>100</v>
      </c>
      <c r="R1343">
        <v>4.17</v>
      </c>
      <c r="S1343" t="s">
        <v>87</v>
      </c>
      <c r="T1343">
        <v>0</v>
      </c>
      <c r="U1343">
        <v>0</v>
      </c>
      <c r="V1343">
        <v>25</v>
      </c>
      <c r="W1343" s="2">
        <f t="shared" si="240"/>
        <v>1</v>
      </c>
      <c r="X1343">
        <v>17.7</v>
      </c>
      <c r="Z1343" s="2">
        <f t="shared" si="241"/>
        <v>1</v>
      </c>
      <c r="AA1343">
        <v>35.200000000000003</v>
      </c>
      <c r="AB1343" s="2" t="str">
        <f>CHOOSE(MATCH(AA1343,{0;11;80;111;161;191;241;281;341},1),"North","NorthEast","East","SouthEast","South","SouthWest","West","NorthWest","North")</f>
        <v>NorthEast</v>
      </c>
      <c r="AC1343" s="5">
        <f>CHOOSE(MATCH(AB1343,{"South";"SouthEast";"SouthWest";"North";"NorthEast";"East";"West";"NorthWest"},0),1,2,3,4,5,6,7,8)</f>
        <v>5</v>
      </c>
      <c r="AD1343" s="2">
        <f t="shared" si="242"/>
        <v>1</v>
      </c>
      <c r="AE1343">
        <v>1012.6</v>
      </c>
      <c r="AF1343" s="4" t="s">
        <v>2103</v>
      </c>
      <c r="AG1343" s="2">
        <f t="shared" si="243"/>
        <v>1</v>
      </c>
      <c r="AH1343" t="s">
        <v>2104</v>
      </c>
      <c r="AI1343" s="2">
        <f t="shared" si="244"/>
        <v>8</v>
      </c>
      <c r="AJ1343" s="2">
        <f t="shared" si="245"/>
        <v>1</v>
      </c>
      <c r="AK1343" s="3">
        <v>210.00000000349249</v>
      </c>
      <c r="AM1343" s="2">
        <v>0</v>
      </c>
      <c r="AN1343">
        <v>6</v>
      </c>
      <c r="AO1343">
        <v>0</v>
      </c>
      <c r="AP1343">
        <v>0</v>
      </c>
      <c r="AQ1343" s="2">
        <f>IF((2*G1343 + M1343 -P1343 + 3*W1343 + 2*Z1343+2*AD1343 + AG1343+2*AJ1343 + 4*AM1343) &gt;=8,1,0)</f>
        <v>1</v>
      </c>
    </row>
    <row r="1344" spans="1:43" x14ac:dyDescent="0.25">
      <c r="A1344" t="s">
        <v>27</v>
      </c>
      <c r="B1344" s="1">
        <v>42246</v>
      </c>
      <c r="C1344" s="7">
        <f t="shared" si="237"/>
        <v>2015</v>
      </c>
      <c r="D1344">
        <v>92</v>
      </c>
      <c r="E1344">
        <v>78.2</v>
      </c>
      <c r="F1344">
        <v>84.4</v>
      </c>
      <c r="G1344" s="2">
        <f t="shared" si="246"/>
        <v>1</v>
      </c>
      <c r="H1344">
        <v>88.9</v>
      </c>
      <c r="I1344">
        <v>78.2</v>
      </c>
      <c r="J1344">
        <v>82.7</v>
      </c>
      <c r="K1344">
        <v>49.5</v>
      </c>
      <c r="L1344">
        <v>30.3</v>
      </c>
      <c r="M1344" s="2">
        <f t="shared" si="238"/>
        <v>1</v>
      </c>
      <c r="N1344">
        <v>0</v>
      </c>
      <c r="P1344" s="2">
        <f t="shared" si="239"/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40</v>
      </c>
      <c r="W1344" s="2">
        <f t="shared" si="240"/>
        <v>1</v>
      </c>
      <c r="X1344">
        <v>24.7</v>
      </c>
      <c r="Z1344" s="2">
        <f t="shared" si="241"/>
        <v>1</v>
      </c>
      <c r="AA1344">
        <v>11.8</v>
      </c>
      <c r="AB1344" s="2" t="str">
        <f>CHOOSE(MATCH(AA1344,{0;11;80;111;161;191;241;281;341},1),"North","NorthEast","East","SouthEast","South","SouthWest","West","NorthWest","North")</f>
        <v>NorthEast</v>
      </c>
      <c r="AC1344" s="5">
        <f>CHOOSE(MATCH(AB1344,{"South";"SouthEast";"SouthWest";"North";"NorthEast";"East";"West";"NorthWest"},0),1,2,3,4,5,6,7,8)</f>
        <v>5</v>
      </c>
      <c r="AD1344" s="2">
        <f t="shared" si="242"/>
        <v>1</v>
      </c>
      <c r="AE1344">
        <v>1017.8</v>
      </c>
      <c r="AF1344" s="4" t="s">
        <v>2105</v>
      </c>
      <c r="AG1344" s="2">
        <f t="shared" si="243"/>
        <v>1</v>
      </c>
      <c r="AH1344" t="s">
        <v>2106</v>
      </c>
      <c r="AI1344" s="2">
        <f t="shared" si="244"/>
        <v>8</v>
      </c>
      <c r="AJ1344" s="2">
        <f t="shared" si="245"/>
        <v>1</v>
      </c>
      <c r="AK1344" s="3">
        <v>1101.99999999837</v>
      </c>
      <c r="AM1344" s="2">
        <v>1</v>
      </c>
      <c r="AN1344">
        <v>0</v>
      </c>
      <c r="AO1344">
        <v>8</v>
      </c>
      <c r="AP1344">
        <v>0</v>
      </c>
      <c r="AQ1344" s="2">
        <f>IF((2*G1344 + M1344 -P1344 + 3*W1344 + 2*Z1344+2*AD1344 + AG1344+2*AJ1344 + 4*AM1344) &gt;=8,1,0)</f>
        <v>1</v>
      </c>
    </row>
    <row r="1345" spans="1:43" x14ac:dyDescent="0.25">
      <c r="A1345" t="s">
        <v>27</v>
      </c>
      <c r="B1345" s="1">
        <v>42254</v>
      </c>
      <c r="C1345" s="7">
        <f t="shared" si="237"/>
        <v>2015</v>
      </c>
      <c r="D1345">
        <v>91.7</v>
      </c>
      <c r="E1345">
        <v>77.599999999999994</v>
      </c>
      <c r="F1345">
        <v>83.9</v>
      </c>
      <c r="G1345" s="2">
        <f t="shared" si="246"/>
        <v>1</v>
      </c>
      <c r="H1345">
        <v>92.3</v>
      </c>
      <c r="I1345">
        <v>77.599999999999994</v>
      </c>
      <c r="J1345">
        <v>83.9</v>
      </c>
      <c r="K1345">
        <v>61.1</v>
      </c>
      <c r="L1345">
        <v>48.1</v>
      </c>
      <c r="M1345" s="2">
        <f t="shared" si="238"/>
        <v>1</v>
      </c>
      <c r="N1345">
        <v>0</v>
      </c>
      <c r="P1345" s="2">
        <f t="shared" si="239"/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22.2</v>
      </c>
      <c r="W1345" s="2">
        <f t="shared" si="240"/>
        <v>1</v>
      </c>
      <c r="X1345">
        <v>16.100000000000001</v>
      </c>
      <c r="Z1345" s="2">
        <f t="shared" si="241"/>
        <v>1</v>
      </c>
      <c r="AA1345">
        <v>52.2</v>
      </c>
      <c r="AB1345" s="2" t="str">
        <f>CHOOSE(MATCH(AA1345,{0;11;80;111;161;191;241;281;341},1),"North","NorthEast","East","SouthEast","South","SouthWest","West","NorthWest","North")</f>
        <v>NorthEast</v>
      </c>
      <c r="AC1345" s="5">
        <f>CHOOSE(MATCH(AB1345,{"South";"SouthEast";"SouthWest";"North";"NorthEast";"East";"West";"NorthWest"},0),1,2,3,4,5,6,7,8)</f>
        <v>5</v>
      </c>
      <c r="AD1345" s="2">
        <f t="shared" si="242"/>
        <v>1</v>
      </c>
      <c r="AE1345">
        <v>1012.6</v>
      </c>
      <c r="AF1345" s="4" t="s">
        <v>1069</v>
      </c>
      <c r="AG1345" s="2">
        <f t="shared" si="243"/>
        <v>1</v>
      </c>
      <c r="AH1345" t="s">
        <v>2107</v>
      </c>
      <c r="AI1345" s="2">
        <f t="shared" si="244"/>
        <v>9</v>
      </c>
      <c r="AJ1345" s="2">
        <f t="shared" si="245"/>
        <v>0</v>
      </c>
      <c r="AK1345" s="3">
        <v>65.000000002328306</v>
      </c>
      <c r="AM1345" s="2">
        <v>0</v>
      </c>
      <c r="AN1345">
        <v>0</v>
      </c>
      <c r="AO1345">
        <v>0.01</v>
      </c>
      <c r="AP1345">
        <v>0</v>
      </c>
      <c r="AQ1345" s="2">
        <f>IF((2*G1345 + M1345 -P1345 + 3*W1345 + 2*Z1345+2*AD1345 + AG1345+2*AJ1345 + 4*AM1345) &gt;=8,1,0)</f>
        <v>1</v>
      </c>
    </row>
    <row r="1346" spans="1:43" x14ac:dyDescent="0.25">
      <c r="A1346" t="s">
        <v>27</v>
      </c>
      <c r="B1346" s="1">
        <v>42256</v>
      </c>
      <c r="C1346" s="7">
        <f t="shared" si="237"/>
        <v>2015</v>
      </c>
      <c r="D1346">
        <v>83.6</v>
      </c>
      <c r="E1346">
        <v>72.2</v>
      </c>
      <c r="F1346">
        <v>76.3</v>
      </c>
      <c r="G1346" s="2">
        <f t="shared" si="246"/>
        <v>1</v>
      </c>
      <c r="H1346">
        <v>83.5</v>
      </c>
      <c r="I1346">
        <v>72.2</v>
      </c>
      <c r="J1346">
        <v>76.400000000000006</v>
      </c>
      <c r="K1346">
        <v>60</v>
      </c>
      <c r="L1346">
        <v>57.6</v>
      </c>
      <c r="M1346" s="2">
        <f t="shared" si="238"/>
        <v>0</v>
      </c>
      <c r="N1346">
        <v>0</v>
      </c>
      <c r="P1346" s="2">
        <f t="shared" si="239"/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21.9</v>
      </c>
      <c r="W1346" s="2">
        <f t="shared" si="240"/>
        <v>1</v>
      </c>
      <c r="X1346">
        <v>15</v>
      </c>
      <c r="Z1346" s="2">
        <f t="shared" si="241"/>
        <v>0</v>
      </c>
      <c r="AA1346">
        <v>30.4</v>
      </c>
      <c r="AB1346" s="2" t="str">
        <f>CHOOSE(MATCH(AA1346,{0;11;80;111;161;191;241;281;341},1),"North","NorthEast","East","SouthEast","South","SouthWest","West","NorthWest","North")</f>
        <v>NorthEast</v>
      </c>
      <c r="AC1346" s="5">
        <f>CHOOSE(MATCH(AB1346,{"South";"SouthEast";"SouthWest";"North";"NorthEast";"East";"West";"NorthWest"},0),1,2,3,4,5,6,7,8)</f>
        <v>5</v>
      </c>
      <c r="AD1346" s="2">
        <f t="shared" si="242"/>
        <v>1</v>
      </c>
      <c r="AE1346">
        <v>1014.8</v>
      </c>
      <c r="AF1346" s="4" t="s">
        <v>1774</v>
      </c>
      <c r="AG1346" s="2">
        <f t="shared" si="243"/>
        <v>1</v>
      </c>
      <c r="AH1346" t="s">
        <v>2108</v>
      </c>
      <c r="AI1346" s="2">
        <f t="shared" si="244"/>
        <v>9</v>
      </c>
      <c r="AJ1346" s="2">
        <f t="shared" si="245"/>
        <v>0</v>
      </c>
      <c r="AK1346" s="3">
        <v>320.00000000582082</v>
      </c>
      <c r="AM1346" s="2">
        <v>0</v>
      </c>
      <c r="AN1346">
        <v>0</v>
      </c>
      <c r="AO1346">
        <v>20</v>
      </c>
      <c r="AP1346">
        <v>0</v>
      </c>
      <c r="AQ1346" s="2">
        <f>IF((2*G1346 + M1346 -P1346 + 3*W1346 + 2*Z1346+2*AD1346 + AG1346+2*AJ1346 + 4*AM1346) &gt;=8,1,0)</f>
        <v>0</v>
      </c>
    </row>
    <row r="1347" spans="1:43" x14ac:dyDescent="0.25">
      <c r="A1347" t="s">
        <v>27</v>
      </c>
      <c r="B1347" s="1">
        <v>42259</v>
      </c>
      <c r="C1347" s="7">
        <f t="shared" si="237"/>
        <v>2015</v>
      </c>
      <c r="D1347">
        <v>84.8</v>
      </c>
      <c r="E1347">
        <v>70.400000000000006</v>
      </c>
      <c r="F1347">
        <v>77.3</v>
      </c>
      <c r="G1347" s="2">
        <f t="shared" si="246"/>
        <v>1</v>
      </c>
      <c r="H1347">
        <v>84.4</v>
      </c>
      <c r="I1347">
        <v>70.400000000000006</v>
      </c>
      <c r="J1347">
        <v>77.3</v>
      </c>
      <c r="K1347">
        <v>60.3</v>
      </c>
      <c r="L1347">
        <v>57.1</v>
      </c>
      <c r="M1347" s="2">
        <f t="shared" si="238"/>
        <v>0</v>
      </c>
      <c r="N1347">
        <v>0</v>
      </c>
      <c r="P1347" s="2">
        <f t="shared" si="239"/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24.2</v>
      </c>
      <c r="W1347" s="2">
        <f t="shared" si="240"/>
        <v>1</v>
      </c>
      <c r="X1347">
        <v>15.3</v>
      </c>
      <c r="Z1347" s="2">
        <f t="shared" si="241"/>
        <v>0</v>
      </c>
      <c r="AA1347">
        <v>19.100000000000001</v>
      </c>
      <c r="AB1347" s="2" t="str">
        <f>CHOOSE(MATCH(AA1347,{0;11;80;111;161;191;241;281;341},1),"North","NorthEast","East","SouthEast","South","SouthWest","West","NorthWest","North")</f>
        <v>NorthEast</v>
      </c>
      <c r="AC1347" s="5">
        <f>CHOOSE(MATCH(AB1347,{"South";"SouthEast";"SouthWest";"North";"NorthEast";"East";"West";"NorthWest"},0),1,2,3,4,5,6,7,8)</f>
        <v>5</v>
      </c>
      <c r="AD1347" s="2">
        <f t="shared" si="242"/>
        <v>1</v>
      </c>
      <c r="AE1347">
        <v>1015.8</v>
      </c>
      <c r="AF1347" s="4" t="s">
        <v>1929</v>
      </c>
      <c r="AG1347" s="2">
        <f t="shared" si="243"/>
        <v>1</v>
      </c>
      <c r="AH1347" t="s">
        <v>2109</v>
      </c>
      <c r="AI1347" s="2">
        <f t="shared" si="244"/>
        <v>9</v>
      </c>
      <c r="AJ1347" s="2">
        <f t="shared" si="245"/>
        <v>0</v>
      </c>
      <c r="AK1347" s="3">
        <v>29.999999993015081</v>
      </c>
      <c r="AM1347" s="2">
        <v>0</v>
      </c>
      <c r="AN1347">
        <v>1</v>
      </c>
      <c r="AO1347">
        <v>1</v>
      </c>
      <c r="AP1347">
        <v>0</v>
      </c>
      <c r="AQ1347" s="2">
        <f>IF((2*G1347 + M1347 -P1347 + 3*W1347 + 2*Z1347+2*AD1347 + AG1347+2*AJ1347 + 4*AM1347) &gt;=8,1,0)</f>
        <v>0</v>
      </c>
    </row>
    <row r="1348" spans="1:43" x14ac:dyDescent="0.25">
      <c r="A1348" t="s">
        <v>27</v>
      </c>
      <c r="B1348" s="1">
        <v>42263</v>
      </c>
      <c r="C1348" s="7">
        <f t="shared" si="237"/>
        <v>2015</v>
      </c>
      <c r="D1348">
        <v>85.3</v>
      </c>
      <c r="E1348">
        <v>70.400000000000006</v>
      </c>
      <c r="F1348">
        <v>77</v>
      </c>
      <c r="G1348" s="2">
        <f t="shared" si="246"/>
        <v>1</v>
      </c>
      <c r="H1348">
        <v>83.7</v>
      </c>
      <c r="I1348">
        <v>70.400000000000006</v>
      </c>
      <c r="J1348">
        <v>76.8</v>
      </c>
      <c r="K1348">
        <v>55.7</v>
      </c>
      <c r="L1348">
        <v>48.5</v>
      </c>
      <c r="M1348" s="2">
        <f t="shared" si="238"/>
        <v>1</v>
      </c>
      <c r="N1348">
        <v>0</v>
      </c>
      <c r="P1348" s="2">
        <f t="shared" si="239"/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29.5</v>
      </c>
      <c r="W1348" s="2">
        <f t="shared" si="240"/>
        <v>1</v>
      </c>
      <c r="X1348">
        <v>20.100000000000001</v>
      </c>
      <c r="Z1348" s="2">
        <f t="shared" si="241"/>
        <v>1</v>
      </c>
      <c r="AA1348">
        <v>11.2</v>
      </c>
      <c r="AB1348" s="2" t="str">
        <f>CHOOSE(MATCH(AA1348,{0;11;80;111;161;191;241;281;341},1),"North","NorthEast","East","SouthEast","South","SouthWest","West","NorthWest","North")</f>
        <v>NorthEast</v>
      </c>
      <c r="AC1348" s="5">
        <f>CHOOSE(MATCH(AB1348,{"South";"SouthEast";"SouthWest";"North";"NorthEast";"East";"West";"NorthWest"},0),1,2,3,4,5,6,7,8)</f>
        <v>5</v>
      </c>
      <c r="AD1348" s="2">
        <f t="shared" si="242"/>
        <v>1</v>
      </c>
      <c r="AE1348">
        <v>1015.1</v>
      </c>
      <c r="AF1348" s="4" t="s">
        <v>1184</v>
      </c>
      <c r="AG1348" s="2">
        <f t="shared" si="243"/>
        <v>0</v>
      </c>
      <c r="AH1348" t="s">
        <v>2110</v>
      </c>
      <c r="AI1348" s="2">
        <f t="shared" si="244"/>
        <v>9</v>
      </c>
      <c r="AJ1348" s="2">
        <f t="shared" si="245"/>
        <v>0</v>
      </c>
      <c r="AK1348" s="3">
        <v>520.99999999045394</v>
      </c>
      <c r="AM1348" s="2">
        <v>1</v>
      </c>
      <c r="AN1348">
        <v>0</v>
      </c>
      <c r="AO1348">
        <v>2.5</v>
      </c>
      <c r="AP1348">
        <v>0</v>
      </c>
      <c r="AQ1348" s="2">
        <f>IF((2*G1348 + M1348 -P1348 + 3*W1348 + 2*Z1348+2*AD1348 + AG1348+2*AJ1348 + 4*AM1348) &gt;=8,1,0)</f>
        <v>1</v>
      </c>
    </row>
    <row r="1349" spans="1:43" x14ac:dyDescent="0.25">
      <c r="A1349" t="s">
        <v>27</v>
      </c>
      <c r="B1349" s="1">
        <v>42265</v>
      </c>
      <c r="C1349" s="7">
        <f t="shared" si="237"/>
        <v>2015</v>
      </c>
      <c r="D1349">
        <v>89.4</v>
      </c>
      <c r="E1349">
        <v>73.7</v>
      </c>
      <c r="F1349">
        <v>81.3</v>
      </c>
      <c r="G1349" s="2">
        <f t="shared" si="246"/>
        <v>1</v>
      </c>
      <c r="H1349">
        <v>86.2</v>
      </c>
      <c r="I1349">
        <v>73.7</v>
      </c>
      <c r="J1349">
        <v>80.2</v>
      </c>
      <c r="K1349">
        <v>51.5</v>
      </c>
      <c r="L1349">
        <v>36.4</v>
      </c>
      <c r="M1349" s="2">
        <f t="shared" si="238"/>
        <v>1</v>
      </c>
      <c r="N1349">
        <v>0</v>
      </c>
      <c r="P1349" s="2">
        <f t="shared" si="239"/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34.9</v>
      </c>
      <c r="W1349" s="2">
        <f t="shared" si="240"/>
        <v>1</v>
      </c>
      <c r="X1349">
        <v>21.6</v>
      </c>
      <c r="Z1349" s="2">
        <f t="shared" si="241"/>
        <v>1</v>
      </c>
      <c r="AA1349">
        <v>12.6</v>
      </c>
      <c r="AB1349" s="2" t="str">
        <f>CHOOSE(MATCH(AA1349,{0;11;80;111;161;191;241;281;341},1),"North","NorthEast","East","SouthEast","South","SouthWest","West","NorthWest","North")</f>
        <v>NorthEast</v>
      </c>
      <c r="AC1349" s="5">
        <f>CHOOSE(MATCH(AB1349,{"South";"SouthEast";"SouthWest";"North";"NorthEast";"East";"West";"NorthWest"},0),1,2,3,4,5,6,7,8)</f>
        <v>5</v>
      </c>
      <c r="AD1349" s="2">
        <f t="shared" si="242"/>
        <v>1</v>
      </c>
      <c r="AE1349">
        <v>1013.3</v>
      </c>
      <c r="AF1349" s="4" t="s">
        <v>2111</v>
      </c>
      <c r="AG1349" s="2">
        <f t="shared" si="243"/>
        <v>0</v>
      </c>
      <c r="AH1349" t="s">
        <v>2112</v>
      </c>
      <c r="AI1349" s="2">
        <f t="shared" si="244"/>
        <v>9</v>
      </c>
      <c r="AJ1349" s="2">
        <f t="shared" si="245"/>
        <v>0</v>
      </c>
      <c r="AK1349" s="3">
        <v>473.00000000162981</v>
      </c>
      <c r="AM1349" s="2">
        <v>1</v>
      </c>
      <c r="AN1349">
        <v>0</v>
      </c>
      <c r="AO1349">
        <v>0.5</v>
      </c>
      <c r="AP1349">
        <v>0</v>
      </c>
      <c r="AQ1349" s="2">
        <f>IF((2*G1349 + M1349 -P1349 + 3*W1349 + 2*Z1349+2*AD1349 + AG1349+2*AJ1349 + 4*AM1349) &gt;=8,1,0)</f>
        <v>1</v>
      </c>
    </row>
    <row r="1350" spans="1:43" x14ac:dyDescent="0.25">
      <c r="A1350" t="s">
        <v>27</v>
      </c>
      <c r="B1350" s="1">
        <v>42281</v>
      </c>
      <c r="C1350" s="7">
        <f t="shared" si="237"/>
        <v>2015</v>
      </c>
      <c r="D1350">
        <v>76.2</v>
      </c>
      <c r="E1350">
        <v>55.4</v>
      </c>
      <c r="F1350">
        <v>66.5</v>
      </c>
      <c r="G1350" s="2">
        <f t="shared" si="246"/>
        <v>0</v>
      </c>
      <c r="H1350">
        <v>76.2</v>
      </c>
      <c r="I1350">
        <v>55.4</v>
      </c>
      <c r="J1350">
        <v>66.5</v>
      </c>
      <c r="K1350">
        <v>54.6</v>
      </c>
      <c r="L1350">
        <v>67</v>
      </c>
      <c r="M1350" s="2">
        <f t="shared" si="238"/>
        <v>0</v>
      </c>
      <c r="N1350">
        <v>0</v>
      </c>
      <c r="P1350" s="2">
        <f t="shared" si="239"/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12.5</v>
      </c>
      <c r="W1350" s="2">
        <f t="shared" si="240"/>
        <v>1</v>
      </c>
      <c r="X1350">
        <v>9.1999999999999993</v>
      </c>
      <c r="Z1350" s="2">
        <f t="shared" si="241"/>
        <v>0</v>
      </c>
      <c r="AA1350">
        <v>49.2</v>
      </c>
      <c r="AB1350" s="2" t="str">
        <f>CHOOSE(MATCH(AA1350,{0;11;80;111;161;191;241;281;341},1),"North","NorthEast","East","SouthEast","South","SouthWest","West","NorthWest","North")</f>
        <v>NorthEast</v>
      </c>
      <c r="AC1350" s="5">
        <f>CHOOSE(MATCH(AB1350,{"South";"SouthEast";"SouthWest";"North";"NorthEast";"East";"West";"NorthWest"},0),1,2,3,4,5,6,7,8)</f>
        <v>5</v>
      </c>
      <c r="AD1350" s="2">
        <f t="shared" si="242"/>
        <v>1</v>
      </c>
      <c r="AE1350">
        <v>1022.5</v>
      </c>
      <c r="AF1350" s="4" t="s">
        <v>2113</v>
      </c>
      <c r="AG1350" s="2">
        <f t="shared" si="243"/>
        <v>1</v>
      </c>
      <c r="AH1350" t="s">
        <v>2114</v>
      </c>
      <c r="AI1350" s="2">
        <f t="shared" si="244"/>
        <v>10</v>
      </c>
      <c r="AJ1350" s="2">
        <f t="shared" si="245"/>
        <v>0</v>
      </c>
      <c r="AK1350" s="3">
        <v>52.999999994644902</v>
      </c>
      <c r="AM1350" s="2">
        <v>0</v>
      </c>
      <c r="AN1350">
        <v>0</v>
      </c>
      <c r="AO1350">
        <v>0.03</v>
      </c>
      <c r="AP1350">
        <v>0</v>
      </c>
      <c r="AQ1350" s="2">
        <f>IF((2*G1350 + M1350 -P1350 + 3*W1350 + 2*Z1350+2*AD1350 + AG1350+2*AJ1350 + 4*AM1350) &gt;=8,1,0)</f>
        <v>0</v>
      </c>
    </row>
    <row r="1351" spans="1:43" x14ac:dyDescent="0.25">
      <c r="A1351" t="s">
        <v>27</v>
      </c>
      <c r="B1351" s="1">
        <v>42314</v>
      </c>
      <c r="C1351" s="7">
        <f t="shared" si="237"/>
        <v>2015</v>
      </c>
      <c r="D1351">
        <v>68.900000000000006</v>
      </c>
      <c r="E1351">
        <v>44.5</v>
      </c>
      <c r="F1351">
        <v>56.9</v>
      </c>
      <c r="G1351" s="2">
        <f t="shared" si="246"/>
        <v>0</v>
      </c>
      <c r="H1351">
        <v>68.900000000000006</v>
      </c>
      <c r="I1351">
        <v>43.5</v>
      </c>
      <c r="J1351">
        <v>56.9</v>
      </c>
      <c r="K1351">
        <v>44.2</v>
      </c>
      <c r="L1351">
        <v>64.099999999999994</v>
      </c>
      <c r="M1351" s="2">
        <f t="shared" si="238"/>
        <v>0</v>
      </c>
      <c r="N1351">
        <v>0</v>
      </c>
      <c r="P1351" s="2">
        <f t="shared" si="239"/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19.899999999999999</v>
      </c>
      <c r="W1351" s="2">
        <f t="shared" si="240"/>
        <v>1</v>
      </c>
      <c r="X1351">
        <v>15</v>
      </c>
      <c r="Z1351" s="2">
        <f t="shared" si="241"/>
        <v>0</v>
      </c>
      <c r="AA1351">
        <v>2.2000000000000002</v>
      </c>
      <c r="AB1351" s="2" t="str">
        <f>CHOOSE(MATCH(AA1351,{0;11;80;111;161;191;241;281;341},1),"North","NorthEast","East","SouthEast","South","SouthWest","West","NorthWest","North")</f>
        <v>North</v>
      </c>
      <c r="AC1351" s="5">
        <f>CHOOSE(MATCH(AB1351,{"South";"SouthEast";"SouthWest";"North";"NorthEast";"East";"West";"NorthWest"},0),1,2,3,4,5,6,7,8)</f>
        <v>4</v>
      </c>
      <c r="AD1351" s="2">
        <f t="shared" si="242"/>
        <v>1</v>
      </c>
      <c r="AE1351">
        <v>1020.1</v>
      </c>
      <c r="AF1351" s="4" t="s">
        <v>2115</v>
      </c>
      <c r="AG1351" s="2">
        <f t="shared" si="243"/>
        <v>0</v>
      </c>
      <c r="AH1351" t="s">
        <v>2116</v>
      </c>
      <c r="AI1351" s="2">
        <f t="shared" si="244"/>
        <v>11</v>
      </c>
      <c r="AJ1351" s="2">
        <f t="shared" si="245"/>
        <v>0</v>
      </c>
      <c r="AK1351" s="3">
        <v>159.99999999767169</v>
      </c>
      <c r="AM1351" s="2">
        <v>0</v>
      </c>
      <c r="AN1351">
        <v>0</v>
      </c>
      <c r="AO1351">
        <v>0.02</v>
      </c>
      <c r="AP1351">
        <v>0</v>
      </c>
      <c r="AQ1351" s="2">
        <f>IF((2*G1351 + M1351 -P1351 + 3*W1351 + 2*Z1351+2*AD1351 + AG1351+2*AJ1351 + 4*AM1351) &gt;=8,1,0)</f>
        <v>0</v>
      </c>
    </row>
    <row r="1352" spans="1:43" x14ac:dyDescent="0.25">
      <c r="A1352" t="s">
        <v>27</v>
      </c>
      <c r="B1352" s="1">
        <v>42315</v>
      </c>
      <c r="C1352" s="7">
        <f t="shared" si="237"/>
        <v>2015</v>
      </c>
      <c r="D1352">
        <v>67.900000000000006</v>
      </c>
      <c r="E1352">
        <v>50.8</v>
      </c>
      <c r="F1352">
        <v>59.5</v>
      </c>
      <c r="G1352" s="2">
        <f t="shared" si="246"/>
        <v>0</v>
      </c>
      <c r="H1352">
        <v>67.900000000000006</v>
      </c>
      <c r="I1352">
        <v>50.8</v>
      </c>
      <c r="J1352">
        <v>59.5</v>
      </c>
      <c r="K1352">
        <v>46.5</v>
      </c>
      <c r="L1352">
        <v>62.8</v>
      </c>
      <c r="M1352" s="2">
        <f t="shared" si="238"/>
        <v>0</v>
      </c>
      <c r="N1352">
        <v>0</v>
      </c>
      <c r="P1352" s="2">
        <f t="shared" si="239"/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27.7</v>
      </c>
      <c r="W1352" s="2">
        <f t="shared" si="240"/>
        <v>1</v>
      </c>
      <c r="X1352">
        <v>16.600000000000001</v>
      </c>
      <c r="Z1352" s="2">
        <f t="shared" si="241"/>
        <v>1</v>
      </c>
      <c r="AA1352">
        <v>10.4</v>
      </c>
      <c r="AB1352" s="2" t="str">
        <f>CHOOSE(MATCH(AA1352,{0;11;80;111;161;191;241;281;341},1),"North","NorthEast","East","SouthEast","South","SouthWest","West","NorthWest","North")</f>
        <v>North</v>
      </c>
      <c r="AC1352" s="5">
        <f>CHOOSE(MATCH(AB1352,{"South";"SouthEast";"SouthWest";"North";"NorthEast";"East";"West";"NorthWest"},0),1,2,3,4,5,6,7,8)</f>
        <v>4</v>
      </c>
      <c r="AD1352" s="2">
        <f t="shared" si="242"/>
        <v>1</v>
      </c>
      <c r="AE1352">
        <v>1022.9</v>
      </c>
      <c r="AF1352" s="4" t="s">
        <v>2117</v>
      </c>
      <c r="AG1352" s="2">
        <f t="shared" si="243"/>
        <v>0</v>
      </c>
      <c r="AH1352" t="s">
        <v>2118</v>
      </c>
      <c r="AI1352" s="2">
        <f t="shared" si="244"/>
        <v>11</v>
      </c>
      <c r="AJ1352" s="2">
        <f t="shared" si="245"/>
        <v>0</v>
      </c>
      <c r="AK1352" s="3">
        <v>614.00000000023283</v>
      </c>
      <c r="AM1352" s="2">
        <v>1</v>
      </c>
      <c r="AN1352">
        <v>0</v>
      </c>
      <c r="AO1352">
        <v>4</v>
      </c>
      <c r="AP1352">
        <v>0</v>
      </c>
      <c r="AQ1352" s="2">
        <f>IF((2*G1352 + M1352 -P1352 + 3*W1352 + 2*Z1352+2*AD1352 + AG1352+2*AJ1352 + 4*AM1352) &gt;=8,1,0)</f>
        <v>1</v>
      </c>
    </row>
    <row r="1353" spans="1:43" x14ac:dyDescent="0.25">
      <c r="A1353" t="s">
        <v>27</v>
      </c>
      <c r="B1353" s="1">
        <v>42315</v>
      </c>
      <c r="C1353" s="7">
        <f t="shared" si="237"/>
        <v>2015</v>
      </c>
      <c r="D1353">
        <v>67.900000000000006</v>
      </c>
      <c r="E1353">
        <v>50.8</v>
      </c>
      <c r="F1353">
        <v>59.5</v>
      </c>
      <c r="G1353" s="2">
        <f t="shared" si="246"/>
        <v>0</v>
      </c>
      <c r="H1353">
        <v>67.900000000000006</v>
      </c>
      <c r="I1353">
        <v>50.8</v>
      </c>
      <c r="J1353">
        <v>59.5</v>
      </c>
      <c r="K1353">
        <v>46.5</v>
      </c>
      <c r="L1353">
        <v>62.8</v>
      </c>
      <c r="M1353" s="2">
        <f t="shared" si="238"/>
        <v>0</v>
      </c>
      <c r="N1353">
        <v>0</v>
      </c>
      <c r="P1353" s="2">
        <f t="shared" si="239"/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27.7</v>
      </c>
      <c r="W1353" s="2">
        <f t="shared" si="240"/>
        <v>1</v>
      </c>
      <c r="X1353">
        <v>16.600000000000001</v>
      </c>
      <c r="Z1353" s="2">
        <f t="shared" si="241"/>
        <v>1</v>
      </c>
      <c r="AA1353">
        <v>10.4</v>
      </c>
      <c r="AB1353" s="2" t="str">
        <f>CHOOSE(MATCH(AA1353,{0;11;80;111;161;191;241;281;341},1),"North","NorthEast","East","SouthEast","South","SouthWest","West","NorthWest","North")</f>
        <v>North</v>
      </c>
      <c r="AC1353" s="5">
        <f>CHOOSE(MATCH(AB1353,{"South";"SouthEast";"SouthWest";"North";"NorthEast";"East";"West";"NorthWest"},0),1,2,3,4,5,6,7,8)</f>
        <v>4</v>
      </c>
      <c r="AD1353" s="2">
        <f t="shared" si="242"/>
        <v>1</v>
      </c>
      <c r="AE1353">
        <v>1022.9</v>
      </c>
      <c r="AF1353" s="4" t="s">
        <v>2115</v>
      </c>
      <c r="AG1353" s="2">
        <f t="shared" si="243"/>
        <v>0</v>
      </c>
      <c r="AH1353" t="s">
        <v>2119</v>
      </c>
      <c r="AI1353" s="2">
        <f t="shared" si="244"/>
        <v>11</v>
      </c>
      <c r="AJ1353" s="2">
        <f t="shared" si="245"/>
        <v>0</v>
      </c>
      <c r="AK1353" s="3">
        <v>94.999999995343387</v>
      </c>
      <c r="AM1353" s="2">
        <v>0</v>
      </c>
      <c r="AN1353">
        <v>2</v>
      </c>
      <c r="AO1353">
        <v>2</v>
      </c>
      <c r="AP1353">
        <v>0</v>
      </c>
      <c r="AQ1353" s="2">
        <f>IF((2*G1353 + M1353 -P1353 + 3*W1353 + 2*Z1353+2*AD1353 + AG1353+2*AJ1353 + 4*AM1353) &gt;=8,1,0)</f>
        <v>0</v>
      </c>
    </row>
    <row r="1354" spans="1:43" x14ac:dyDescent="0.25">
      <c r="A1354" t="s">
        <v>27</v>
      </c>
      <c r="B1354" s="1">
        <v>42329</v>
      </c>
      <c r="C1354" s="7">
        <f t="shared" si="237"/>
        <v>2015</v>
      </c>
      <c r="D1354">
        <v>70.5</v>
      </c>
      <c r="E1354">
        <v>54.2</v>
      </c>
      <c r="F1354">
        <v>62.9</v>
      </c>
      <c r="G1354" s="2">
        <f t="shared" si="246"/>
        <v>0</v>
      </c>
      <c r="H1354">
        <v>70.5</v>
      </c>
      <c r="I1354">
        <v>54.2</v>
      </c>
      <c r="J1354">
        <v>62.9</v>
      </c>
      <c r="K1354">
        <v>55</v>
      </c>
      <c r="L1354">
        <v>76.3</v>
      </c>
      <c r="M1354" s="2">
        <f t="shared" si="238"/>
        <v>0</v>
      </c>
      <c r="N1354">
        <v>0</v>
      </c>
      <c r="P1354" s="2">
        <f t="shared" si="239"/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32.9</v>
      </c>
      <c r="W1354" s="2">
        <f t="shared" si="240"/>
        <v>1</v>
      </c>
      <c r="X1354">
        <v>18.600000000000001</v>
      </c>
      <c r="Z1354" s="2">
        <f t="shared" si="241"/>
        <v>1</v>
      </c>
      <c r="AA1354">
        <v>200.5</v>
      </c>
      <c r="AB1354" s="2" t="str">
        <f>CHOOSE(MATCH(AA1354,{0;11;80;111;161;191;241;281;341},1),"North","NorthEast","East","SouthEast","South","SouthWest","West","NorthWest","North")</f>
        <v>SouthWest</v>
      </c>
      <c r="AC1354" s="5">
        <f>CHOOSE(MATCH(AB1354,{"South";"SouthEast";"SouthWest";"North";"NorthEast";"East";"West";"NorthWest"},0),1,2,3,4,5,6,7,8)</f>
        <v>3</v>
      </c>
      <c r="AD1354" s="2">
        <f t="shared" si="242"/>
        <v>1</v>
      </c>
      <c r="AE1354">
        <v>1008.8</v>
      </c>
      <c r="AF1354" s="4" t="s">
        <v>2103</v>
      </c>
      <c r="AG1354" s="2">
        <f t="shared" si="243"/>
        <v>1</v>
      </c>
      <c r="AH1354" t="s">
        <v>2120</v>
      </c>
      <c r="AI1354" s="2">
        <f t="shared" si="244"/>
        <v>11</v>
      </c>
      <c r="AJ1354" s="2">
        <f t="shared" si="245"/>
        <v>0</v>
      </c>
      <c r="AK1354" s="3">
        <v>60.000000006984919</v>
      </c>
      <c r="AM1354" s="2">
        <v>0</v>
      </c>
      <c r="AN1354">
        <v>1</v>
      </c>
      <c r="AO1354">
        <v>1</v>
      </c>
      <c r="AP1354">
        <v>0</v>
      </c>
      <c r="AQ1354" s="2">
        <f>IF((2*G1354 + M1354 -P1354 + 3*W1354 + 2*Z1354+2*AD1354 + AG1354+2*AJ1354 + 4*AM1354) &gt;=8,1,0)</f>
        <v>0</v>
      </c>
    </row>
    <row r="1355" spans="1:43" x14ac:dyDescent="0.25">
      <c r="A1355" t="s">
        <v>27</v>
      </c>
      <c r="B1355" s="1">
        <v>42333</v>
      </c>
      <c r="C1355" s="7">
        <f t="shared" si="237"/>
        <v>2015</v>
      </c>
      <c r="D1355">
        <v>68</v>
      </c>
      <c r="E1355">
        <v>55.6</v>
      </c>
      <c r="F1355">
        <v>62.8</v>
      </c>
      <c r="G1355" s="2">
        <f t="shared" si="246"/>
        <v>0</v>
      </c>
      <c r="H1355">
        <v>68</v>
      </c>
      <c r="I1355">
        <v>55.6</v>
      </c>
      <c r="J1355">
        <v>62.8</v>
      </c>
      <c r="K1355">
        <v>55</v>
      </c>
      <c r="L1355">
        <v>76.3</v>
      </c>
      <c r="M1355" s="2">
        <f t="shared" si="238"/>
        <v>0</v>
      </c>
      <c r="N1355">
        <v>0.125</v>
      </c>
      <c r="P1355" s="2">
        <f t="shared" si="239"/>
        <v>0</v>
      </c>
      <c r="Q1355">
        <v>100</v>
      </c>
      <c r="R1355">
        <v>8.33</v>
      </c>
      <c r="S1355" t="s">
        <v>87</v>
      </c>
      <c r="T1355">
        <v>0</v>
      </c>
      <c r="U1355">
        <v>0</v>
      </c>
      <c r="V1355">
        <v>49.4</v>
      </c>
      <c r="W1355" s="2">
        <f t="shared" si="240"/>
        <v>1</v>
      </c>
      <c r="X1355">
        <v>22.6</v>
      </c>
      <c r="Z1355" s="2">
        <f t="shared" si="241"/>
        <v>1</v>
      </c>
      <c r="AA1355">
        <v>179.1</v>
      </c>
      <c r="AB1355" s="2" t="str">
        <f>CHOOSE(MATCH(AA1355,{0;11;80;111;161;191;241;281;341},1),"North","NorthEast","East","SouthEast","South","SouthWest","West","NorthWest","North")</f>
        <v>South</v>
      </c>
      <c r="AC1355" s="5">
        <f>CHOOSE(MATCH(AB1355,{"South";"SouthEast";"SouthWest";"North";"NorthEast";"East";"West";"NorthWest"},0),1,2,3,4,5,6,7,8)</f>
        <v>1</v>
      </c>
      <c r="AD1355" s="2">
        <f t="shared" si="242"/>
        <v>0</v>
      </c>
      <c r="AE1355">
        <v>1010.5</v>
      </c>
      <c r="AF1355" s="4" t="s">
        <v>2115</v>
      </c>
      <c r="AG1355" s="2">
        <f t="shared" si="243"/>
        <v>0</v>
      </c>
      <c r="AH1355" t="s">
        <v>2121</v>
      </c>
      <c r="AI1355" s="2">
        <f t="shared" si="244"/>
        <v>11</v>
      </c>
      <c r="AJ1355" s="2">
        <f t="shared" si="245"/>
        <v>0</v>
      </c>
      <c r="AK1355" s="3">
        <v>374.99999999650748</v>
      </c>
      <c r="AM1355" s="2">
        <v>1</v>
      </c>
      <c r="AN1355">
        <v>5</v>
      </c>
      <c r="AO1355">
        <v>5</v>
      </c>
      <c r="AP1355">
        <v>0</v>
      </c>
      <c r="AQ1355" s="2">
        <f>IF((2*G1355 + M1355 -P1355 + 3*W1355 + 2*Z1355+2*AD1355 + AG1355+2*AJ1355 + 4*AM1355) &gt;=8,1,0)</f>
        <v>1</v>
      </c>
    </row>
    <row r="1356" spans="1:43" x14ac:dyDescent="0.25">
      <c r="A1356" t="s">
        <v>27</v>
      </c>
      <c r="B1356" s="1">
        <v>42353</v>
      </c>
      <c r="C1356" s="7">
        <f t="shared" si="237"/>
        <v>2015</v>
      </c>
      <c r="D1356">
        <v>57.4</v>
      </c>
      <c r="E1356">
        <v>41.6</v>
      </c>
      <c r="F1356">
        <v>50</v>
      </c>
      <c r="G1356" s="2">
        <f t="shared" si="246"/>
        <v>0</v>
      </c>
      <c r="H1356">
        <v>57.4</v>
      </c>
      <c r="I1356">
        <v>41.4</v>
      </c>
      <c r="J1356">
        <v>49.4</v>
      </c>
      <c r="K1356">
        <v>40.799999999999997</v>
      </c>
      <c r="L1356">
        <v>71.2</v>
      </c>
      <c r="M1356" s="2">
        <f t="shared" si="238"/>
        <v>0</v>
      </c>
      <c r="N1356">
        <v>0</v>
      </c>
      <c r="P1356" s="2">
        <f t="shared" si="239"/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22.4</v>
      </c>
      <c r="W1356" s="2">
        <f t="shared" si="240"/>
        <v>1</v>
      </c>
      <c r="X1356">
        <v>15.7</v>
      </c>
      <c r="Z1356" s="2">
        <f t="shared" si="241"/>
        <v>0</v>
      </c>
      <c r="AA1356">
        <v>355.6</v>
      </c>
      <c r="AB1356" s="2" t="str">
        <f>CHOOSE(MATCH(AA1356,{0;11;80;111;161;191;241;281;341},1),"North","NorthEast","East","SouthEast","South","SouthWest","West","NorthWest","North")</f>
        <v>North</v>
      </c>
      <c r="AC1356" s="5">
        <f>CHOOSE(MATCH(AB1356,{"South";"SouthEast";"SouthWest";"North";"NorthEast";"East";"West";"NorthWest"},0),1,2,3,4,5,6,7,8)</f>
        <v>4</v>
      </c>
      <c r="AD1356" s="2">
        <f t="shared" si="242"/>
        <v>1</v>
      </c>
      <c r="AE1356">
        <v>1024.8</v>
      </c>
      <c r="AF1356" s="4" t="s">
        <v>1143</v>
      </c>
      <c r="AG1356" s="2">
        <f t="shared" si="243"/>
        <v>1</v>
      </c>
      <c r="AH1356" t="s">
        <v>2122</v>
      </c>
      <c r="AI1356" s="2">
        <f t="shared" si="244"/>
        <v>12</v>
      </c>
      <c r="AJ1356" s="2">
        <f t="shared" si="245"/>
        <v>0</v>
      </c>
      <c r="AK1356" s="3">
        <v>380.00000000232831</v>
      </c>
      <c r="AM1356" s="2">
        <v>1</v>
      </c>
      <c r="AN1356">
        <v>10</v>
      </c>
      <c r="AO1356">
        <v>10</v>
      </c>
      <c r="AP1356">
        <v>0</v>
      </c>
      <c r="AQ1356" s="2">
        <f>IF((2*G1356 + M1356 -P1356 + 3*W1356 + 2*Z1356+2*AD1356 + AG1356+2*AJ1356 + 4*AM1356) &gt;=8,1,0)</f>
        <v>1</v>
      </c>
    </row>
    <row r="1357" spans="1:43" x14ac:dyDescent="0.25">
      <c r="A1357" t="s">
        <v>27</v>
      </c>
      <c r="B1357" s="1">
        <v>42415</v>
      </c>
      <c r="C1357" s="7">
        <f t="shared" si="237"/>
        <v>2016</v>
      </c>
      <c r="D1357">
        <v>75.2</v>
      </c>
      <c r="E1357">
        <v>55.3</v>
      </c>
      <c r="F1357">
        <v>63.8</v>
      </c>
      <c r="G1357" s="2">
        <f t="shared" si="246"/>
        <v>0</v>
      </c>
      <c r="H1357">
        <v>75.2</v>
      </c>
      <c r="I1357">
        <v>55.3</v>
      </c>
      <c r="J1357">
        <v>63.8</v>
      </c>
      <c r="K1357">
        <v>48.4</v>
      </c>
      <c r="L1357">
        <v>59.6</v>
      </c>
      <c r="M1357" s="2">
        <f t="shared" si="238"/>
        <v>0</v>
      </c>
      <c r="N1357">
        <v>0</v>
      </c>
      <c r="O1357">
        <f>AVERAGE(N1357:N1440)</f>
        <v>2.2249999999999999E-2</v>
      </c>
      <c r="P1357" s="2">
        <f t="shared" si="239"/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25.5</v>
      </c>
      <c r="W1357" s="2">
        <f t="shared" si="240"/>
        <v>1</v>
      </c>
      <c r="X1357">
        <v>16.100000000000001</v>
      </c>
      <c r="Y1357">
        <f>AVERAGE(X1357:X1440)</f>
        <v>16.87142857142857</v>
      </c>
      <c r="Z1357" s="2">
        <f t="shared" si="241"/>
        <v>1</v>
      </c>
      <c r="AA1357">
        <v>211.1</v>
      </c>
      <c r="AB1357" s="2" t="str">
        <f>CHOOSE(MATCH(AA1357,{0;11;80;111;161;191;241;281;341},1),"North","NorthEast","East","SouthEast","South","SouthWest","West","NorthWest","North")</f>
        <v>SouthWest</v>
      </c>
      <c r="AC1357" s="5">
        <f>CHOOSE(MATCH(AB1357,{"South";"SouthEast";"SouthWest";"North";"NorthEast";"East";"West";"NorthWest"},0),1,2,3,4,5,6,7,8)</f>
        <v>3</v>
      </c>
      <c r="AD1357" s="2">
        <f t="shared" si="242"/>
        <v>1</v>
      </c>
      <c r="AE1357">
        <v>1016.4</v>
      </c>
      <c r="AF1357" s="4" t="s">
        <v>2126</v>
      </c>
      <c r="AG1357" s="2">
        <f t="shared" si="243"/>
        <v>0</v>
      </c>
      <c r="AH1357" t="s">
        <v>2127</v>
      </c>
      <c r="AI1357" s="2">
        <f t="shared" si="244"/>
        <v>2</v>
      </c>
      <c r="AJ1357" s="2">
        <f t="shared" si="245"/>
        <v>0</v>
      </c>
      <c r="AK1357" s="3">
        <v>329.99999999650748</v>
      </c>
      <c r="AL1357" s="3">
        <f>AVERAGE(AK1357:AK1440)</f>
        <v>1371.8095238097678</v>
      </c>
      <c r="AM1357" s="2">
        <v>0</v>
      </c>
      <c r="AN1357">
        <v>0</v>
      </c>
      <c r="AO1357">
        <v>2</v>
      </c>
      <c r="AP1357">
        <v>0</v>
      </c>
      <c r="AQ1357" s="2">
        <f>IF((2*G1357 + M1357 -P1357 + 3*W1357 + 2*Z1357+2*AD1357 + AG1357+2*AJ1357 + 4*AM1357) &gt;=8,1,0)</f>
        <v>0</v>
      </c>
    </row>
    <row r="1358" spans="1:43" x14ac:dyDescent="0.25">
      <c r="A1358" t="s">
        <v>27</v>
      </c>
      <c r="B1358" s="1">
        <v>42466</v>
      </c>
      <c r="C1358" s="7">
        <f t="shared" si="237"/>
        <v>2016</v>
      </c>
      <c r="D1358">
        <v>75.8</v>
      </c>
      <c r="E1358">
        <v>49.4</v>
      </c>
      <c r="F1358">
        <v>62.9</v>
      </c>
      <c r="G1358" s="2">
        <f t="shared" si="246"/>
        <v>0</v>
      </c>
      <c r="H1358">
        <v>75.8</v>
      </c>
      <c r="I1358">
        <v>49.4</v>
      </c>
      <c r="J1358">
        <v>62.9</v>
      </c>
      <c r="K1358">
        <v>46.9</v>
      </c>
      <c r="L1358">
        <v>59.4</v>
      </c>
      <c r="M1358" s="2">
        <f t="shared" si="238"/>
        <v>0</v>
      </c>
      <c r="N1358">
        <v>0</v>
      </c>
      <c r="P1358" s="2">
        <f t="shared" si="239"/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31.1</v>
      </c>
      <c r="W1358" s="2">
        <f t="shared" si="240"/>
        <v>1</v>
      </c>
      <c r="X1358">
        <v>8.4</v>
      </c>
      <c r="Z1358" s="2">
        <f t="shared" si="241"/>
        <v>0</v>
      </c>
      <c r="AA1358">
        <v>112.2</v>
      </c>
      <c r="AB1358" s="2" t="str">
        <f>CHOOSE(MATCH(AA1358,{0;11;80;111;161;191;241;281;341},1),"North","NorthEast","East","SouthEast","South","SouthWest","West","NorthWest","North")</f>
        <v>SouthEast</v>
      </c>
      <c r="AC1358" s="5">
        <f>CHOOSE(MATCH(AB1358,{"South";"SouthEast";"SouthWest";"North";"NorthEast";"East";"West";"NorthWest"},0),1,2,3,4,5,6,7,8)</f>
        <v>2</v>
      </c>
      <c r="AD1358" s="2">
        <f t="shared" si="242"/>
        <v>0</v>
      </c>
      <c r="AE1358">
        <v>1011.3</v>
      </c>
      <c r="AF1358" s="4" t="s">
        <v>1753</v>
      </c>
      <c r="AG1358" s="2">
        <f t="shared" si="243"/>
        <v>1</v>
      </c>
      <c r="AH1358" t="s">
        <v>2128</v>
      </c>
      <c r="AI1358" s="2">
        <f t="shared" si="244"/>
        <v>4</v>
      </c>
      <c r="AJ1358" s="2">
        <f t="shared" si="245"/>
        <v>0</v>
      </c>
      <c r="AK1358" s="3">
        <v>69.999999997671694</v>
      </c>
      <c r="AM1358" s="2">
        <v>0</v>
      </c>
      <c r="AN1358">
        <v>0</v>
      </c>
      <c r="AO1358">
        <v>0.1</v>
      </c>
      <c r="AP1358">
        <v>0</v>
      </c>
      <c r="AQ1358" s="2">
        <f>IF((2*G1358 + M1358 -P1358 + 3*W1358 + 2*Z1358+2*AD1358 + AG1358+2*AJ1358 + 4*AM1358) &gt;=8,1,0)</f>
        <v>0</v>
      </c>
    </row>
    <row r="1359" spans="1:43" x14ac:dyDescent="0.25">
      <c r="A1359" t="s">
        <v>27</v>
      </c>
      <c r="B1359" s="1">
        <v>42475</v>
      </c>
      <c r="C1359" s="7">
        <f t="shared" si="237"/>
        <v>2016</v>
      </c>
      <c r="D1359">
        <v>80</v>
      </c>
      <c r="E1359">
        <v>57.8</v>
      </c>
      <c r="F1359">
        <v>68.400000000000006</v>
      </c>
      <c r="G1359" s="2">
        <f t="shared" si="246"/>
        <v>0</v>
      </c>
      <c r="H1359">
        <v>80</v>
      </c>
      <c r="I1359">
        <v>57.8</v>
      </c>
      <c r="J1359">
        <v>68.400000000000006</v>
      </c>
      <c r="K1359">
        <v>42.7</v>
      </c>
      <c r="L1359">
        <v>43.1</v>
      </c>
      <c r="M1359" s="2">
        <f t="shared" si="238"/>
        <v>1</v>
      </c>
      <c r="N1359">
        <v>0</v>
      </c>
      <c r="P1359" s="2">
        <f t="shared" si="239"/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17.7</v>
      </c>
      <c r="W1359" s="2">
        <f t="shared" si="240"/>
        <v>1</v>
      </c>
      <c r="X1359">
        <v>12.7</v>
      </c>
      <c r="Z1359" s="2">
        <f t="shared" si="241"/>
        <v>0</v>
      </c>
      <c r="AA1359">
        <v>63.9</v>
      </c>
      <c r="AB1359" s="2" t="str">
        <f>CHOOSE(MATCH(AA1359,{0;11;80;111;161;191;241;281;341},1),"North","NorthEast","East","SouthEast","South","SouthWest","West","NorthWest","North")</f>
        <v>NorthEast</v>
      </c>
      <c r="AC1359" s="5">
        <f>CHOOSE(MATCH(AB1359,{"South";"SouthEast";"SouthWest";"North";"NorthEast";"East";"West";"NorthWest"},0),1,2,3,4,5,6,7,8)</f>
        <v>5</v>
      </c>
      <c r="AD1359" s="2">
        <f t="shared" si="242"/>
        <v>1</v>
      </c>
      <c r="AE1359">
        <v>1012.2</v>
      </c>
      <c r="AF1359" s="4" t="s">
        <v>1751</v>
      </c>
      <c r="AG1359" s="2">
        <f t="shared" si="243"/>
        <v>1</v>
      </c>
      <c r="AH1359" t="s">
        <v>2129</v>
      </c>
      <c r="AI1359" s="2">
        <f t="shared" si="244"/>
        <v>4</v>
      </c>
      <c r="AJ1359" s="2">
        <f t="shared" si="245"/>
        <v>0</v>
      </c>
      <c r="AK1359" s="3">
        <v>261.00000000209548</v>
      </c>
      <c r="AM1359" s="2">
        <v>0</v>
      </c>
      <c r="AN1359">
        <v>50</v>
      </c>
      <c r="AO1359">
        <v>0</v>
      </c>
      <c r="AP1359">
        <v>0</v>
      </c>
      <c r="AQ1359" s="2">
        <f>IF((2*G1359 + M1359 -P1359 + 3*W1359 + 2*Z1359+2*AD1359 + AG1359+2*AJ1359 + 4*AM1359) &gt;=8,1,0)</f>
        <v>0</v>
      </c>
    </row>
    <row r="1360" spans="1:43" x14ac:dyDescent="0.25">
      <c r="A1360" t="s">
        <v>27</v>
      </c>
      <c r="B1360" s="1">
        <v>42477</v>
      </c>
      <c r="C1360" s="7">
        <f t="shared" si="237"/>
        <v>2016</v>
      </c>
      <c r="D1360">
        <v>78.8</v>
      </c>
      <c r="E1360">
        <v>51.2</v>
      </c>
      <c r="F1360">
        <v>65.7</v>
      </c>
      <c r="G1360" s="2">
        <f t="shared" si="246"/>
        <v>0</v>
      </c>
      <c r="H1360">
        <v>78.8</v>
      </c>
      <c r="I1360">
        <v>51.2</v>
      </c>
      <c r="J1360">
        <v>65.7</v>
      </c>
      <c r="K1360">
        <v>46.3</v>
      </c>
      <c r="L1360">
        <v>51</v>
      </c>
      <c r="M1360" s="2">
        <f t="shared" si="238"/>
        <v>0</v>
      </c>
      <c r="N1360">
        <v>0</v>
      </c>
      <c r="P1360" s="2">
        <f t="shared" si="239"/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20.100000000000001</v>
      </c>
      <c r="W1360" s="2">
        <f t="shared" si="240"/>
        <v>1</v>
      </c>
      <c r="X1360">
        <v>8</v>
      </c>
      <c r="Z1360" s="2">
        <f t="shared" si="241"/>
        <v>0</v>
      </c>
      <c r="AA1360">
        <v>157.9</v>
      </c>
      <c r="AB1360" s="2" t="str">
        <f>CHOOSE(MATCH(AA1360,{0;11;80;111;161;191;241;281;341},1),"North","NorthEast","East","SouthEast","South","SouthWest","West","NorthWest","North")</f>
        <v>SouthEast</v>
      </c>
      <c r="AC1360" s="5">
        <f>CHOOSE(MATCH(AB1360,{"South";"SouthEast";"SouthWest";"North";"NorthEast";"East";"West";"NorthWest"},0),1,2,3,4,5,6,7,8)</f>
        <v>2</v>
      </c>
      <c r="AD1360" s="2">
        <f t="shared" si="242"/>
        <v>0</v>
      </c>
      <c r="AE1360">
        <v>1019</v>
      </c>
      <c r="AF1360" s="4" t="s">
        <v>1812</v>
      </c>
      <c r="AG1360" s="2">
        <f t="shared" si="243"/>
        <v>1</v>
      </c>
      <c r="AH1360" t="s">
        <v>2130</v>
      </c>
      <c r="AI1360" s="2">
        <f t="shared" si="244"/>
        <v>4</v>
      </c>
      <c r="AJ1360" s="2">
        <f t="shared" si="245"/>
        <v>0</v>
      </c>
      <c r="AK1360" s="3">
        <v>130.99999999743889</v>
      </c>
      <c r="AM1360" s="2">
        <v>0</v>
      </c>
      <c r="AN1360">
        <v>0.02</v>
      </c>
      <c r="AO1360">
        <v>0</v>
      </c>
      <c r="AP1360">
        <v>0</v>
      </c>
      <c r="AQ1360" s="2">
        <f>IF((2*G1360 + M1360 -P1360 + 3*W1360 + 2*Z1360+2*AD1360 + AG1360+2*AJ1360 + 4*AM1360) &gt;=8,1,0)</f>
        <v>0</v>
      </c>
    </row>
    <row r="1361" spans="1:43" x14ac:dyDescent="0.25">
      <c r="A1361" t="s">
        <v>27</v>
      </c>
      <c r="B1361" s="1">
        <v>42477</v>
      </c>
      <c r="C1361" s="7">
        <f t="shared" si="237"/>
        <v>2016</v>
      </c>
      <c r="D1361">
        <v>78.8</v>
      </c>
      <c r="E1361">
        <v>51.2</v>
      </c>
      <c r="F1361">
        <v>65.7</v>
      </c>
      <c r="G1361" s="2">
        <f t="shared" si="246"/>
        <v>0</v>
      </c>
      <c r="H1361">
        <v>78.8</v>
      </c>
      <c r="I1361">
        <v>51.2</v>
      </c>
      <c r="J1361">
        <v>65.7</v>
      </c>
      <c r="K1361">
        <v>46.3</v>
      </c>
      <c r="L1361">
        <v>51</v>
      </c>
      <c r="M1361" s="2">
        <f t="shared" si="238"/>
        <v>0</v>
      </c>
      <c r="N1361">
        <v>0</v>
      </c>
      <c r="P1361" s="2">
        <f t="shared" si="239"/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20.100000000000001</v>
      </c>
      <c r="W1361" s="2">
        <f t="shared" si="240"/>
        <v>1</v>
      </c>
      <c r="X1361">
        <v>8</v>
      </c>
      <c r="Z1361" s="2">
        <f t="shared" si="241"/>
        <v>0</v>
      </c>
      <c r="AA1361">
        <v>157.9</v>
      </c>
      <c r="AB1361" s="2" t="str">
        <f>CHOOSE(MATCH(AA1361,{0;11;80;111;161;191;241;281;341},1),"North","NorthEast","East","SouthEast","South","SouthWest","West","NorthWest","North")</f>
        <v>SouthEast</v>
      </c>
      <c r="AC1361" s="5">
        <f>CHOOSE(MATCH(AB1361,{"South";"SouthEast";"SouthWest";"North";"NorthEast";"East";"West";"NorthWest"},0),1,2,3,4,5,6,7,8)</f>
        <v>2</v>
      </c>
      <c r="AD1361" s="2">
        <f t="shared" si="242"/>
        <v>0</v>
      </c>
      <c r="AE1361">
        <v>1019</v>
      </c>
      <c r="AF1361" s="4" t="s">
        <v>2131</v>
      </c>
      <c r="AG1361" s="2">
        <f t="shared" si="243"/>
        <v>1</v>
      </c>
      <c r="AH1361" t="s">
        <v>2132</v>
      </c>
      <c r="AI1361" s="2">
        <f t="shared" si="244"/>
        <v>4</v>
      </c>
      <c r="AJ1361" s="2">
        <f t="shared" si="245"/>
        <v>0</v>
      </c>
      <c r="AK1361" s="3">
        <v>346.99999999953428</v>
      </c>
      <c r="AM1361" s="2">
        <v>0</v>
      </c>
      <c r="AN1361">
        <v>0</v>
      </c>
      <c r="AO1361">
        <v>0.4</v>
      </c>
      <c r="AP1361">
        <v>0</v>
      </c>
      <c r="AQ1361" s="2">
        <f>IF((2*G1361 + M1361 -P1361 + 3*W1361 + 2*Z1361+2*AD1361 + AG1361+2*AJ1361 + 4*AM1361) &gt;=8,1,0)</f>
        <v>0</v>
      </c>
    </row>
    <row r="1362" spans="1:43" x14ac:dyDescent="0.25">
      <c r="A1362" t="s">
        <v>27</v>
      </c>
      <c r="B1362" s="1">
        <v>42481</v>
      </c>
      <c r="C1362" s="7">
        <f t="shared" si="237"/>
        <v>2016</v>
      </c>
      <c r="D1362">
        <v>67</v>
      </c>
      <c r="E1362">
        <v>55.4</v>
      </c>
      <c r="F1362">
        <v>62.3</v>
      </c>
      <c r="G1362" s="2">
        <f t="shared" si="246"/>
        <v>0</v>
      </c>
      <c r="H1362">
        <v>67</v>
      </c>
      <c r="I1362">
        <v>55.4</v>
      </c>
      <c r="J1362">
        <v>62.3</v>
      </c>
      <c r="K1362">
        <v>39.6</v>
      </c>
      <c r="L1362">
        <v>44.1</v>
      </c>
      <c r="M1362" s="2">
        <f t="shared" si="238"/>
        <v>1</v>
      </c>
      <c r="N1362">
        <v>0</v>
      </c>
      <c r="P1362" s="2">
        <f t="shared" si="239"/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36.200000000000003</v>
      </c>
      <c r="W1362" s="2">
        <f t="shared" si="240"/>
        <v>1</v>
      </c>
      <c r="X1362">
        <v>21.8</v>
      </c>
      <c r="Z1362" s="2">
        <f t="shared" si="241"/>
        <v>1</v>
      </c>
      <c r="AA1362">
        <v>16.399999999999999</v>
      </c>
      <c r="AB1362" s="2" t="str">
        <f>CHOOSE(MATCH(AA1362,{0;11;80;111;161;191;241;281;341},1),"North","NorthEast","East","SouthEast","South","SouthWest","West","NorthWest","North")</f>
        <v>NorthEast</v>
      </c>
      <c r="AC1362" s="5">
        <f>CHOOSE(MATCH(AB1362,{"South";"SouthEast";"SouthWest";"North";"NorthEast";"East";"West";"NorthWest"},0),1,2,3,4,5,6,7,8)</f>
        <v>5</v>
      </c>
      <c r="AD1362" s="2">
        <f t="shared" si="242"/>
        <v>1</v>
      </c>
      <c r="AE1362">
        <v>1022.8</v>
      </c>
      <c r="AF1362" s="4" t="s">
        <v>2133</v>
      </c>
      <c r="AG1362" s="2">
        <f t="shared" si="243"/>
        <v>0</v>
      </c>
      <c r="AH1362" t="s">
        <v>2134</v>
      </c>
      <c r="AI1362" s="2">
        <f t="shared" si="244"/>
        <v>4</v>
      </c>
      <c r="AJ1362" s="2">
        <f t="shared" si="245"/>
        <v>0</v>
      </c>
      <c r="AK1362" s="3">
        <v>293.99999999441212</v>
      </c>
      <c r="AM1362" s="2">
        <v>0</v>
      </c>
      <c r="AN1362">
        <v>0.01</v>
      </c>
      <c r="AO1362">
        <v>0</v>
      </c>
      <c r="AP1362">
        <v>0</v>
      </c>
      <c r="AQ1362" s="2">
        <f>IF((2*G1362 + M1362 -P1362 + 3*W1362 + 2*Z1362+2*AD1362 + AG1362+2*AJ1362 + 4*AM1362) &gt;=8,1,0)</f>
        <v>0</v>
      </c>
    </row>
    <row r="1363" spans="1:43" x14ac:dyDescent="0.25">
      <c r="A1363" t="s">
        <v>27</v>
      </c>
      <c r="B1363" s="1">
        <v>42481</v>
      </c>
      <c r="C1363" s="7">
        <f t="shared" si="237"/>
        <v>2016</v>
      </c>
      <c r="D1363">
        <v>67</v>
      </c>
      <c r="E1363">
        <v>55.4</v>
      </c>
      <c r="F1363">
        <v>62.3</v>
      </c>
      <c r="G1363" s="2">
        <f t="shared" si="246"/>
        <v>0</v>
      </c>
      <c r="H1363">
        <v>67</v>
      </c>
      <c r="I1363">
        <v>55.4</v>
      </c>
      <c r="J1363">
        <v>62.3</v>
      </c>
      <c r="K1363">
        <v>39.6</v>
      </c>
      <c r="L1363">
        <v>44.1</v>
      </c>
      <c r="M1363" s="2">
        <f t="shared" si="238"/>
        <v>1</v>
      </c>
      <c r="N1363">
        <v>0</v>
      </c>
      <c r="P1363" s="2">
        <f t="shared" si="239"/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36.200000000000003</v>
      </c>
      <c r="W1363" s="2">
        <f t="shared" si="240"/>
        <v>1</v>
      </c>
      <c r="X1363">
        <v>21.8</v>
      </c>
      <c r="Z1363" s="2">
        <f t="shared" si="241"/>
        <v>1</v>
      </c>
      <c r="AA1363">
        <v>16.399999999999999</v>
      </c>
      <c r="AB1363" s="2" t="str">
        <f>CHOOSE(MATCH(AA1363,{0;11;80;111;161;191;241;281;341},1),"North","NorthEast","East","SouthEast","South","SouthWest","West","NorthWest","North")</f>
        <v>NorthEast</v>
      </c>
      <c r="AC1363" s="5">
        <f>CHOOSE(MATCH(AB1363,{"South";"SouthEast";"SouthWest";"North";"NorthEast";"East";"West";"NorthWest"},0),1,2,3,4,5,6,7,8)</f>
        <v>5</v>
      </c>
      <c r="AD1363" s="2">
        <f t="shared" si="242"/>
        <v>1</v>
      </c>
      <c r="AE1363">
        <v>1022.8</v>
      </c>
      <c r="AF1363" s="4" t="s">
        <v>2135</v>
      </c>
      <c r="AG1363" s="2">
        <f t="shared" si="243"/>
        <v>0</v>
      </c>
      <c r="AH1363" t="s">
        <v>2136</v>
      </c>
      <c r="AI1363" s="2">
        <f t="shared" si="244"/>
        <v>4</v>
      </c>
      <c r="AJ1363" s="2">
        <f t="shared" si="245"/>
        <v>0</v>
      </c>
      <c r="AK1363" s="3">
        <v>261.00000000209548</v>
      </c>
      <c r="AM1363" s="2">
        <v>0</v>
      </c>
      <c r="AN1363">
        <v>0.5</v>
      </c>
      <c r="AO1363">
        <v>0</v>
      </c>
      <c r="AP1363">
        <v>0</v>
      </c>
      <c r="AQ1363" s="2">
        <f>IF((2*G1363 + M1363 -P1363 + 3*W1363 + 2*Z1363+2*AD1363 + AG1363+2*AJ1363 + 4*AM1363) &gt;=8,1,0)</f>
        <v>0</v>
      </c>
    </row>
    <row r="1364" spans="1:43" x14ac:dyDescent="0.25">
      <c r="A1364" t="s">
        <v>27</v>
      </c>
      <c r="B1364" s="1">
        <v>42481</v>
      </c>
      <c r="C1364" s="7">
        <f t="shared" si="237"/>
        <v>2016</v>
      </c>
      <c r="D1364">
        <v>67</v>
      </c>
      <c r="E1364">
        <v>55.4</v>
      </c>
      <c r="F1364">
        <v>62.3</v>
      </c>
      <c r="G1364" s="2">
        <f t="shared" si="246"/>
        <v>0</v>
      </c>
      <c r="H1364">
        <v>67</v>
      </c>
      <c r="I1364">
        <v>55.4</v>
      </c>
      <c r="J1364">
        <v>62.3</v>
      </c>
      <c r="K1364">
        <v>39.6</v>
      </c>
      <c r="L1364">
        <v>44.1</v>
      </c>
      <c r="M1364" s="2">
        <f t="shared" si="238"/>
        <v>1</v>
      </c>
      <c r="N1364">
        <v>0</v>
      </c>
      <c r="P1364" s="2">
        <f t="shared" si="239"/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36.200000000000003</v>
      </c>
      <c r="W1364" s="2">
        <f t="shared" si="240"/>
        <v>1</v>
      </c>
      <c r="X1364">
        <v>21.8</v>
      </c>
      <c r="Z1364" s="2">
        <f t="shared" si="241"/>
        <v>1</v>
      </c>
      <c r="AA1364">
        <v>16.399999999999999</v>
      </c>
      <c r="AB1364" s="2" t="str">
        <f>CHOOSE(MATCH(AA1364,{0;11;80;111;161;191;241;281;341},1),"North","NorthEast","East","SouthEast","South","SouthWest","West","NorthWest","North")</f>
        <v>NorthEast</v>
      </c>
      <c r="AC1364" s="5">
        <f>CHOOSE(MATCH(AB1364,{"South";"SouthEast";"SouthWest";"North";"NorthEast";"East";"West";"NorthWest"},0),1,2,3,4,5,6,7,8)</f>
        <v>5</v>
      </c>
      <c r="AD1364" s="2">
        <f t="shared" si="242"/>
        <v>1</v>
      </c>
      <c r="AE1364">
        <v>1022.8</v>
      </c>
      <c r="AF1364" s="4" t="s">
        <v>1266</v>
      </c>
      <c r="AG1364" s="2">
        <f t="shared" si="243"/>
        <v>1</v>
      </c>
      <c r="AH1364" t="s">
        <v>2137</v>
      </c>
      <c r="AI1364" s="2">
        <f t="shared" si="244"/>
        <v>4</v>
      </c>
      <c r="AJ1364" s="2">
        <f t="shared" si="245"/>
        <v>0</v>
      </c>
      <c r="AK1364" s="3">
        <v>1380.000000003492</v>
      </c>
      <c r="AM1364" s="2">
        <v>1</v>
      </c>
      <c r="AN1364">
        <v>0</v>
      </c>
      <c r="AO1364">
        <v>2</v>
      </c>
      <c r="AP1364">
        <v>0</v>
      </c>
      <c r="AQ1364" s="2">
        <f>IF((2*G1364 + M1364 -P1364 + 3*W1364 + 2*Z1364+2*AD1364 + AG1364+2*AJ1364 + 4*AM1364) &gt;=8,1,0)</f>
        <v>1</v>
      </c>
    </row>
    <row r="1365" spans="1:43" x14ac:dyDescent="0.25">
      <c r="A1365" t="s">
        <v>27</v>
      </c>
      <c r="B1365" s="1">
        <v>42481</v>
      </c>
      <c r="C1365" s="7">
        <f t="shared" si="237"/>
        <v>2016</v>
      </c>
      <c r="D1365">
        <v>67</v>
      </c>
      <c r="E1365">
        <v>55.4</v>
      </c>
      <c r="F1365">
        <v>62.3</v>
      </c>
      <c r="G1365" s="2">
        <f t="shared" si="246"/>
        <v>0</v>
      </c>
      <c r="H1365">
        <v>67</v>
      </c>
      <c r="I1365">
        <v>55.4</v>
      </c>
      <c r="J1365">
        <v>62.3</v>
      </c>
      <c r="K1365">
        <v>39.6</v>
      </c>
      <c r="L1365">
        <v>44.1</v>
      </c>
      <c r="M1365" s="2">
        <f t="shared" si="238"/>
        <v>1</v>
      </c>
      <c r="N1365">
        <v>0</v>
      </c>
      <c r="P1365" s="2">
        <f t="shared" si="239"/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36.200000000000003</v>
      </c>
      <c r="W1365" s="2">
        <f t="shared" si="240"/>
        <v>1</v>
      </c>
      <c r="X1365">
        <v>21.8</v>
      </c>
      <c r="Z1365" s="2">
        <f t="shared" si="241"/>
        <v>1</v>
      </c>
      <c r="AA1365">
        <v>16.399999999999999</v>
      </c>
      <c r="AB1365" s="2" t="str">
        <f>CHOOSE(MATCH(AA1365,{0;11;80;111;161;191;241;281;341},1),"North","NorthEast","East","SouthEast","South","SouthWest","West","NorthWest","North")</f>
        <v>NorthEast</v>
      </c>
      <c r="AC1365" s="5">
        <f>CHOOSE(MATCH(AB1365,{"South";"SouthEast";"SouthWest";"North";"NorthEast";"East";"West";"NorthWest"},0),1,2,3,4,5,6,7,8)</f>
        <v>5</v>
      </c>
      <c r="AD1365" s="2">
        <f t="shared" si="242"/>
        <v>1</v>
      </c>
      <c r="AE1365">
        <v>1022.8</v>
      </c>
      <c r="AF1365" s="4" t="s">
        <v>2138</v>
      </c>
      <c r="AG1365" s="2">
        <f t="shared" si="243"/>
        <v>1</v>
      </c>
      <c r="AH1365" t="s">
        <v>2139</v>
      </c>
      <c r="AI1365" s="2">
        <f t="shared" si="244"/>
        <v>4</v>
      </c>
      <c r="AJ1365" s="2">
        <f t="shared" si="245"/>
        <v>0</v>
      </c>
      <c r="AK1365" s="3">
        <v>110.00000000232831</v>
      </c>
      <c r="AM1365" s="2">
        <v>0</v>
      </c>
      <c r="AN1365">
        <v>0</v>
      </c>
      <c r="AO1365">
        <v>5</v>
      </c>
      <c r="AP1365">
        <v>0</v>
      </c>
      <c r="AQ1365" s="2">
        <f>IF((2*G1365 + M1365 -P1365 + 3*W1365 + 2*Z1365+2*AD1365 + AG1365+2*AJ1365 + 4*AM1365) &gt;=8,1,0)</f>
        <v>1</v>
      </c>
    </row>
    <row r="1366" spans="1:43" x14ac:dyDescent="0.25">
      <c r="A1366" t="s">
        <v>27</v>
      </c>
      <c r="B1366" s="1">
        <v>42481</v>
      </c>
      <c r="C1366" s="7">
        <f t="shared" si="237"/>
        <v>2016</v>
      </c>
      <c r="D1366">
        <v>67</v>
      </c>
      <c r="E1366">
        <v>55.4</v>
      </c>
      <c r="F1366">
        <v>62.3</v>
      </c>
      <c r="G1366" s="2">
        <f t="shared" si="246"/>
        <v>0</v>
      </c>
      <c r="H1366">
        <v>67</v>
      </c>
      <c r="I1366">
        <v>55.4</v>
      </c>
      <c r="J1366">
        <v>62.3</v>
      </c>
      <c r="K1366">
        <v>39.6</v>
      </c>
      <c r="L1366">
        <v>44.1</v>
      </c>
      <c r="M1366" s="2">
        <f t="shared" si="238"/>
        <v>1</v>
      </c>
      <c r="N1366">
        <v>0</v>
      </c>
      <c r="P1366" s="2">
        <f t="shared" si="239"/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36.200000000000003</v>
      </c>
      <c r="W1366" s="2">
        <f t="shared" si="240"/>
        <v>1</v>
      </c>
      <c r="X1366">
        <v>21.8</v>
      </c>
      <c r="Z1366" s="2">
        <f t="shared" si="241"/>
        <v>1</v>
      </c>
      <c r="AA1366">
        <v>16.399999999999999</v>
      </c>
      <c r="AB1366" s="2" t="str">
        <f>CHOOSE(MATCH(AA1366,{0;11;80;111;161;191;241;281;341},1),"North","NorthEast","East","SouthEast","South","SouthWest","West","NorthWest","North")</f>
        <v>NorthEast</v>
      </c>
      <c r="AC1366" s="5">
        <f>CHOOSE(MATCH(AB1366,{"South";"SouthEast";"SouthWest";"North";"NorthEast";"East";"West";"NorthWest"},0),1,2,3,4,5,6,7,8)</f>
        <v>5</v>
      </c>
      <c r="AD1366" s="2">
        <f t="shared" si="242"/>
        <v>1</v>
      </c>
      <c r="AE1366">
        <v>1022.8</v>
      </c>
      <c r="AF1366" s="4" t="s">
        <v>2138</v>
      </c>
      <c r="AG1366" s="2">
        <f t="shared" si="243"/>
        <v>1</v>
      </c>
      <c r="AH1366" t="s">
        <v>2139</v>
      </c>
      <c r="AI1366" s="2">
        <f t="shared" si="244"/>
        <v>4</v>
      </c>
      <c r="AJ1366" s="2">
        <f t="shared" si="245"/>
        <v>0</v>
      </c>
      <c r="AK1366" s="3">
        <v>240.00000000698489</v>
      </c>
      <c r="AM1366" s="2">
        <v>0</v>
      </c>
      <c r="AN1366">
        <v>5</v>
      </c>
      <c r="AO1366">
        <v>0</v>
      </c>
      <c r="AP1366">
        <v>0</v>
      </c>
      <c r="AQ1366" s="2">
        <f>IF((2*G1366 + M1366 -P1366 + 3*W1366 + 2*Z1366+2*AD1366 + AG1366+2*AJ1366 + 4*AM1366) &gt;=8,1,0)</f>
        <v>1</v>
      </c>
    </row>
    <row r="1367" spans="1:43" x14ac:dyDescent="0.25">
      <c r="A1367" t="s">
        <v>27</v>
      </c>
      <c r="B1367" s="1">
        <v>42481</v>
      </c>
      <c r="C1367" s="7">
        <f t="shared" si="237"/>
        <v>2016</v>
      </c>
      <c r="D1367">
        <v>67</v>
      </c>
      <c r="E1367">
        <v>55.4</v>
      </c>
      <c r="F1367">
        <v>62.3</v>
      </c>
      <c r="G1367" s="2">
        <f t="shared" si="246"/>
        <v>0</v>
      </c>
      <c r="H1367">
        <v>67</v>
      </c>
      <c r="I1367">
        <v>55.4</v>
      </c>
      <c r="J1367">
        <v>62.3</v>
      </c>
      <c r="K1367">
        <v>39.6</v>
      </c>
      <c r="L1367">
        <v>44.1</v>
      </c>
      <c r="M1367" s="2">
        <f t="shared" si="238"/>
        <v>1</v>
      </c>
      <c r="N1367">
        <v>0</v>
      </c>
      <c r="P1367" s="2">
        <f t="shared" si="239"/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36.200000000000003</v>
      </c>
      <c r="W1367" s="2">
        <f t="shared" si="240"/>
        <v>1</v>
      </c>
      <c r="X1367">
        <v>21.8</v>
      </c>
      <c r="Z1367" s="2">
        <f t="shared" si="241"/>
        <v>1</v>
      </c>
      <c r="AA1367">
        <v>16.399999999999999</v>
      </c>
      <c r="AB1367" s="2" t="str">
        <f>CHOOSE(MATCH(AA1367,{0;11;80;111;161;191;241;281;341},1),"North","NorthEast","East","SouthEast","South","SouthWest","West","NorthWest","North")</f>
        <v>NorthEast</v>
      </c>
      <c r="AC1367" s="5">
        <f>CHOOSE(MATCH(AB1367,{"South";"SouthEast";"SouthWest";"North";"NorthEast";"East";"West";"NorthWest"},0),1,2,3,4,5,6,7,8)</f>
        <v>5</v>
      </c>
      <c r="AD1367" s="2">
        <f t="shared" si="242"/>
        <v>1</v>
      </c>
      <c r="AE1367">
        <v>1022.8</v>
      </c>
      <c r="AF1367" s="4" t="s">
        <v>2140</v>
      </c>
      <c r="AG1367" s="2">
        <f t="shared" si="243"/>
        <v>1</v>
      </c>
      <c r="AH1367" t="s">
        <v>2141</v>
      </c>
      <c r="AI1367" s="2">
        <f t="shared" si="244"/>
        <v>4</v>
      </c>
      <c r="AJ1367" s="2">
        <f t="shared" si="245"/>
        <v>0</v>
      </c>
      <c r="AK1367" s="3">
        <v>1772.999999995809</v>
      </c>
      <c r="AM1367" s="2">
        <v>1</v>
      </c>
      <c r="AN1367">
        <v>0</v>
      </c>
      <c r="AO1367">
        <v>15</v>
      </c>
      <c r="AP1367">
        <v>0</v>
      </c>
      <c r="AQ1367" s="2">
        <f>IF((2*G1367 + M1367 -P1367 + 3*W1367 + 2*Z1367+2*AD1367 + AG1367+2*AJ1367 + 4*AM1367) &gt;=8,1,0)</f>
        <v>1</v>
      </c>
    </row>
    <row r="1368" spans="1:43" x14ac:dyDescent="0.25">
      <c r="A1368" t="s">
        <v>27</v>
      </c>
      <c r="B1368" s="1">
        <v>42484</v>
      </c>
      <c r="C1368" s="7">
        <f t="shared" si="237"/>
        <v>2016</v>
      </c>
      <c r="D1368">
        <v>75.2</v>
      </c>
      <c r="E1368">
        <v>59.6</v>
      </c>
      <c r="F1368">
        <v>67.8</v>
      </c>
      <c r="G1368" s="2">
        <f t="shared" si="246"/>
        <v>0</v>
      </c>
      <c r="H1368">
        <v>75.2</v>
      </c>
      <c r="I1368">
        <v>59.6</v>
      </c>
      <c r="J1368">
        <v>67.8</v>
      </c>
      <c r="K1368">
        <v>47.3</v>
      </c>
      <c r="L1368">
        <v>50.1</v>
      </c>
      <c r="M1368" s="2">
        <f t="shared" si="238"/>
        <v>0</v>
      </c>
      <c r="N1368">
        <v>0</v>
      </c>
      <c r="P1368" s="2">
        <f t="shared" si="239"/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32</v>
      </c>
      <c r="W1368" s="2">
        <f t="shared" si="240"/>
        <v>1</v>
      </c>
      <c r="X1368">
        <v>15.4</v>
      </c>
      <c r="Z1368" s="2">
        <f t="shared" si="241"/>
        <v>0</v>
      </c>
      <c r="AA1368">
        <v>245.5</v>
      </c>
      <c r="AB1368" s="2" t="str">
        <f>CHOOSE(MATCH(AA1368,{0;11;80;111;161;191;241;281;341},1),"North","NorthEast","East","SouthEast","South","SouthWest","West","NorthWest","North")</f>
        <v>West</v>
      </c>
      <c r="AC1368" s="5">
        <f>CHOOSE(MATCH(AB1368,{"South";"SouthEast";"SouthWest";"North";"NorthEast";"East";"West";"NorthWest"},0),1,2,3,4,5,6,7,8)</f>
        <v>7</v>
      </c>
      <c r="AD1368" s="2">
        <f t="shared" si="242"/>
        <v>0</v>
      </c>
      <c r="AE1368">
        <v>1002.6</v>
      </c>
      <c r="AF1368" s="4" t="s">
        <v>2142</v>
      </c>
      <c r="AG1368" s="2">
        <f t="shared" si="243"/>
        <v>0</v>
      </c>
      <c r="AH1368" t="s">
        <v>2143</v>
      </c>
      <c r="AI1368" s="2">
        <f t="shared" si="244"/>
        <v>4</v>
      </c>
      <c r="AJ1368" s="2">
        <f t="shared" si="245"/>
        <v>0</v>
      </c>
      <c r="AK1368" s="3">
        <v>69.999999997671694</v>
      </c>
      <c r="AM1368" s="2">
        <v>0</v>
      </c>
      <c r="AN1368">
        <v>0</v>
      </c>
      <c r="AO1368">
        <v>0.02</v>
      </c>
      <c r="AP1368">
        <v>0</v>
      </c>
      <c r="AQ1368" s="2">
        <f>IF((2*G1368 + M1368 -P1368 + 3*W1368 + 2*Z1368+2*AD1368 + AG1368+2*AJ1368 + 4*AM1368) &gt;=8,1,0)</f>
        <v>0</v>
      </c>
    </row>
    <row r="1369" spans="1:43" x14ac:dyDescent="0.25">
      <c r="A1369" t="s">
        <v>27</v>
      </c>
      <c r="B1369" s="1">
        <v>42487</v>
      </c>
      <c r="C1369" s="7">
        <f t="shared" si="237"/>
        <v>2016</v>
      </c>
      <c r="D1369">
        <v>70.900000000000006</v>
      </c>
      <c r="E1369">
        <v>47.6</v>
      </c>
      <c r="F1369">
        <v>60.2</v>
      </c>
      <c r="G1369" s="2">
        <f t="shared" si="246"/>
        <v>0</v>
      </c>
      <c r="H1369">
        <v>70.900000000000006</v>
      </c>
      <c r="I1369">
        <v>45.7</v>
      </c>
      <c r="J1369">
        <v>60</v>
      </c>
      <c r="K1369">
        <v>42.2</v>
      </c>
      <c r="L1369">
        <v>54.4</v>
      </c>
      <c r="M1369" s="2">
        <f t="shared" si="238"/>
        <v>0</v>
      </c>
      <c r="N1369">
        <v>0</v>
      </c>
      <c r="P1369" s="2">
        <f t="shared" si="239"/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25.3</v>
      </c>
      <c r="W1369" s="2">
        <f t="shared" si="240"/>
        <v>1</v>
      </c>
      <c r="X1369">
        <v>15.3</v>
      </c>
      <c r="Z1369" s="2">
        <f t="shared" si="241"/>
        <v>0</v>
      </c>
      <c r="AA1369">
        <v>216.6</v>
      </c>
      <c r="AB1369" s="2" t="str">
        <f>CHOOSE(MATCH(AA1369,{0;11;80;111;161;191;241;281;341},1),"North","NorthEast","East","SouthEast","South","SouthWest","West","NorthWest","North")</f>
        <v>SouthWest</v>
      </c>
      <c r="AC1369" s="5">
        <f>CHOOSE(MATCH(AB1369,{"South";"SouthEast";"SouthWest";"North";"NorthEast";"East";"West";"NorthWest"},0),1,2,3,4,5,6,7,8)</f>
        <v>3</v>
      </c>
      <c r="AD1369" s="2">
        <f t="shared" si="242"/>
        <v>1</v>
      </c>
      <c r="AE1369">
        <v>1014.9</v>
      </c>
      <c r="AF1369" s="4" t="s">
        <v>1095</v>
      </c>
      <c r="AG1369" s="2">
        <f t="shared" si="243"/>
        <v>1</v>
      </c>
      <c r="AH1369" t="s">
        <v>2144</v>
      </c>
      <c r="AI1369" s="2">
        <f t="shared" si="244"/>
        <v>4</v>
      </c>
      <c r="AJ1369" s="2">
        <f t="shared" si="245"/>
        <v>0</v>
      </c>
      <c r="AK1369" s="3">
        <v>422.0000000030268</v>
      </c>
      <c r="AM1369" s="2">
        <v>1</v>
      </c>
      <c r="AN1369">
        <v>0</v>
      </c>
      <c r="AO1369">
        <v>5</v>
      </c>
      <c r="AP1369">
        <v>0</v>
      </c>
      <c r="AQ1369" s="2">
        <f>IF((2*G1369 + M1369 -P1369 + 3*W1369 + 2*Z1369+2*AD1369 + AG1369+2*AJ1369 + 4*AM1369) &gt;=8,1,0)</f>
        <v>1</v>
      </c>
    </row>
    <row r="1370" spans="1:43" x14ac:dyDescent="0.25">
      <c r="A1370" t="s">
        <v>27</v>
      </c>
      <c r="B1370" s="1">
        <v>42487</v>
      </c>
      <c r="C1370" s="7">
        <f t="shared" si="237"/>
        <v>2016</v>
      </c>
      <c r="D1370">
        <v>70.900000000000006</v>
      </c>
      <c r="E1370">
        <v>47.6</v>
      </c>
      <c r="F1370">
        <v>60.2</v>
      </c>
      <c r="G1370" s="2">
        <f t="shared" si="246"/>
        <v>0</v>
      </c>
      <c r="H1370">
        <v>70.900000000000006</v>
      </c>
      <c r="I1370">
        <v>45.7</v>
      </c>
      <c r="J1370">
        <v>60</v>
      </c>
      <c r="K1370">
        <v>42.2</v>
      </c>
      <c r="L1370">
        <v>54.4</v>
      </c>
      <c r="M1370" s="2">
        <f t="shared" si="238"/>
        <v>0</v>
      </c>
      <c r="N1370">
        <v>0</v>
      </c>
      <c r="P1370" s="2">
        <f t="shared" si="239"/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25.3</v>
      </c>
      <c r="W1370" s="2">
        <f t="shared" si="240"/>
        <v>1</v>
      </c>
      <c r="X1370">
        <v>15.3</v>
      </c>
      <c r="Z1370" s="2">
        <f t="shared" si="241"/>
        <v>0</v>
      </c>
      <c r="AA1370">
        <v>216.6</v>
      </c>
      <c r="AB1370" s="2" t="str">
        <f>CHOOSE(MATCH(AA1370,{0;11;80;111;161;191;241;281;341},1),"North","NorthEast","East","SouthEast","South","SouthWest","West","NorthWest","North")</f>
        <v>SouthWest</v>
      </c>
      <c r="AC1370" s="5">
        <f>CHOOSE(MATCH(AB1370,{"South";"SouthEast";"SouthWest";"North";"NorthEast";"East";"West";"NorthWest"},0),1,2,3,4,5,6,7,8)</f>
        <v>3</v>
      </c>
      <c r="AD1370" s="2">
        <f t="shared" si="242"/>
        <v>1</v>
      </c>
      <c r="AE1370">
        <v>1014.9</v>
      </c>
      <c r="AF1370" s="4" t="s">
        <v>2145</v>
      </c>
      <c r="AG1370" s="2">
        <f t="shared" si="243"/>
        <v>1</v>
      </c>
      <c r="AH1370" t="s">
        <v>2146</v>
      </c>
      <c r="AI1370" s="2">
        <f t="shared" si="244"/>
        <v>4</v>
      </c>
      <c r="AJ1370" s="2">
        <f t="shared" si="245"/>
        <v>0</v>
      </c>
      <c r="AK1370" s="3">
        <v>220.99999999743889</v>
      </c>
      <c r="AM1370" s="2">
        <v>0</v>
      </c>
      <c r="AN1370">
        <v>0</v>
      </c>
      <c r="AO1370">
        <v>3</v>
      </c>
      <c r="AP1370">
        <v>0</v>
      </c>
      <c r="AQ1370" s="2">
        <f>IF((2*G1370 + M1370 -P1370 + 3*W1370 + 2*Z1370+2*AD1370 + AG1370+2*AJ1370 + 4*AM1370) &gt;=8,1,0)</f>
        <v>0</v>
      </c>
    </row>
    <row r="1371" spans="1:43" x14ac:dyDescent="0.25">
      <c r="A1371" t="s">
        <v>27</v>
      </c>
      <c r="B1371" s="1">
        <v>42491</v>
      </c>
      <c r="C1371" s="7">
        <f t="shared" si="237"/>
        <v>2016</v>
      </c>
      <c r="D1371">
        <v>73.7</v>
      </c>
      <c r="E1371">
        <v>59.1</v>
      </c>
      <c r="F1371">
        <v>65.599999999999994</v>
      </c>
      <c r="G1371" s="2">
        <f t="shared" si="246"/>
        <v>0</v>
      </c>
      <c r="H1371">
        <v>73.7</v>
      </c>
      <c r="I1371">
        <v>59.1</v>
      </c>
      <c r="J1371">
        <v>65.599999999999994</v>
      </c>
      <c r="K1371">
        <v>42.2</v>
      </c>
      <c r="L1371">
        <v>43</v>
      </c>
      <c r="M1371" s="2">
        <f t="shared" si="238"/>
        <v>1</v>
      </c>
      <c r="N1371">
        <v>0</v>
      </c>
      <c r="P1371" s="2">
        <f t="shared" si="239"/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31.1</v>
      </c>
      <c r="W1371" s="2">
        <f t="shared" si="240"/>
        <v>1</v>
      </c>
      <c r="X1371">
        <v>15.8</v>
      </c>
      <c r="Z1371" s="2">
        <f t="shared" si="241"/>
        <v>0</v>
      </c>
      <c r="AA1371">
        <v>29.3</v>
      </c>
      <c r="AB1371" s="2" t="str">
        <f>CHOOSE(MATCH(AA1371,{0;11;80;111;161;191;241;281;341},1),"North","NorthEast","East","SouthEast","South","SouthWest","West","NorthWest","North")</f>
        <v>NorthEast</v>
      </c>
      <c r="AC1371" s="5">
        <f>CHOOSE(MATCH(AB1371,{"South";"SouthEast";"SouthWest";"North";"NorthEast";"East";"West";"NorthWest"},0),1,2,3,4,5,6,7,8)</f>
        <v>5</v>
      </c>
      <c r="AD1371" s="2">
        <f t="shared" si="242"/>
        <v>1</v>
      </c>
      <c r="AE1371">
        <v>1014.9</v>
      </c>
      <c r="AF1371" s="4" t="s">
        <v>2147</v>
      </c>
      <c r="AG1371" s="2">
        <f t="shared" si="243"/>
        <v>0</v>
      </c>
      <c r="AH1371" t="s">
        <v>2148</v>
      </c>
      <c r="AI1371" s="2">
        <f t="shared" si="244"/>
        <v>5</v>
      </c>
      <c r="AJ1371" s="2">
        <f t="shared" si="245"/>
        <v>0</v>
      </c>
      <c r="AK1371" s="3">
        <v>145.00000000116421</v>
      </c>
      <c r="AM1371" s="2">
        <v>0</v>
      </c>
      <c r="AN1371">
        <v>0</v>
      </c>
      <c r="AO1371">
        <v>0.5</v>
      </c>
      <c r="AP1371">
        <v>0</v>
      </c>
      <c r="AQ1371" s="2">
        <f>IF((2*G1371 + M1371 -P1371 + 3*W1371 + 2*Z1371+2*AD1371 + AG1371+2*AJ1371 + 4*AM1371) &gt;=8,1,0)</f>
        <v>0</v>
      </c>
    </row>
    <row r="1372" spans="1:43" x14ac:dyDescent="0.25">
      <c r="A1372" t="s">
        <v>27</v>
      </c>
      <c r="B1372" s="1">
        <v>42491</v>
      </c>
      <c r="C1372" s="7">
        <f t="shared" si="237"/>
        <v>2016</v>
      </c>
      <c r="D1372">
        <v>73.7</v>
      </c>
      <c r="E1372">
        <v>59.1</v>
      </c>
      <c r="F1372">
        <v>65.599999999999994</v>
      </c>
      <c r="G1372" s="2">
        <f t="shared" si="246"/>
        <v>0</v>
      </c>
      <c r="H1372">
        <v>73.7</v>
      </c>
      <c r="I1372">
        <v>59.1</v>
      </c>
      <c r="J1372">
        <v>65.599999999999994</v>
      </c>
      <c r="K1372">
        <v>42.2</v>
      </c>
      <c r="L1372">
        <v>43</v>
      </c>
      <c r="M1372" s="2">
        <f t="shared" si="238"/>
        <v>1</v>
      </c>
      <c r="N1372">
        <v>0</v>
      </c>
      <c r="P1372" s="2">
        <f t="shared" si="239"/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31.1</v>
      </c>
      <c r="W1372" s="2">
        <f t="shared" si="240"/>
        <v>1</v>
      </c>
      <c r="X1372">
        <v>15.8</v>
      </c>
      <c r="Z1372" s="2">
        <f t="shared" si="241"/>
        <v>0</v>
      </c>
      <c r="AA1372">
        <v>29.3</v>
      </c>
      <c r="AB1372" s="2" t="str">
        <f>CHOOSE(MATCH(AA1372,{0;11;80;111;161;191;241;281;341},1),"North","NorthEast","East","SouthEast","South","SouthWest","West","NorthWest","North")</f>
        <v>NorthEast</v>
      </c>
      <c r="AC1372" s="5">
        <f>CHOOSE(MATCH(AB1372,{"South";"SouthEast";"SouthWest";"North";"NorthEast";"East";"West";"NorthWest"},0),1,2,3,4,5,6,7,8)</f>
        <v>5</v>
      </c>
      <c r="AD1372" s="2">
        <f t="shared" si="242"/>
        <v>1</v>
      </c>
      <c r="AE1372">
        <v>1014.9</v>
      </c>
      <c r="AF1372" s="4" t="s">
        <v>2149</v>
      </c>
      <c r="AG1372" s="2">
        <f t="shared" si="243"/>
        <v>0</v>
      </c>
      <c r="AH1372" t="s">
        <v>2150</v>
      </c>
      <c r="AI1372" s="2">
        <f t="shared" si="244"/>
        <v>5</v>
      </c>
      <c r="AJ1372" s="2">
        <f t="shared" si="245"/>
        <v>0</v>
      </c>
      <c r="AK1372" s="3">
        <v>74.000000000232831</v>
      </c>
      <c r="AM1372" s="2">
        <v>0</v>
      </c>
      <c r="AN1372">
        <v>0</v>
      </c>
      <c r="AO1372">
        <v>0.5</v>
      </c>
      <c r="AP1372">
        <v>0</v>
      </c>
      <c r="AQ1372" s="2">
        <f>IF((2*G1372 + M1372 -P1372 + 3*W1372 + 2*Z1372+2*AD1372 + AG1372+2*AJ1372 + 4*AM1372) &gt;=8,1,0)</f>
        <v>0</v>
      </c>
    </row>
    <row r="1373" spans="1:43" x14ac:dyDescent="0.25">
      <c r="A1373" t="s">
        <v>27</v>
      </c>
      <c r="B1373" s="1">
        <v>42499</v>
      </c>
      <c r="C1373" s="7">
        <f t="shared" si="237"/>
        <v>2016</v>
      </c>
      <c r="D1373">
        <v>73.900000000000006</v>
      </c>
      <c r="E1373">
        <v>51.1</v>
      </c>
      <c r="F1373">
        <v>63.5</v>
      </c>
      <c r="G1373" s="2">
        <f t="shared" si="246"/>
        <v>0</v>
      </c>
      <c r="H1373">
        <v>73.900000000000006</v>
      </c>
      <c r="I1373">
        <v>51.1</v>
      </c>
      <c r="J1373">
        <v>63.5</v>
      </c>
      <c r="K1373">
        <v>47.8</v>
      </c>
      <c r="L1373">
        <v>59.1</v>
      </c>
      <c r="M1373" s="2">
        <f t="shared" si="238"/>
        <v>0</v>
      </c>
      <c r="N1373">
        <v>0</v>
      </c>
      <c r="P1373" s="2">
        <f t="shared" si="239"/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18.3</v>
      </c>
      <c r="W1373" s="2">
        <f t="shared" si="240"/>
        <v>1</v>
      </c>
      <c r="X1373">
        <v>10.6</v>
      </c>
      <c r="Z1373" s="2">
        <f t="shared" si="241"/>
        <v>0</v>
      </c>
      <c r="AA1373">
        <v>65.5</v>
      </c>
      <c r="AB1373" s="2" t="str">
        <f>CHOOSE(MATCH(AA1373,{0;11;80;111;161;191;241;281;341},1),"North","NorthEast","East","SouthEast","South","SouthWest","West","NorthWest","North")</f>
        <v>NorthEast</v>
      </c>
      <c r="AC1373" s="5">
        <f>CHOOSE(MATCH(AB1373,{"South";"SouthEast";"SouthWest";"North";"NorthEast";"East";"West";"NorthWest"},0),1,2,3,4,5,6,7,8)</f>
        <v>5</v>
      </c>
      <c r="AD1373" s="2">
        <f t="shared" si="242"/>
        <v>1</v>
      </c>
      <c r="AE1373">
        <v>1017.6</v>
      </c>
      <c r="AF1373" s="4" t="s">
        <v>2151</v>
      </c>
      <c r="AG1373" s="2">
        <f t="shared" si="243"/>
        <v>0</v>
      </c>
      <c r="AH1373" t="s">
        <v>2152</v>
      </c>
      <c r="AI1373" s="2">
        <f t="shared" si="244"/>
        <v>5</v>
      </c>
      <c r="AJ1373" s="2">
        <f t="shared" si="245"/>
        <v>0</v>
      </c>
      <c r="AK1373" s="3">
        <v>94.000000002561137</v>
      </c>
      <c r="AM1373" s="2">
        <v>0</v>
      </c>
      <c r="AN1373">
        <v>0</v>
      </c>
      <c r="AO1373">
        <v>0.5</v>
      </c>
      <c r="AP1373">
        <v>0</v>
      </c>
      <c r="AQ1373" s="2">
        <f>IF((2*G1373 + M1373 -P1373 + 3*W1373 + 2*Z1373+2*AD1373 + AG1373+2*AJ1373 + 4*AM1373) &gt;=8,1,0)</f>
        <v>0</v>
      </c>
    </row>
    <row r="1374" spans="1:43" x14ac:dyDescent="0.25">
      <c r="A1374" t="s">
        <v>27</v>
      </c>
      <c r="B1374" s="1">
        <v>42503</v>
      </c>
      <c r="C1374" s="7">
        <f t="shared" si="237"/>
        <v>2016</v>
      </c>
      <c r="D1374">
        <v>86.6</v>
      </c>
      <c r="E1374">
        <v>65.3</v>
      </c>
      <c r="F1374">
        <v>75.3</v>
      </c>
      <c r="G1374" s="2">
        <f t="shared" si="246"/>
        <v>1</v>
      </c>
      <c r="H1374">
        <v>84</v>
      </c>
      <c r="I1374">
        <v>65.3</v>
      </c>
      <c r="J1374">
        <v>74.599999999999994</v>
      </c>
      <c r="K1374">
        <v>52.8</v>
      </c>
      <c r="L1374">
        <v>48.8</v>
      </c>
      <c r="M1374" s="2">
        <f t="shared" si="238"/>
        <v>1</v>
      </c>
      <c r="N1374">
        <v>2E-3</v>
      </c>
      <c r="P1374" s="2">
        <f t="shared" si="239"/>
        <v>1</v>
      </c>
      <c r="Q1374">
        <v>100</v>
      </c>
      <c r="R1374">
        <v>4.17</v>
      </c>
      <c r="S1374" t="s">
        <v>87</v>
      </c>
      <c r="T1374">
        <v>0</v>
      </c>
      <c r="U1374">
        <v>0</v>
      </c>
      <c r="V1374">
        <v>29.5</v>
      </c>
      <c r="W1374" s="2">
        <f t="shared" si="240"/>
        <v>1</v>
      </c>
      <c r="X1374">
        <v>17.7</v>
      </c>
      <c r="Z1374" s="2">
        <f t="shared" si="241"/>
        <v>1</v>
      </c>
      <c r="AA1374">
        <v>246.6</v>
      </c>
      <c r="AB1374" s="2" t="str">
        <f>CHOOSE(MATCH(AA1374,{0;11;80;111;161;191;241;281;341},1),"North","NorthEast","East","SouthEast","South","SouthWest","West","NorthWest","North")</f>
        <v>West</v>
      </c>
      <c r="AC1374" s="5">
        <f>CHOOSE(MATCH(AB1374,{"South";"SouthEast";"SouthWest";"North";"NorthEast";"East";"West";"NorthWest"},0),1,2,3,4,5,6,7,8)</f>
        <v>7</v>
      </c>
      <c r="AD1374" s="2">
        <f t="shared" si="242"/>
        <v>0</v>
      </c>
      <c r="AE1374">
        <v>1004.7</v>
      </c>
      <c r="AF1374" s="4" t="s">
        <v>2153</v>
      </c>
      <c r="AG1374" s="2">
        <f t="shared" si="243"/>
        <v>0</v>
      </c>
      <c r="AH1374" t="s">
        <v>2154</v>
      </c>
      <c r="AI1374" s="2">
        <f t="shared" si="244"/>
        <v>5</v>
      </c>
      <c r="AJ1374" s="2">
        <f t="shared" si="245"/>
        <v>0</v>
      </c>
      <c r="AK1374" s="3">
        <v>586.00000000325963</v>
      </c>
      <c r="AM1374" s="2">
        <v>1</v>
      </c>
      <c r="AN1374">
        <v>0</v>
      </c>
      <c r="AO1374">
        <v>6</v>
      </c>
      <c r="AP1374">
        <v>0</v>
      </c>
      <c r="AQ1374" s="2">
        <f>IF((2*G1374 + M1374 -P1374 + 3*W1374 + 2*Z1374+2*AD1374 + AG1374+2*AJ1374 + 4*AM1374) &gt;=8,1,0)</f>
        <v>1</v>
      </c>
    </row>
    <row r="1375" spans="1:43" x14ac:dyDescent="0.25">
      <c r="A1375" t="s">
        <v>27</v>
      </c>
      <c r="B1375" s="1">
        <v>42505</v>
      </c>
      <c r="C1375" s="7">
        <f t="shared" si="237"/>
        <v>2016</v>
      </c>
      <c r="D1375">
        <v>79.900000000000006</v>
      </c>
      <c r="E1375">
        <v>57.8</v>
      </c>
      <c r="F1375">
        <v>70.099999999999994</v>
      </c>
      <c r="G1375" s="2">
        <f t="shared" si="246"/>
        <v>0</v>
      </c>
      <c r="H1375">
        <v>79.900000000000006</v>
      </c>
      <c r="I1375">
        <v>57.8</v>
      </c>
      <c r="J1375">
        <v>70.099999999999994</v>
      </c>
      <c r="K1375">
        <v>47.1</v>
      </c>
      <c r="L1375">
        <v>48.9</v>
      </c>
      <c r="M1375" s="2">
        <f t="shared" si="238"/>
        <v>1</v>
      </c>
      <c r="N1375">
        <v>0</v>
      </c>
      <c r="P1375" s="2">
        <f t="shared" si="239"/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28</v>
      </c>
      <c r="W1375" s="2">
        <f t="shared" si="240"/>
        <v>1</v>
      </c>
      <c r="X1375">
        <v>13.8</v>
      </c>
      <c r="Z1375" s="2">
        <f t="shared" si="241"/>
        <v>0</v>
      </c>
      <c r="AA1375">
        <v>228.1</v>
      </c>
      <c r="AB1375" s="2" t="str">
        <f>CHOOSE(MATCH(AA1375,{0;11;80;111;161;191;241;281;341},1),"North","NorthEast","East","SouthEast","South","SouthWest","West","NorthWest","North")</f>
        <v>SouthWest</v>
      </c>
      <c r="AC1375" s="5">
        <f>CHOOSE(MATCH(AB1375,{"South";"SouthEast";"SouthWest";"North";"NorthEast";"East";"West";"NorthWest"},0),1,2,3,4,5,6,7,8)</f>
        <v>3</v>
      </c>
      <c r="AD1375" s="2">
        <f t="shared" si="242"/>
        <v>1</v>
      </c>
      <c r="AE1375">
        <v>1011.3</v>
      </c>
      <c r="AF1375" s="4" t="s">
        <v>2155</v>
      </c>
      <c r="AG1375" s="2">
        <f t="shared" si="243"/>
        <v>1</v>
      </c>
      <c r="AH1375" t="s">
        <v>2156</v>
      </c>
      <c r="AI1375" s="2">
        <f t="shared" si="244"/>
        <v>5</v>
      </c>
      <c r="AJ1375" s="2">
        <f t="shared" si="245"/>
        <v>0</v>
      </c>
      <c r="AK1375" s="3">
        <v>403.99999999674043</v>
      </c>
      <c r="AM1375" s="2">
        <v>1</v>
      </c>
      <c r="AN1375">
        <v>0</v>
      </c>
      <c r="AO1375">
        <v>60</v>
      </c>
      <c r="AP1375">
        <v>0</v>
      </c>
      <c r="AQ1375" s="2">
        <f>IF((2*G1375 + M1375 -P1375 + 3*W1375 + 2*Z1375+2*AD1375 + AG1375+2*AJ1375 + 4*AM1375) &gt;=8,1,0)</f>
        <v>1</v>
      </c>
    </row>
    <row r="1376" spans="1:43" x14ac:dyDescent="0.25">
      <c r="A1376" t="s">
        <v>27</v>
      </c>
      <c r="B1376" s="1">
        <v>42506</v>
      </c>
      <c r="C1376" s="7">
        <f t="shared" si="237"/>
        <v>2016</v>
      </c>
      <c r="D1376">
        <v>80.599999999999994</v>
      </c>
      <c r="E1376">
        <v>61.2</v>
      </c>
      <c r="F1376">
        <v>71.400000000000006</v>
      </c>
      <c r="G1376" s="2">
        <f t="shared" si="246"/>
        <v>0</v>
      </c>
      <c r="H1376">
        <v>79.099999999999994</v>
      </c>
      <c r="I1376">
        <v>61.2</v>
      </c>
      <c r="J1376">
        <v>71.3</v>
      </c>
      <c r="K1376">
        <v>45.1</v>
      </c>
      <c r="L1376">
        <v>40.4</v>
      </c>
      <c r="M1376" s="2">
        <f t="shared" si="238"/>
        <v>1</v>
      </c>
      <c r="N1376">
        <v>0</v>
      </c>
      <c r="P1376" s="2">
        <f t="shared" si="239"/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33.6</v>
      </c>
      <c r="W1376" s="2">
        <f t="shared" si="240"/>
        <v>1</v>
      </c>
      <c r="X1376">
        <v>16.899999999999999</v>
      </c>
      <c r="Z1376" s="2">
        <f t="shared" si="241"/>
        <v>1</v>
      </c>
      <c r="AA1376">
        <v>260.2</v>
      </c>
      <c r="AB1376" s="2" t="str">
        <f>CHOOSE(MATCH(AA1376,{0;11;80;111;161;191;241;281;341},1),"North","NorthEast","East","SouthEast","South","SouthWest","West","NorthWest","North")</f>
        <v>West</v>
      </c>
      <c r="AC1376" s="5">
        <f>CHOOSE(MATCH(AB1376,{"South";"SouthEast";"SouthWest";"North";"NorthEast";"East";"West";"NorthWest"},0),1,2,3,4,5,6,7,8)</f>
        <v>7</v>
      </c>
      <c r="AD1376" s="2">
        <f t="shared" si="242"/>
        <v>0</v>
      </c>
      <c r="AE1376">
        <v>1013.4</v>
      </c>
      <c r="AF1376" s="4" t="s">
        <v>1893</v>
      </c>
      <c r="AG1376" s="2">
        <f t="shared" si="243"/>
        <v>1</v>
      </c>
      <c r="AH1376" t="s">
        <v>2157</v>
      </c>
      <c r="AI1376" s="2">
        <f t="shared" si="244"/>
        <v>5</v>
      </c>
      <c r="AJ1376" s="2">
        <f t="shared" si="245"/>
        <v>0</v>
      </c>
      <c r="AK1376" s="3">
        <v>1853.999999997905</v>
      </c>
      <c r="AM1376" s="2">
        <v>1</v>
      </c>
      <c r="AN1376">
        <v>10</v>
      </c>
      <c r="AO1376">
        <v>0</v>
      </c>
      <c r="AP1376">
        <v>0</v>
      </c>
      <c r="AQ1376" s="2">
        <f>IF((2*G1376 + M1376 -P1376 + 3*W1376 + 2*Z1376+2*AD1376 + AG1376+2*AJ1376 + 4*AM1376) &gt;=8,1,0)</f>
        <v>1</v>
      </c>
    </row>
    <row r="1377" spans="1:43" x14ac:dyDescent="0.25">
      <c r="A1377" t="s">
        <v>27</v>
      </c>
      <c r="B1377" s="1">
        <v>42509</v>
      </c>
      <c r="C1377" s="7">
        <f t="shared" si="237"/>
        <v>2016</v>
      </c>
      <c r="D1377">
        <v>74.7</v>
      </c>
      <c r="E1377">
        <v>53</v>
      </c>
      <c r="F1377">
        <v>65</v>
      </c>
      <c r="G1377" s="2">
        <f t="shared" si="246"/>
        <v>0</v>
      </c>
      <c r="H1377">
        <v>74.7</v>
      </c>
      <c r="I1377">
        <v>53</v>
      </c>
      <c r="J1377">
        <v>65</v>
      </c>
      <c r="K1377">
        <v>51.4</v>
      </c>
      <c r="L1377">
        <v>63.4</v>
      </c>
      <c r="M1377" s="2">
        <f t="shared" si="238"/>
        <v>0</v>
      </c>
      <c r="N1377">
        <v>0</v>
      </c>
      <c r="P1377" s="2">
        <f t="shared" si="239"/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26.4</v>
      </c>
      <c r="W1377" s="2">
        <f t="shared" si="240"/>
        <v>1</v>
      </c>
      <c r="X1377">
        <v>15.1</v>
      </c>
      <c r="Z1377" s="2">
        <f t="shared" si="241"/>
        <v>0</v>
      </c>
      <c r="AA1377">
        <v>211.1</v>
      </c>
      <c r="AB1377" s="2" t="str">
        <f>CHOOSE(MATCH(AA1377,{0;11;80;111;161;191;241;281;341},1),"North","NorthEast","East","SouthEast","South","SouthWest","West","NorthWest","North")</f>
        <v>SouthWest</v>
      </c>
      <c r="AC1377" s="5">
        <f>CHOOSE(MATCH(AB1377,{"South";"SouthEast";"SouthWest";"North";"NorthEast";"East";"West";"NorthWest"},0),1,2,3,4,5,6,7,8)</f>
        <v>3</v>
      </c>
      <c r="AD1377" s="2">
        <f t="shared" si="242"/>
        <v>1</v>
      </c>
      <c r="AE1377">
        <v>1016</v>
      </c>
      <c r="AF1377" s="4" t="s">
        <v>1829</v>
      </c>
      <c r="AG1377" s="2">
        <f t="shared" si="243"/>
        <v>0</v>
      </c>
      <c r="AH1377" t="s">
        <v>2158</v>
      </c>
      <c r="AI1377" s="2">
        <f t="shared" si="244"/>
        <v>5</v>
      </c>
      <c r="AJ1377" s="2">
        <f t="shared" si="245"/>
        <v>0</v>
      </c>
      <c r="AK1377" s="3">
        <v>164.99999999301511</v>
      </c>
      <c r="AM1377" s="2">
        <v>0</v>
      </c>
      <c r="AN1377">
        <v>0</v>
      </c>
      <c r="AO1377">
        <v>3</v>
      </c>
      <c r="AP1377">
        <v>0</v>
      </c>
      <c r="AQ1377" s="2">
        <f>IF((2*G1377 + M1377 -P1377 + 3*W1377 + 2*Z1377+2*AD1377 + AG1377+2*AJ1377 + 4*AM1377) &gt;=8,1,0)</f>
        <v>0</v>
      </c>
    </row>
    <row r="1378" spans="1:43" x14ac:dyDescent="0.25">
      <c r="A1378" t="s">
        <v>27</v>
      </c>
      <c r="B1378" s="1">
        <v>42509</v>
      </c>
      <c r="C1378" s="7">
        <f t="shared" si="237"/>
        <v>2016</v>
      </c>
      <c r="D1378">
        <v>74.7</v>
      </c>
      <c r="E1378">
        <v>53</v>
      </c>
      <c r="F1378">
        <v>65</v>
      </c>
      <c r="G1378" s="2">
        <f t="shared" si="246"/>
        <v>0</v>
      </c>
      <c r="H1378">
        <v>74.7</v>
      </c>
      <c r="I1378">
        <v>53</v>
      </c>
      <c r="J1378">
        <v>65</v>
      </c>
      <c r="K1378">
        <v>51.4</v>
      </c>
      <c r="L1378">
        <v>63.4</v>
      </c>
      <c r="M1378" s="2">
        <f t="shared" si="238"/>
        <v>0</v>
      </c>
      <c r="N1378">
        <v>0</v>
      </c>
      <c r="P1378" s="2">
        <f t="shared" si="239"/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26.4</v>
      </c>
      <c r="W1378" s="2">
        <f t="shared" si="240"/>
        <v>1</v>
      </c>
      <c r="X1378">
        <v>15.1</v>
      </c>
      <c r="Z1378" s="2">
        <f t="shared" si="241"/>
        <v>0</v>
      </c>
      <c r="AA1378">
        <v>211.1</v>
      </c>
      <c r="AB1378" s="2" t="str">
        <f>CHOOSE(MATCH(AA1378,{0;11;80;111;161;191;241;281;341},1),"North","NorthEast","East","SouthEast","South","SouthWest","West","NorthWest","North")</f>
        <v>SouthWest</v>
      </c>
      <c r="AC1378" s="5">
        <f>CHOOSE(MATCH(AB1378,{"South";"SouthEast";"SouthWest";"North";"NorthEast";"East";"West";"NorthWest"},0),1,2,3,4,5,6,7,8)</f>
        <v>3</v>
      </c>
      <c r="AD1378" s="2">
        <f t="shared" si="242"/>
        <v>1</v>
      </c>
      <c r="AE1378">
        <v>1016</v>
      </c>
      <c r="AF1378" s="4" t="s">
        <v>2018</v>
      </c>
      <c r="AG1378" s="2">
        <f t="shared" si="243"/>
        <v>1</v>
      </c>
      <c r="AH1378" t="s">
        <v>2159</v>
      </c>
      <c r="AI1378" s="2">
        <f t="shared" si="244"/>
        <v>5</v>
      </c>
      <c r="AJ1378" s="2">
        <f t="shared" si="245"/>
        <v>0</v>
      </c>
      <c r="AK1378" s="3">
        <v>814.00000000256114</v>
      </c>
      <c r="AM1378" s="2">
        <v>1</v>
      </c>
      <c r="AN1378">
        <v>3</v>
      </c>
      <c r="AO1378">
        <v>0</v>
      </c>
      <c r="AP1378">
        <v>0</v>
      </c>
      <c r="AQ1378" s="2">
        <f>IF((2*G1378 + M1378 -P1378 + 3*W1378 + 2*Z1378+2*AD1378 + AG1378+2*AJ1378 + 4*AM1378) &gt;=8,1,0)</f>
        <v>1</v>
      </c>
    </row>
    <row r="1379" spans="1:43" x14ac:dyDescent="0.25">
      <c r="A1379" t="s">
        <v>27</v>
      </c>
      <c r="B1379" s="1">
        <v>42518</v>
      </c>
      <c r="C1379" s="7">
        <f t="shared" si="237"/>
        <v>2016</v>
      </c>
      <c r="D1379">
        <v>80.900000000000006</v>
      </c>
      <c r="E1379">
        <v>60.1</v>
      </c>
      <c r="F1379">
        <v>71.400000000000006</v>
      </c>
      <c r="G1379" s="2">
        <f t="shared" si="246"/>
        <v>0</v>
      </c>
      <c r="H1379">
        <v>80.400000000000006</v>
      </c>
      <c r="I1379">
        <v>60.1</v>
      </c>
      <c r="J1379">
        <v>71.3</v>
      </c>
      <c r="K1379">
        <v>52.6</v>
      </c>
      <c r="L1379">
        <v>53.9</v>
      </c>
      <c r="M1379" s="2">
        <f t="shared" si="238"/>
        <v>0</v>
      </c>
      <c r="N1379">
        <v>0</v>
      </c>
      <c r="P1379" s="2">
        <f t="shared" si="239"/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19.5</v>
      </c>
      <c r="W1379" s="2">
        <f t="shared" si="240"/>
        <v>1</v>
      </c>
      <c r="X1379">
        <v>12.3</v>
      </c>
      <c r="Z1379" s="2">
        <f t="shared" si="241"/>
        <v>0</v>
      </c>
      <c r="AA1379">
        <v>117.3</v>
      </c>
      <c r="AB1379" s="2" t="str">
        <f>CHOOSE(MATCH(AA1379,{0;11;80;111;161;191;241;281;341},1),"North","NorthEast","East","SouthEast","South","SouthWest","West","NorthWest","North")</f>
        <v>SouthEast</v>
      </c>
      <c r="AC1379" s="5">
        <f>CHOOSE(MATCH(AB1379,{"South";"SouthEast";"SouthWest";"North";"NorthEast";"East";"West";"NorthWest"},0),1,2,3,4,5,6,7,8)</f>
        <v>2</v>
      </c>
      <c r="AD1379" s="2">
        <f t="shared" si="242"/>
        <v>0</v>
      </c>
      <c r="AE1379">
        <v>1016</v>
      </c>
      <c r="AF1379" s="4" t="s">
        <v>2160</v>
      </c>
      <c r="AG1379" s="2">
        <f t="shared" si="243"/>
        <v>1</v>
      </c>
      <c r="AH1379" t="s">
        <v>2161</v>
      </c>
      <c r="AI1379" s="2">
        <f t="shared" si="244"/>
        <v>5</v>
      </c>
      <c r="AJ1379" s="2">
        <f t="shared" si="245"/>
        <v>0</v>
      </c>
      <c r="AK1379" s="3">
        <v>88.000000003958121</v>
      </c>
      <c r="AM1379" s="2">
        <v>0</v>
      </c>
      <c r="AN1379">
        <v>0</v>
      </c>
      <c r="AO1379">
        <v>2</v>
      </c>
      <c r="AP1379">
        <v>0</v>
      </c>
      <c r="AQ1379" s="2">
        <f>IF((2*G1379 + M1379 -P1379 + 3*W1379 + 2*Z1379+2*AD1379 + AG1379+2*AJ1379 + 4*AM1379) &gt;=8,1,0)</f>
        <v>0</v>
      </c>
    </row>
    <row r="1380" spans="1:43" x14ac:dyDescent="0.25">
      <c r="A1380" t="s">
        <v>27</v>
      </c>
      <c r="B1380" s="1">
        <v>42518</v>
      </c>
      <c r="C1380" s="7">
        <f t="shared" si="237"/>
        <v>2016</v>
      </c>
      <c r="D1380">
        <v>80.900000000000006</v>
      </c>
      <c r="E1380">
        <v>60.1</v>
      </c>
      <c r="F1380">
        <v>71.400000000000006</v>
      </c>
      <c r="G1380" s="2">
        <f t="shared" si="246"/>
        <v>0</v>
      </c>
      <c r="H1380">
        <v>80.400000000000006</v>
      </c>
      <c r="I1380">
        <v>60.1</v>
      </c>
      <c r="J1380">
        <v>71.3</v>
      </c>
      <c r="K1380">
        <v>52.6</v>
      </c>
      <c r="L1380">
        <v>53.9</v>
      </c>
      <c r="M1380" s="2">
        <f t="shared" si="238"/>
        <v>0</v>
      </c>
      <c r="N1380">
        <v>0</v>
      </c>
      <c r="P1380" s="2">
        <f t="shared" si="239"/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19.5</v>
      </c>
      <c r="W1380" s="2">
        <f t="shared" si="240"/>
        <v>1</v>
      </c>
      <c r="X1380">
        <v>12.3</v>
      </c>
      <c r="Z1380" s="2">
        <f t="shared" si="241"/>
        <v>0</v>
      </c>
      <c r="AA1380">
        <v>117.3</v>
      </c>
      <c r="AB1380" s="2" t="str">
        <f>CHOOSE(MATCH(AA1380,{0;11;80;111;161;191;241;281;341},1),"North","NorthEast","East","SouthEast","South","SouthWest","West","NorthWest","North")</f>
        <v>SouthEast</v>
      </c>
      <c r="AC1380" s="5">
        <f>CHOOSE(MATCH(AB1380,{"South";"SouthEast";"SouthWest";"North";"NorthEast";"East";"West";"NorthWest"},0),1,2,3,4,5,6,7,8)</f>
        <v>2</v>
      </c>
      <c r="AD1380" s="2">
        <f t="shared" si="242"/>
        <v>0</v>
      </c>
      <c r="AE1380">
        <v>1016</v>
      </c>
      <c r="AF1380" s="4" t="s">
        <v>1797</v>
      </c>
      <c r="AG1380" s="2">
        <f t="shared" si="243"/>
        <v>1</v>
      </c>
      <c r="AH1380" t="s">
        <v>2162</v>
      </c>
      <c r="AI1380" s="2">
        <f t="shared" si="244"/>
        <v>5</v>
      </c>
      <c r="AJ1380" s="2">
        <f t="shared" si="245"/>
        <v>0</v>
      </c>
      <c r="AK1380" s="3">
        <v>640.00000000116415</v>
      </c>
      <c r="AM1380" s="2">
        <v>1</v>
      </c>
      <c r="AN1380">
        <v>0</v>
      </c>
      <c r="AO1380">
        <v>0.5</v>
      </c>
      <c r="AP1380">
        <v>0</v>
      </c>
      <c r="AQ1380" s="2">
        <f>IF((2*G1380 + M1380 -P1380 + 3*W1380 + 2*Z1380+2*AD1380 + AG1380+2*AJ1380 + 4*AM1380) &gt;=8,1,0)</f>
        <v>0</v>
      </c>
    </row>
    <row r="1381" spans="1:43" x14ac:dyDescent="0.25">
      <c r="A1381" t="s">
        <v>27</v>
      </c>
      <c r="B1381" s="1">
        <v>42521</v>
      </c>
      <c r="C1381" s="7">
        <f t="shared" si="237"/>
        <v>2016</v>
      </c>
      <c r="D1381">
        <v>90.2</v>
      </c>
      <c r="E1381">
        <v>61.5</v>
      </c>
      <c r="F1381">
        <v>77</v>
      </c>
      <c r="G1381" s="2">
        <f t="shared" si="246"/>
        <v>1</v>
      </c>
      <c r="H1381">
        <v>86.9</v>
      </c>
      <c r="I1381">
        <v>61.5</v>
      </c>
      <c r="J1381">
        <v>76</v>
      </c>
      <c r="K1381">
        <v>52.8</v>
      </c>
      <c r="L1381">
        <v>47.7</v>
      </c>
      <c r="M1381" s="2">
        <f t="shared" si="238"/>
        <v>1</v>
      </c>
      <c r="N1381">
        <v>0</v>
      </c>
      <c r="P1381" s="2">
        <f t="shared" si="239"/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27.5</v>
      </c>
      <c r="W1381" s="2">
        <f t="shared" si="240"/>
        <v>1</v>
      </c>
      <c r="X1381">
        <v>12.9</v>
      </c>
      <c r="Z1381" s="2">
        <f t="shared" si="241"/>
        <v>0</v>
      </c>
      <c r="AA1381">
        <v>170.8</v>
      </c>
      <c r="AB1381" s="2" t="str">
        <f>CHOOSE(MATCH(AA1381,{0;11;80;111;161;191;241;281;341},1),"North","NorthEast","East","SouthEast","South","SouthWest","West","NorthWest","North")</f>
        <v>South</v>
      </c>
      <c r="AC1381" s="5">
        <f>CHOOSE(MATCH(AB1381,{"South";"SouthEast";"SouthWest";"North";"NorthEast";"East";"West";"NorthWest"},0),1,2,3,4,5,6,7,8)</f>
        <v>1</v>
      </c>
      <c r="AD1381" s="2">
        <f t="shared" si="242"/>
        <v>0</v>
      </c>
      <c r="AE1381">
        <v>1011.6</v>
      </c>
      <c r="AF1381" s="4" t="s">
        <v>2163</v>
      </c>
      <c r="AG1381" s="2">
        <f t="shared" si="243"/>
        <v>1</v>
      </c>
      <c r="AH1381" t="s">
        <v>2164</v>
      </c>
      <c r="AI1381" s="2">
        <f t="shared" si="244"/>
        <v>5</v>
      </c>
      <c r="AJ1381" s="2">
        <f t="shared" si="245"/>
        <v>0</v>
      </c>
      <c r="AK1381" s="3">
        <v>164.0000000002328</v>
      </c>
      <c r="AM1381" s="2">
        <v>0</v>
      </c>
      <c r="AN1381">
        <v>0</v>
      </c>
      <c r="AO1381">
        <v>0.2</v>
      </c>
      <c r="AP1381">
        <v>0</v>
      </c>
      <c r="AQ1381" s="2">
        <f>IF((2*G1381 + M1381 -P1381 + 3*W1381 + 2*Z1381+2*AD1381 + AG1381+2*AJ1381 + 4*AM1381) &gt;=8,1,0)</f>
        <v>0</v>
      </c>
    </row>
    <row r="1382" spans="1:43" x14ac:dyDescent="0.25">
      <c r="A1382" t="s">
        <v>27</v>
      </c>
      <c r="B1382" s="1">
        <v>42523</v>
      </c>
      <c r="C1382" s="7">
        <f t="shared" si="237"/>
        <v>2016</v>
      </c>
      <c r="D1382">
        <v>88.5</v>
      </c>
      <c r="E1382">
        <v>64.400000000000006</v>
      </c>
      <c r="F1382">
        <v>77.8</v>
      </c>
      <c r="G1382" s="2">
        <f t="shared" si="246"/>
        <v>1</v>
      </c>
      <c r="H1382">
        <v>85.9</v>
      </c>
      <c r="I1382">
        <v>64.400000000000006</v>
      </c>
      <c r="J1382">
        <v>76.8</v>
      </c>
      <c r="K1382">
        <v>51.7</v>
      </c>
      <c r="L1382">
        <v>42.1</v>
      </c>
      <c r="M1382" s="2">
        <f t="shared" si="238"/>
        <v>1</v>
      </c>
      <c r="N1382">
        <v>0</v>
      </c>
      <c r="P1382" s="2">
        <f t="shared" si="239"/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25.7</v>
      </c>
      <c r="W1382" s="2">
        <f t="shared" si="240"/>
        <v>1</v>
      </c>
      <c r="X1382">
        <v>11.4</v>
      </c>
      <c r="Z1382" s="2">
        <f t="shared" si="241"/>
        <v>0</v>
      </c>
      <c r="AA1382">
        <v>160.6</v>
      </c>
      <c r="AB1382" s="2" t="str">
        <f>CHOOSE(MATCH(AA1382,{0;11;80;111;161;191;241;281;341},1),"North","NorthEast","East","SouthEast","South","SouthWest","West","NorthWest","North")</f>
        <v>SouthEast</v>
      </c>
      <c r="AC1382" s="5">
        <f>CHOOSE(MATCH(AB1382,{"South";"SouthEast";"SouthWest";"North";"NorthEast";"East";"West";"NorthWest"},0),1,2,3,4,5,6,7,8)</f>
        <v>2</v>
      </c>
      <c r="AD1382" s="2">
        <f t="shared" si="242"/>
        <v>0</v>
      </c>
      <c r="AE1382">
        <v>1010.7</v>
      </c>
      <c r="AF1382" s="4" t="s">
        <v>2126</v>
      </c>
      <c r="AG1382" s="2">
        <f t="shared" si="243"/>
        <v>0</v>
      </c>
      <c r="AH1382" t="s">
        <v>2165</v>
      </c>
      <c r="AI1382" s="2">
        <f t="shared" si="244"/>
        <v>6</v>
      </c>
      <c r="AJ1382" s="2">
        <f t="shared" si="245"/>
        <v>1</v>
      </c>
      <c r="AK1382" s="3">
        <v>360</v>
      </c>
      <c r="AM1382" s="2">
        <v>0</v>
      </c>
      <c r="AN1382">
        <v>0</v>
      </c>
      <c r="AO1382">
        <v>5</v>
      </c>
      <c r="AP1382">
        <v>0</v>
      </c>
      <c r="AQ1382" s="2">
        <f>IF((2*G1382 + M1382 -P1382 + 3*W1382 + 2*Z1382+2*AD1382 + AG1382+2*AJ1382 + 4*AM1382) &gt;=8,1,0)</f>
        <v>0</v>
      </c>
    </row>
    <row r="1383" spans="1:43" x14ac:dyDescent="0.25">
      <c r="A1383" t="s">
        <v>27</v>
      </c>
      <c r="B1383" s="1">
        <v>42525</v>
      </c>
      <c r="C1383" s="7">
        <f t="shared" si="237"/>
        <v>2016</v>
      </c>
      <c r="D1383">
        <v>84.2</v>
      </c>
      <c r="E1383">
        <v>62.8</v>
      </c>
      <c r="F1383">
        <v>74.400000000000006</v>
      </c>
      <c r="G1383" s="2">
        <f t="shared" si="246"/>
        <v>1</v>
      </c>
      <c r="H1383">
        <v>82.7</v>
      </c>
      <c r="I1383">
        <v>62.8</v>
      </c>
      <c r="J1383">
        <v>74</v>
      </c>
      <c r="K1383">
        <v>54.1</v>
      </c>
      <c r="L1383">
        <v>51.5</v>
      </c>
      <c r="M1383" s="2">
        <f t="shared" si="238"/>
        <v>0</v>
      </c>
      <c r="N1383">
        <v>0</v>
      </c>
      <c r="P1383" s="2">
        <f t="shared" si="239"/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21.5</v>
      </c>
      <c r="W1383" s="2">
        <f t="shared" si="240"/>
        <v>1</v>
      </c>
      <c r="X1383">
        <v>11.8</v>
      </c>
      <c r="Z1383" s="2">
        <f t="shared" si="241"/>
        <v>0</v>
      </c>
      <c r="AA1383">
        <v>116.8</v>
      </c>
      <c r="AB1383" s="2" t="str">
        <f>CHOOSE(MATCH(AA1383,{0;11;80;111;161;191;241;281;341},1),"North","NorthEast","East","SouthEast","South","SouthWest","West","NorthWest","North")</f>
        <v>SouthEast</v>
      </c>
      <c r="AC1383" s="5">
        <f>CHOOSE(MATCH(AB1383,{"South";"SouthEast";"SouthWest";"North";"NorthEast";"East";"West";"NorthWest"},0),1,2,3,4,5,6,7,8)</f>
        <v>2</v>
      </c>
      <c r="AD1383" s="2">
        <f t="shared" si="242"/>
        <v>0</v>
      </c>
      <c r="AE1383">
        <v>1008.8</v>
      </c>
      <c r="AF1383" s="4" t="s">
        <v>1042</v>
      </c>
      <c r="AG1383" s="2">
        <f t="shared" si="243"/>
        <v>1</v>
      </c>
      <c r="AH1383" t="s">
        <v>2166</v>
      </c>
      <c r="AI1383" s="2">
        <f t="shared" si="244"/>
        <v>6</v>
      </c>
      <c r="AJ1383" s="2">
        <f t="shared" si="245"/>
        <v>1</v>
      </c>
      <c r="AK1383" s="3">
        <v>765</v>
      </c>
      <c r="AM1383" s="2">
        <v>1</v>
      </c>
      <c r="AN1383">
        <v>0</v>
      </c>
      <c r="AO1383">
        <v>0.5</v>
      </c>
      <c r="AP1383">
        <v>0</v>
      </c>
      <c r="AQ1383" s="2">
        <f>IF((2*G1383 + M1383 -P1383 + 3*W1383 + 2*Z1383+2*AD1383 + AG1383+2*AJ1383 + 4*AM1383) &gt;=8,1,0)</f>
        <v>1</v>
      </c>
    </row>
    <row r="1384" spans="1:43" x14ac:dyDescent="0.25">
      <c r="A1384" t="s">
        <v>27</v>
      </c>
      <c r="B1384" s="1">
        <v>42526</v>
      </c>
      <c r="C1384" s="7">
        <f t="shared" si="237"/>
        <v>2016</v>
      </c>
      <c r="D1384">
        <v>84.8</v>
      </c>
      <c r="E1384">
        <v>61.8</v>
      </c>
      <c r="F1384">
        <v>75.3</v>
      </c>
      <c r="G1384" s="2">
        <f t="shared" si="246"/>
        <v>1</v>
      </c>
      <c r="H1384">
        <v>83</v>
      </c>
      <c r="I1384">
        <v>61.8</v>
      </c>
      <c r="J1384">
        <v>74.8</v>
      </c>
      <c r="K1384">
        <v>54.5</v>
      </c>
      <c r="L1384">
        <v>50.9</v>
      </c>
      <c r="M1384" s="2">
        <f t="shared" si="238"/>
        <v>0</v>
      </c>
      <c r="N1384">
        <v>0</v>
      </c>
      <c r="P1384" s="2">
        <f t="shared" si="239"/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25.3</v>
      </c>
      <c r="W1384" s="2">
        <f t="shared" si="240"/>
        <v>1</v>
      </c>
      <c r="X1384">
        <v>12.3</v>
      </c>
      <c r="Z1384" s="2">
        <f t="shared" si="241"/>
        <v>0</v>
      </c>
      <c r="AA1384">
        <v>130.6</v>
      </c>
      <c r="AB1384" s="2" t="str">
        <f>CHOOSE(MATCH(AA1384,{0;11;80;111;161;191;241;281;341},1),"North","NorthEast","East","SouthEast","South","SouthWest","West","NorthWest","North")</f>
        <v>SouthEast</v>
      </c>
      <c r="AC1384" s="5">
        <f>CHOOSE(MATCH(AB1384,{"South";"SouthEast";"SouthWest";"North";"NorthEast";"East";"West";"NorthWest"},0),1,2,3,4,5,6,7,8)</f>
        <v>2</v>
      </c>
      <c r="AD1384" s="2">
        <f t="shared" si="242"/>
        <v>0</v>
      </c>
      <c r="AE1384">
        <v>1012.4</v>
      </c>
      <c r="AF1384" s="4" t="s">
        <v>1074</v>
      </c>
      <c r="AG1384" s="2">
        <f t="shared" si="243"/>
        <v>1</v>
      </c>
      <c r="AH1384" t="s">
        <v>2167</v>
      </c>
      <c r="AI1384" s="2">
        <f t="shared" si="244"/>
        <v>6</v>
      </c>
      <c r="AJ1384" s="2">
        <f t="shared" si="245"/>
        <v>1</v>
      </c>
      <c r="AK1384" s="3">
        <v>139.99999999534339</v>
      </c>
      <c r="AM1384" s="2">
        <v>0</v>
      </c>
      <c r="AN1384">
        <v>0</v>
      </c>
      <c r="AO1384">
        <v>3.5</v>
      </c>
      <c r="AP1384">
        <v>0</v>
      </c>
      <c r="AQ1384" s="2">
        <f>IF((2*G1384 + M1384 -P1384 + 3*W1384 + 2*Z1384+2*AD1384 + AG1384+2*AJ1384 + 4*AM1384) &gt;=8,1,0)</f>
        <v>0</v>
      </c>
    </row>
    <row r="1385" spans="1:43" x14ac:dyDescent="0.25">
      <c r="A1385" t="s">
        <v>27</v>
      </c>
      <c r="B1385" s="1">
        <v>42534</v>
      </c>
      <c r="C1385" s="7">
        <f t="shared" si="237"/>
        <v>2016</v>
      </c>
      <c r="D1385">
        <v>80</v>
      </c>
      <c r="E1385">
        <v>65.599999999999994</v>
      </c>
      <c r="F1385">
        <v>73.599999999999994</v>
      </c>
      <c r="G1385" s="2">
        <f t="shared" si="246"/>
        <v>0</v>
      </c>
      <c r="H1385">
        <v>80</v>
      </c>
      <c r="I1385">
        <v>65.599999999999994</v>
      </c>
      <c r="J1385">
        <v>73.599999999999994</v>
      </c>
      <c r="K1385">
        <v>59.7</v>
      </c>
      <c r="L1385">
        <v>62.6</v>
      </c>
      <c r="M1385" s="2">
        <f t="shared" si="238"/>
        <v>0</v>
      </c>
      <c r="N1385">
        <v>0</v>
      </c>
      <c r="P1385" s="2">
        <f t="shared" si="239"/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34.200000000000003</v>
      </c>
      <c r="W1385" s="2">
        <f t="shared" si="240"/>
        <v>1</v>
      </c>
      <c r="X1385">
        <v>15.2</v>
      </c>
      <c r="Z1385" s="2">
        <f t="shared" si="241"/>
        <v>0</v>
      </c>
      <c r="AA1385">
        <v>191.9</v>
      </c>
      <c r="AB1385" s="2" t="str">
        <f>CHOOSE(MATCH(AA1385,{0;11;80;111;161;191;241;281;341},1),"North","NorthEast","East","SouthEast","South","SouthWest","West","NorthWest","North")</f>
        <v>SouthWest</v>
      </c>
      <c r="AC1385" s="5">
        <f>CHOOSE(MATCH(AB1385,{"South";"SouthEast";"SouthWest";"North";"NorthEast";"East";"West";"NorthWest"},0),1,2,3,4,5,6,7,8)</f>
        <v>3</v>
      </c>
      <c r="AD1385" s="2">
        <f t="shared" si="242"/>
        <v>1</v>
      </c>
      <c r="AE1385">
        <v>1005.6</v>
      </c>
      <c r="AF1385" s="4" t="s">
        <v>2168</v>
      </c>
      <c r="AG1385" s="2">
        <f t="shared" si="243"/>
        <v>1</v>
      </c>
      <c r="AH1385" t="s">
        <v>2169</v>
      </c>
      <c r="AI1385" s="2">
        <f t="shared" si="244"/>
        <v>6</v>
      </c>
      <c r="AJ1385" s="2">
        <f t="shared" si="245"/>
        <v>1</v>
      </c>
      <c r="AK1385" s="3">
        <v>37.999999998137348</v>
      </c>
      <c r="AM1385" s="2">
        <v>0</v>
      </c>
      <c r="AN1385">
        <v>0</v>
      </c>
      <c r="AO1385">
        <v>0.02</v>
      </c>
      <c r="AP1385">
        <v>0</v>
      </c>
      <c r="AQ1385" s="2">
        <f>IF((2*G1385 + M1385 -P1385 + 3*W1385 + 2*Z1385+2*AD1385 + AG1385+2*AJ1385 + 4*AM1385) &gt;=8,1,0)</f>
        <v>0</v>
      </c>
    </row>
    <row r="1386" spans="1:43" x14ac:dyDescent="0.25">
      <c r="A1386" t="s">
        <v>27</v>
      </c>
      <c r="B1386" s="1">
        <v>42534</v>
      </c>
      <c r="C1386" s="7">
        <f t="shared" si="237"/>
        <v>2016</v>
      </c>
      <c r="D1386">
        <v>80</v>
      </c>
      <c r="E1386">
        <v>65.599999999999994</v>
      </c>
      <c r="F1386">
        <v>73.599999999999994</v>
      </c>
      <c r="G1386" s="2">
        <f t="shared" si="246"/>
        <v>0</v>
      </c>
      <c r="H1386">
        <v>80</v>
      </c>
      <c r="I1386">
        <v>65.599999999999994</v>
      </c>
      <c r="J1386">
        <v>73.599999999999994</v>
      </c>
      <c r="K1386">
        <v>59.7</v>
      </c>
      <c r="L1386">
        <v>62.6</v>
      </c>
      <c r="M1386" s="2">
        <f t="shared" si="238"/>
        <v>0</v>
      </c>
      <c r="N1386">
        <v>0</v>
      </c>
      <c r="P1386" s="2">
        <f t="shared" si="239"/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34.200000000000003</v>
      </c>
      <c r="W1386" s="2">
        <f t="shared" si="240"/>
        <v>1</v>
      </c>
      <c r="X1386">
        <v>15.2</v>
      </c>
      <c r="Z1386" s="2">
        <f t="shared" si="241"/>
        <v>0</v>
      </c>
      <c r="AA1386">
        <v>191.9</v>
      </c>
      <c r="AB1386" s="2" t="str">
        <f>CHOOSE(MATCH(AA1386,{0;11;80;111;161;191;241;281;341},1),"North","NorthEast","East","SouthEast","South","SouthWest","West","NorthWest","North")</f>
        <v>SouthWest</v>
      </c>
      <c r="AC1386" s="5">
        <f>CHOOSE(MATCH(AB1386,{"South";"SouthEast";"SouthWest";"North";"NorthEast";"East";"West";"NorthWest"},0),1,2,3,4,5,6,7,8)</f>
        <v>3</v>
      </c>
      <c r="AD1386" s="2">
        <f t="shared" si="242"/>
        <v>1</v>
      </c>
      <c r="AE1386">
        <v>1005.6</v>
      </c>
      <c r="AF1386" s="4" t="s">
        <v>1097</v>
      </c>
      <c r="AG1386" s="2">
        <f t="shared" si="243"/>
        <v>0</v>
      </c>
      <c r="AH1386" t="s">
        <v>2170</v>
      </c>
      <c r="AI1386" s="2">
        <f t="shared" si="244"/>
        <v>6</v>
      </c>
      <c r="AJ1386" s="2">
        <f t="shared" si="245"/>
        <v>1</v>
      </c>
      <c r="AK1386" s="3">
        <v>4816.9999999960419</v>
      </c>
      <c r="AM1386" s="2">
        <v>1</v>
      </c>
      <c r="AN1386">
        <v>3050</v>
      </c>
      <c r="AO1386">
        <v>0</v>
      </c>
      <c r="AP1386">
        <v>0</v>
      </c>
      <c r="AQ1386" s="2">
        <f>IF((2*G1386 + M1386 -P1386 + 3*W1386 + 2*Z1386+2*AD1386 + AG1386+2*AJ1386 + 4*AM1386) &gt;=8,1,0)</f>
        <v>1</v>
      </c>
    </row>
    <row r="1387" spans="1:43" x14ac:dyDescent="0.25">
      <c r="A1387" t="s">
        <v>27</v>
      </c>
      <c r="B1387" s="1">
        <v>42535</v>
      </c>
      <c r="C1387" s="7">
        <f t="shared" si="237"/>
        <v>2016</v>
      </c>
      <c r="D1387">
        <v>84.9</v>
      </c>
      <c r="E1387">
        <v>66.2</v>
      </c>
      <c r="F1387">
        <v>75.400000000000006</v>
      </c>
      <c r="G1387" s="2">
        <f t="shared" si="246"/>
        <v>1</v>
      </c>
      <c r="H1387">
        <v>82.8</v>
      </c>
      <c r="I1387">
        <v>66.2</v>
      </c>
      <c r="J1387">
        <v>75.2</v>
      </c>
      <c r="K1387">
        <v>58.4</v>
      </c>
      <c r="L1387">
        <v>59.2</v>
      </c>
      <c r="M1387" s="2">
        <f t="shared" si="238"/>
        <v>0</v>
      </c>
      <c r="N1387">
        <v>7.8E-2</v>
      </c>
      <c r="P1387" s="2">
        <f t="shared" si="239"/>
        <v>0</v>
      </c>
      <c r="Q1387">
        <v>100</v>
      </c>
      <c r="R1387">
        <v>8.33</v>
      </c>
      <c r="S1387" t="s">
        <v>87</v>
      </c>
      <c r="T1387">
        <v>0</v>
      </c>
      <c r="U1387">
        <v>0</v>
      </c>
      <c r="V1387">
        <v>30.2</v>
      </c>
      <c r="W1387" s="2">
        <f t="shared" si="240"/>
        <v>1</v>
      </c>
      <c r="X1387">
        <v>15</v>
      </c>
      <c r="Z1387" s="2">
        <f t="shared" si="241"/>
        <v>0</v>
      </c>
      <c r="AA1387">
        <v>266.2</v>
      </c>
      <c r="AB1387" s="2" t="str">
        <f>CHOOSE(MATCH(AA1387,{0;11;80;111;161;191;241;281;341},1),"North","NorthEast","East","SouthEast","South","SouthWest","West","NorthWest","North")</f>
        <v>West</v>
      </c>
      <c r="AC1387" s="5">
        <f>CHOOSE(MATCH(AB1387,{"South";"SouthEast";"SouthWest";"North";"NorthEast";"East";"West";"NorthWest"},0),1,2,3,4,5,6,7,8)</f>
        <v>7</v>
      </c>
      <c r="AD1387" s="2">
        <f t="shared" si="242"/>
        <v>0</v>
      </c>
      <c r="AE1387">
        <v>1002</v>
      </c>
      <c r="AF1387" s="4" t="s">
        <v>2171</v>
      </c>
      <c r="AG1387" s="2">
        <f t="shared" si="243"/>
        <v>1</v>
      </c>
      <c r="AH1387" t="s">
        <v>2172</v>
      </c>
      <c r="AI1387" s="2">
        <f t="shared" si="244"/>
        <v>6</v>
      </c>
      <c r="AJ1387" s="2">
        <f t="shared" si="245"/>
        <v>1</v>
      </c>
      <c r="AK1387" s="3">
        <v>178.9999999967404</v>
      </c>
      <c r="AM1387" s="2">
        <v>0</v>
      </c>
      <c r="AN1387">
        <v>0.2</v>
      </c>
      <c r="AO1387">
        <v>0</v>
      </c>
      <c r="AP1387">
        <v>0</v>
      </c>
      <c r="AQ1387" s="2">
        <f>IF((2*G1387 + M1387 -P1387 + 3*W1387 + 2*Z1387+2*AD1387 + AG1387+2*AJ1387 + 4*AM1387) &gt;=8,1,0)</f>
        <v>1</v>
      </c>
    </row>
    <row r="1388" spans="1:43" x14ac:dyDescent="0.25">
      <c r="A1388" t="s">
        <v>27</v>
      </c>
      <c r="B1388" s="1">
        <v>42535</v>
      </c>
      <c r="C1388" s="7">
        <f t="shared" ref="C1388:C1445" si="247">YEAR(B1388)</f>
        <v>2016</v>
      </c>
      <c r="D1388">
        <v>84.9</v>
      </c>
      <c r="E1388">
        <v>66.2</v>
      </c>
      <c r="F1388">
        <v>75.400000000000006</v>
      </c>
      <c r="G1388" s="2">
        <f t="shared" si="246"/>
        <v>1</v>
      </c>
      <c r="H1388">
        <v>82.8</v>
      </c>
      <c r="I1388">
        <v>66.2</v>
      </c>
      <c r="J1388">
        <v>75.2</v>
      </c>
      <c r="K1388">
        <v>58.4</v>
      </c>
      <c r="L1388">
        <v>59.2</v>
      </c>
      <c r="M1388" s="2">
        <f t="shared" ref="M1388:M1445" si="248">IF(L1388&lt;=49.3,1,0)</f>
        <v>0</v>
      </c>
      <c r="N1388">
        <v>7.8E-2</v>
      </c>
      <c r="P1388" s="2">
        <f t="shared" ref="P1388:P1445" si="249">IF(N1388&lt;=0.01,1,0)</f>
        <v>0</v>
      </c>
      <c r="Q1388">
        <v>100</v>
      </c>
      <c r="R1388">
        <v>8.33</v>
      </c>
      <c r="S1388" t="s">
        <v>87</v>
      </c>
      <c r="T1388">
        <v>0</v>
      </c>
      <c r="U1388">
        <v>0</v>
      </c>
      <c r="V1388">
        <v>30.2</v>
      </c>
      <c r="W1388" s="2">
        <f t="shared" ref="W1388:W1445" si="250">IF(V1388&lt;=10,0,1)</f>
        <v>1</v>
      </c>
      <c r="X1388">
        <v>15</v>
      </c>
      <c r="Z1388" s="2">
        <f t="shared" ref="Z1388:Z1445" si="251">IF(X1388&gt;=16,1,0)</f>
        <v>0</v>
      </c>
      <c r="AA1388">
        <v>266.2</v>
      </c>
      <c r="AB1388" s="2" t="str">
        <f>CHOOSE(MATCH(AA1388,{0;11;80;111;161;191;241;281;341},1),"North","NorthEast","East","SouthEast","South","SouthWest","West","NorthWest","North")</f>
        <v>West</v>
      </c>
      <c r="AC1388" s="5">
        <f>CHOOSE(MATCH(AB1388,{"South";"SouthEast";"SouthWest";"North";"NorthEast";"East";"West";"NorthWest"},0),1,2,3,4,5,6,7,8)</f>
        <v>7</v>
      </c>
      <c r="AD1388" s="2">
        <f t="shared" ref="AD1388:AD1445" si="252">IF(OR(AC1388=3,AC1388=4,AC1388=5,AC1388=8),1,0)</f>
        <v>0</v>
      </c>
      <c r="AE1388">
        <v>1002</v>
      </c>
      <c r="AF1388" s="4" t="s">
        <v>2173</v>
      </c>
      <c r="AG1388" s="2">
        <f t="shared" ref="AG1388:AG1445" si="253">IF(TIMEVALUE(AF1388)&lt;=TIME(12,30,0),0,1)</f>
        <v>1</v>
      </c>
      <c r="AH1388" t="s">
        <v>2174</v>
      </c>
      <c r="AI1388" s="2">
        <f t="shared" ref="AI1388:AI1445" si="254">MONTH(AH1388)</f>
        <v>6</v>
      </c>
      <c r="AJ1388" s="2">
        <f t="shared" ref="AJ1388:AJ1445" si="255">IF(OR(AI1388=6,AI1388=7,AI1388=8),1,0)</f>
        <v>1</v>
      </c>
      <c r="AK1388" s="3">
        <v>9030.9999999962747</v>
      </c>
      <c r="AM1388" s="2">
        <v>1</v>
      </c>
      <c r="AN1388">
        <v>340</v>
      </c>
      <c r="AO1388">
        <v>0</v>
      </c>
      <c r="AP1388">
        <v>0</v>
      </c>
      <c r="AQ1388" s="2">
        <f>IF((2*G1388 + M1388 -P1388 + 3*W1388 + 2*Z1388+2*AD1388 + AG1388+2*AJ1388 + 4*AM1388) &gt;=8,1,0)</f>
        <v>1</v>
      </c>
    </row>
    <row r="1389" spans="1:43" x14ac:dyDescent="0.25">
      <c r="A1389" t="s">
        <v>27</v>
      </c>
      <c r="B1389" s="1">
        <v>42535</v>
      </c>
      <c r="C1389" s="7">
        <f t="shared" si="247"/>
        <v>2016</v>
      </c>
      <c r="D1389">
        <v>84.9</v>
      </c>
      <c r="E1389">
        <v>66.2</v>
      </c>
      <c r="F1389">
        <v>75.400000000000006</v>
      </c>
      <c r="G1389" s="2">
        <f t="shared" si="246"/>
        <v>1</v>
      </c>
      <c r="H1389">
        <v>82.8</v>
      </c>
      <c r="I1389">
        <v>66.2</v>
      </c>
      <c r="J1389">
        <v>75.2</v>
      </c>
      <c r="K1389">
        <v>58.4</v>
      </c>
      <c r="L1389">
        <v>59.2</v>
      </c>
      <c r="M1389" s="2">
        <f t="shared" si="248"/>
        <v>0</v>
      </c>
      <c r="N1389">
        <v>7.8E-2</v>
      </c>
      <c r="P1389" s="2">
        <f t="shared" si="249"/>
        <v>0</v>
      </c>
      <c r="Q1389">
        <v>100</v>
      </c>
      <c r="R1389">
        <v>8.33</v>
      </c>
      <c r="S1389" t="s">
        <v>87</v>
      </c>
      <c r="T1389">
        <v>0</v>
      </c>
      <c r="U1389">
        <v>0</v>
      </c>
      <c r="V1389">
        <v>30.2</v>
      </c>
      <c r="W1389" s="2">
        <f t="shared" si="250"/>
        <v>1</v>
      </c>
      <c r="X1389">
        <v>15</v>
      </c>
      <c r="Z1389" s="2">
        <f t="shared" si="251"/>
        <v>0</v>
      </c>
      <c r="AA1389">
        <v>266.2</v>
      </c>
      <c r="AB1389" s="2" t="str">
        <f>CHOOSE(MATCH(AA1389,{0;11;80;111;161;191;241;281;341},1),"North","NorthEast","East","SouthEast","South","SouthWest","West","NorthWest","North")</f>
        <v>West</v>
      </c>
      <c r="AC1389" s="5">
        <f>CHOOSE(MATCH(AB1389,{"South";"SouthEast";"SouthWest";"North";"NorthEast";"East";"West";"NorthWest"},0),1,2,3,4,5,6,7,8)</f>
        <v>7</v>
      </c>
      <c r="AD1389" s="2">
        <f t="shared" si="252"/>
        <v>0</v>
      </c>
      <c r="AE1389">
        <v>1002</v>
      </c>
      <c r="AF1389" s="4" t="s">
        <v>2171</v>
      </c>
      <c r="AG1389" s="2">
        <f t="shared" si="253"/>
        <v>1</v>
      </c>
      <c r="AH1389" t="s">
        <v>2172</v>
      </c>
      <c r="AI1389" s="2">
        <f t="shared" si="254"/>
        <v>6</v>
      </c>
      <c r="AJ1389" s="2">
        <f t="shared" si="255"/>
        <v>1</v>
      </c>
      <c r="AK1389" s="3">
        <v>4479.0000000048894</v>
      </c>
      <c r="AM1389" s="2">
        <v>1</v>
      </c>
      <c r="AN1389">
        <v>0</v>
      </c>
      <c r="AO1389">
        <v>8</v>
      </c>
      <c r="AP1389">
        <v>0</v>
      </c>
      <c r="AQ1389" s="2">
        <f>IF((2*G1389 + M1389 -P1389 + 3*W1389 + 2*Z1389+2*AD1389 + AG1389+2*AJ1389 + 4*AM1389) &gt;=8,1,0)</f>
        <v>1</v>
      </c>
    </row>
    <row r="1390" spans="1:43" x14ac:dyDescent="0.25">
      <c r="A1390" t="s">
        <v>27</v>
      </c>
      <c r="B1390" s="1">
        <v>42535</v>
      </c>
      <c r="C1390" s="7">
        <f t="shared" si="247"/>
        <v>2016</v>
      </c>
      <c r="D1390">
        <v>84.9</v>
      </c>
      <c r="E1390">
        <v>66.2</v>
      </c>
      <c r="F1390">
        <v>75.400000000000006</v>
      </c>
      <c r="G1390" s="2">
        <f t="shared" si="246"/>
        <v>1</v>
      </c>
      <c r="H1390">
        <v>82.8</v>
      </c>
      <c r="I1390">
        <v>66.2</v>
      </c>
      <c r="J1390">
        <v>75.2</v>
      </c>
      <c r="K1390">
        <v>58.4</v>
      </c>
      <c r="L1390">
        <v>59.2</v>
      </c>
      <c r="M1390" s="2">
        <f t="shared" si="248"/>
        <v>0</v>
      </c>
      <c r="N1390">
        <v>7.8E-2</v>
      </c>
      <c r="P1390" s="2">
        <f t="shared" si="249"/>
        <v>0</v>
      </c>
      <c r="Q1390">
        <v>100</v>
      </c>
      <c r="R1390">
        <v>8.33</v>
      </c>
      <c r="S1390" t="s">
        <v>87</v>
      </c>
      <c r="T1390">
        <v>0</v>
      </c>
      <c r="U1390">
        <v>0</v>
      </c>
      <c r="V1390">
        <v>30.2</v>
      </c>
      <c r="W1390" s="2">
        <f t="shared" si="250"/>
        <v>1</v>
      </c>
      <c r="X1390">
        <v>15</v>
      </c>
      <c r="Z1390" s="2">
        <f t="shared" si="251"/>
        <v>0</v>
      </c>
      <c r="AA1390">
        <v>266.2</v>
      </c>
      <c r="AB1390" s="2" t="str">
        <f>CHOOSE(MATCH(AA1390,{0;11;80;111;161;191;241;281;341},1),"North","NorthEast","East","SouthEast","South","SouthWest","West","NorthWest","North")</f>
        <v>West</v>
      </c>
      <c r="AC1390" s="5">
        <f>CHOOSE(MATCH(AB1390,{"South";"SouthEast";"SouthWest";"North";"NorthEast";"East";"West";"NorthWest"},0),1,2,3,4,5,6,7,8)</f>
        <v>7</v>
      </c>
      <c r="AD1390" s="2">
        <f t="shared" si="252"/>
        <v>0</v>
      </c>
      <c r="AE1390">
        <v>1002</v>
      </c>
      <c r="AF1390" s="4" t="s">
        <v>1048</v>
      </c>
      <c r="AG1390" s="2">
        <f t="shared" si="253"/>
        <v>1</v>
      </c>
      <c r="AH1390" t="s">
        <v>2175</v>
      </c>
      <c r="AI1390" s="2">
        <f t="shared" si="254"/>
        <v>6</v>
      </c>
      <c r="AJ1390" s="2">
        <f t="shared" si="255"/>
        <v>1</v>
      </c>
      <c r="AK1390" s="3">
        <v>265.00000000465661</v>
      </c>
      <c r="AM1390" s="2">
        <v>0</v>
      </c>
      <c r="AN1390">
        <v>5.5</v>
      </c>
      <c r="AO1390">
        <v>5.5</v>
      </c>
      <c r="AP1390">
        <v>0</v>
      </c>
      <c r="AQ1390" s="2">
        <f>IF((2*G1390 + M1390 -P1390 + 3*W1390 + 2*Z1390+2*AD1390 + AG1390+2*AJ1390 + 4*AM1390) &gt;=8,1,0)</f>
        <v>1</v>
      </c>
    </row>
    <row r="1391" spans="1:43" x14ac:dyDescent="0.25">
      <c r="A1391" t="s">
        <v>27</v>
      </c>
      <c r="B1391" s="1">
        <v>42535</v>
      </c>
      <c r="C1391" s="7">
        <f t="shared" si="247"/>
        <v>2016</v>
      </c>
      <c r="D1391">
        <v>84.9</v>
      </c>
      <c r="E1391">
        <v>66.2</v>
      </c>
      <c r="F1391">
        <v>75.400000000000006</v>
      </c>
      <c r="G1391" s="2">
        <f t="shared" si="246"/>
        <v>1</v>
      </c>
      <c r="H1391">
        <v>82.8</v>
      </c>
      <c r="I1391">
        <v>66.2</v>
      </c>
      <c r="J1391">
        <v>75.2</v>
      </c>
      <c r="K1391">
        <v>58.4</v>
      </c>
      <c r="L1391">
        <v>59.2</v>
      </c>
      <c r="M1391" s="2">
        <f t="shared" si="248"/>
        <v>0</v>
      </c>
      <c r="N1391">
        <v>7.8E-2</v>
      </c>
      <c r="P1391" s="2">
        <f t="shared" si="249"/>
        <v>0</v>
      </c>
      <c r="Q1391">
        <v>100</v>
      </c>
      <c r="R1391">
        <v>8.33</v>
      </c>
      <c r="S1391" t="s">
        <v>87</v>
      </c>
      <c r="T1391">
        <v>0</v>
      </c>
      <c r="U1391">
        <v>0</v>
      </c>
      <c r="V1391">
        <v>30.2</v>
      </c>
      <c r="W1391" s="2">
        <f t="shared" si="250"/>
        <v>1</v>
      </c>
      <c r="X1391">
        <v>15</v>
      </c>
      <c r="Z1391" s="2">
        <f t="shared" si="251"/>
        <v>0</v>
      </c>
      <c r="AA1391">
        <v>266.2</v>
      </c>
      <c r="AB1391" s="2" t="str">
        <f>CHOOSE(MATCH(AA1391,{0;11;80;111;161;191;241;281;341},1),"North","NorthEast","East","SouthEast","South","SouthWest","West","NorthWest","North")</f>
        <v>West</v>
      </c>
      <c r="AC1391" s="5">
        <f>CHOOSE(MATCH(AB1391,{"South";"SouthEast";"SouthWest";"North";"NorthEast";"East";"West";"NorthWest"},0),1,2,3,4,5,6,7,8)</f>
        <v>7</v>
      </c>
      <c r="AD1391" s="2">
        <f t="shared" si="252"/>
        <v>0</v>
      </c>
      <c r="AE1391">
        <v>1002</v>
      </c>
      <c r="AF1391" s="4" t="s">
        <v>2044</v>
      </c>
      <c r="AG1391" s="2">
        <f t="shared" si="253"/>
        <v>1</v>
      </c>
      <c r="AH1391" t="s">
        <v>2176</v>
      </c>
      <c r="AI1391" s="2">
        <f t="shared" si="254"/>
        <v>6</v>
      </c>
      <c r="AJ1391" s="2">
        <f t="shared" si="255"/>
        <v>1</v>
      </c>
      <c r="AK1391" s="3">
        <v>12054.999999994179</v>
      </c>
      <c r="AM1391" s="2">
        <v>1</v>
      </c>
      <c r="AN1391">
        <v>0</v>
      </c>
      <c r="AO1391">
        <v>300</v>
      </c>
      <c r="AP1391">
        <v>0</v>
      </c>
      <c r="AQ1391" s="2">
        <f>IF((2*G1391 + M1391 -P1391 + 3*W1391 + 2*Z1391+2*AD1391 + AG1391+2*AJ1391 + 4*AM1391) &gt;=8,1,0)</f>
        <v>1</v>
      </c>
    </row>
    <row r="1392" spans="1:43" x14ac:dyDescent="0.25">
      <c r="A1392" t="s">
        <v>27</v>
      </c>
      <c r="B1392" s="1">
        <v>42535</v>
      </c>
      <c r="C1392" s="7">
        <f t="shared" si="247"/>
        <v>2016</v>
      </c>
      <c r="D1392">
        <v>84.9</v>
      </c>
      <c r="E1392">
        <v>66.2</v>
      </c>
      <c r="F1392">
        <v>75.400000000000006</v>
      </c>
      <c r="G1392" s="2">
        <f t="shared" si="246"/>
        <v>1</v>
      </c>
      <c r="H1392">
        <v>82.8</v>
      </c>
      <c r="I1392">
        <v>66.2</v>
      </c>
      <c r="J1392">
        <v>75.2</v>
      </c>
      <c r="K1392">
        <v>58.4</v>
      </c>
      <c r="L1392">
        <v>59.2</v>
      </c>
      <c r="M1392" s="2">
        <f t="shared" si="248"/>
        <v>0</v>
      </c>
      <c r="N1392">
        <v>7.8E-2</v>
      </c>
      <c r="P1392" s="2">
        <f t="shared" si="249"/>
        <v>0</v>
      </c>
      <c r="Q1392">
        <v>100</v>
      </c>
      <c r="R1392">
        <v>8.33</v>
      </c>
      <c r="S1392" t="s">
        <v>87</v>
      </c>
      <c r="T1392">
        <v>0</v>
      </c>
      <c r="U1392">
        <v>0</v>
      </c>
      <c r="V1392">
        <v>30.2</v>
      </c>
      <c r="W1392" s="2">
        <f t="shared" si="250"/>
        <v>1</v>
      </c>
      <c r="X1392">
        <v>15</v>
      </c>
      <c r="Z1392" s="2">
        <f t="shared" si="251"/>
        <v>0</v>
      </c>
      <c r="AA1392">
        <v>266.2</v>
      </c>
      <c r="AB1392" s="2" t="str">
        <f>CHOOSE(MATCH(AA1392,{0;11;80;111;161;191;241;281;341},1),"North","NorthEast","East","SouthEast","South","SouthWest","West","NorthWest","North")</f>
        <v>West</v>
      </c>
      <c r="AC1392" s="5">
        <f>CHOOSE(MATCH(AB1392,{"South";"SouthEast";"SouthWest";"North";"NorthEast";"East";"West";"NorthWest"},0),1,2,3,4,5,6,7,8)</f>
        <v>7</v>
      </c>
      <c r="AD1392" s="2">
        <f t="shared" si="252"/>
        <v>0</v>
      </c>
      <c r="AE1392">
        <v>1002</v>
      </c>
      <c r="AF1392" s="4" t="s">
        <v>1042</v>
      </c>
      <c r="AG1392" s="2">
        <f t="shared" si="253"/>
        <v>1</v>
      </c>
      <c r="AH1392" t="s">
        <v>2177</v>
      </c>
      <c r="AI1392" s="2">
        <f t="shared" si="254"/>
        <v>6</v>
      </c>
      <c r="AJ1392" s="2">
        <f t="shared" si="255"/>
        <v>1</v>
      </c>
      <c r="AK1392" s="3">
        <v>194.99999999650751</v>
      </c>
      <c r="AM1392" s="2">
        <v>0</v>
      </c>
      <c r="AN1392">
        <v>0.01</v>
      </c>
      <c r="AO1392">
        <v>0</v>
      </c>
      <c r="AP1392">
        <v>0</v>
      </c>
      <c r="AQ1392" s="2">
        <f>IF((2*G1392 + M1392 -P1392 + 3*W1392 + 2*Z1392+2*AD1392 + AG1392+2*AJ1392 + 4*AM1392) &gt;=8,1,0)</f>
        <v>1</v>
      </c>
    </row>
    <row r="1393" spans="1:43" x14ac:dyDescent="0.25">
      <c r="A1393" t="s">
        <v>27</v>
      </c>
      <c r="B1393" s="1">
        <v>42536</v>
      </c>
      <c r="C1393" s="7">
        <f t="shared" si="247"/>
        <v>2016</v>
      </c>
      <c r="D1393">
        <v>87.3</v>
      </c>
      <c r="E1393">
        <v>68</v>
      </c>
      <c r="F1393">
        <v>78.2</v>
      </c>
      <c r="G1393" s="2">
        <f t="shared" si="246"/>
        <v>1</v>
      </c>
      <c r="H1393">
        <v>84.8</v>
      </c>
      <c r="I1393">
        <v>68</v>
      </c>
      <c r="J1393">
        <v>77.5</v>
      </c>
      <c r="K1393">
        <v>53.7</v>
      </c>
      <c r="L1393">
        <v>44.4</v>
      </c>
      <c r="M1393" s="2">
        <f t="shared" si="248"/>
        <v>1</v>
      </c>
      <c r="N1393">
        <v>0</v>
      </c>
      <c r="P1393" s="2">
        <f t="shared" si="249"/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32.700000000000003</v>
      </c>
      <c r="W1393" s="2">
        <f t="shared" si="250"/>
        <v>1</v>
      </c>
      <c r="X1393">
        <v>14.2</v>
      </c>
      <c r="Z1393" s="2">
        <f t="shared" si="251"/>
        <v>0</v>
      </c>
      <c r="AA1393">
        <v>259.8</v>
      </c>
      <c r="AB1393" s="2" t="str">
        <f>CHOOSE(MATCH(AA1393,{0;11;80;111;161;191;241;281;341},1),"North","NorthEast","East","SouthEast","South","SouthWest","West","NorthWest","North")</f>
        <v>West</v>
      </c>
      <c r="AC1393" s="5">
        <f>CHOOSE(MATCH(AB1393,{"South";"SouthEast";"SouthWest";"North";"NorthEast";"East";"West";"NorthWest"},0),1,2,3,4,5,6,7,8)</f>
        <v>7</v>
      </c>
      <c r="AD1393" s="2">
        <f t="shared" si="252"/>
        <v>0</v>
      </c>
      <c r="AE1393">
        <v>1007.6</v>
      </c>
      <c r="AF1393" s="4" t="s">
        <v>1971</v>
      </c>
      <c r="AG1393" s="2">
        <f t="shared" si="253"/>
        <v>1</v>
      </c>
      <c r="AH1393" t="s">
        <v>2178</v>
      </c>
      <c r="AI1393" s="2">
        <f t="shared" si="254"/>
        <v>6</v>
      </c>
      <c r="AJ1393" s="2">
        <f t="shared" si="255"/>
        <v>1</v>
      </c>
      <c r="AK1393" s="3">
        <v>456.0000000090804</v>
      </c>
      <c r="AM1393" s="2">
        <v>1</v>
      </c>
      <c r="AN1393">
        <v>1</v>
      </c>
      <c r="AO1393">
        <v>0</v>
      </c>
      <c r="AP1393">
        <v>0</v>
      </c>
      <c r="AQ1393" s="2">
        <f>IF((2*G1393 + M1393 -P1393 + 3*W1393 + 2*Z1393+2*AD1393 + AG1393+2*AJ1393 + 4*AM1393) &gt;=8,1,0)</f>
        <v>1</v>
      </c>
    </row>
    <row r="1394" spans="1:43" x14ac:dyDescent="0.25">
      <c r="A1394" t="s">
        <v>27</v>
      </c>
      <c r="B1394" s="1">
        <v>42542</v>
      </c>
      <c r="C1394" s="7">
        <f t="shared" si="247"/>
        <v>2016</v>
      </c>
      <c r="D1394">
        <v>95.6</v>
      </c>
      <c r="E1394">
        <v>74.400000000000006</v>
      </c>
      <c r="F1394">
        <v>85.1</v>
      </c>
      <c r="G1394" s="2">
        <f t="shared" si="246"/>
        <v>1</v>
      </c>
      <c r="H1394">
        <v>95.5</v>
      </c>
      <c r="I1394">
        <v>74.400000000000006</v>
      </c>
      <c r="J1394">
        <v>84.6</v>
      </c>
      <c r="K1394">
        <v>59.3</v>
      </c>
      <c r="L1394">
        <v>43.7</v>
      </c>
      <c r="M1394" s="2">
        <f t="shared" si="248"/>
        <v>1</v>
      </c>
      <c r="N1394">
        <v>0</v>
      </c>
      <c r="P1394" s="2">
        <f t="shared" si="249"/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30.9</v>
      </c>
      <c r="W1394" s="2">
        <f t="shared" si="250"/>
        <v>1</v>
      </c>
      <c r="X1394">
        <v>20.8</v>
      </c>
      <c r="Z1394" s="2">
        <f t="shared" si="251"/>
        <v>1</v>
      </c>
      <c r="AA1394">
        <v>11.2</v>
      </c>
      <c r="AB1394" s="2" t="str">
        <f>CHOOSE(MATCH(AA1394,{0;11;80;111;161;191;241;281;341},1),"North","NorthEast","East","SouthEast","South","SouthWest","West","NorthWest","North")</f>
        <v>NorthEast</v>
      </c>
      <c r="AC1394" s="5">
        <f>CHOOSE(MATCH(AB1394,{"South";"SouthEast";"SouthWest";"North";"NorthEast";"East";"West";"NorthWest"},0),1,2,3,4,5,6,7,8)</f>
        <v>5</v>
      </c>
      <c r="AD1394" s="2">
        <f t="shared" si="252"/>
        <v>1</v>
      </c>
      <c r="AE1394">
        <v>1013.9</v>
      </c>
      <c r="AF1394" s="4" t="s">
        <v>1992</v>
      </c>
      <c r="AG1394" s="2">
        <f t="shared" si="253"/>
        <v>1</v>
      </c>
      <c r="AH1394" t="s">
        <v>2179</v>
      </c>
      <c r="AI1394" s="2">
        <f t="shared" si="254"/>
        <v>6</v>
      </c>
      <c r="AJ1394" s="2">
        <f t="shared" si="255"/>
        <v>1</v>
      </c>
      <c r="AK1394" s="3">
        <v>272.99999999930151</v>
      </c>
      <c r="AM1394" s="2">
        <v>0</v>
      </c>
      <c r="AN1394">
        <v>0</v>
      </c>
      <c r="AO1394">
        <v>20</v>
      </c>
      <c r="AP1394">
        <v>0</v>
      </c>
      <c r="AQ1394" s="2">
        <f>IF((2*G1394 + M1394 -P1394 + 3*W1394 + 2*Z1394+2*AD1394 + AG1394+2*AJ1394 + 4*AM1394) &gt;=8,1,0)</f>
        <v>1</v>
      </c>
    </row>
    <row r="1395" spans="1:43" x14ac:dyDescent="0.25">
      <c r="A1395" t="s">
        <v>27</v>
      </c>
      <c r="B1395" s="1">
        <v>42545</v>
      </c>
      <c r="C1395" s="7">
        <f t="shared" si="247"/>
        <v>2016</v>
      </c>
      <c r="D1395">
        <v>92.6</v>
      </c>
      <c r="E1395">
        <v>81.2</v>
      </c>
      <c r="F1395">
        <v>86.6</v>
      </c>
      <c r="G1395" s="2">
        <f t="shared" si="246"/>
        <v>1</v>
      </c>
      <c r="H1395">
        <v>93.6</v>
      </c>
      <c r="I1395">
        <v>82.2</v>
      </c>
      <c r="J1395">
        <v>87.3</v>
      </c>
      <c r="K1395">
        <v>62.1</v>
      </c>
      <c r="L1395">
        <v>44.3</v>
      </c>
      <c r="M1395" s="2">
        <f t="shared" si="248"/>
        <v>1</v>
      </c>
      <c r="N1395">
        <v>0</v>
      </c>
      <c r="P1395" s="2">
        <f t="shared" si="249"/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34.9</v>
      </c>
      <c r="W1395" s="2">
        <f t="shared" si="250"/>
        <v>1</v>
      </c>
      <c r="X1395">
        <v>21.6</v>
      </c>
      <c r="Z1395" s="2">
        <f t="shared" si="251"/>
        <v>1</v>
      </c>
      <c r="AA1395">
        <v>13</v>
      </c>
      <c r="AB1395" s="2" t="str">
        <f>CHOOSE(MATCH(AA1395,{0;11;80;111;161;191;241;281;341},1),"North","NorthEast","East","SouthEast","South","SouthWest","West","NorthWest","North")</f>
        <v>NorthEast</v>
      </c>
      <c r="AC1395" s="5">
        <f>CHOOSE(MATCH(AB1395,{"South";"SouthEast";"SouthWest";"North";"NorthEast";"East";"West";"NorthWest"},0),1,2,3,4,5,6,7,8)</f>
        <v>5</v>
      </c>
      <c r="AD1395" s="2">
        <f t="shared" si="252"/>
        <v>1</v>
      </c>
      <c r="AE1395">
        <v>1010.2</v>
      </c>
      <c r="AF1395" s="4" t="s">
        <v>1066</v>
      </c>
      <c r="AG1395" s="2">
        <f t="shared" si="253"/>
        <v>0</v>
      </c>
      <c r="AH1395" t="s">
        <v>2180</v>
      </c>
      <c r="AI1395" s="2">
        <f t="shared" si="254"/>
        <v>6</v>
      </c>
      <c r="AJ1395" s="2">
        <f t="shared" si="255"/>
        <v>1</v>
      </c>
      <c r="AK1395" s="3">
        <v>79.999999998835847</v>
      </c>
      <c r="AM1395" s="2">
        <v>0</v>
      </c>
      <c r="AN1395">
        <v>0</v>
      </c>
      <c r="AO1395">
        <v>1.5</v>
      </c>
      <c r="AP1395">
        <v>0</v>
      </c>
      <c r="AQ1395" s="2">
        <f>IF((2*G1395 + M1395 -P1395 + 3*W1395 + 2*Z1395+2*AD1395 + AG1395+2*AJ1395 + 4*AM1395) &gt;=8,1,0)</f>
        <v>1</v>
      </c>
    </row>
    <row r="1396" spans="1:43" x14ac:dyDescent="0.25">
      <c r="A1396" t="s">
        <v>27</v>
      </c>
      <c r="B1396" s="1">
        <v>42547</v>
      </c>
      <c r="C1396" s="7">
        <f t="shared" si="247"/>
        <v>2016</v>
      </c>
      <c r="D1396">
        <v>86.6</v>
      </c>
      <c r="E1396">
        <v>77</v>
      </c>
      <c r="F1396">
        <v>81</v>
      </c>
      <c r="G1396" s="2">
        <f t="shared" si="246"/>
        <v>1</v>
      </c>
      <c r="H1396">
        <v>87.7</v>
      </c>
      <c r="I1396">
        <v>77</v>
      </c>
      <c r="J1396">
        <v>81.599999999999994</v>
      </c>
      <c r="K1396">
        <v>63.1</v>
      </c>
      <c r="L1396">
        <v>54.9</v>
      </c>
      <c r="M1396" s="2">
        <f t="shared" si="248"/>
        <v>0</v>
      </c>
      <c r="N1396">
        <v>0</v>
      </c>
      <c r="P1396" s="2">
        <f t="shared" si="249"/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28.9</v>
      </c>
      <c r="W1396" s="2">
        <f t="shared" si="250"/>
        <v>1</v>
      </c>
      <c r="X1396">
        <v>18.5</v>
      </c>
      <c r="Z1396" s="2">
        <f t="shared" si="251"/>
        <v>1</v>
      </c>
      <c r="AA1396">
        <v>16.8</v>
      </c>
      <c r="AB1396" s="2" t="str">
        <f>CHOOSE(MATCH(AA1396,{0;11;80;111;161;191;241;281;341},1),"North","NorthEast","East","SouthEast","South","SouthWest","West","NorthWest","North")</f>
        <v>NorthEast</v>
      </c>
      <c r="AC1396" s="5">
        <f>CHOOSE(MATCH(AB1396,{"South";"SouthEast";"SouthWest";"North";"NorthEast";"East";"West";"NorthWest"},0),1,2,3,4,5,6,7,8)</f>
        <v>5</v>
      </c>
      <c r="AD1396" s="2">
        <f t="shared" si="252"/>
        <v>1</v>
      </c>
      <c r="AE1396">
        <v>1008.7</v>
      </c>
      <c r="AF1396" s="4" t="s">
        <v>1851</v>
      </c>
      <c r="AG1396" s="2">
        <f t="shared" si="253"/>
        <v>1</v>
      </c>
      <c r="AH1396" t="s">
        <v>2181</v>
      </c>
      <c r="AI1396" s="2">
        <f t="shared" si="254"/>
        <v>6</v>
      </c>
      <c r="AJ1396" s="2">
        <f t="shared" si="255"/>
        <v>1</v>
      </c>
      <c r="AK1396" s="3">
        <v>1271.000000004424</v>
      </c>
      <c r="AM1396" s="2">
        <v>1</v>
      </c>
      <c r="AN1396">
        <v>0</v>
      </c>
      <c r="AO1396">
        <v>4</v>
      </c>
      <c r="AP1396">
        <v>0</v>
      </c>
      <c r="AQ1396" s="2">
        <f>IF((2*G1396 + M1396 -P1396 + 3*W1396 + 2*Z1396+2*AD1396 + AG1396+2*AJ1396 + 4*AM1396) &gt;=8,1,0)</f>
        <v>1</v>
      </c>
    </row>
    <row r="1397" spans="1:43" x14ac:dyDescent="0.25">
      <c r="A1397" t="s">
        <v>27</v>
      </c>
      <c r="B1397" s="1">
        <v>42549</v>
      </c>
      <c r="C1397" s="7">
        <f t="shared" si="247"/>
        <v>2016</v>
      </c>
      <c r="D1397">
        <v>92</v>
      </c>
      <c r="E1397">
        <v>68.7</v>
      </c>
      <c r="F1397">
        <v>80.599999999999994</v>
      </c>
      <c r="G1397" s="2">
        <f t="shared" si="246"/>
        <v>1</v>
      </c>
      <c r="H1397">
        <v>91.2</v>
      </c>
      <c r="I1397">
        <v>68.7</v>
      </c>
      <c r="J1397">
        <v>80.8</v>
      </c>
      <c r="K1397">
        <v>62.4</v>
      </c>
      <c r="L1397">
        <v>56</v>
      </c>
      <c r="M1397" s="2">
        <f t="shared" si="248"/>
        <v>0</v>
      </c>
      <c r="N1397">
        <v>0.28299999999999997</v>
      </c>
      <c r="P1397" s="2">
        <f t="shared" si="249"/>
        <v>0</v>
      </c>
      <c r="Q1397">
        <v>100</v>
      </c>
      <c r="R1397">
        <v>4.17</v>
      </c>
      <c r="S1397" t="s">
        <v>87</v>
      </c>
      <c r="T1397">
        <v>0</v>
      </c>
      <c r="U1397">
        <v>0</v>
      </c>
      <c r="V1397">
        <v>51.9</v>
      </c>
      <c r="W1397" s="2">
        <f t="shared" si="250"/>
        <v>1</v>
      </c>
      <c r="X1397">
        <v>20.2</v>
      </c>
      <c r="Z1397" s="2">
        <f t="shared" si="251"/>
        <v>1</v>
      </c>
      <c r="AA1397">
        <v>58.8</v>
      </c>
      <c r="AB1397" s="2" t="str">
        <f>CHOOSE(MATCH(AA1397,{0;11;80;111;161;191;241;281;341},1),"North","NorthEast","East","SouthEast","South","SouthWest","West","NorthWest","North")</f>
        <v>NorthEast</v>
      </c>
      <c r="AC1397" s="5">
        <f>CHOOSE(MATCH(AB1397,{"South";"SouthEast";"SouthWest";"North";"NorthEast";"East";"West";"NorthWest"},0),1,2,3,4,5,6,7,8)</f>
        <v>5</v>
      </c>
      <c r="AD1397" s="2">
        <f t="shared" si="252"/>
        <v>1</v>
      </c>
      <c r="AE1397">
        <v>1008.4</v>
      </c>
      <c r="AF1397" s="4" t="s">
        <v>2182</v>
      </c>
      <c r="AG1397" s="2">
        <f t="shared" si="253"/>
        <v>1</v>
      </c>
      <c r="AH1397" t="s">
        <v>2183</v>
      </c>
      <c r="AI1397" s="2">
        <f t="shared" si="254"/>
        <v>6</v>
      </c>
      <c r="AJ1397" s="2">
        <f t="shared" si="255"/>
        <v>1</v>
      </c>
      <c r="AK1397" s="3">
        <v>995.00000000582077</v>
      </c>
      <c r="AM1397" s="2">
        <v>1</v>
      </c>
      <c r="AN1397">
        <v>0</v>
      </c>
      <c r="AO1397">
        <v>1</v>
      </c>
      <c r="AP1397">
        <v>0</v>
      </c>
      <c r="AQ1397" s="2">
        <f>IF((2*G1397 + M1397 -P1397 + 3*W1397 + 2*Z1397+2*AD1397 + AG1397+2*AJ1397 + 4*AM1397) &gt;=8,1,0)</f>
        <v>1</v>
      </c>
    </row>
    <row r="1398" spans="1:43" x14ac:dyDescent="0.25">
      <c r="A1398" t="s">
        <v>27</v>
      </c>
      <c r="B1398" s="1">
        <v>42549</v>
      </c>
      <c r="C1398" s="7">
        <f t="shared" si="247"/>
        <v>2016</v>
      </c>
      <c r="D1398">
        <v>92</v>
      </c>
      <c r="E1398">
        <v>68.7</v>
      </c>
      <c r="F1398">
        <v>80.599999999999994</v>
      </c>
      <c r="G1398" s="2">
        <f t="shared" si="246"/>
        <v>1</v>
      </c>
      <c r="H1398">
        <v>91.2</v>
      </c>
      <c r="I1398">
        <v>68.7</v>
      </c>
      <c r="J1398">
        <v>80.8</v>
      </c>
      <c r="K1398">
        <v>62.4</v>
      </c>
      <c r="L1398">
        <v>56</v>
      </c>
      <c r="M1398" s="2">
        <f t="shared" si="248"/>
        <v>0</v>
      </c>
      <c r="N1398">
        <v>0.28299999999999997</v>
      </c>
      <c r="P1398" s="2">
        <f t="shared" si="249"/>
        <v>0</v>
      </c>
      <c r="Q1398">
        <v>100</v>
      </c>
      <c r="R1398">
        <v>4.17</v>
      </c>
      <c r="S1398" t="s">
        <v>87</v>
      </c>
      <c r="T1398">
        <v>0</v>
      </c>
      <c r="U1398">
        <v>0</v>
      </c>
      <c r="V1398">
        <v>51.9</v>
      </c>
      <c r="W1398" s="2">
        <f t="shared" si="250"/>
        <v>1</v>
      </c>
      <c r="X1398">
        <v>20.2</v>
      </c>
      <c r="Z1398" s="2">
        <f t="shared" si="251"/>
        <v>1</v>
      </c>
      <c r="AA1398">
        <v>58.8</v>
      </c>
      <c r="AB1398" s="2" t="str">
        <f>CHOOSE(MATCH(AA1398,{0;11;80;111;161;191;241;281;341},1),"North","NorthEast","East","SouthEast","South","SouthWest","West","NorthWest","North")</f>
        <v>NorthEast</v>
      </c>
      <c r="AC1398" s="5">
        <f>CHOOSE(MATCH(AB1398,{"South";"SouthEast";"SouthWest";"North";"NorthEast";"East";"West";"NorthWest"},0),1,2,3,4,5,6,7,8)</f>
        <v>5</v>
      </c>
      <c r="AD1398" s="2">
        <f t="shared" si="252"/>
        <v>1</v>
      </c>
      <c r="AE1398">
        <v>1008.4</v>
      </c>
      <c r="AF1398" s="4" t="s">
        <v>1937</v>
      </c>
      <c r="AG1398" s="2">
        <f t="shared" si="253"/>
        <v>1</v>
      </c>
      <c r="AH1398" t="s">
        <v>2184</v>
      </c>
      <c r="AI1398" s="2">
        <f t="shared" si="254"/>
        <v>6</v>
      </c>
      <c r="AJ1398" s="2">
        <f t="shared" si="255"/>
        <v>1</v>
      </c>
      <c r="AK1398" s="3">
        <v>78.999999995576218</v>
      </c>
      <c r="AM1398" s="2">
        <v>0</v>
      </c>
      <c r="AN1398">
        <v>0.5</v>
      </c>
      <c r="AO1398">
        <v>0</v>
      </c>
      <c r="AP1398">
        <v>0</v>
      </c>
      <c r="AQ1398" s="2">
        <f>IF((2*G1398 + M1398 -P1398 + 3*W1398 + 2*Z1398+2*AD1398 + AG1398+2*AJ1398 + 4*AM1398) &gt;=8,1,0)</f>
        <v>1</v>
      </c>
    </row>
    <row r="1399" spans="1:43" x14ac:dyDescent="0.25">
      <c r="A1399" t="s">
        <v>27</v>
      </c>
      <c r="B1399" s="1">
        <v>42549</v>
      </c>
      <c r="C1399" s="7">
        <f t="shared" si="247"/>
        <v>2016</v>
      </c>
      <c r="D1399">
        <v>92</v>
      </c>
      <c r="E1399">
        <v>68.7</v>
      </c>
      <c r="F1399">
        <v>80.599999999999994</v>
      </c>
      <c r="G1399" s="2">
        <f t="shared" si="246"/>
        <v>1</v>
      </c>
      <c r="H1399">
        <v>91.2</v>
      </c>
      <c r="I1399">
        <v>68.7</v>
      </c>
      <c r="J1399">
        <v>80.8</v>
      </c>
      <c r="K1399">
        <v>62.4</v>
      </c>
      <c r="L1399">
        <v>56</v>
      </c>
      <c r="M1399" s="2">
        <f t="shared" si="248"/>
        <v>0</v>
      </c>
      <c r="N1399">
        <v>0.28299999999999997</v>
      </c>
      <c r="P1399" s="2">
        <f t="shared" si="249"/>
        <v>0</v>
      </c>
      <c r="Q1399">
        <v>100</v>
      </c>
      <c r="R1399">
        <v>4.17</v>
      </c>
      <c r="S1399" t="s">
        <v>87</v>
      </c>
      <c r="T1399">
        <v>0</v>
      </c>
      <c r="U1399">
        <v>0</v>
      </c>
      <c r="V1399">
        <v>51.9</v>
      </c>
      <c r="W1399" s="2">
        <f t="shared" si="250"/>
        <v>1</v>
      </c>
      <c r="X1399">
        <v>20.2</v>
      </c>
      <c r="Z1399" s="2">
        <f t="shared" si="251"/>
        <v>1</v>
      </c>
      <c r="AA1399">
        <v>58.8</v>
      </c>
      <c r="AB1399" s="2" t="str">
        <f>CHOOSE(MATCH(AA1399,{0;11;80;111;161;191;241;281;341},1),"North","NorthEast","East","SouthEast","South","SouthWest","West","NorthWest","North")</f>
        <v>NorthEast</v>
      </c>
      <c r="AC1399" s="5">
        <f>CHOOSE(MATCH(AB1399,{"South";"SouthEast";"SouthWest";"North";"NorthEast";"East";"West";"NorthWest"},0),1,2,3,4,5,6,7,8)</f>
        <v>5</v>
      </c>
      <c r="AD1399" s="2">
        <f t="shared" si="252"/>
        <v>1</v>
      </c>
      <c r="AE1399">
        <v>1008.4</v>
      </c>
      <c r="AF1399" s="4" t="s">
        <v>2185</v>
      </c>
      <c r="AG1399" s="2">
        <f t="shared" si="253"/>
        <v>1</v>
      </c>
      <c r="AH1399" t="s">
        <v>2186</v>
      </c>
      <c r="AI1399" s="2">
        <f t="shared" si="254"/>
        <v>6</v>
      </c>
      <c r="AJ1399" s="2">
        <f t="shared" si="255"/>
        <v>1</v>
      </c>
      <c r="AK1399" s="3">
        <v>649.99999999185093</v>
      </c>
      <c r="AM1399" s="2">
        <v>1</v>
      </c>
      <c r="AN1399">
        <v>0</v>
      </c>
      <c r="AO1399">
        <v>0.1</v>
      </c>
      <c r="AP1399">
        <v>0</v>
      </c>
      <c r="AQ1399" s="2">
        <f>IF((2*G1399 + M1399 -P1399 + 3*W1399 + 2*Z1399+2*AD1399 + AG1399+2*AJ1399 + 4*AM1399) &gt;=8,1,0)</f>
        <v>1</v>
      </c>
    </row>
    <row r="1400" spans="1:43" x14ac:dyDescent="0.25">
      <c r="A1400" t="s">
        <v>27</v>
      </c>
      <c r="B1400" s="1">
        <v>42552</v>
      </c>
      <c r="C1400" s="7">
        <f t="shared" si="247"/>
        <v>2016</v>
      </c>
      <c r="D1400">
        <v>91.4</v>
      </c>
      <c r="E1400">
        <v>69.8</v>
      </c>
      <c r="F1400">
        <v>81.8</v>
      </c>
      <c r="G1400" s="2">
        <f t="shared" si="246"/>
        <v>1</v>
      </c>
      <c r="H1400">
        <v>90.2</v>
      </c>
      <c r="I1400">
        <v>69.8</v>
      </c>
      <c r="J1400">
        <v>81.599999999999994</v>
      </c>
      <c r="K1400">
        <v>61.1</v>
      </c>
      <c r="L1400">
        <v>52.3</v>
      </c>
      <c r="M1400" s="2">
        <f t="shared" si="248"/>
        <v>0</v>
      </c>
      <c r="N1400">
        <v>0</v>
      </c>
      <c r="P1400" s="2">
        <f t="shared" si="249"/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25.3</v>
      </c>
      <c r="W1400" s="2">
        <f t="shared" si="250"/>
        <v>1</v>
      </c>
      <c r="X1400">
        <v>13.8</v>
      </c>
      <c r="Z1400" s="2">
        <f t="shared" si="251"/>
        <v>0</v>
      </c>
      <c r="AA1400">
        <v>86.8</v>
      </c>
      <c r="AB1400" s="2" t="str">
        <f>CHOOSE(MATCH(AA1400,{0;11;80;111;161;191;241;281;341},1),"North","NorthEast","East","SouthEast","South","SouthWest","West","NorthWest","North")</f>
        <v>East</v>
      </c>
      <c r="AC1400" s="5">
        <f>CHOOSE(MATCH(AB1400,{"South";"SouthEast";"SouthWest";"North";"NorthEast";"East";"West";"NorthWest"},0),1,2,3,4,5,6,7,8)</f>
        <v>6</v>
      </c>
      <c r="AD1400" s="2">
        <f t="shared" si="252"/>
        <v>0</v>
      </c>
      <c r="AE1400">
        <v>1014.5</v>
      </c>
      <c r="AF1400" s="4" t="s">
        <v>2001</v>
      </c>
      <c r="AG1400" s="2">
        <f t="shared" si="253"/>
        <v>1</v>
      </c>
      <c r="AH1400" t="s">
        <v>2187</v>
      </c>
      <c r="AI1400" s="2">
        <f t="shared" si="254"/>
        <v>7</v>
      </c>
      <c r="AJ1400" s="2">
        <f t="shared" si="255"/>
        <v>1</v>
      </c>
      <c r="AK1400" s="3">
        <v>49.999999995343387</v>
      </c>
      <c r="AM1400" s="2">
        <v>0</v>
      </c>
      <c r="AN1400">
        <v>0</v>
      </c>
      <c r="AO1400">
        <v>0.2</v>
      </c>
      <c r="AP1400">
        <v>0</v>
      </c>
      <c r="AQ1400" s="2">
        <f>IF((2*G1400 + M1400 -P1400 + 3*W1400 + 2*Z1400+2*AD1400 + AG1400+2*AJ1400 + 4*AM1400) &gt;=8,1,0)</f>
        <v>0</v>
      </c>
    </row>
    <row r="1401" spans="1:43" x14ac:dyDescent="0.25">
      <c r="A1401" t="s">
        <v>27</v>
      </c>
      <c r="B1401" s="1">
        <v>42556</v>
      </c>
      <c r="C1401" s="7">
        <f t="shared" si="247"/>
        <v>2016</v>
      </c>
      <c r="D1401">
        <v>90.8</v>
      </c>
      <c r="E1401">
        <v>79.3</v>
      </c>
      <c r="F1401">
        <v>84.1</v>
      </c>
      <c r="G1401" s="2">
        <f t="shared" si="246"/>
        <v>1</v>
      </c>
      <c r="H1401">
        <v>89.9</v>
      </c>
      <c r="I1401">
        <v>79.3</v>
      </c>
      <c r="J1401">
        <v>84.1</v>
      </c>
      <c r="K1401">
        <v>59.9</v>
      </c>
      <c r="L1401">
        <v>44.7</v>
      </c>
      <c r="M1401" s="2">
        <f t="shared" si="248"/>
        <v>1</v>
      </c>
      <c r="N1401">
        <v>0</v>
      </c>
      <c r="P1401" s="2">
        <f t="shared" si="249"/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36.9</v>
      </c>
      <c r="W1401" s="2">
        <f t="shared" si="250"/>
        <v>1</v>
      </c>
      <c r="X1401">
        <v>19.7</v>
      </c>
      <c r="Z1401" s="2">
        <f t="shared" si="251"/>
        <v>1</v>
      </c>
      <c r="AA1401">
        <v>14.5</v>
      </c>
      <c r="AB1401" s="2" t="str">
        <f>CHOOSE(MATCH(AA1401,{0;11;80;111;161;191;241;281;341},1),"North","NorthEast","East","SouthEast","South","SouthWest","West","NorthWest","North")</f>
        <v>NorthEast</v>
      </c>
      <c r="AC1401" s="5">
        <f>CHOOSE(MATCH(AB1401,{"South";"SouthEast";"SouthWest";"North";"NorthEast";"East";"West";"NorthWest"},0),1,2,3,4,5,6,7,8)</f>
        <v>5</v>
      </c>
      <c r="AD1401" s="2">
        <f t="shared" si="252"/>
        <v>1</v>
      </c>
      <c r="AE1401">
        <v>1012.7</v>
      </c>
      <c r="AF1401" s="4" t="s">
        <v>2188</v>
      </c>
      <c r="AG1401" s="2">
        <f t="shared" si="253"/>
        <v>1</v>
      </c>
      <c r="AH1401" t="s">
        <v>2189</v>
      </c>
      <c r="AI1401" s="2">
        <f t="shared" si="254"/>
        <v>7</v>
      </c>
      <c r="AJ1401" s="2">
        <f t="shared" si="255"/>
        <v>1</v>
      </c>
      <c r="AK1401" s="3">
        <v>136.99999999604191</v>
      </c>
      <c r="AM1401" s="2">
        <v>0</v>
      </c>
      <c r="AN1401">
        <v>0</v>
      </c>
      <c r="AO1401">
        <v>20</v>
      </c>
      <c r="AP1401">
        <v>0</v>
      </c>
      <c r="AQ1401" s="2">
        <f>IF((2*G1401 + M1401 -P1401 + 3*W1401 + 2*Z1401+2*AD1401 + AG1401+2*AJ1401 + 4*AM1401) &gt;=8,1,0)</f>
        <v>1</v>
      </c>
    </row>
    <row r="1402" spans="1:43" x14ac:dyDescent="0.25">
      <c r="A1402" t="s">
        <v>27</v>
      </c>
      <c r="B1402" s="1">
        <v>42558</v>
      </c>
      <c r="C1402" s="7">
        <f t="shared" si="247"/>
        <v>2016</v>
      </c>
      <c r="D1402">
        <v>89.6</v>
      </c>
      <c r="E1402">
        <v>70.400000000000006</v>
      </c>
      <c r="F1402">
        <v>81.099999999999994</v>
      </c>
      <c r="G1402" s="2">
        <f t="shared" si="246"/>
        <v>1</v>
      </c>
      <c r="H1402">
        <v>87.7</v>
      </c>
      <c r="I1402">
        <v>70.400000000000006</v>
      </c>
      <c r="J1402">
        <v>80.5</v>
      </c>
      <c r="K1402">
        <v>57.5</v>
      </c>
      <c r="L1402">
        <v>46.2</v>
      </c>
      <c r="M1402" s="2">
        <f t="shared" si="248"/>
        <v>1</v>
      </c>
      <c r="N1402">
        <v>0</v>
      </c>
      <c r="P1402" s="2">
        <f t="shared" si="249"/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28</v>
      </c>
      <c r="W1402" s="2">
        <f t="shared" si="250"/>
        <v>1</v>
      </c>
      <c r="X1402">
        <v>19.7</v>
      </c>
      <c r="Z1402" s="2">
        <f t="shared" si="251"/>
        <v>1</v>
      </c>
      <c r="AA1402">
        <v>9.9</v>
      </c>
      <c r="AB1402" s="2" t="str">
        <f>CHOOSE(MATCH(AA1402,{0;11;80;111;161;191;241;281;341},1),"North","NorthEast","East","SouthEast","South","SouthWest","West","NorthWest","North")</f>
        <v>North</v>
      </c>
      <c r="AC1402" s="5">
        <f>CHOOSE(MATCH(AB1402,{"South";"SouthEast";"SouthWest";"North";"NorthEast";"East";"West";"NorthWest"},0),1,2,3,4,5,6,7,8)</f>
        <v>4</v>
      </c>
      <c r="AD1402" s="2">
        <f t="shared" si="252"/>
        <v>1</v>
      </c>
      <c r="AE1402">
        <v>1011.7</v>
      </c>
      <c r="AF1402" s="4" t="s">
        <v>1812</v>
      </c>
      <c r="AG1402" s="2">
        <f t="shared" si="253"/>
        <v>1</v>
      </c>
      <c r="AH1402" t="s">
        <v>2190</v>
      </c>
      <c r="AI1402" s="2">
        <f t="shared" si="254"/>
        <v>7</v>
      </c>
      <c r="AJ1402" s="2">
        <f t="shared" si="255"/>
        <v>1</v>
      </c>
      <c r="AK1402" s="3">
        <v>470.00000000232831</v>
      </c>
      <c r="AM1402" s="2">
        <v>1</v>
      </c>
      <c r="AN1402">
        <v>0</v>
      </c>
      <c r="AO1402">
        <v>1</v>
      </c>
      <c r="AP1402">
        <v>0</v>
      </c>
      <c r="AQ1402" s="2">
        <f>IF((2*G1402 + M1402 -P1402 + 3*W1402 + 2*Z1402+2*AD1402 + AG1402+2*AJ1402 + 4*AM1402) &gt;=8,1,0)</f>
        <v>1</v>
      </c>
    </row>
    <row r="1403" spans="1:43" x14ac:dyDescent="0.25">
      <c r="A1403" t="s">
        <v>27</v>
      </c>
      <c r="B1403" s="1">
        <v>42559</v>
      </c>
      <c r="C1403" s="7">
        <f t="shared" si="247"/>
        <v>2016</v>
      </c>
      <c r="D1403">
        <v>87.2</v>
      </c>
      <c r="E1403">
        <v>75.7</v>
      </c>
      <c r="F1403">
        <v>81.2</v>
      </c>
      <c r="G1403" s="2">
        <f t="shared" si="246"/>
        <v>1</v>
      </c>
      <c r="H1403">
        <v>84.4</v>
      </c>
      <c r="I1403">
        <v>75.7</v>
      </c>
      <c r="J1403">
        <v>80.3</v>
      </c>
      <c r="K1403">
        <v>52.7</v>
      </c>
      <c r="L1403">
        <v>38.4</v>
      </c>
      <c r="M1403" s="2">
        <f t="shared" si="248"/>
        <v>1</v>
      </c>
      <c r="N1403">
        <v>0</v>
      </c>
      <c r="P1403" s="2">
        <f t="shared" si="249"/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35.799999999999997</v>
      </c>
      <c r="W1403" s="2">
        <f t="shared" si="250"/>
        <v>1</v>
      </c>
      <c r="X1403">
        <v>21.2</v>
      </c>
      <c r="Z1403" s="2">
        <f t="shared" si="251"/>
        <v>1</v>
      </c>
      <c r="AA1403">
        <v>17.399999999999999</v>
      </c>
      <c r="AB1403" s="2" t="str">
        <f>CHOOSE(MATCH(AA1403,{0;11;80;111;161;191;241;281;341},1),"North","NorthEast","East","SouthEast","South","SouthWest","West","NorthWest","North")</f>
        <v>NorthEast</v>
      </c>
      <c r="AC1403" s="5">
        <f>CHOOSE(MATCH(AB1403,{"South";"SouthEast";"SouthWest";"North";"NorthEast";"East";"West";"NorthWest"},0),1,2,3,4,5,6,7,8)</f>
        <v>5</v>
      </c>
      <c r="AD1403" s="2">
        <f t="shared" si="252"/>
        <v>1</v>
      </c>
      <c r="AE1403">
        <v>1015.7</v>
      </c>
      <c r="AF1403" s="4" t="s">
        <v>1808</v>
      </c>
      <c r="AG1403" s="2">
        <f t="shared" si="253"/>
        <v>0</v>
      </c>
      <c r="AH1403" t="s">
        <v>2191</v>
      </c>
      <c r="AI1403" s="2">
        <f t="shared" si="254"/>
        <v>7</v>
      </c>
      <c r="AJ1403" s="2">
        <f t="shared" si="255"/>
        <v>1</v>
      </c>
      <c r="AK1403" s="3">
        <v>1756.9999999960421</v>
      </c>
      <c r="AM1403" s="2">
        <v>1</v>
      </c>
      <c r="AN1403">
        <v>0</v>
      </c>
      <c r="AO1403">
        <v>4</v>
      </c>
      <c r="AP1403">
        <v>0</v>
      </c>
      <c r="AQ1403" s="2">
        <f>IF((2*G1403 + M1403 -P1403 + 3*W1403 + 2*Z1403+2*AD1403 + AG1403+2*AJ1403 + 4*AM1403) &gt;=8,1,0)</f>
        <v>1</v>
      </c>
    </row>
    <row r="1404" spans="1:43" x14ac:dyDescent="0.25">
      <c r="A1404" t="s">
        <v>27</v>
      </c>
      <c r="B1404" s="1">
        <v>42564</v>
      </c>
      <c r="C1404" s="7">
        <f t="shared" si="247"/>
        <v>2016</v>
      </c>
      <c r="D1404">
        <v>90.4</v>
      </c>
      <c r="E1404">
        <v>73.5</v>
      </c>
      <c r="F1404">
        <v>81.900000000000006</v>
      </c>
      <c r="G1404" s="2">
        <f t="shared" si="246"/>
        <v>1</v>
      </c>
      <c r="H1404">
        <v>89.8</v>
      </c>
      <c r="I1404">
        <v>73.5</v>
      </c>
      <c r="J1404">
        <v>81.599999999999994</v>
      </c>
      <c r="K1404">
        <v>57.1</v>
      </c>
      <c r="L1404">
        <v>43.6</v>
      </c>
      <c r="M1404" s="2">
        <f t="shared" si="248"/>
        <v>1</v>
      </c>
      <c r="N1404">
        <v>0</v>
      </c>
      <c r="P1404" s="2">
        <f t="shared" si="249"/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23.9</v>
      </c>
      <c r="W1404" s="2">
        <f t="shared" si="250"/>
        <v>1</v>
      </c>
      <c r="X1404">
        <v>17.399999999999999</v>
      </c>
      <c r="Z1404" s="2">
        <f t="shared" si="251"/>
        <v>1</v>
      </c>
      <c r="AA1404">
        <v>38.6</v>
      </c>
      <c r="AB1404" s="2" t="str">
        <f>CHOOSE(MATCH(AA1404,{0;11;80;111;161;191;241;281;341},1),"North","NorthEast","East","SouthEast","South","SouthWest","West","NorthWest","North")</f>
        <v>NorthEast</v>
      </c>
      <c r="AC1404" s="5">
        <f>CHOOSE(MATCH(AB1404,{"South";"SouthEast";"SouthWest";"North";"NorthEast";"East";"West";"NorthWest"},0),1,2,3,4,5,6,7,8)</f>
        <v>5</v>
      </c>
      <c r="AD1404" s="2">
        <f t="shared" si="252"/>
        <v>1</v>
      </c>
      <c r="AE1404">
        <v>1011.2</v>
      </c>
      <c r="AF1404" s="4" t="s">
        <v>1181</v>
      </c>
      <c r="AG1404" s="2">
        <f t="shared" si="253"/>
        <v>0</v>
      </c>
      <c r="AH1404" t="s">
        <v>2192</v>
      </c>
      <c r="AI1404" s="2">
        <f t="shared" si="254"/>
        <v>7</v>
      </c>
      <c r="AJ1404" s="2">
        <f t="shared" si="255"/>
        <v>1</v>
      </c>
      <c r="AK1404" s="3">
        <v>3444.9999999976721</v>
      </c>
      <c r="AM1404" s="2">
        <v>1</v>
      </c>
      <c r="AN1404">
        <v>0</v>
      </c>
      <c r="AO1404">
        <v>70</v>
      </c>
      <c r="AP1404">
        <v>0</v>
      </c>
      <c r="AQ1404" s="2">
        <f>IF((2*G1404 + M1404 -P1404 + 3*W1404 + 2*Z1404+2*AD1404 + AG1404+2*AJ1404 + 4*AM1404) &gt;=8,1,0)</f>
        <v>1</v>
      </c>
    </row>
    <row r="1405" spans="1:43" x14ac:dyDescent="0.25">
      <c r="A1405" t="s">
        <v>27</v>
      </c>
      <c r="B1405" s="1">
        <v>42573</v>
      </c>
      <c r="C1405" s="7">
        <f t="shared" si="247"/>
        <v>2016</v>
      </c>
      <c r="D1405">
        <v>90.9</v>
      </c>
      <c r="E1405">
        <v>69.8</v>
      </c>
      <c r="F1405">
        <v>81.099999999999994</v>
      </c>
      <c r="G1405" s="2">
        <f t="shared" si="246"/>
        <v>1</v>
      </c>
      <c r="H1405">
        <v>88.2</v>
      </c>
      <c r="I1405">
        <v>69.8</v>
      </c>
      <c r="J1405">
        <v>80</v>
      </c>
      <c r="K1405">
        <v>52.4</v>
      </c>
      <c r="L1405">
        <v>38.200000000000003</v>
      </c>
      <c r="M1405" s="2">
        <f t="shared" si="248"/>
        <v>1</v>
      </c>
      <c r="N1405">
        <v>0</v>
      </c>
      <c r="P1405" s="2">
        <f t="shared" si="249"/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22.4</v>
      </c>
      <c r="W1405" s="2">
        <f t="shared" si="250"/>
        <v>1</v>
      </c>
      <c r="X1405">
        <v>17</v>
      </c>
      <c r="Z1405" s="2">
        <f t="shared" si="251"/>
        <v>1</v>
      </c>
      <c r="AA1405">
        <v>44.6</v>
      </c>
      <c r="AB1405" s="2" t="str">
        <f>CHOOSE(MATCH(AA1405,{0;11;80;111;161;191;241;281;341},1),"North","NorthEast","East","SouthEast","South","SouthWest","West","NorthWest","North")</f>
        <v>NorthEast</v>
      </c>
      <c r="AC1405" s="5">
        <f>CHOOSE(MATCH(AB1405,{"South";"SouthEast";"SouthWest";"North";"NorthEast";"East";"West";"NorthWest"},0),1,2,3,4,5,6,7,8)</f>
        <v>5</v>
      </c>
      <c r="AD1405" s="2">
        <f t="shared" si="252"/>
        <v>1</v>
      </c>
      <c r="AE1405">
        <v>1014.3</v>
      </c>
      <c r="AF1405" s="4" t="s">
        <v>1998</v>
      </c>
      <c r="AG1405" s="2">
        <f t="shared" si="253"/>
        <v>1</v>
      </c>
      <c r="AH1405" t="s">
        <v>2193</v>
      </c>
      <c r="AI1405" s="2">
        <f t="shared" si="254"/>
        <v>7</v>
      </c>
      <c r="AJ1405" s="2">
        <f t="shared" si="255"/>
        <v>1</v>
      </c>
      <c r="AK1405" s="3">
        <v>4810.9999999974389</v>
      </c>
      <c r="AM1405" s="2">
        <v>1</v>
      </c>
      <c r="AN1405">
        <v>100</v>
      </c>
      <c r="AO1405">
        <v>30</v>
      </c>
      <c r="AP1405">
        <v>0</v>
      </c>
      <c r="AQ1405" s="2">
        <f>IF((2*G1405 + M1405 -P1405 + 3*W1405 + 2*Z1405+2*AD1405 + AG1405+2*AJ1405 + 4*AM1405) &gt;=8,1,0)</f>
        <v>1</v>
      </c>
    </row>
    <row r="1406" spans="1:43" x14ac:dyDescent="0.25">
      <c r="A1406" t="s">
        <v>27</v>
      </c>
      <c r="B1406" s="1">
        <v>42574</v>
      </c>
      <c r="C1406" s="7">
        <f t="shared" si="247"/>
        <v>2016</v>
      </c>
      <c r="D1406">
        <v>93.4</v>
      </c>
      <c r="E1406">
        <v>67.400000000000006</v>
      </c>
      <c r="F1406">
        <v>82.1</v>
      </c>
      <c r="G1406" s="2">
        <f t="shared" si="246"/>
        <v>1</v>
      </c>
      <c r="H1406">
        <v>90.3</v>
      </c>
      <c r="I1406">
        <v>67.400000000000006</v>
      </c>
      <c r="J1406">
        <v>80.7</v>
      </c>
      <c r="K1406">
        <v>52.7</v>
      </c>
      <c r="L1406">
        <v>39.1</v>
      </c>
      <c r="M1406" s="2">
        <f t="shared" si="248"/>
        <v>1</v>
      </c>
      <c r="N1406">
        <v>0</v>
      </c>
      <c r="P1406" s="2">
        <f t="shared" si="249"/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31.7</v>
      </c>
      <c r="W1406" s="2">
        <f t="shared" si="250"/>
        <v>1</v>
      </c>
      <c r="X1406">
        <v>15.8</v>
      </c>
      <c r="Z1406" s="2">
        <f t="shared" si="251"/>
        <v>0</v>
      </c>
      <c r="AA1406">
        <v>14.6</v>
      </c>
      <c r="AB1406" s="2" t="str">
        <f>CHOOSE(MATCH(AA1406,{0;11;80;111;161;191;241;281;341},1),"North","NorthEast","East","SouthEast","South","SouthWest","West","NorthWest","North")</f>
        <v>NorthEast</v>
      </c>
      <c r="AC1406" s="5">
        <f>CHOOSE(MATCH(AB1406,{"South";"SouthEast";"SouthWest";"North";"NorthEast";"East";"West";"NorthWest"},0),1,2,3,4,5,6,7,8)</f>
        <v>5</v>
      </c>
      <c r="AD1406" s="2">
        <f t="shared" si="252"/>
        <v>1</v>
      </c>
      <c r="AE1406">
        <v>1013.7</v>
      </c>
      <c r="AF1406" s="4" t="s">
        <v>1038</v>
      </c>
      <c r="AG1406" s="2">
        <f t="shared" si="253"/>
        <v>0</v>
      </c>
      <c r="AH1406" t="s">
        <v>2194</v>
      </c>
      <c r="AI1406" s="2">
        <f t="shared" si="254"/>
        <v>7</v>
      </c>
      <c r="AJ1406" s="2">
        <f t="shared" si="255"/>
        <v>1</v>
      </c>
      <c r="AK1406" s="3">
        <v>1606.0000000067521</v>
      </c>
      <c r="AM1406" s="2">
        <v>1</v>
      </c>
      <c r="AN1406">
        <v>0</v>
      </c>
      <c r="AO1406">
        <v>25</v>
      </c>
      <c r="AP1406">
        <v>0</v>
      </c>
      <c r="AQ1406" s="2">
        <f>IF((2*G1406 + M1406 -P1406 + 3*W1406 + 2*Z1406+2*AD1406 + AG1406+2*AJ1406 + 4*AM1406) &gt;=8,1,0)</f>
        <v>1</v>
      </c>
    </row>
    <row r="1407" spans="1:43" x14ac:dyDescent="0.25">
      <c r="A1407" t="s">
        <v>27</v>
      </c>
      <c r="B1407" s="1">
        <v>42576</v>
      </c>
      <c r="C1407" s="7">
        <f t="shared" si="247"/>
        <v>2016</v>
      </c>
      <c r="D1407">
        <v>91.4</v>
      </c>
      <c r="E1407">
        <v>80.599999999999994</v>
      </c>
      <c r="F1407">
        <v>85.6</v>
      </c>
      <c r="G1407" s="2">
        <f t="shared" ref="G1407:G1470" si="256">IF(F1407&lt;=73.6,0,1)</f>
        <v>1</v>
      </c>
      <c r="H1407">
        <v>88.4</v>
      </c>
      <c r="I1407">
        <v>80.2</v>
      </c>
      <c r="J1407">
        <v>83.7</v>
      </c>
      <c r="K1407">
        <v>51.2</v>
      </c>
      <c r="L1407">
        <v>30.9</v>
      </c>
      <c r="M1407" s="2">
        <f t="shared" si="248"/>
        <v>1</v>
      </c>
      <c r="N1407">
        <v>0</v>
      </c>
      <c r="P1407" s="2">
        <f t="shared" si="249"/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36.9</v>
      </c>
      <c r="W1407" s="2">
        <f t="shared" si="250"/>
        <v>1</v>
      </c>
      <c r="X1407">
        <v>25.3</v>
      </c>
      <c r="Z1407" s="2">
        <f t="shared" si="251"/>
        <v>1</v>
      </c>
      <c r="AA1407">
        <v>13.4</v>
      </c>
      <c r="AB1407" s="2" t="str">
        <f>CHOOSE(MATCH(AA1407,{0;11;80;111;161;191;241;281;341},1),"North","NorthEast","East","SouthEast","South","SouthWest","West","NorthWest","North")</f>
        <v>NorthEast</v>
      </c>
      <c r="AC1407" s="5">
        <f>CHOOSE(MATCH(AB1407,{"South";"SouthEast";"SouthWest";"North";"NorthEast";"East";"West";"NorthWest"},0),1,2,3,4,5,6,7,8)</f>
        <v>5</v>
      </c>
      <c r="AD1407" s="2">
        <f t="shared" si="252"/>
        <v>1</v>
      </c>
      <c r="AE1407">
        <v>1010.5</v>
      </c>
      <c r="AF1407" s="4" t="s">
        <v>1227</v>
      </c>
      <c r="AG1407" s="2">
        <f t="shared" si="253"/>
        <v>1</v>
      </c>
      <c r="AH1407" t="s">
        <v>2195</v>
      </c>
      <c r="AI1407" s="2">
        <f t="shared" si="254"/>
        <v>7</v>
      </c>
      <c r="AJ1407" s="2">
        <f t="shared" si="255"/>
        <v>1</v>
      </c>
      <c r="AK1407" s="3">
        <v>2554.9999999988358</v>
      </c>
      <c r="AM1407" s="2">
        <v>1</v>
      </c>
      <c r="AN1407">
        <v>55</v>
      </c>
      <c r="AO1407">
        <v>55</v>
      </c>
      <c r="AP1407">
        <v>0</v>
      </c>
      <c r="AQ1407" s="2">
        <f>IF((2*G1407 + M1407 -P1407 + 3*W1407 + 2*Z1407+2*AD1407 + AG1407+2*AJ1407 + 4*AM1407) &gt;=8,1,0)</f>
        <v>1</v>
      </c>
    </row>
    <row r="1408" spans="1:43" x14ac:dyDescent="0.25">
      <c r="A1408" t="s">
        <v>27</v>
      </c>
      <c r="B1408" s="1">
        <v>42576</v>
      </c>
      <c r="C1408" s="7">
        <f t="shared" si="247"/>
        <v>2016</v>
      </c>
      <c r="D1408">
        <v>91.4</v>
      </c>
      <c r="E1408">
        <v>80.599999999999994</v>
      </c>
      <c r="F1408">
        <v>85.6</v>
      </c>
      <c r="G1408" s="2">
        <f t="shared" si="256"/>
        <v>1</v>
      </c>
      <c r="H1408">
        <v>88.4</v>
      </c>
      <c r="I1408">
        <v>80.2</v>
      </c>
      <c r="J1408">
        <v>83.7</v>
      </c>
      <c r="K1408">
        <v>51.2</v>
      </c>
      <c r="L1408">
        <v>30.9</v>
      </c>
      <c r="M1408" s="2">
        <f t="shared" si="248"/>
        <v>1</v>
      </c>
      <c r="N1408">
        <v>0</v>
      </c>
      <c r="P1408" s="2">
        <f t="shared" si="249"/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36.9</v>
      </c>
      <c r="W1408" s="2">
        <f t="shared" si="250"/>
        <v>1</v>
      </c>
      <c r="X1408">
        <v>25.3</v>
      </c>
      <c r="Z1408" s="2">
        <f t="shared" si="251"/>
        <v>1</v>
      </c>
      <c r="AA1408">
        <v>13.4</v>
      </c>
      <c r="AB1408" s="2" t="str">
        <f>CHOOSE(MATCH(AA1408,{0;11;80;111;161;191;241;281;341},1),"North","NorthEast","East","SouthEast","South","SouthWest","West","NorthWest","North")</f>
        <v>NorthEast</v>
      </c>
      <c r="AC1408" s="5">
        <f>CHOOSE(MATCH(AB1408,{"South";"SouthEast";"SouthWest";"North";"NorthEast";"East";"West";"NorthWest"},0),1,2,3,4,5,6,7,8)</f>
        <v>5</v>
      </c>
      <c r="AD1408" s="2">
        <f t="shared" si="252"/>
        <v>1</v>
      </c>
      <c r="AE1408">
        <v>1010.5</v>
      </c>
      <c r="AF1408" s="4" t="s">
        <v>1227</v>
      </c>
      <c r="AG1408" s="2">
        <f t="shared" si="253"/>
        <v>1</v>
      </c>
      <c r="AH1408" t="s">
        <v>2195</v>
      </c>
      <c r="AI1408" s="2">
        <f t="shared" si="254"/>
        <v>7</v>
      </c>
      <c r="AJ1408" s="2">
        <f t="shared" si="255"/>
        <v>1</v>
      </c>
      <c r="AK1408" s="3">
        <v>2554.9999999988358</v>
      </c>
      <c r="AM1408" s="2">
        <v>1</v>
      </c>
      <c r="AN1408">
        <v>0</v>
      </c>
      <c r="AO1408">
        <v>55</v>
      </c>
      <c r="AP1408">
        <v>0</v>
      </c>
      <c r="AQ1408" s="2">
        <f>IF((2*G1408 + M1408 -P1408 + 3*W1408 + 2*Z1408+2*AD1408 + AG1408+2*AJ1408 + 4*AM1408) &gt;=8,1,0)</f>
        <v>1</v>
      </c>
    </row>
    <row r="1409" spans="1:43" x14ac:dyDescent="0.25">
      <c r="A1409" t="s">
        <v>27</v>
      </c>
      <c r="B1409" s="1">
        <v>42579</v>
      </c>
      <c r="C1409" s="7">
        <f t="shared" si="247"/>
        <v>2016</v>
      </c>
      <c r="D1409">
        <v>91.4</v>
      </c>
      <c r="E1409">
        <v>75.8</v>
      </c>
      <c r="F1409">
        <v>84</v>
      </c>
      <c r="G1409" s="2">
        <f t="shared" si="256"/>
        <v>1</v>
      </c>
      <c r="H1409">
        <v>88.5</v>
      </c>
      <c r="I1409">
        <v>75.8</v>
      </c>
      <c r="J1409">
        <v>82.6</v>
      </c>
      <c r="K1409">
        <v>51.6</v>
      </c>
      <c r="L1409">
        <v>33.700000000000003</v>
      </c>
      <c r="M1409" s="2">
        <f t="shared" si="248"/>
        <v>1</v>
      </c>
      <c r="N1409">
        <v>0</v>
      </c>
      <c r="P1409" s="2">
        <f t="shared" si="249"/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32.799999999999997</v>
      </c>
      <c r="W1409" s="2">
        <f t="shared" si="250"/>
        <v>1</v>
      </c>
      <c r="X1409">
        <v>19.3</v>
      </c>
      <c r="Z1409" s="2">
        <f t="shared" si="251"/>
        <v>1</v>
      </c>
      <c r="AA1409">
        <v>6.2</v>
      </c>
      <c r="AB1409" s="2" t="str">
        <f>CHOOSE(MATCH(AA1409,{0;11;80;111;161;191;241;281;341},1),"North","NorthEast","East","SouthEast","South","SouthWest","West","NorthWest","North")</f>
        <v>North</v>
      </c>
      <c r="AC1409" s="5">
        <f>CHOOSE(MATCH(AB1409,{"South";"SouthEast";"SouthWest";"North";"NorthEast";"East";"West";"NorthWest"},0),1,2,3,4,5,6,7,8)</f>
        <v>4</v>
      </c>
      <c r="AD1409" s="2">
        <f t="shared" si="252"/>
        <v>1</v>
      </c>
      <c r="AE1409">
        <v>1011.4</v>
      </c>
      <c r="AF1409" s="4" t="s">
        <v>2196</v>
      </c>
      <c r="AG1409" s="2">
        <f t="shared" si="253"/>
        <v>1</v>
      </c>
      <c r="AH1409" t="s">
        <v>2197</v>
      </c>
      <c r="AI1409" s="2">
        <f t="shared" si="254"/>
        <v>7</v>
      </c>
      <c r="AJ1409" s="2">
        <f t="shared" si="255"/>
        <v>1</v>
      </c>
      <c r="AK1409" s="3">
        <v>5433.000000002794</v>
      </c>
      <c r="AM1409" s="2">
        <v>1</v>
      </c>
      <c r="AN1409">
        <v>0</v>
      </c>
      <c r="AO1409">
        <v>570</v>
      </c>
      <c r="AP1409">
        <v>0</v>
      </c>
      <c r="AQ1409" s="2">
        <f>IF((2*G1409 + M1409 -P1409 + 3*W1409 + 2*Z1409+2*AD1409 + AG1409+2*AJ1409 + 4*AM1409) &gt;=8,1,0)</f>
        <v>1</v>
      </c>
    </row>
    <row r="1410" spans="1:43" x14ac:dyDescent="0.25">
      <c r="A1410" t="s">
        <v>27</v>
      </c>
      <c r="B1410" s="1">
        <v>42586</v>
      </c>
      <c r="C1410" s="7">
        <f t="shared" si="247"/>
        <v>2016</v>
      </c>
      <c r="D1410">
        <v>90.2</v>
      </c>
      <c r="E1410">
        <v>80.5</v>
      </c>
      <c r="F1410">
        <v>84.9</v>
      </c>
      <c r="G1410" s="2">
        <f t="shared" si="256"/>
        <v>1</v>
      </c>
      <c r="H1410">
        <v>89.1</v>
      </c>
      <c r="I1410">
        <v>80.900000000000006</v>
      </c>
      <c r="J1410">
        <v>84.4</v>
      </c>
      <c r="K1410">
        <v>58</v>
      </c>
      <c r="L1410">
        <v>40.6</v>
      </c>
      <c r="M1410" s="2">
        <f t="shared" si="248"/>
        <v>1</v>
      </c>
      <c r="N1410">
        <v>0</v>
      </c>
      <c r="P1410" s="2">
        <f t="shared" si="249"/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36.9</v>
      </c>
      <c r="W1410" s="2">
        <f t="shared" si="250"/>
        <v>1</v>
      </c>
      <c r="X1410">
        <v>22.4</v>
      </c>
      <c r="Z1410" s="2">
        <f t="shared" si="251"/>
        <v>1</v>
      </c>
      <c r="AA1410">
        <v>8.1</v>
      </c>
      <c r="AB1410" s="2" t="str">
        <f>CHOOSE(MATCH(AA1410,{0;11;80;111;161;191;241;281;341},1),"North","NorthEast","East","SouthEast","South","SouthWest","West","NorthWest","North")</f>
        <v>North</v>
      </c>
      <c r="AC1410" s="5">
        <f>CHOOSE(MATCH(AB1410,{"South";"SouthEast";"SouthWest";"North";"NorthEast";"East";"West";"NorthWest"},0),1,2,3,4,5,6,7,8)</f>
        <v>4</v>
      </c>
      <c r="AD1410" s="2">
        <f t="shared" si="252"/>
        <v>1</v>
      </c>
      <c r="AE1410">
        <v>1011.2</v>
      </c>
      <c r="AF1410" s="4" t="s">
        <v>2198</v>
      </c>
      <c r="AG1410" s="2">
        <f t="shared" si="253"/>
        <v>1</v>
      </c>
      <c r="AH1410" t="s">
        <v>2199</v>
      </c>
      <c r="AI1410" s="2">
        <f t="shared" si="254"/>
        <v>8</v>
      </c>
      <c r="AJ1410" s="2">
        <f t="shared" si="255"/>
        <v>1</v>
      </c>
      <c r="AK1410" s="3">
        <v>3865.0000000046571</v>
      </c>
      <c r="AM1410" s="2">
        <v>1</v>
      </c>
      <c r="AN1410">
        <v>25</v>
      </c>
      <c r="AO1410">
        <v>0</v>
      </c>
      <c r="AP1410">
        <v>0</v>
      </c>
      <c r="AQ1410" s="2">
        <f>IF((2*G1410 + M1410 -P1410 + 3*W1410 + 2*Z1410+2*AD1410 + AG1410+2*AJ1410 + 4*AM1410) &gt;=8,1,0)</f>
        <v>1</v>
      </c>
    </row>
    <row r="1411" spans="1:43" x14ac:dyDescent="0.25">
      <c r="A1411" t="s">
        <v>27</v>
      </c>
      <c r="B1411" s="1">
        <v>42587</v>
      </c>
      <c r="C1411" s="7">
        <f t="shared" si="247"/>
        <v>2016</v>
      </c>
      <c r="D1411">
        <v>92</v>
      </c>
      <c r="E1411">
        <v>79.7</v>
      </c>
      <c r="F1411">
        <v>85.2</v>
      </c>
      <c r="G1411" s="2">
        <f t="shared" si="256"/>
        <v>1</v>
      </c>
      <c r="H1411">
        <v>90.7</v>
      </c>
      <c r="I1411">
        <v>79.7</v>
      </c>
      <c r="J1411">
        <v>85</v>
      </c>
      <c r="K1411">
        <v>59</v>
      </c>
      <c r="L1411">
        <v>41.6</v>
      </c>
      <c r="M1411" s="2">
        <f t="shared" si="248"/>
        <v>1</v>
      </c>
      <c r="N1411">
        <v>0</v>
      </c>
      <c r="P1411" s="2">
        <f t="shared" si="249"/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34.700000000000003</v>
      </c>
      <c r="W1411" s="2">
        <f t="shared" si="250"/>
        <v>1</v>
      </c>
      <c r="X1411">
        <v>19.7</v>
      </c>
      <c r="Z1411" s="2">
        <f t="shared" si="251"/>
        <v>1</v>
      </c>
      <c r="AA1411">
        <v>8.9</v>
      </c>
      <c r="AB1411" s="2" t="str">
        <f>CHOOSE(MATCH(AA1411,{0;11;80;111;161;191;241;281;341},1),"North","NorthEast","East","SouthEast","South","SouthWest","West","NorthWest","North")</f>
        <v>North</v>
      </c>
      <c r="AC1411" s="5">
        <f>CHOOSE(MATCH(AB1411,{"South";"SouthEast";"SouthWest";"North";"NorthEast";"East";"West";"NorthWest"},0),1,2,3,4,5,6,7,8)</f>
        <v>4</v>
      </c>
      <c r="AD1411" s="2">
        <f t="shared" si="252"/>
        <v>1</v>
      </c>
      <c r="AE1411">
        <v>1010.2</v>
      </c>
      <c r="AF1411" s="4" t="s">
        <v>2200</v>
      </c>
      <c r="AG1411" s="2">
        <f t="shared" si="253"/>
        <v>0</v>
      </c>
      <c r="AH1411" t="s">
        <v>2201</v>
      </c>
      <c r="AI1411" s="2">
        <f t="shared" si="254"/>
        <v>8</v>
      </c>
      <c r="AJ1411" s="2">
        <f t="shared" si="255"/>
        <v>1</v>
      </c>
      <c r="AK1411" s="3">
        <v>455.99999999860302</v>
      </c>
      <c r="AM1411" s="2">
        <v>1</v>
      </c>
      <c r="AN1411">
        <v>0.23</v>
      </c>
      <c r="AO1411">
        <v>0</v>
      </c>
      <c r="AP1411">
        <v>0</v>
      </c>
      <c r="AQ1411" s="2">
        <f>IF((2*G1411 + M1411 -P1411 + 3*W1411 + 2*Z1411+2*AD1411 + AG1411+2*AJ1411 + 4*AM1411) &gt;=8,1,0)</f>
        <v>1</v>
      </c>
    </row>
    <row r="1412" spans="1:43" x14ac:dyDescent="0.25">
      <c r="A1412" t="s">
        <v>27</v>
      </c>
      <c r="B1412" s="1">
        <v>42589</v>
      </c>
      <c r="C1412" s="7">
        <f t="shared" si="247"/>
        <v>2016</v>
      </c>
      <c r="D1412">
        <v>92.6</v>
      </c>
      <c r="E1412">
        <v>76.900000000000006</v>
      </c>
      <c r="F1412">
        <v>84.5</v>
      </c>
      <c r="G1412" s="2">
        <f t="shared" si="256"/>
        <v>1</v>
      </c>
      <c r="H1412">
        <v>90.3</v>
      </c>
      <c r="I1412">
        <v>76.900000000000006</v>
      </c>
      <c r="J1412">
        <v>83.9</v>
      </c>
      <c r="K1412">
        <v>57.4</v>
      </c>
      <c r="L1412">
        <v>40.5</v>
      </c>
      <c r="M1412" s="2">
        <f t="shared" si="248"/>
        <v>1</v>
      </c>
      <c r="N1412">
        <v>0</v>
      </c>
      <c r="P1412" s="2">
        <f t="shared" si="249"/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36.9</v>
      </c>
      <c r="W1412" s="2">
        <f t="shared" si="250"/>
        <v>1</v>
      </c>
      <c r="X1412">
        <v>20.8</v>
      </c>
      <c r="Z1412" s="2">
        <f t="shared" si="251"/>
        <v>1</v>
      </c>
      <c r="AA1412">
        <v>12.9</v>
      </c>
      <c r="AB1412" s="2" t="str">
        <f>CHOOSE(MATCH(AA1412,{0;11;80;111;161;191;241;281;341},1),"North","NorthEast","East","SouthEast","South","SouthWest","West","NorthWest","North")</f>
        <v>NorthEast</v>
      </c>
      <c r="AC1412" s="5">
        <f>CHOOSE(MATCH(AB1412,{"South";"SouthEast";"SouthWest";"North";"NorthEast";"East";"West";"NorthWest"},0),1,2,3,4,5,6,7,8)</f>
        <v>5</v>
      </c>
      <c r="AD1412" s="2">
        <f t="shared" si="252"/>
        <v>1</v>
      </c>
      <c r="AE1412">
        <v>1011.2</v>
      </c>
      <c r="AF1412" s="4" t="s">
        <v>2202</v>
      </c>
      <c r="AG1412" s="2">
        <f t="shared" si="253"/>
        <v>1</v>
      </c>
      <c r="AH1412" t="s">
        <v>2203</v>
      </c>
      <c r="AI1412" s="2">
        <f t="shared" si="254"/>
        <v>8</v>
      </c>
      <c r="AJ1412" s="2">
        <f t="shared" si="255"/>
        <v>1</v>
      </c>
      <c r="AK1412" s="3">
        <v>104.9999999965075</v>
      </c>
      <c r="AM1412" s="2">
        <v>0</v>
      </c>
      <c r="AN1412">
        <v>0.1</v>
      </c>
      <c r="AO1412">
        <v>0</v>
      </c>
      <c r="AP1412">
        <v>0</v>
      </c>
      <c r="AQ1412" s="2">
        <f>IF((2*G1412 + M1412 -P1412 + 3*W1412 + 2*Z1412+2*AD1412 + AG1412+2*AJ1412 + 4*AM1412) &gt;=8,1,0)</f>
        <v>1</v>
      </c>
    </row>
    <row r="1413" spans="1:43" x14ac:dyDescent="0.25">
      <c r="A1413" t="s">
        <v>27</v>
      </c>
      <c r="B1413" s="1">
        <v>42590</v>
      </c>
      <c r="C1413" s="7">
        <f t="shared" si="247"/>
        <v>2016</v>
      </c>
      <c r="D1413">
        <v>91.5</v>
      </c>
      <c r="E1413">
        <v>80</v>
      </c>
      <c r="F1413">
        <v>85.3</v>
      </c>
      <c r="G1413" s="2">
        <f t="shared" si="256"/>
        <v>1</v>
      </c>
      <c r="H1413">
        <v>93.7</v>
      </c>
      <c r="I1413">
        <v>80</v>
      </c>
      <c r="J1413">
        <v>86.3</v>
      </c>
      <c r="K1413">
        <v>62.1</v>
      </c>
      <c r="L1413">
        <v>46</v>
      </c>
      <c r="M1413" s="2">
        <f t="shared" si="248"/>
        <v>1</v>
      </c>
      <c r="N1413">
        <v>0</v>
      </c>
      <c r="P1413" s="2">
        <f t="shared" si="249"/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30</v>
      </c>
      <c r="W1413" s="2">
        <f t="shared" si="250"/>
        <v>1</v>
      </c>
      <c r="X1413">
        <v>17.8</v>
      </c>
      <c r="Z1413" s="2">
        <f t="shared" si="251"/>
        <v>1</v>
      </c>
      <c r="AA1413">
        <v>9.1</v>
      </c>
      <c r="AB1413" s="2" t="str">
        <f>CHOOSE(MATCH(AA1413,{0;11;80;111;161;191;241;281;341},1),"North","NorthEast","East","SouthEast","South","SouthWest","West","NorthWest","North")</f>
        <v>North</v>
      </c>
      <c r="AC1413" s="5">
        <f>CHOOSE(MATCH(AB1413,{"South";"SouthEast";"SouthWest";"North";"NorthEast";"East";"West";"NorthWest"},0),1,2,3,4,5,6,7,8)</f>
        <v>4</v>
      </c>
      <c r="AD1413" s="2">
        <f t="shared" si="252"/>
        <v>1</v>
      </c>
      <c r="AE1413">
        <v>1010.8</v>
      </c>
      <c r="AF1413" s="4" t="s">
        <v>2204</v>
      </c>
      <c r="AG1413" s="2">
        <f t="shared" si="253"/>
        <v>0</v>
      </c>
      <c r="AH1413" t="s">
        <v>2205</v>
      </c>
      <c r="AI1413" s="2">
        <f t="shared" si="254"/>
        <v>8</v>
      </c>
      <c r="AJ1413" s="2">
        <f t="shared" si="255"/>
        <v>1</v>
      </c>
      <c r="AK1413" s="3">
        <v>2395.0000000011642</v>
      </c>
      <c r="AM1413" s="2">
        <v>1</v>
      </c>
      <c r="AN1413">
        <v>6</v>
      </c>
      <c r="AO1413">
        <v>0</v>
      </c>
      <c r="AP1413">
        <v>0</v>
      </c>
      <c r="AQ1413" s="2">
        <f>IF((2*G1413 + M1413 -P1413 + 3*W1413 + 2*Z1413+2*AD1413 + AG1413+2*AJ1413 + 4*AM1413) &gt;=8,1,0)</f>
        <v>1</v>
      </c>
    </row>
    <row r="1414" spans="1:43" x14ac:dyDescent="0.25">
      <c r="A1414" t="s">
        <v>27</v>
      </c>
      <c r="B1414" s="1">
        <v>42594</v>
      </c>
      <c r="C1414" s="7">
        <f t="shared" si="247"/>
        <v>2016</v>
      </c>
      <c r="D1414">
        <v>91.9</v>
      </c>
      <c r="E1414">
        <v>76.3</v>
      </c>
      <c r="F1414">
        <v>83.7</v>
      </c>
      <c r="G1414" s="2">
        <f t="shared" si="256"/>
        <v>1</v>
      </c>
      <c r="H1414">
        <v>91.7</v>
      </c>
      <c r="I1414">
        <v>76.3</v>
      </c>
      <c r="J1414">
        <v>84.1</v>
      </c>
      <c r="K1414">
        <v>61.4</v>
      </c>
      <c r="L1414">
        <v>48</v>
      </c>
      <c r="M1414" s="2">
        <f t="shared" si="248"/>
        <v>1</v>
      </c>
      <c r="N1414">
        <v>0</v>
      </c>
      <c r="P1414" s="2">
        <f t="shared" si="249"/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29.8</v>
      </c>
      <c r="W1414" s="2">
        <f t="shared" si="250"/>
        <v>1</v>
      </c>
      <c r="X1414">
        <v>16.899999999999999</v>
      </c>
      <c r="Z1414" s="2">
        <f t="shared" si="251"/>
        <v>1</v>
      </c>
      <c r="AA1414">
        <v>27.3</v>
      </c>
      <c r="AB1414" s="2" t="str">
        <f>CHOOSE(MATCH(AA1414,{0;11;80;111;161;191;241;281;341},1),"North","NorthEast","East","SouthEast","South","SouthWest","West","NorthWest","North")</f>
        <v>NorthEast</v>
      </c>
      <c r="AC1414" s="5">
        <f>CHOOSE(MATCH(AB1414,{"South";"SouthEast";"SouthWest";"North";"NorthEast";"East";"West";"NorthWest"},0),1,2,3,4,5,6,7,8)</f>
        <v>5</v>
      </c>
      <c r="AD1414" s="2">
        <f t="shared" si="252"/>
        <v>1</v>
      </c>
      <c r="AE1414">
        <v>1011</v>
      </c>
      <c r="AF1414" s="4" t="s">
        <v>1048</v>
      </c>
      <c r="AG1414" s="2">
        <f t="shared" si="253"/>
        <v>1</v>
      </c>
      <c r="AH1414" t="s">
        <v>2206</v>
      </c>
      <c r="AI1414" s="2">
        <f t="shared" si="254"/>
        <v>8</v>
      </c>
      <c r="AJ1414" s="2">
        <f t="shared" si="255"/>
        <v>1</v>
      </c>
      <c r="AK1414" s="3">
        <v>863.99999999790452</v>
      </c>
      <c r="AM1414" s="2">
        <v>1</v>
      </c>
      <c r="AN1414">
        <v>0</v>
      </c>
      <c r="AO1414">
        <v>40</v>
      </c>
      <c r="AP1414">
        <v>0</v>
      </c>
      <c r="AQ1414" s="2">
        <f>IF((2*G1414 + M1414 -P1414 + 3*W1414 + 2*Z1414+2*AD1414 + AG1414+2*AJ1414 + 4*AM1414) &gt;=8,1,0)</f>
        <v>1</v>
      </c>
    </row>
    <row r="1415" spans="1:43" x14ac:dyDescent="0.25">
      <c r="A1415" t="s">
        <v>27</v>
      </c>
      <c r="B1415" s="1">
        <v>42595</v>
      </c>
      <c r="C1415" s="7">
        <f t="shared" si="247"/>
        <v>2016</v>
      </c>
      <c r="D1415">
        <v>81.2</v>
      </c>
      <c r="E1415">
        <v>72.5</v>
      </c>
      <c r="F1415">
        <v>76.8</v>
      </c>
      <c r="G1415" s="2">
        <f t="shared" si="256"/>
        <v>1</v>
      </c>
      <c r="H1415">
        <v>80.8</v>
      </c>
      <c r="I1415">
        <v>72.5</v>
      </c>
      <c r="J1415">
        <v>76.7</v>
      </c>
      <c r="K1415">
        <v>57.2</v>
      </c>
      <c r="L1415">
        <v>51.7</v>
      </c>
      <c r="M1415" s="2">
        <f t="shared" si="248"/>
        <v>0</v>
      </c>
      <c r="N1415">
        <v>0</v>
      </c>
      <c r="P1415" s="2">
        <f t="shared" si="249"/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45.9</v>
      </c>
      <c r="W1415" s="2">
        <f t="shared" si="250"/>
        <v>1</v>
      </c>
      <c r="X1415">
        <v>24</v>
      </c>
      <c r="Z1415" s="2">
        <f t="shared" si="251"/>
        <v>1</v>
      </c>
      <c r="AA1415">
        <v>9.8000000000000007</v>
      </c>
      <c r="AB1415" s="2" t="str">
        <f>CHOOSE(MATCH(AA1415,{0;11;80;111;161;191;241;281;341},1),"North","NorthEast","East","SouthEast","South","SouthWest","West","NorthWest","North")</f>
        <v>North</v>
      </c>
      <c r="AC1415" s="5">
        <f>CHOOSE(MATCH(AB1415,{"South";"SouthEast";"SouthWest";"North";"NorthEast";"East";"West";"NorthWest"},0),1,2,3,4,5,6,7,8)</f>
        <v>4</v>
      </c>
      <c r="AD1415" s="2">
        <f t="shared" si="252"/>
        <v>1</v>
      </c>
      <c r="AE1415">
        <v>1016.4</v>
      </c>
      <c r="AF1415" s="4" t="s">
        <v>1887</v>
      </c>
      <c r="AG1415" s="2">
        <f t="shared" si="253"/>
        <v>1</v>
      </c>
      <c r="AH1415" t="s">
        <v>2207</v>
      </c>
      <c r="AI1415" s="2">
        <f t="shared" si="254"/>
        <v>8</v>
      </c>
      <c r="AJ1415" s="2">
        <f t="shared" si="255"/>
        <v>1</v>
      </c>
      <c r="AK1415" s="3">
        <v>2475</v>
      </c>
      <c r="AM1415" s="2">
        <v>1</v>
      </c>
      <c r="AN1415">
        <v>0</v>
      </c>
      <c r="AO1415">
        <v>15</v>
      </c>
      <c r="AP1415">
        <v>0</v>
      </c>
      <c r="AQ1415" s="2">
        <f>IF((2*G1415 + M1415 -P1415 + 3*W1415 + 2*Z1415+2*AD1415 + AG1415+2*AJ1415 + 4*AM1415) &gt;=8,1,0)</f>
        <v>1</v>
      </c>
    </row>
    <row r="1416" spans="1:43" x14ac:dyDescent="0.25">
      <c r="A1416" t="s">
        <v>27</v>
      </c>
      <c r="B1416" s="1">
        <v>42597</v>
      </c>
      <c r="C1416" s="7">
        <f t="shared" si="247"/>
        <v>2016</v>
      </c>
      <c r="D1416">
        <v>84.8</v>
      </c>
      <c r="E1416">
        <v>71.8</v>
      </c>
      <c r="F1416">
        <v>78</v>
      </c>
      <c r="G1416" s="2">
        <f t="shared" si="256"/>
        <v>1</v>
      </c>
      <c r="H1416">
        <v>82.3</v>
      </c>
      <c r="I1416">
        <v>71.8</v>
      </c>
      <c r="J1416">
        <v>77.2</v>
      </c>
      <c r="K1416">
        <v>46.9</v>
      </c>
      <c r="L1416">
        <v>34.200000000000003</v>
      </c>
      <c r="M1416" s="2">
        <f t="shared" si="248"/>
        <v>1</v>
      </c>
      <c r="N1416">
        <v>0</v>
      </c>
      <c r="P1416" s="2">
        <f t="shared" si="249"/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38.9</v>
      </c>
      <c r="W1416" s="2">
        <f t="shared" si="250"/>
        <v>1</v>
      </c>
      <c r="X1416">
        <v>22.7</v>
      </c>
      <c r="Z1416" s="2">
        <f t="shared" si="251"/>
        <v>1</v>
      </c>
      <c r="AA1416">
        <v>6.6</v>
      </c>
      <c r="AB1416" s="2" t="str">
        <f>CHOOSE(MATCH(AA1416,{0;11;80;111;161;191;241;281;341},1),"North","NorthEast","East","SouthEast","South","SouthWest","West","NorthWest","North")</f>
        <v>North</v>
      </c>
      <c r="AC1416" s="5">
        <f>CHOOSE(MATCH(AB1416,{"South";"SouthEast";"SouthWest";"North";"NorthEast";"East";"West";"NorthWest"},0),1,2,3,4,5,6,7,8)</f>
        <v>4</v>
      </c>
      <c r="AD1416" s="2">
        <f t="shared" si="252"/>
        <v>1</v>
      </c>
      <c r="AE1416">
        <v>1015.6</v>
      </c>
      <c r="AF1416" s="4" t="s">
        <v>2208</v>
      </c>
      <c r="AG1416" s="2">
        <f t="shared" si="253"/>
        <v>1</v>
      </c>
      <c r="AH1416" t="s">
        <v>2209</v>
      </c>
      <c r="AI1416" s="2">
        <f t="shared" si="254"/>
        <v>8</v>
      </c>
      <c r="AJ1416" s="2">
        <f t="shared" si="255"/>
        <v>1</v>
      </c>
      <c r="AK1416" s="3">
        <v>1894.0000000025609</v>
      </c>
      <c r="AM1416" s="2">
        <v>1</v>
      </c>
      <c r="AN1416">
        <v>6</v>
      </c>
      <c r="AO1416">
        <v>0</v>
      </c>
      <c r="AP1416">
        <v>0</v>
      </c>
      <c r="AQ1416" s="2">
        <f>IF((2*G1416 + M1416 -P1416 + 3*W1416 + 2*Z1416+2*AD1416 + AG1416+2*AJ1416 + 4*AM1416) &gt;=8,1,0)</f>
        <v>1</v>
      </c>
    </row>
    <row r="1417" spans="1:43" x14ac:dyDescent="0.25">
      <c r="A1417" t="s">
        <v>27</v>
      </c>
      <c r="B1417" s="1">
        <v>42605</v>
      </c>
      <c r="C1417" s="7">
        <f t="shared" si="247"/>
        <v>2016</v>
      </c>
      <c r="D1417">
        <v>90.2</v>
      </c>
      <c r="E1417">
        <v>74.3</v>
      </c>
      <c r="F1417">
        <v>81.900000000000006</v>
      </c>
      <c r="G1417" s="2">
        <f t="shared" si="256"/>
        <v>1</v>
      </c>
      <c r="H1417">
        <v>91.1</v>
      </c>
      <c r="I1417">
        <v>74.3</v>
      </c>
      <c r="J1417">
        <v>82.3</v>
      </c>
      <c r="K1417">
        <v>61.1</v>
      </c>
      <c r="L1417">
        <v>50</v>
      </c>
      <c r="M1417" s="2">
        <f t="shared" si="248"/>
        <v>0</v>
      </c>
      <c r="N1417">
        <v>0</v>
      </c>
      <c r="P1417" s="2">
        <f t="shared" si="249"/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29</v>
      </c>
      <c r="W1417" s="2">
        <f t="shared" si="250"/>
        <v>1</v>
      </c>
      <c r="X1417">
        <v>20.8</v>
      </c>
      <c r="Z1417" s="2">
        <f t="shared" si="251"/>
        <v>1</v>
      </c>
      <c r="AA1417">
        <v>29.8</v>
      </c>
      <c r="AB1417" s="2" t="str">
        <f>CHOOSE(MATCH(AA1417,{0;11;80;111;161;191;241;281;341},1),"North","NorthEast","East","SouthEast","South","SouthWest","West","NorthWest","North")</f>
        <v>NorthEast</v>
      </c>
      <c r="AC1417" s="5">
        <f>CHOOSE(MATCH(AB1417,{"South";"SouthEast";"SouthWest";"North";"NorthEast";"East";"West";"NorthWest"},0),1,2,3,4,5,6,7,8)</f>
        <v>5</v>
      </c>
      <c r="AD1417" s="2">
        <f t="shared" si="252"/>
        <v>1</v>
      </c>
      <c r="AE1417">
        <v>1011.7</v>
      </c>
      <c r="AF1417" s="4" t="s">
        <v>2210</v>
      </c>
      <c r="AG1417" s="2">
        <f t="shared" si="253"/>
        <v>1</v>
      </c>
      <c r="AH1417" t="s">
        <v>2211</v>
      </c>
      <c r="AI1417" s="2">
        <f t="shared" si="254"/>
        <v>8</v>
      </c>
      <c r="AJ1417" s="2">
        <f t="shared" si="255"/>
        <v>1</v>
      </c>
      <c r="AK1417" s="3">
        <v>333.99999999906868</v>
      </c>
      <c r="AM1417" s="2">
        <v>0</v>
      </c>
      <c r="AN1417">
        <v>0</v>
      </c>
      <c r="AO1417">
        <v>0.2</v>
      </c>
      <c r="AP1417">
        <v>0</v>
      </c>
      <c r="AQ1417" s="2">
        <f>IF((2*G1417 + M1417 -P1417 + 3*W1417 + 2*Z1417+2*AD1417 + AG1417+2*AJ1417 + 4*AM1417) &gt;=8,1,0)</f>
        <v>1</v>
      </c>
    </row>
    <row r="1418" spans="1:43" x14ac:dyDescent="0.25">
      <c r="A1418" t="s">
        <v>27</v>
      </c>
      <c r="B1418" s="1">
        <v>42606</v>
      </c>
      <c r="C1418" s="7">
        <f t="shared" si="247"/>
        <v>2016</v>
      </c>
      <c r="D1418">
        <v>86.6</v>
      </c>
      <c r="E1418">
        <v>77</v>
      </c>
      <c r="F1418">
        <v>81.7</v>
      </c>
      <c r="G1418" s="2">
        <f t="shared" si="256"/>
        <v>1</v>
      </c>
      <c r="H1418">
        <v>86.2</v>
      </c>
      <c r="I1418">
        <v>77</v>
      </c>
      <c r="J1418">
        <v>81.900000000000006</v>
      </c>
      <c r="K1418">
        <v>60.4</v>
      </c>
      <c r="L1418">
        <v>48.8</v>
      </c>
      <c r="M1418" s="2">
        <f t="shared" si="248"/>
        <v>1</v>
      </c>
      <c r="N1418">
        <v>0</v>
      </c>
      <c r="P1418" s="2">
        <f t="shared" si="249"/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44.2</v>
      </c>
      <c r="W1418" s="2">
        <f t="shared" si="250"/>
        <v>1</v>
      </c>
      <c r="X1418">
        <v>23.6</v>
      </c>
      <c r="Z1418" s="2">
        <f t="shared" si="251"/>
        <v>1</v>
      </c>
      <c r="AA1418">
        <v>2.4</v>
      </c>
      <c r="AB1418" s="2" t="str">
        <f>CHOOSE(MATCH(AA1418,{0;11;80;111;161;191;241;281;341},1),"North","NorthEast","East","SouthEast","South","SouthWest","West","NorthWest","North")</f>
        <v>North</v>
      </c>
      <c r="AC1418" s="5">
        <f>CHOOSE(MATCH(AB1418,{"South";"SouthEast";"SouthWest";"North";"NorthEast";"East";"West";"NorthWest"},0),1,2,3,4,5,6,7,8)</f>
        <v>4</v>
      </c>
      <c r="AD1418" s="2">
        <f t="shared" si="252"/>
        <v>1</v>
      </c>
      <c r="AE1418">
        <v>1011.7</v>
      </c>
      <c r="AF1418" s="4" t="s">
        <v>2212</v>
      </c>
      <c r="AG1418" s="2">
        <f t="shared" si="253"/>
        <v>1</v>
      </c>
      <c r="AH1418" t="s">
        <v>2213</v>
      </c>
      <c r="AI1418" s="2">
        <f t="shared" si="254"/>
        <v>8</v>
      </c>
      <c r="AJ1418" s="2">
        <f t="shared" si="255"/>
        <v>1</v>
      </c>
      <c r="AK1418" s="3">
        <v>164.0000000002328</v>
      </c>
      <c r="AM1418" s="2">
        <v>0</v>
      </c>
      <c r="AN1418">
        <v>0</v>
      </c>
      <c r="AO1418">
        <v>1</v>
      </c>
      <c r="AP1418">
        <v>0</v>
      </c>
      <c r="AQ1418" s="2">
        <f>IF((2*G1418 + M1418 -P1418 + 3*W1418 + 2*Z1418+2*AD1418 + AG1418+2*AJ1418 + 4*AM1418) &gt;=8,1,0)</f>
        <v>1</v>
      </c>
    </row>
    <row r="1419" spans="1:43" x14ac:dyDescent="0.25">
      <c r="A1419" t="s">
        <v>27</v>
      </c>
      <c r="B1419" s="1">
        <v>42607</v>
      </c>
      <c r="C1419" s="7">
        <f t="shared" si="247"/>
        <v>2016</v>
      </c>
      <c r="D1419">
        <v>83.6</v>
      </c>
      <c r="E1419">
        <v>77.099999999999994</v>
      </c>
      <c r="F1419">
        <v>80.599999999999994</v>
      </c>
      <c r="G1419" s="2">
        <f t="shared" si="256"/>
        <v>1</v>
      </c>
      <c r="H1419">
        <v>84.9</v>
      </c>
      <c r="I1419">
        <v>77.099999999999994</v>
      </c>
      <c r="J1419">
        <v>81.3</v>
      </c>
      <c r="K1419">
        <v>62.4</v>
      </c>
      <c r="L1419">
        <v>54.2</v>
      </c>
      <c r="M1419" s="2">
        <f t="shared" si="248"/>
        <v>0</v>
      </c>
      <c r="N1419">
        <v>0</v>
      </c>
      <c r="P1419" s="2">
        <f t="shared" si="249"/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45.4</v>
      </c>
      <c r="W1419" s="2">
        <f t="shared" si="250"/>
        <v>1</v>
      </c>
      <c r="X1419">
        <v>24.4</v>
      </c>
      <c r="Z1419" s="2">
        <f t="shared" si="251"/>
        <v>1</v>
      </c>
      <c r="AA1419">
        <v>8.8000000000000007</v>
      </c>
      <c r="AB1419" s="2" t="str">
        <f>CHOOSE(MATCH(AA1419,{0;11;80;111;161;191;241;281;341},1),"North","NorthEast","East","SouthEast","South","SouthWest","West","NorthWest","North")</f>
        <v>North</v>
      </c>
      <c r="AC1419" s="5">
        <f>CHOOSE(MATCH(AB1419,{"South";"SouthEast";"SouthWest";"North";"NorthEast";"East";"West";"NorthWest"},0),1,2,3,4,5,6,7,8)</f>
        <v>4</v>
      </c>
      <c r="AD1419" s="2">
        <f t="shared" si="252"/>
        <v>1</v>
      </c>
      <c r="AE1419">
        <v>1011.3</v>
      </c>
      <c r="AF1419" s="4" t="s">
        <v>2214</v>
      </c>
      <c r="AG1419" s="2">
        <f t="shared" si="253"/>
        <v>1</v>
      </c>
      <c r="AH1419" t="s">
        <v>2215</v>
      </c>
      <c r="AI1419" s="2">
        <f t="shared" si="254"/>
        <v>8</v>
      </c>
      <c r="AJ1419" s="2">
        <f t="shared" si="255"/>
        <v>1</v>
      </c>
      <c r="AK1419" s="3">
        <v>9891.0000000020955</v>
      </c>
      <c r="AM1419" s="2">
        <v>1</v>
      </c>
      <c r="AN1419">
        <v>1300</v>
      </c>
      <c r="AO1419">
        <v>0</v>
      </c>
      <c r="AP1419">
        <v>0</v>
      </c>
      <c r="AQ1419" s="2">
        <f>IF((2*G1419 + M1419 -P1419 + 3*W1419 + 2*Z1419+2*AD1419 + AG1419+2*AJ1419 + 4*AM1419) &gt;=8,1,0)</f>
        <v>1</v>
      </c>
    </row>
    <row r="1420" spans="1:43" x14ac:dyDescent="0.25">
      <c r="A1420" t="s">
        <v>27</v>
      </c>
      <c r="B1420" s="1">
        <v>42608</v>
      </c>
      <c r="C1420" s="7">
        <f t="shared" si="247"/>
        <v>2016</v>
      </c>
      <c r="D1420">
        <v>84.8</v>
      </c>
      <c r="E1420">
        <v>75.2</v>
      </c>
      <c r="F1420">
        <v>79.900000000000006</v>
      </c>
      <c r="G1420" s="2">
        <f t="shared" si="256"/>
        <v>1</v>
      </c>
      <c r="H1420">
        <v>82.6</v>
      </c>
      <c r="I1420">
        <v>75.2</v>
      </c>
      <c r="J1420">
        <v>79.2</v>
      </c>
      <c r="K1420">
        <v>51</v>
      </c>
      <c r="L1420">
        <v>37.1</v>
      </c>
      <c r="M1420" s="2">
        <f t="shared" si="248"/>
        <v>1</v>
      </c>
      <c r="N1420">
        <v>0</v>
      </c>
      <c r="P1420" s="2">
        <f t="shared" si="249"/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47.1</v>
      </c>
      <c r="W1420" s="2">
        <f t="shared" si="250"/>
        <v>1</v>
      </c>
      <c r="X1420">
        <v>25.9</v>
      </c>
      <c r="Z1420" s="2">
        <f t="shared" si="251"/>
        <v>1</v>
      </c>
      <c r="AA1420">
        <v>13.4</v>
      </c>
      <c r="AB1420" s="2" t="str">
        <f>CHOOSE(MATCH(AA1420,{0;11;80;111;161;191;241;281;341},1),"North","NorthEast","East","SouthEast","South","SouthWest","West","NorthWest","North")</f>
        <v>NorthEast</v>
      </c>
      <c r="AC1420" s="5">
        <f>CHOOSE(MATCH(AB1420,{"South";"SouthEast";"SouthWest";"North";"NorthEast";"East";"West";"NorthWest"},0),1,2,3,4,5,6,7,8)</f>
        <v>5</v>
      </c>
      <c r="AD1420" s="2">
        <f t="shared" si="252"/>
        <v>1</v>
      </c>
      <c r="AE1420">
        <v>1014.3</v>
      </c>
      <c r="AF1420" s="4" t="s">
        <v>2216</v>
      </c>
      <c r="AG1420" s="2">
        <f t="shared" si="253"/>
        <v>0</v>
      </c>
      <c r="AH1420" t="s">
        <v>2217</v>
      </c>
      <c r="AI1420" s="2">
        <f t="shared" si="254"/>
        <v>8</v>
      </c>
      <c r="AJ1420" s="2">
        <f t="shared" si="255"/>
        <v>1</v>
      </c>
      <c r="AK1420" s="3">
        <v>3313.000000007451</v>
      </c>
      <c r="AM1420" s="2">
        <v>1</v>
      </c>
      <c r="AN1420">
        <v>0</v>
      </c>
      <c r="AO1420">
        <v>35</v>
      </c>
      <c r="AP1420">
        <v>0</v>
      </c>
      <c r="AQ1420" s="2">
        <f>IF((2*G1420 + M1420 -P1420 + 3*W1420 + 2*Z1420+2*AD1420 + AG1420+2*AJ1420 + 4*AM1420) &gt;=8,1,0)</f>
        <v>1</v>
      </c>
    </row>
    <row r="1421" spans="1:43" x14ac:dyDescent="0.25">
      <c r="A1421" t="s">
        <v>27</v>
      </c>
      <c r="B1421" s="1">
        <v>42614</v>
      </c>
      <c r="C1421" s="7">
        <f t="shared" si="247"/>
        <v>2016</v>
      </c>
      <c r="D1421">
        <v>86.7</v>
      </c>
      <c r="E1421">
        <v>75.8</v>
      </c>
      <c r="F1421">
        <v>81.099999999999994</v>
      </c>
      <c r="G1421" s="2">
        <f t="shared" si="256"/>
        <v>1</v>
      </c>
      <c r="H1421">
        <v>85.1</v>
      </c>
      <c r="I1421">
        <v>75.8</v>
      </c>
      <c r="J1421">
        <v>80.599999999999994</v>
      </c>
      <c r="K1421">
        <v>55.7</v>
      </c>
      <c r="L1421">
        <v>42.6</v>
      </c>
      <c r="M1421" s="2">
        <f t="shared" si="248"/>
        <v>1</v>
      </c>
      <c r="N1421">
        <v>0</v>
      </c>
      <c r="P1421" s="2">
        <f t="shared" si="249"/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31.8</v>
      </c>
      <c r="W1421" s="2">
        <f t="shared" si="250"/>
        <v>1</v>
      </c>
      <c r="X1421">
        <v>19.2</v>
      </c>
      <c r="Z1421" s="2">
        <f t="shared" si="251"/>
        <v>1</v>
      </c>
      <c r="AA1421">
        <v>8.9</v>
      </c>
      <c r="AB1421" s="2" t="str">
        <f>CHOOSE(MATCH(AA1421,{0;11;80;111;161;191;241;281;341},1),"North","NorthEast","East","SouthEast","South","SouthWest","West","NorthWest","North")</f>
        <v>North</v>
      </c>
      <c r="AC1421" s="5">
        <f>CHOOSE(MATCH(AB1421,{"South";"SouthEast";"SouthWest";"North";"NorthEast";"East";"West";"NorthWest"},0),1,2,3,4,5,6,7,8)</f>
        <v>4</v>
      </c>
      <c r="AD1421" s="2">
        <f t="shared" si="252"/>
        <v>1</v>
      </c>
      <c r="AE1421">
        <v>1016.7</v>
      </c>
      <c r="AF1421" s="4" t="s">
        <v>1268</v>
      </c>
      <c r="AG1421" s="2">
        <f t="shared" si="253"/>
        <v>0</v>
      </c>
      <c r="AH1421" t="s">
        <v>2218</v>
      </c>
      <c r="AI1421" s="2">
        <f t="shared" si="254"/>
        <v>9</v>
      </c>
      <c r="AJ1421" s="2">
        <f t="shared" si="255"/>
        <v>0</v>
      </c>
      <c r="AK1421" s="3">
        <v>40.000000004656613</v>
      </c>
      <c r="AM1421" s="2">
        <v>0</v>
      </c>
      <c r="AN1421">
        <v>0</v>
      </c>
      <c r="AO1421">
        <v>0.01</v>
      </c>
      <c r="AP1421">
        <v>0</v>
      </c>
      <c r="AQ1421" s="2">
        <f>IF((2*G1421 + M1421 -P1421 + 3*W1421 + 2*Z1421+2*AD1421 + AG1421+2*AJ1421 + 4*AM1421) &gt;=8,1,0)</f>
        <v>1</v>
      </c>
    </row>
    <row r="1422" spans="1:43" x14ac:dyDescent="0.25">
      <c r="A1422" t="s">
        <v>27</v>
      </c>
      <c r="B1422" s="1">
        <v>42614</v>
      </c>
      <c r="C1422" s="7">
        <f t="shared" si="247"/>
        <v>2016</v>
      </c>
      <c r="D1422">
        <v>86.7</v>
      </c>
      <c r="E1422">
        <v>75.8</v>
      </c>
      <c r="F1422">
        <v>81.099999999999994</v>
      </c>
      <c r="G1422" s="2">
        <f t="shared" si="256"/>
        <v>1</v>
      </c>
      <c r="H1422">
        <v>85.1</v>
      </c>
      <c r="I1422">
        <v>75.8</v>
      </c>
      <c r="J1422">
        <v>80.599999999999994</v>
      </c>
      <c r="K1422">
        <v>55.7</v>
      </c>
      <c r="L1422">
        <v>42.6</v>
      </c>
      <c r="M1422" s="2">
        <f t="shared" si="248"/>
        <v>1</v>
      </c>
      <c r="N1422">
        <v>0</v>
      </c>
      <c r="P1422" s="2">
        <f t="shared" si="249"/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31.8</v>
      </c>
      <c r="W1422" s="2">
        <f t="shared" si="250"/>
        <v>1</v>
      </c>
      <c r="X1422">
        <v>19.2</v>
      </c>
      <c r="Z1422" s="2">
        <f t="shared" si="251"/>
        <v>1</v>
      </c>
      <c r="AA1422">
        <v>8.9</v>
      </c>
      <c r="AB1422" s="2" t="str">
        <f>CHOOSE(MATCH(AA1422,{0;11;80;111;161;191;241;281;341},1),"North","NorthEast","East","SouthEast","South","SouthWest","West","NorthWest","North")</f>
        <v>North</v>
      </c>
      <c r="AC1422" s="5">
        <f>CHOOSE(MATCH(AB1422,{"South";"SouthEast";"SouthWest";"North";"NorthEast";"East";"West";"NorthWest"},0),1,2,3,4,5,6,7,8)</f>
        <v>4</v>
      </c>
      <c r="AD1422" s="2">
        <f t="shared" si="252"/>
        <v>1</v>
      </c>
      <c r="AE1422">
        <v>1016.7</v>
      </c>
      <c r="AF1422" s="4" t="s">
        <v>2219</v>
      </c>
      <c r="AG1422" s="2">
        <f t="shared" si="253"/>
        <v>0</v>
      </c>
      <c r="AH1422" t="s">
        <v>2220</v>
      </c>
      <c r="AI1422" s="2">
        <f t="shared" si="254"/>
        <v>9</v>
      </c>
      <c r="AJ1422" s="2">
        <f t="shared" si="255"/>
        <v>0</v>
      </c>
      <c r="AK1422" s="3">
        <v>23.000000001629811</v>
      </c>
      <c r="AM1422" s="2">
        <v>0</v>
      </c>
      <c r="AN1422">
        <v>0</v>
      </c>
      <c r="AO1422">
        <v>0.05</v>
      </c>
      <c r="AP1422">
        <v>0</v>
      </c>
      <c r="AQ1422" s="2">
        <f>IF((2*G1422 + M1422 -P1422 + 3*W1422 + 2*Z1422+2*AD1422 + AG1422+2*AJ1422 + 4*AM1422) &gt;=8,1,0)</f>
        <v>1</v>
      </c>
    </row>
    <row r="1423" spans="1:43" x14ac:dyDescent="0.25">
      <c r="A1423" t="s">
        <v>27</v>
      </c>
      <c r="B1423" s="1">
        <v>42619</v>
      </c>
      <c r="C1423" s="7">
        <f t="shared" si="247"/>
        <v>2016</v>
      </c>
      <c r="D1423">
        <v>85.4</v>
      </c>
      <c r="E1423">
        <v>67.900000000000006</v>
      </c>
      <c r="F1423">
        <v>75.2</v>
      </c>
      <c r="G1423" s="2">
        <f t="shared" si="256"/>
        <v>1</v>
      </c>
      <c r="H1423">
        <v>84.8</v>
      </c>
      <c r="I1423">
        <v>67.900000000000006</v>
      </c>
      <c r="J1423">
        <v>75.2</v>
      </c>
      <c r="K1423">
        <v>60.7</v>
      </c>
      <c r="L1423">
        <v>62.1</v>
      </c>
      <c r="M1423" s="2">
        <f t="shared" si="248"/>
        <v>0</v>
      </c>
      <c r="N1423">
        <v>0.129</v>
      </c>
      <c r="P1423" s="2">
        <f t="shared" si="249"/>
        <v>0</v>
      </c>
      <c r="Q1423">
        <v>100</v>
      </c>
      <c r="R1423">
        <v>4.17</v>
      </c>
      <c r="S1423" t="s">
        <v>87</v>
      </c>
      <c r="T1423">
        <v>0</v>
      </c>
      <c r="U1423">
        <v>0</v>
      </c>
      <c r="V1423">
        <v>27.1</v>
      </c>
      <c r="W1423" s="2">
        <f t="shared" si="250"/>
        <v>1</v>
      </c>
      <c r="X1423">
        <v>14.6</v>
      </c>
      <c r="Z1423" s="2">
        <f t="shared" si="251"/>
        <v>0</v>
      </c>
      <c r="AA1423">
        <v>169.9</v>
      </c>
      <c r="AB1423" s="2" t="str">
        <f>CHOOSE(MATCH(AA1423,{0;11;80;111;161;191;241;281;341},1),"North","NorthEast","East","SouthEast","South","SouthWest","West","NorthWest","North")</f>
        <v>South</v>
      </c>
      <c r="AC1423" s="5">
        <f>CHOOSE(MATCH(AB1423,{"South";"SouthEast";"SouthWest";"North";"NorthEast";"East";"West";"NorthWest"},0),1,2,3,4,5,6,7,8)</f>
        <v>1</v>
      </c>
      <c r="AD1423" s="2">
        <f t="shared" si="252"/>
        <v>0</v>
      </c>
      <c r="AE1423">
        <v>1011.4</v>
      </c>
      <c r="AF1423" s="4" t="s">
        <v>2221</v>
      </c>
      <c r="AG1423" s="2">
        <f t="shared" si="253"/>
        <v>0</v>
      </c>
      <c r="AH1423" t="s">
        <v>2222</v>
      </c>
      <c r="AI1423" s="2">
        <f t="shared" si="254"/>
        <v>9</v>
      </c>
      <c r="AJ1423" s="2">
        <f t="shared" si="255"/>
        <v>0</v>
      </c>
      <c r="AK1423" s="3">
        <v>300.99999999627471</v>
      </c>
      <c r="AM1423" s="2">
        <v>0</v>
      </c>
      <c r="AN1423">
        <v>4</v>
      </c>
      <c r="AO1423">
        <v>0</v>
      </c>
      <c r="AP1423">
        <v>0</v>
      </c>
      <c r="AQ1423" s="2">
        <f>IF((2*G1423 + M1423 -P1423 + 3*W1423 + 2*Z1423+2*AD1423 + AG1423+2*AJ1423 + 4*AM1423) &gt;=8,1,0)</f>
        <v>0</v>
      </c>
    </row>
    <row r="1424" spans="1:43" x14ac:dyDescent="0.25">
      <c r="A1424" t="s">
        <v>27</v>
      </c>
      <c r="B1424" s="1">
        <v>42621</v>
      </c>
      <c r="C1424" s="7">
        <f t="shared" si="247"/>
        <v>2016</v>
      </c>
      <c r="D1424">
        <v>83.6</v>
      </c>
      <c r="E1424">
        <v>66.8</v>
      </c>
      <c r="F1424">
        <v>75.400000000000006</v>
      </c>
      <c r="G1424" s="2">
        <f t="shared" si="256"/>
        <v>1</v>
      </c>
      <c r="H1424">
        <v>84.4</v>
      </c>
      <c r="I1424">
        <v>66.8</v>
      </c>
      <c r="J1424">
        <v>75.7</v>
      </c>
      <c r="K1424">
        <v>63.5</v>
      </c>
      <c r="L1424">
        <v>68.3</v>
      </c>
      <c r="M1424" s="2">
        <f t="shared" si="248"/>
        <v>0</v>
      </c>
      <c r="N1424">
        <v>0</v>
      </c>
      <c r="P1424" s="2">
        <f t="shared" si="249"/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22.4</v>
      </c>
      <c r="W1424" s="2">
        <f t="shared" si="250"/>
        <v>1</v>
      </c>
      <c r="X1424">
        <v>18.5</v>
      </c>
      <c r="Z1424" s="2">
        <f t="shared" si="251"/>
        <v>1</v>
      </c>
      <c r="AA1424">
        <v>55.1</v>
      </c>
      <c r="AB1424" s="2" t="str">
        <f>CHOOSE(MATCH(AA1424,{0;11;80;111;161;191;241;281;341},1),"North","NorthEast","East","SouthEast","South","SouthWest","West","NorthWest","North")</f>
        <v>NorthEast</v>
      </c>
      <c r="AC1424" s="5">
        <f>CHOOSE(MATCH(AB1424,{"South";"SouthEast";"SouthWest";"North";"NorthEast";"East";"West";"NorthWest"},0),1,2,3,4,5,6,7,8)</f>
        <v>5</v>
      </c>
      <c r="AD1424" s="2">
        <f t="shared" si="252"/>
        <v>1</v>
      </c>
      <c r="AE1424">
        <v>1012.5</v>
      </c>
      <c r="AF1424" s="4" t="s">
        <v>2223</v>
      </c>
      <c r="AG1424" s="2">
        <f t="shared" si="253"/>
        <v>1</v>
      </c>
      <c r="AH1424" t="s">
        <v>2224</v>
      </c>
      <c r="AI1424" s="2">
        <f t="shared" si="254"/>
        <v>9</v>
      </c>
      <c r="AJ1424" s="2">
        <f t="shared" si="255"/>
        <v>0</v>
      </c>
      <c r="AK1424" s="3">
        <v>60.999999999767169</v>
      </c>
      <c r="AM1424" s="2">
        <v>0</v>
      </c>
      <c r="AN1424">
        <v>0</v>
      </c>
      <c r="AO1424">
        <v>0.8</v>
      </c>
      <c r="AP1424">
        <v>0</v>
      </c>
      <c r="AQ1424" s="2">
        <f>IF((2*G1424 + M1424 -P1424 + 3*W1424 + 2*Z1424+2*AD1424 + AG1424+2*AJ1424 + 4*AM1424) &gt;=8,1,0)</f>
        <v>1</v>
      </c>
    </row>
    <row r="1425" spans="1:43" x14ac:dyDescent="0.25">
      <c r="A1425" t="s">
        <v>27</v>
      </c>
      <c r="B1425" s="1">
        <v>42624</v>
      </c>
      <c r="C1425" s="7">
        <f t="shared" si="247"/>
        <v>2016</v>
      </c>
      <c r="D1425">
        <v>84.2</v>
      </c>
      <c r="E1425">
        <v>67.599999999999994</v>
      </c>
      <c r="F1425">
        <v>75</v>
      </c>
      <c r="G1425" s="2">
        <f t="shared" si="256"/>
        <v>1</v>
      </c>
      <c r="H1425">
        <v>84.5</v>
      </c>
      <c r="I1425">
        <v>67.599999999999994</v>
      </c>
      <c r="J1425">
        <v>75.2</v>
      </c>
      <c r="K1425">
        <v>64.5</v>
      </c>
      <c r="L1425">
        <v>71.2</v>
      </c>
      <c r="M1425" s="2">
        <f t="shared" si="248"/>
        <v>0</v>
      </c>
      <c r="N1425">
        <v>0.34799999999999998</v>
      </c>
      <c r="P1425" s="2">
        <f t="shared" si="249"/>
        <v>0</v>
      </c>
      <c r="Q1425">
        <v>100</v>
      </c>
      <c r="R1425">
        <v>12.5</v>
      </c>
      <c r="S1425" t="s">
        <v>87</v>
      </c>
      <c r="T1425">
        <v>0</v>
      </c>
      <c r="U1425">
        <v>0</v>
      </c>
      <c r="V1425">
        <v>20.8</v>
      </c>
      <c r="W1425" s="2">
        <f t="shared" si="250"/>
        <v>1</v>
      </c>
      <c r="X1425">
        <v>10.1</v>
      </c>
      <c r="Z1425" s="2">
        <f t="shared" si="251"/>
        <v>0</v>
      </c>
      <c r="AA1425">
        <v>14.8</v>
      </c>
      <c r="AB1425" s="2" t="str">
        <f>CHOOSE(MATCH(AA1425,{0;11;80;111;161;191;241;281;341},1),"North","NorthEast","East","SouthEast","South","SouthWest","West","NorthWest","North")</f>
        <v>NorthEast</v>
      </c>
      <c r="AC1425" s="5">
        <f>CHOOSE(MATCH(AB1425,{"South";"SouthEast";"SouthWest";"North";"NorthEast";"East";"West";"NorthWest"},0),1,2,3,4,5,6,7,8)</f>
        <v>5</v>
      </c>
      <c r="AD1425" s="2">
        <f t="shared" si="252"/>
        <v>1</v>
      </c>
      <c r="AE1425">
        <v>1013.2</v>
      </c>
      <c r="AF1425" s="4" t="s">
        <v>2031</v>
      </c>
      <c r="AG1425" s="2">
        <f t="shared" si="253"/>
        <v>1</v>
      </c>
      <c r="AH1425" t="s">
        <v>2225</v>
      </c>
      <c r="AI1425" s="2">
        <f t="shared" si="254"/>
        <v>9</v>
      </c>
      <c r="AJ1425" s="2">
        <f t="shared" si="255"/>
        <v>0</v>
      </c>
      <c r="AK1425" s="3">
        <v>3791.0000000044238</v>
      </c>
      <c r="AM1425" s="2">
        <v>1</v>
      </c>
      <c r="AN1425">
        <v>10</v>
      </c>
      <c r="AO1425">
        <v>0</v>
      </c>
      <c r="AP1425">
        <v>0</v>
      </c>
      <c r="AQ1425" s="2">
        <f>IF((2*G1425 + M1425 -P1425 + 3*W1425 + 2*Z1425+2*AD1425 + AG1425+2*AJ1425 + 4*AM1425) &gt;=8,1,0)</f>
        <v>1</v>
      </c>
    </row>
    <row r="1426" spans="1:43" x14ac:dyDescent="0.25">
      <c r="A1426" t="s">
        <v>27</v>
      </c>
      <c r="B1426" s="1">
        <v>42631</v>
      </c>
      <c r="C1426" s="7">
        <f t="shared" si="247"/>
        <v>2016</v>
      </c>
      <c r="D1426">
        <v>95</v>
      </c>
      <c r="E1426">
        <v>74</v>
      </c>
      <c r="F1426">
        <v>81.8</v>
      </c>
      <c r="G1426" s="2">
        <f t="shared" si="256"/>
        <v>1</v>
      </c>
      <c r="H1426">
        <v>92.6</v>
      </c>
      <c r="I1426">
        <v>74</v>
      </c>
      <c r="J1426">
        <v>81.7</v>
      </c>
      <c r="K1426">
        <v>59.9</v>
      </c>
      <c r="L1426">
        <v>49.1</v>
      </c>
      <c r="M1426" s="2">
        <f t="shared" si="248"/>
        <v>1</v>
      </c>
      <c r="N1426">
        <v>0</v>
      </c>
      <c r="P1426" s="2">
        <f t="shared" si="249"/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25.5</v>
      </c>
      <c r="W1426" s="2">
        <f t="shared" si="250"/>
        <v>1</v>
      </c>
      <c r="X1426">
        <v>15.7</v>
      </c>
      <c r="Z1426" s="2">
        <f t="shared" si="251"/>
        <v>0</v>
      </c>
      <c r="AA1426">
        <v>215.8</v>
      </c>
      <c r="AB1426" s="2" t="str">
        <f>CHOOSE(MATCH(AA1426,{0;11;80;111;161;191;241;281;341},1),"North","NorthEast","East","SouthEast","South","SouthWest","West","NorthWest","North")</f>
        <v>SouthWest</v>
      </c>
      <c r="AC1426" s="5">
        <f>CHOOSE(MATCH(AB1426,{"South";"SouthEast";"SouthWest";"North";"NorthEast";"East";"West";"NorthWest"},0),1,2,3,4,5,6,7,8)</f>
        <v>3</v>
      </c>
      <c r="AD1426" s="2">
        <f t="shared" si="252"/>
        <v>1</v>
      </c>
      <c r="AE1426">
        <v>1012.2</v>
      </c>
      <c r="AF1426" s="4" t="s">
        <v>2226</v>
      </c>
      <c r="AG1426" s="2">
        <f t="shared" si="253"/>
        <v>1</v>
      </c>
      <c r="AH1426" t="s">
        <v>2227</v>
      </c>
      <c r="AI1426" s="2">
        <f t="shared" si="254"/>
        <v>9</v>
      </c>
      <c r="AJ1426" s="2">
        <f t="shared" si="255"/>
        <v>0</v>
      </c>
      <c r="AK1426" s="3">
        <v>59.00000000372529</v>
      </c>
      <c r="AM1426" s="2">
        <v>0</v>
      </c>
      <c r="AN1426">
        <v>1</v>
      </c>
      <c r="AO1426">
        <v>1</v>
      </c>
      <c r="AP1426">
        <v>0</v>
      </c>
      <c r="AQ1426" s="2">
        <f>IF((2*G1426 + M1426 -P1426 + 3*W1426 + 2*Z1426+2*AD1426 + AG1426+2*AJ1426 + 4*AM1426) &gt;=8,1,0)</f>
        <v>1</v>
      </c>
    </row>
    <row r="1427" spans="1:43" x14ac:dyDescent="0.25">
      <c r="A1427" t="s">
        <v>27</v>
      </c>
      <c r="B1427" s="1">
        <v>42634</v>
      </c>
      <c r="C1427" s="7">
        <f t="shared" si="247"/>
        <v>2016</v>
      </c>
      <c r="D1427">
        <v>80.099999999999994</v>
      </c>
      <c r="E1427">
        <v>65.599999999999994</v>
      </c>
      <c r="F1427">
        <v>72.099999999999994</v>
      </c>
      <c r="G1427" s="2">
        <f t="shared" si="256"/>
        <v>0</v>
      </c>
      <c r="H1427">
        <v>80</v>
      </c>
      <c r="I1427">
        <v>65.599999999999994</v>
      </c>
      <c r="J1427">
        <v>72.099999999999994</v>
      </c>
      <c r="K1427">
        <v>56.5</v>
      </c>
      <c r="L1427">
        <v>59</v>
      </c>
      <c r="M1427" s="2">
        <f t="shared" si="248"/>
        <v>0</v>
      </c>
      <c r="N1427">
        <v>1.2E-2</v>
      </c>
      <c r="P1427" s="2">
        <f t="shared" si="249"/>
        <v>0</v>
      </c>
      <c r="Q1427">
        <v>100</v>
      </c>
      <c r="R1427">
        <v>4.17</v>
      </c>
      <c r="S1427" t="s">
        <v>87</v>
      </c>
      <c r="T1427">
        <v>0</v>
      </c>
      <c r="U1427">
        <v>0</v>
      </c>
      <c r="V1427">
        <v>17.2</v>
      </c>
      <c r="W1427" s="2">
        <f t="shared" si="250"/>
        <v>1</v>
      </c>
      <c r="X1427">
        <v>9.8000000000000007</v>
      </c>
      <c r="Z1427" s="2">
        <f t="shared" si="251"/>
        <v>0</v>
      </c>
      <c r="AA1427">
        <v>32.299999999999997</v>
      </c>
      <c r="AB1427" s="2" t="str">
        <f>CHOOSE(MATCH(AA1427,{0;11;80;111;161;191;241;281;341},1),"North","NorthEast","East","SouthEast","South","SouthWest","West","NorthWest","North")</f>
        <v>NorthEast</v>
      </c>
      <c r="AC1427" s="5">
        <f>CHOOSE(MATCH(AB1427,{"South";"SouthEast";"SouthWest";"North";"NorthEast";"East";"West";"NorthWest"},0),1,2,3,4,5,6,7,8)</f>
        <v>5</v>
      </c>
      <c r="AD1427" s="2">
        <f t="shared" si="252"/>
        <v>1</v>
      </c>
      <c r="AE1427">
        <v>1011.4</v>
      </c>
      <c r="AF1427" s="4" t="s">
        <v>2228</v>
      </c>
      <c r="AG1427" s="2">
        <f t="shared" si="253"/>
        <v>0</v>
      </c>
      <c r="AH1427" t="s">
        <v>2229</v>
      </c>
      <c r="AI1427" s="2">
        <f t="shared" si="254"/>
        <v>9</v>
      </c>
      <c r="AJ1427" s="2">
        <f t="shared" si="255"/>
        <v>0</v>
      </c>
      <c r="AK1427" s="3">
        <v>8925.0000000069849</v>
      </c>
      <c r="AM1427" s="2">
        <v>1</v>
      </c>
      <c r="AN1427">
        <v>80</v>
      </c>
      <c r="AO1427">
        <v>0</v>
      </c>
      <c r="AP1427">
        <v>0</v>
      </c>
      <c r="AQ1427" s="2">
        <f>IF((2*G1427 + M1427 -P1427 + 3*W1427 + 2*Z1427+2*AD1427 + AG1427+2*AJ1427 + 4*AM1427) &gt;=8,1,0)</f>
        <v>1</v>
      </c>
    </row>
    <row r="1428" spans="1:43" x14ac:dyDescent="0.25">
      <c r="A1428" t="s">
        <v>27</v>
      </c>
      <c r="B1428" s="1">
        <v>42634</v>
      </c>
      <c r="C1428" s="7">
        <f t="shared" si="247"/>
        <v>2016</v>
      </c>
      <c r="D1428">
        <v>80.099999999999994</v>
      </c>
      <c r="E1428">
        <v>65.599999999999994</v>
      </c>
      <c r="F1428">
        <v>72.099999999999994</v>
      </c>
      <c r="G1428" s="2">
        <f t="shared" si="256"/>
        <v>0</v>
      </c>
      <c r="H1428">
        <v>80</v>
      </c>
      <c r="I1428">
        <v>65.599999999999994</v>
      </c>
      <c r="J1428">
        <v>72.099999999999994</v>
      </c>
      <c r="K1428">
        <v>56.5</v>
      </c>
      <c r="L1428">
        <v>59</v>
      </c>
      <c r="M1428" s="2">
        <f t="shared" si="248"/>
        <v>0</v>
      </c>
      <c r="N1428">
        <v>1.2E-2</v>
      </c>
      <c r="P1428" s="2">
        <f t="shared" si="249"/>
        <v>0</v>
      </c>
      <c r="Q1428">
        <v>100</v>
      </c>
      <c r="R1428">
        <v>4.17</v>
      </c>
      <c r="S1428" t="s">
        <v>87</v>
      </c>
      <c r="T1428">
        <v>0</v>
      </c>
      <c r="U1428">
        <v>0</v>
      </c>
      <c r="V1428">
        <v>17.2</v>
      </c>
      <c r="W1428" s="2">
        <f t="shared" si="250"/>
        <v>1</v>
      </c>
      <c r="X1428">
        <v>9.8000000000000007</v>
      </c>
      <c r="Z1428" s="2">
        <f t="shared" si="251"/>
        <v>0</v>
      </c>
      <c r="AA1428">
        <v>32.299999999999997</v>
      </c>
      <c r="AB1428" s="2" t="str">
        <f>CHOOSE(MATCH(AA1428,{0;11;80;111;161;191;241;281;341},1),"North","NorthEast","East","SouthEast","South","SouthWest","West","NorthWest","North")</f>
        <v>NorthEast</v>
      </c>
      <c r="AC1428" s="5">
        <f>CHOOSE(MATCH(AB1428,{"South";"SouthEast";"SouthWest";"North";"NorthEast";"East";"West";"NorthWest"},0),1,2,3,4,5,6,7,8)</f>
        <v>5</v>
      </c>
      <c r="AD1428" s="2">
        <f t="shared" si="252"/>
        <v>1</v>
      </c>
      <c r="AE1428">
        <v>1011.4</v>
      </c>
      <c r="AF1428" s="4" t="s">
        <v>1887</v>
      </c>
      <c r="AG1428" s="2">
        <f t="shared" si="253"/>
        <v>1</v>
      </c>
      <c r="AH1428" t="s">
        <v>2230</v>
      </c>
      <c r="AI1428" s="2">
        <f t="shared" si="254"/>
        <v>9</v>
      </c>
      <c r="AJ1428" s="2">
        <f t="shared" si="255"/>
        <v>0</v>
      </c>
      <c r="AK1428" s="3">
        <v>45</v>
      </c>
      <c r="AM1428" s="2">
        <v>0</v>
      </c>
      <c r="AN1428">
        <v>0.3</v>
      </c>
      <c r="AO1428">
        <v>0</v>
      </c>
      <c r="AP1428">
        <v>0</v>
      </c>
      <c r="AQ1428" s="2">
        <f>IF((2*G1428 + M1428 -P1428 + 3*W1428 + 2*Z1428+2*AD1428 + AG1428+2*AJ1428 + 4*AM1428) &gt;=8,1,0)</f>
        <v>0</v>
      </c>
    </row>
    <row r="1429" spans="1:43" x14ac:dyDescent="0.25">
      <c r="A1429" t="s">
        <v>27</v>
      </c>
      <c r="B1429" s="1">
        <v>42642</v>
      </c>
      <c r="C1429" s="7">
        <f t="shared" si="247"/>
        <v>2016</v>
      </c>
      <c r="D1429">
        <v>78.2</v>
      </c>
      <c r="E1429">
        <v>60.9</v>
      </c>
      <c r="F1429">
        <v>69.3</v>
      </c>
      <c r="G1429" s="2">
        <f t="shared" si="256"/>
        <v>0</v>
      </c>
      <c r="H1429">
        <v>78.2</v>
      </c>
      <c r="I1429">
        <v>60.9</v>
      </c>
      <c r="J1429">
        <v>69.3</v>
      </c>
      <c r="K1429">
        <v>47.6</v>
      </c>
      <c r="L1429">
        <v>46.7</v>
      </c>
      <c r="M1429" s="2">
        <f t="shared" si="248"/>
        <v>1</v>
      </c>
      <c r="N1429">
        <v>0</v>
      </c>
      <c r="P1429" s="2">
        <f t="shared" si="249"/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24.1</v>
      </c>
      <c r="W1429" s="2">
        <f t="shared" si="250"/>
        <v>1</v>
      </c>
      <c r="X1429">
        <v>16.100000000000001</v>
      </c>
      <c r="Z1429" s="2">
        <f t="shared" si="251"/>
        <v>1</v>
      </c>
      <c r="AA1429">
        <v>32.299999999999997</v>
      </c>
      <c r="AB1429" s="2" t="str">
        <f>CHOOSE(MATCH(AA1429,{0;11;80;111;161;191;241;281;341},1),"North","NorthEast","East","SouthEast","South","SouthWest","West","NorthWest","North")</f>
        <v>NorthEast</v>
      </c>
      <c r="AC1429" s="5">
        <f>CHOOSE(MATCH(AB1429,{"South";"SouthEast";"SouthWest";"North";"NorthEast";"East";"West";"NorthWest"},0),1,2,3,4,5,6,7,8)</f>
        <v>5</v>
      </c>
      <c r="AD1429" s="2">
        <f t="shared" si="252"/>
        <v>1</v>
      </c>
      <c r="AE1429">
        <v>1024.4000000000001</v>
      </c>
      <c r="AF1429" s="4" t="s">
        <v>1116</v>
      </c>
      <c r="AG1429" s="2">
        <f t="shared" si="253"/>
        <v>1</v>
      </c>
      <c r="AH1429" t="s">
        <v>2231</v>
      </c>
      <c r="AI1429" s="2">
        <f t="shared" si="254"/>
        <v>9</v>
      </c>
      <c r="AJ1429" s="2">
        <f t="shared" si="255"/>
        <v>0</v>
      </c>
      <c r="AK1429" s="3">
        <v>235.00000000116421</v>
      </c>
      <c r="AM1429" s="2">
        <v>0</v>
      </c>
      <c r="AN1429">
        <v>0</v>
      </c>
      <c r="AO1429">
        <v>2</v>
      </c>
      <c r="AP1429">
        <v>0</v>
      </c>
      <c r="AQ1429" s="2">
        <f>IF((2*G1429 + M1429 -P1429 + 3*W1429 + 2*Z1429+2*AD1429 + AG1429+2*AJ1429 + 4*AM1429) &gt;=8,1,0)</f>
        <v>1</v>
      </c>
    </row>
    <row r="1430" spans="1:43" x14ac:dyDescent="0.25">
      <c r="A1430" t="s">
        <v>27</v>
      </c>
      <c r="B1430" s="1">
        <v>42648</v>
      </c>
      <c r="C1430" s="7">
        <f t="shared" si="247"/>
        <v>2016</v>
      </c>
      <c r="D1430">
        <v>79.5</v>
      </c>
      <c r="E1430">
        <v>66.099999999999994</v>
      </c>
      <c r="F1430">
        <v>72.400000000000006</v>
      </c>
      <c r="G1430" s="2">
        <f t="shared" si="256"/>
        <v>0</v>
      </c>
      <c r="H1430">
        <v>79.5</v>
      </c>
      <c r="I1430">
        <v>66.099999999999994</v>
      </c>
      <c r="J1430">
        <v>72.400000000000006</v>
      </c>
      <c r="K1430">
        <v>52.6</v>
      </c>
      <c r="L1430">
        <v>50.8</v>
      </c>
      <c r="M1430" s="2">
        <f t="shared" si="248"/>
        <v>0</v>
      </c>
      <c r="N1430">
        <v>0</v>
      </c>
      <c r="P1430" s="2">
        <f t="shared" si="249"/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20.7</v>
      </c>
      <c r="W1430" s="2">
        <f t="shared" si="250"/>
        <v>1</v>
      </c>
      <c r="X1430">
        <v>10.5</v>
      </c>
      <c r="Z1430" s="2">
        <f t="shared" si="251"/>
        <v>0</v>
      </c>
      <c r="AA1430">
        <v>28.2</v>
      </c>
      <c r="AB1430" s="2" t="str">
        <f>CHOOSE(MATCH(AA1430,{0;11;80;111;161;191;241;281;341},1),"North","NorthEast","East","SouthEast","South","SouthWest","West","NorthWest","North")</f>
        <v>NorthEast</v>
      </c>
      <c r="AC1430" s="5">
        <f>CHOOSE(MATCH(AB1430,{"South";"SouthEast";"SouthWest";"North";"NorthEast";"East";"West";"NorthWest"},0),1,2,3,4,5,6,7,8)</f>
        <v>5</v>
      </c>
      <c r="AD1430" s="2">
        <f t="shared" si="252"/>
        <v>1</v>
      </c>
      <c r="AE1430">
        <v>1011.9</v>
      </c>
      <c r="AF1430" s="4" t="s">
        <v>1237</v>
      </c>
      <c r="AG1430" s="2">
        <f t="shared" si="253"/>
        <v>1</v>
      </c>
      <c r="AH1430" t="s">
        <v>2232</v>
      </c>
      <c r="AI1430" s="2">
        <f t="shared" si="254"/>
        <v>10</v>
      </c>
      <c r="AJ1430" s="2">
        <f t="shared" si="255"/>
        <v>0</v>
      </c>
      <c r="AK1430" s="3">
        <v>220.00000000465661</v>
      </c>
      <c r="AM1430" s="2">
        <v>0</v>
      </c>
      <c r="AN1430">
        <v>0</v>
      </c>
      <c r="AO1430">
        <v>1.5</v>
      </c>
      <c r="AP1430">
        <v>0</v>
      </c>
      <c r="AQ1430" s="2">
        <f>IF((2*G1430 + M1430 -P1430 + 3*W1430 + 2*Z1430+2*AD1430 + AG1430+2*AJ1430 + 4*AM1430) &gt;=8,1,0)</f>
        <v>0</v>
      </c>
    </row>
    <row r="1431" spans="1:43" x14ac:dyDescent="0.25">
      <c r="A1431" t="s">
        <v>27</v>
      </c>
      <c r="B1431" s="1">
        <v>42649</v>
      </c>
      <c r="C1431" s="7">
        <f t="shared" si="247"/>
        <v>2016</v>
      </c>
      <c r="D1431">
        <v>77</v>
      </c>
      <c r="E1431">
        <v>63.8</v>
      </c>
      <c r="F1431">
        <v>69.7</v>
      </c>
      <c r="G1431" s="2">
        <f t="shared" si="256"/>
        <v>0</v>
      </c>
      <c r="H1431">
        <v>77</v>
      </c>
      <c r="I1431">
        <v>63.8</v>
      </c>
      <c r="J1431">
        <v>69.7</v>
      </c>
      <c r="K1431">
        <v>53.3</v>
      </c>
      <c r="L1431">
        <v>57.2</v>
      </c>
      <c r="M1431" s="2">
        <f t="shared" si="248"/>
        <v>0</v>
      </c>
      <c r="N1431">
        <v>0</v>
      </c>
      <c r="P1431" s="2">
        <f t="shared" si="249"/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19.899999999999999</v>
      </c>
      <c r="W1431" s="2">
        <f t="shared" si="250"/>
        <v>1</v>
      </c>
      <c r="X1431">
        <v>10.7</v>
      </c>
      <c r="Z1431" s="2">
        <f t="shared" si="251"/>
        <v>0</v>
      </c>
      <c r="AA1431">
        <v>71.099999999999994</v>
      </c>
      <c r="AB1431" s="2" t="str">
        <f>CHOOSE(MATCH(AA1431,{0;11;80;111;161;191;241;281;341},1),"North","NorthEast","East","SouthEast","South","SouthWest","West","NorthWest","North")</f>
        <v>NorthEast</v>
      </c>
      <c r="AC1431" s="5">
        <f>CHOOSE(MATCH(AB1431,{"South";"SouthEast";"SouthWest";"North";"NorthEast";"East";"West";"NorthWest"},0),1,2,3,4,5,6,7,8)</f>
        <v>5</v>
      </c>
      <c r="AD1431" s="2">
        <f t="shared" si="252"/>
        <v>1</v>
      </c>
      <c r="AE1431">
        <v>1014.8</v>
      </c>
      <c r="AF1431" s="4" t="s">
        <v>1780</v>
      </c>
      <c r="AG1431" s="2">
        <f t="shared" si="253"/>
        <v>1</v>
      </c>
      <c r="AH1431" t="s">
        <v>2233</v>
      </c>
      <c r="AI1431" s="2">
        <f t="shared" si="254"/>
        <v>10</v>
      </c>
      <c r="AJ1431" s="2">
        <f t="shared" si="255"/>
        <v>0</v>
      </c>
      <c r="AK1431" s="3">
        <v>160.0000000081491</v>
      </c>
      <c r="AM1431" s="2">
        <v>0</v>
      </c>
      <c r="AN1431">
        <v>0</v>
      </c>
      <c r="AO1431">
        <v>0.1</v>
      </c>
      <c r="AP1431">
        <v>0</v>
      </c>
      <c r="AQ1431" s="2">
        <f>IF((2*G1431 + M1431 -P1431 + 3*W1431 + 2*Z1431+2*AD1431 + AG1431+2*AJ1431 + 4*AM1431) &gt;=8,1,0)</f>
        <v>0</v>
      </c>
    </row>
    <row r="1432" spans="1:43" x14ac:dyDescent="0.25">
      <c r="A1432" t="s">
        <v>27</v>
      </c>
      <c r="B1432" s="1">
        <v>42650</v>
      </c>
      <c r="C1432" s="7">
        <f t="shared" si="247"/>
        <v>2016</v>
      </c>
      <c r="D1432">
        <v>76.7</v>
      </c>
      <c r="E1432">
        <v>57.2</v>
      </c>
      <c r="F1432">
        <v>68.099999999999994</v>
      </c>
      <c r="G1432" s="2">
        <f t="shared" si="256"/>
        <v>0</v>
      </c>
      <c r="H1432">
        <v>76.7</v>
      </c>
      <c r="I1432">
        <v>57.2</v>
      </c>
      <c r="J1432">
        <v>68.099999999999994</v>
      </c>
      <c r="K1432">
        <v>55.8</v>
      </c>
      <c r="L1432">
        <v>65.8</v>
      </c>
      <c r="M1432" s="2">
        <f t="shared" si="248"/>
        <v>0</v>
      </c>
      <c r="N1432">
        <v>6.0000000000000001E-3</v>
      </c>
      <c r="P1432" s="2">
        <f t="shared" si="249"/>
        <v>1</v>
      </c>
      <c r="Q1432">
        <v>100</v>
      </c>
      <c r="R1432">
        <v>4.17</v>
      </c>
      <c r="S1432" t="s">
        <v>87</v>
      </c>
      <c r="T1432">
        <v>0</v>
      </c>
      <c r="U1432">
        <v>0</v>
      </c>
      <c r="V1432">
        <v>71.400000000000006</v>
      </c>
      <c r="W1432" s="2">
        <f t="shared" si="250"/>
        <v>1</v>
      </c>
      <c r="X1432">
        <v>23.7</v>
      </c>
      <c r="Z1432" s="2">
        <f t="shared" si="251"/>
        <v>1</v>
      </c>
      <c r="AA1432">
        <v>210.2</v>
      </c>
      <c r="AB1432" s="2" t="str">
        <f>CHOOSE(MATCH(AA1432,{0;11;80;111;161;191;241;281;341},1),"North","NorthEast","East","SouthEast","South","SouthWest","West","NorthWest","North")</f>
        <v>SouthWest</v>
      </c>
      <c r="AC1432" s="5">
        <f>CHOOSE(MATCH(AB1432,{"South";"SouthEast";"SouthWest";"North";"NorthEast";"East";"West";"NorthWest"},0),1,2,3,4,5,6,7,8)</f>
        <v>3</v>
      </c>
      <c r="AD1432" s="2">
        <f t="shared" si="252"/>
        <v>1</v>
      </c>
      <c r="AE1432">
        <v>1015</v>
      </c>
      <c r="AF1432" s="4" t="s">
        <v>2234</v>
      </c>
      <c r="AG1432" s="2">
        <f t="shared" si="253"/>
        <v>1</v>
      </c>
      <c r="AH1432" t="s">
        <v>2235</v>
      </c>
      <c r="AI1432" s="2">
        <f t="shared" si="254"/>
        <v>10</v>
      </c>
      <c r="AJ1432" s="2">
        <f t="shared" si="255"/>
        <v>0</v>
      </c>
      <c r="AK1432" s="3">
        <v>4656.9999999983702</v>
      </c>
      <c r="AM1432" s="2">
        <v>1</v>
      </c>
      <c r="AN1432">
        <v>0</v>
      </c>
      <c r="AO1432">
        <v>30</v>
      </c>
      <c r="AP1432">
        <v>0</v>
      </c>
      <c r="AQ1432" s="2">
        <f>IF((2*G1432 + M1432 -P1432 + 3*W1432 + 2*Z1432+2*AD1432 + AG1432+2*AJ1432 + 4*AM1432) &gt;=8,1,0)</f>
        <v>1</v>
      </c>
    </row>
    <row r="1433" spans="1:43" x14ac:dyDescent="0.25">
      <c r="A1433" t="s">
        <v>27</v>
      </c>
      <c r="B1433" s="1">
        <v>42652</v>
      </c>
      <c r="C1433" s="7">
        <f t="shared" si="247"/>
        <v>2016</v>
      </c>
      <c r="D1433">
        <v>77</v>
      </c>
      <c r="E1433">
        <v>61.3</v>
      </c>
      <c r="F1433">
        <v>68.599999999999994</v>
      </c>
      <c r="G1433" s="2">
        <f t="shared" si="256"/>
        <v>0</v>
      </c>
      <c r="H1433">
        <v>77</v>
      </c>
      <c r="I1433">
        <v>61.3</v>
      </c>
      <c r="J1433">
        <v>68.599999999999994</v>
      </c>
      <c r="K1433">
        <v>57.5</v>
      </c>
      <c r="L1433">
        <v>69</v>
      </c>
      <c r="M1433" s="2">
        <f t="shared" si="248"/>
        <v>0</v>
      </c>
      <c r="N1433">
        <v>0</v>
      </c>
      <c r="P1433" s="2">
        <f t="shared" si="249"/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15.9</v>
      </c>
      <c r="W1433" s="2">
        <f t="shared" si="250"/>
        <v>1</v>
      </c>
      <c r="X1433">
        <v>7.3</v>
      </c>
      <c r="Z1433" s="2">
        <f t="shared" si="251"/>
        <v>0</v>
      </c>
      <c r="AA1433">
        <v>21.3</v>
      </c>
      <c r="AB1433" s="2" t="str">
        <f>CHOOSE(MATCH(AA1433,{0;11;80;111;161;191;241;281;341},1),"North","NorthEast","East","SouthEast","South","SouthWest","West","NorthWest","North")</f>
        <v>NorthEast</v>
      </c>
      <c r="AC1433" s="5">
        <f>CHOOSE(MATCH(AB1433,{"South";"SouthEast";"SouthWest";"North";"NorthEast";"East";"West";"NorthWest"},0),1,2,3,4,5,6,7,8)</f>
        <v>5</v>
      </c>
      <c r="AD1433" s="2">
        <f t="shared" si="252"/>
        <v>1</v>
      </c>
      <c r="AE1433">
        <v>1018.3</v>
      </c>
      <c r="AF1433" s="4" t="s">
        <v>2236</v>
      </c>
      <c r="AG1433" s="2">
        <f t="shared" si="253"/>
        <v>1</v>
      </c>
      <c r="AH1433" t="s">
        <v>2237</v>
      </c>
      <c r="AI1433" s="2">
        <f t="shared" si="254"/>
        <v>10</v>
      </c>
      <c r="AJ1433" s="2">
        <f t="shared" si="255"/>
        <v>0</v>
      </c>
      <c r="AK1433" s="3">
        <v>12.000000007683409</v>
      </c>
      <c r="AM1433" s="2">
        <v>0</v>
      </c>
      <c r="AN1433">
        <v>0</v>
      </c>
      <c r="AO1433">
        <v>0.5</v>
      </c>
      <c r="AP1433">
        <v>0</v>
      </c>
      <c r="AQ1433" s="2">
        <f>IF((2*G1433 + M1433 -P1433 + 3*W1433 + 2*Z1433+2*AD1433 + AG1433+2*AJ1433 + 4*AM1433) &gt;=8,1,0)</f>
        <v>0</v>
      </c>
    </row>
    <row r="1434" spans="1:43" x14ac:dyDescent="0.25">
      <c r="A1434" t="s">
        <v>27</v>
      </c>
      <c r="B1434" s="1">
        <v>42661</v>
      </c>
      <c r="C1434" s="7">
        <f t="shared" si="247"/>
        <v>2016</v>
      </c>
      <c r="D1434">
        <v>63.8</v>
      </c>
      <c r="E1434">
        <v>58.4</v>
      </c>
      <c r="F1434">
        <v>60.9</v>
      </c>
      <c r="G1434" s="2">
        <f t="shared" si="256"/>
        <v>0</v>
      </c>
      <c r="H1434">
        <v>63.8</v>
      </c>
      <c r="I1434">
        <v>58.4</v>
      </c>
      <c r="J1434">
        <v>60.9</v>
      </c>
      <c r="K1434">
        <v>42.6</v>
      </c>
      <c r="L1434">
        <v>51.2</v>
      </c>
      <c r="M1434" s="2">
        <f t="shared" si="248"/>
        <v>0</v>
      </c>
      <c r="N1434">
        <v>0</v>
      </c>
      <c r="P1434" s="2">
        <f t="shared" si="249"/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42.2</v>
      </c>
      <c r="W1434" s="2">
        <f t="shared" si="250"/>
        <v>1</v>
      </c>
      <c r="X1434">
        <v>22</v>
      </c>
      <c r="Z1434" s="2">
        <f t="shared" si="251"/>
        <v>1</v>
      </c>
      <c r="AA1434">
        <v>8.9</v>
      </c>
      <c r="AB1434" s="2" t="str">
        <f>CHOOSE(MATCH(AA1434,{0;11;80;111;161;191;241;281;341},1),"North","NorthEast","East","SouthEast","South","SouthWest","West","NorthWest","North")</f>
        <v>North</v>
      </c>
      <c r="AC1434" s="5">
        <f>CHOOSE(MATCH(AB1434,{"South";"SouthEast";"SouthWest";"North";"NorthEast";"East";"West";"NorthWest"},0),1,2,3,4,5,6,7,8)</f>
        <v>4</v>
      </c>
      <c r="AD1434" s="2">
        <f t="shared" si="252"/>
        <v>1</v>
      </c>
      <c r="AE1434">
        <v>1023.9</v>
      </c>
      <c r="AF1434" s="4" t="s">
        <v>1040</v>
      </c>
      <c r="AG1434" s="2">
        <f t="shared" si="253"/>
        <v>0</v>
      </c>
      <c r="AH1434" t="s">
        <v>2238</v>
      </c>
      <c r="AI1434" s="2">
        <f t="shared" si="254"/>
        <v>10</v>
      </c>
      <c r="AJ1434" s="2">
        <f t="shared" si="255"/>
        <v>0</v>
      </c>
      <c r="AK1434" s="3">
        <v>399.99999999417918</v>
      </c>
      <c r="AM1434" s="2">
        <v>1</v>
      </c>
      <c r="AN1434">
        <v>0.2</v>
      </c>
      <c r="AO1434">
        <v>0</v>
      </c>
      <c r="AP1434">
        <v>0</v>
      </c>
      <c r="AQ1434" s="2">
        <f>IF((2*G1434 + M1434 -P1434 + 3*W1434 + 2*Z1434+2*AD1434 + AG1434+2*AJ1434 + 4*AM1434) &gt;=8,1,0)</f>
        <v>1</v>
      </c>
    </row>
    <row r="1435" spans="1:43" x14ac:dyDescent="0.25">
      <c r="A1435" t="s">
        <v>27</v>
      </c>
      <c r="B1435" s="1">
        <v>42689</v>
      </c>
      <c r="C1435" s="7">
        <f t="shared" si="247"/>
        <v>2016</v>
      </c>
      <c r="D1435">
        <v>58.5</v>
      </c>
      <c r="E1435">
        <v>52.4</v>
      </c>
      <c r="F1435">
        <v>55.1</v>
      </c>
      <c r="G1435" s="2">
        <f t="shared" si="256"/>
        <v>0</v>
      </c>
      <c r="H1435">
        <v>58.5</v>
      </c>
      <c r="I1435">
        <v>52.4</v>
      </c>
      <c r="J1435">
        <v>55.1</v>
      </c>
      <c r="K1435">
        <v>42.7</v>
      </c>
      <c r="L1435">
        <v>63.4</v>
      </c>
      <c r="M1435" s="2">
        <f t="shared" si="248"/>
        <v>0</v>
      </c>
      <c r="N1435">
        <v>0</v>
      </c>
      <c r="P1435" s="2">
        <f t="shared" si="249"/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25.7</v>
      </c>
      <c r="W1435" s="2">
        <f t="shared" si="250"/>
        <v>1</v>
      </c>
      <c r="X1435">
        <v>15.5</v>
      </c>
      <c r="Z1435" s="2">
        <f t="shared" si="251"/>
        <v>0</v>
      </c>
      <c r="AA1435">
        <v>11.7</v>
      </c>
      <c r="AB1435" s="2" t="str">
        <f>CHOOSE(MATCH(AA1435,{0;11;80;111;161;191;241;281;341},1),"North","NorthEast","East","SouthEast","South","SouthWest","West","NorthWest","North")</f>
        <v>NorthEast</v>
      </c>
      <c r="AC1435" s="5">
        <f>CHOOSE(MATCH(AB1435,{"South";"SouthEast";"SouthWest";"North";"NorthEast";"East";"West";"NorthWest"},0),1,2,3,4,5,6,7,8)</f>
        <v>5</v>
      </c>
      <c r="AD1435" s="2">
        <f t="shared" si="252"/>
        <v>1</v>
      </c>
      <c r="AE1435">
        <v>1026</v>
      </c>
      <c r="AF1435" s="4" t="s">
        <v>2239</v>
      </c>
      <c r="AG1435" s="2">
        <f t="shared" si="253"/>
        <v>1</v>
      </c>
      <c r="AH1435" t="s">
        <v>2240</v>
      </c>
      <c r="AI1435" s="2">
        <f t="shared" si="254"/>
        <v>11</v>
      </c>
      <c r="AJ1435" s="2">
        <f t="shared" si="255"/>
        <v>0</v>
      </c>
      <c r="AK1435" s="3">
        <v>90</v>
      </c>
      <c r="AM1435" s="2">
        <v>0</v>
      </c>
      <c r="AN1435">
        <v>0.1</v>
      </c>
      <c r="AO1435">
        <v>0</v>
      </c>
      <c r="AP1435">
        <v>0</v>
      </c>
      <c r="AQ1435" s="2">
        <f>IF((2*G1435 + M1435 -P1435 + 3*W1435 + 2*Z1435+2*AD1435 + AG1435+2*AJ1435 + 4*AM1435) &gt;=8,1,0)</f>
        <v>0</v>
      </c>
    </row>
    <row r="1436" spans="1:43" x14ac:dyDescent="0.25">
      <c r="A1436" t="s">
        <v>27</v>
      </c>
      <c r="B1436" s="1">
        <v>42707</v>
      </c>
      <c r="C1436" s="7">
        <f t="shared" si="247"/>
        <v>2016</v>
      </c>
      <c r="D1436">
        <v>61.4</v>
      </c>
      <c r="E1436">
        <v>44.6</v>
      </c>
      <c r="F1436">
        <v>53.8</v>
      </c>
      <c r="G1436" s="2">
        <f t="shared" si="256"/>
        <v>0</v>
      </c>
      <c r="H1436">
        <v>61.4</v>
      </c>
      <c r="I1436">
        <v>44.6</v>
      </c>
      <c r="J1436">
        <v>53.8</v>
      </c>
      <c r="K1436">
        <v>43.8</v>
      </c>
      <c r="L1436">
        <v>69.599999999999994</v>
      </c>
      <c r="M1436" s="2">
        <f t="shared" si="248"/>
        <v>0</v>
      </c>
      <c r="N1436">
        <v>2E-3</v>
      </c>
      <c r="P1436" s="2">
        <f t="shared" si="249"/>
        <v>1</v>
      </c>
      <c r="Q1436">
        <v>100</v>
      </c>
      <c r="R1436">
        <v>4.17</v>
      </c>
      <c r="S1436" t="s">
        <v>87</v>
      </c>
      <c r="T1436">
        <v>0</v>
      </c>
      <c r="U1436">
        <v>0</v>
      </c>
      <c r="V1436">
        <v>16.100000000000001</v>
      </c>
      <c r="W1436" s="2">
        <f t="shared" si="250"/>
        <v>1</v>
      </c>
      <c r="X1436">
        <v>10.1</v>
      </c>
      <c r="Z1436" s="2">
        <f t="shared" si="251"/>
        <v>0</v>
      </c>
      <c r="AA1436">
        <v>29.8</v>
      </c>
      <c r="AB1436" s="2" t="str">
        <f>CHOOSE(MATCH(AA1436,{0;11;80;111;161;191;241;281;341},1),"North","NorthEast","East","SouthEast","South","SouthWest","West","NorthWest","North")</f>
        <v>NorthEast</v>
      </c>
      <c r="AC1436" s="5">
        <f>CHOOSE(MATCH(AB1436,{"South";"SouthEast";"SouthWest";"North";"NorthEast";"East";"West";"NorthWest"},0),1,2,3,4,5,6,7,8)</f>
        <v>5</v>
      </c>
      <c r="AD1436" s="2">
        <f t="shared" si="252"/>
        <v>1</v>
      </c>
      <c r="AE1436">
        <v>1020</v>
      </c>
      <c r="AF1436" s="4" t="s">
        <v>2241</v>
      </c>
      <c r="AG1436" s="2">
        <f t="shared" si="253"/>
        <v>0</v>
      </c>
      <c r="AH1436" t="s">
        <v>2242</v>
      </c>
      <c r="AI1436" s="2">
        <f t="shared" si="254"/>
        <v>12</v>
      </c>
      <c r="AJ1436" s="2">
        <f t="shared" si="255"/>
        <v>0</v>
      </c>
      <c r="AK1436" s="3">
        <v>65.000000002328306</v>
      </c>
      <c r="AM1436" s="2">
        <v>0</v>
      </c>
      <c r="AN1436">
        <v>0</v>
      </c>
      <c r="AO1436">
        <v>0.1</v>
      </c>
      <c r="AP1436">
        <v>0</v>
      </c>
      <c r="AQ1436" s="2">
        <f>IF((2*G1436 + M1436 -P1436 + 3*W1436 + 2*Z1436+2*AD1436 + AG1436+2*AJ1436 + 4*AM1436) &gt;=8,1,0)</f>
        <v>0</v>
      </c>
    </row>
    <row r="1437" spans="1:43" x14ac:dyDescent="0.25">
      <c r="A1437" t="s">
        <v>27</v>
      </c>
      <c r="B1437" s="1">
        <v>42721</v>
      </c>
      <c r="C1437" s="7">
        <f t="shared" si="247"/>
        <v>2016</v>
      </c>
      <c r="D1437">
        <v>46.4</v>
      </c>
      <c r="E1437">
        <v>41</v>
      </c>
      <c r="F1437">
        <v>43.3</v>
      </c>
      <c r="G1437" s="2">
        <f t="shared" si="256"/>
        <v>0</v>
      </c>
      <c r="H1437">
        <v>39.1</v>
      </c>
      <c r="I1437">
        <v>33.200000000000003</v>
      </c>
      <c r="J1437">
        <v>36.4</v>
      </c>
      <c r="K1437">
        <v>27.3</v>
      </c>
      <c r="L1437">
        <v>53.4</v>
      </c>
      <c r="M1437" s="2">
        <f t="shared" si="248"/>
        <v>0</v>
      </c>
      <c r="N1437">
        <v>0</v>
      </c>
      <c r="P1437" s="2">
        <f t="shared" si="249"/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38</v>
      </c>
      <c r="W1437" s="2">
        <f t="shared" si="250"/>
        <v>1</v>
      </c>
      <c r="X1437">
        <v>20.8</v>
      </c>
      <c r="Z1437" s="2">
        <f t="shared" si="251"/>
        <v>1</v>
      </c>
      <c r="AA1437">
        <v>15.9</v>
      </c>
      <c r="AB1437" s="2" t="str">
        <f>CHOOSE(MATCH(AA1437,{0;11;80;111;161;191;241;281;341},1),"North","NorthEast","East","SouthEast","South","SouthWest","West","NorthWest","North")</f>
        <v>NorthEast</v>
      </c>
      <c r="AC1437" s="5">
        <f>CHOOSE(MATCH(AB1437,{"South";"SouthEast";"SouthWest";"North";"NorthEast";"East";"West";"NorthWest"},0),1,2,3,4,5,6,7,8)</f>
        <v>5</v>
      </c>
      <c r="AD1437" s="2">
        <f t="shared" si="252"/>
        <v>1</v>
      </c>
      <c r="AE1437">
        <v>1034.3</v>
      </c>
      <c r="AF1437" s="4" t="s">
        <v>2243</v>
      </c>
      <c r="AG1437" s="2">
        <f t="shared" si="253"/>
        <v>1</v>
      </c>
      <c r="AH1437" t="s">
        <v>2244</v>
      </c>
      <c r="AI1437" s="2">
        <f t="shared" si="254"/>
        <v>12</v>
      </c>
      <c r="AJ1437" s="2">
        <f t="shared" si="255"/>
        <v>0</v>
      </c>
      <c r="AK1437" s="3">
        <v>128.00000000861471</v>
      </c>
      <c r="AM1437" s="2">
        <v>0</v>
      </c>
      <c r="AN1437">
        <v>0.08</v>
      </c>
      <c r="AO1437">
        <v>0</v>
      </c>
      <c r="AP1437">
        <v>0</v>
      </c>
      <c r="AQ1437" s="2">
        <f>IF((2*G1437 + M1437 -P1437 + 3*W1437 + 2*Z1437+2*AD1437 + AG1437+2*AJ1437 + 4*AM1437) &gt;=8,1,0)</f>
        <v>0</v>
      </c>
    </row>
    <row r="1438" spans="1:43" x14ac:dyDescent="0.25">
      <c r="A1438" t="s">
        <v>27</v>
      </c>
      <c r="B1438" s="1">
        <v>42722</v>
      </c>
      <c r="C1438" s="7">
        <f t="shared" si="247"/>
        <v>2016</v>
      </c>
      <c r="D1438">
        <v>52.4</v>
      </c>
      <c r="E1438">
        <v>35</v>
      </c>
      <c r="F1438">
        <v>42.6</v>
      </c>
      <c r="G1438" s="2">
        <f t="shared" si="256"/>
        <v>0</v>
      </c>
      <c r="H1438">
        <v>52.4</v>
      </c>
      <c r="I1438">
        <v>32.1</v>
      </c>
      <c r="J1438">
        <v>40.200000000000003</v>
      </c>
      <c r="K1438">
        <v>24.5</v>
      </c>
      <c r="L1438">
        <v>49.8</v>
      </c>
      <c r="M1438" s="2">
        <f t="shared" si="248"/>
        <v>0</v>
      </c>
      <c r="N1438">
        <v>0</v>
      </c>
      <c r="P1438" s="2">
        <f t="shared" si="249"/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19.899999999999999</v>
      </c>
      <c r="W1438" s="2">
        <f t="shared" si="250"/>
        <v>1</v>
      </c>
      <c r="X1438">
        <v>9.1999999999999993</v>
      </c>
      <c r="Z1438" s="2">
        <f t="shared" si="251"/>
        <v>0</v>
      </c>
      <c r="AA1438">
        <v>343.9</v>
      </c>
      <c r="AB1438" s="2" t="str">
        <f>CHOOSE(MATCH(AA1438,{0;11;80;111;161;191;241;281;341},1),"North","NorthEast","East","SouthEast","South","SouthWest","West","NorthWest","North")</f>
        <v>North</v>
      </c>
      <c r="AC1438" s="5">
        <f>CHOOSE(MATCH(AB1438,{"South";"SouthEast";"SouthWest";"North";"NorthEast";"East";"West";"NorthWest"},0),1,2,3,4,5,6,7,8)</f>
        <v>4</v>
      </c>
      <c r="AD1438" s="2">
        <f t="shared" si="252"/>
        <v>1</v>
      </c>
      <c r="AE1438">
        <v>1032.2</v>
      </c>
      <c r="AF1438" s="4" t="s">
        <v>2245</v>
      </c>
      <c r="AG1438" s="2">
        <f t="shared" si="253"/>
        <v>1</v>
      </c>
      <c r="AH1438" t="s">
        <v>2246</v>
      </c>
      <c r="AI1438" s="2">
        <f t="shared" si="254"/>
        <v>12</v>
      </c>
      <c r="AJ1438" s="2">
        <f t="shared" si="255"/>
        <v>0</v>
      </c>
      <c r="AK1438" s="3">
        <v>45.99999999278225</v>
      </c>
      <c r="AM1438" s="2">
        <v>0</v>
      </c>
      <c r="AN1438">
        <v>0</v>
      </c>
      <c r="AO1438">
        <v>0.5</v>
      </c>
      <c r="AP1438">
        <v>0</v>
      </c>
      <c r="AQ1438" s="2">
        <f>IF((2*G1438 + M1438 -P1438 + 3*W1438 + 2*Z1438+2*AD1438 + AG1438+2*AJ1438 + 4*AM1438) &gt;=8,1,0)</f>
        <v>0</v>
      </c>
    </row>
    <row r="1439" spans="1:43" x14ac:dyDescent="0.25">
      <c r="A1439" t="s">
        <v>27</v>
      </c>
      <c r="B1439" s="1">
        <v>42726</v>
      </c>
      <c r="C1439" s="7">
        <f t="shared" si="247"/>
        <v>2016</v>
      </c>
      <c r="D1439">
        <v>45.2</v>
      </c>
      <c r="E1439">
        <v>40.6</v>
      </c>
      <c r="F1439">
        <v>43.1</v>
      </c>
      <c r="G1439" s="2">
        <f t="shared" si="256"/>
        <v>0</v>
      </c>
      <c r="H1439">
        <v>38.200000000000003</v>
      </c>
      <c r="I1439">
        <v>33.200000000000003</v>
      </c>
      <c r="J1439">
        <v>35.799999999999997</v>
      </c>
      <c r="K1439">
        <v>29.2</v>
      </c>
      <c r="L1439">
        <v>57.8</v>
      </c>
      <c r="M1439" s="2">
        <f t="shared" si="248"/>
        <v>0</v>
      </c>
      <c r="N1439">
        <v>5.0000000000000001E-3</v>
      </c>
      <c r="P1439" s="2">
        <f t="shared" si="249"/>
        <v>1</v>
      </c>
      <c r="Q1439">
        <v>100</v>
      </c>
      <c r="R1439">
        <v>12.5</v>
      </c>
      <c r="S1439" t="s">
        <v>87</v>
      </c>
      <c r="T1439">
        <v>0</v>
      </c>
      <c r="U1439">
        <v>0</v>
      </c>
      <c r="V1439">
        <v>41.8</v>
      </c>
      <c r="W1439" s="2">
        <f t="shared" si="250"/>
        <v>1</v>
      </c>
      <c r="X1439">
        <v>21.3</v>
      </c>
      <c r="Z1439" s="2">
        <f t="shared" si="251"/>
        <v>1</v>
      </c>
      <c r="AA1439">
        <v>353.3</v>
      </c>
      <c r="AB1439" s="2" t="str">
        <f>CHOOSE(MATCH(AA1439,{0;11;80;111;161;191;241;281;341},1),"North","NorthEast","East","SouthEast","South","SouthWest","West","NorthWest","North")</f>
        <v>North</v>
      </c>
      <c r="AC1439" s="5">
        <f>CHOOSE(MATCH(AB1439,{"South";"SouthEast";"SouthWest";"North";"NorthEast";"East";"West";"NorthWest"},0),1,2,3,4,5,6,7,8)</f>
        <v>4</v>
      </c>
      <c r="AD1439" s="2">
        <f t="shared" si="252"/>
        <v>1</v>
      </c>
      <c r="AE1439">
        <v>1025.8</v>
      </c>
      <c r="AF1439" s="4" t="s">
        <v>2247</v>
      </c>
      <c r="AG1439" s="2">
        <f t="shared" si="253"/>
        <v>1</v>
      </c>
      <c r="AH1439" t="s">
        <v>2248</v>
      </c>
      <c r="AI1439" s="2">
        <f t="shared" si="254"/>
        <v>12</v>
      </c>
      <c r="AJ1439" s="2">
        <f t="shared" si="255"/>
        <v>0</v>
      </c>
      <c r="AK1439" s="3">
        <v>182.99999999930151</v>
      </c>
      <c r="AM1439" s="2">
        <v>0</v>
      </c>
      <c r="AN1439">
        <v>0.05</v>
      </c>
      <c r="AO1439">
        <v>0</v>
      </c>
      <c r="AP1439">
        <v>0</v>
      </c>
      <c r="AQ1439" s="2">
        <f>IF((2*G1439 + M1439 -P1439 + 3*W1439 + 2*Z1439+2*AD1439 + AG1439+2*AJ1439 + 4*AM1439) &gt;=8,1,0)</f>
        <v>0</v>
      </c>
    </row>
    <row r="1440" spans="1:43" x14ac:dyDescent="0.25">
      <c r="A1440" t="s">
        <v>27</v>
      </c>
      <c r="B1440" s="1">
        <v>42727</v>
      </c>
      <c r="C1440" s="7">
        <f t="shared" si="247"/>
        <v>2016</v>
      </c>
      <c r="D1440">
        <v>46.9</v>
      </c>
      <c r="E1440">
        <v>42.7</v>
      </c>
      <c r="F1440">
        <v>44.8</v>
      </c>
      <c r="G1440" s="2">
        <f t="shared" si="256"/>
        <v>0</v>
      </c>
      <c r="H1440">
        <v>41.8</v>
      </c>
      <c r="I1440">
        <v>34.200000000000003</v>
      </c>
      <c r="J1440">
        <v>38.700000000000003</v>
      </c>
      <c r="K1440">
        <v>32.700000000000003</v>
      </c>
      <c r="L1440">
        <v>62.4</v>
      </c>
      <c r="M1440" s="2">
        <f t="shared" si="248"/>
        <v>0</v>
      </c>
      <c r="N1440">
        <v>3.5999999999999997E-2</v>
      </c>
      <c r="P1440" s="2">
        <f t="shared" si="249"/>
        <v>0</v>
      </c>
      <c r="Q1440">
        <v>100</v>
      </c>
      <c r="R1440">
        <v>12.5</v>
      </c>
      <c r="S1440" t="s">
        <v>87</v>
      </c>
      <c r="T1440">
        <v>0</v>
      </c>
      <c r="U1440">
        <v>0</v>
      </c>
      <c r="V1440">
        <v>42.5</v>
      </c>
      <c r="W1440" s="2">
        <f t="shared" si="250"/>
        <v>1</v>
      </c>
      <c r="X1440">
        <v>19.7</v>
      </c>
      <c r="Z1440" s="2">
        <f t="shared" si="251"/>
        <v>1</v>
      </c>
      <c r="AA1440">
        <v>344.2</v>
      </c>
      <c r="AB1440" s="2" t="str">
        <f>CHOOSE(MATCH(AA1440,{0;11;80;111;161;191;241;281;341},1),"North","NorthEast","East","SouthEast","South","SouthWest","West","NorthWest","North")</f>
        <v>North</v>
      </c>
      <c r="AC1440" s="5">
        <f>CHOOSE(MATCH(AB1440,{"South";"SouthEast";"SouthWest";"North";"NorthEast";"East";"West";"NorthWest"},0),1,2,3,4,5,6,7,8)</f>
        <v>4</v>
      </c>
      <c r="AD1440" s="2">
        <f t="shared" si="252"/>
        <v>1</v>
      </c>
      <c r="AE1440">
        <v>1024.3</v>
      </c>
      <c r="AF1440" s="4" t="s">
        <v>1161</v>
      </c>
      <c r="AG1440" s="2">
        <f t="shared" si="253"/>
        <v>1</v>
      </c>
      <c r="AH1440" t="s">
        <v>2249</v>
      </c>
      <c r="AI1440" s="2">
        <f t="shared" si="254"/>
        <v>12</v>
      </c>
      <c r="AJ1440" s="2">
        <f t="shared" si="255"/>
        <v>0</v>
      </c>
      <c r="AK1440" s="3">
        <v>149.99999999650751</v>
      </c>
      <c r="AM1440" s="2">
        <v>0</v>
      </c>
      <c r="AN1440">
        <v>0</v>
      </c>
      <c r="AO1440">
        <v>0.4</v>
      </c>
      <c r="AP1440">
        <v>0</v>
      </c>
      <c r="AQ1440" s="2">
        <f>IF((2*G1440 + M1440 -P1440 + 3*W1440 + 2*Z1440+2*AD1440 + AG1440+2*AJ1440 + 4*AM1440) &gt;=8,1,0)</f>
        <v>1</v>
      </c>
    </row>
    <row r="1441" spans="1:43" x14ac:dyDescent="0.25">
      <c r="A1441" t="s">
        <v>27</v>
      </c>
      <c r="B1441" s="1">
        <v>42769</v>
      </c>
      <c r="C1441" s="7">
        <f t="shared" si="247"/>
        <v>2017</v>
      </c>
      <c r="D1441">
        <v>61.9</v>
      </c>
      <c r="E1441">
        <v>44.6</v>
      </c>
      <c r="F1441">
        <v>52.7</v>
      </c>
      <c r="G1441" s="2">
        <f t="shared" si="256"/>
        <v>0</v>
      </c>
      <c r="H1441">
        <v>61.9</v>
      </c>
      <c r="I1441">
        <v>43.1</v>
      </c>
      <c r="J1441">
        <v>52.5</v>
      </c>
      <c r="K1441">
        <v>44.8</v>
      </c>
      <c r="L1441">
        <v>75.7</v>
      </c>
      <c r="M1441" s="2">
        <f t="shared" si="248"/>
        <v>0</v>
      </c>
      <c r="N1441">
        <v>0</v>
      </c>
      <c r="O1441">
        <f>AVERAGE(N1441:N1498)</f>
        <v>2.8517241379310342E-2</v>
      </c>
      <c r="P1441" s="2">
        <f t="shared" si="249"/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25.3</v>
      </c>
      <c r="W1441" s="2">
        <f t="shared" si="250"/>
        <v>1</v>
      </c>
      <c r="X1441">
        <v>11.3</v>
      </c>
      <c r="Y1441">
        <f>AVERAGE(X1441:X1498)</f>
        <v>16.501724137931031</v>
      </c>
      <c r="Z1441" s="2">
        <f t="shared" si="251"/>
        <v>0</v>
      </c>
      <c r="AA1441">
        <v>218.7</v>
      </c>
      <c r="AB1441" s="2" t="str">
        <f>CHOOSE(MATCH(AA1441,{0;11;80;111;161;191;241;281;341},1),"North","NorthEast","East","SouthEast","South","SouthWest","West","NorthWest","North")</f>
        <v>SouthWest</v>
      </c>
      <c r="AC1441" s="5">
        <f>CHOOSE(MATCH(AB1441,{"South";"SouthEast";"SouthWest";"North";"NorthEast";"East";"West";"NorthWest"},0),1,2,3,4,5,6,7,8)</f>
        <v>3</v>
      </c>
      <c r="AD1441" s="2">
        <f t="shared" si="252"/>
        <v>1</v>
      </c>
      <c r="AE1441">
        <v>1025.3</v>
      </c>
      <c r="AF1441" s="4" t="s">
        <v>2251</v>
      </c>
      <c r="AG1441" s="2">
        <f t="shared" si="253"/>
        <v>1</v>
      </c>
      <c r="AH1441" t="s">
        <v>2252</v>
      </c>
      <c r="AI1441" s="2">
        <f t="shared" si="254"/>
        <v>2</v>
      </c>
      <c r="AJ1441" s="2">
        <f t="shared" si="255"/>
        <v>0</v>
      </c>
      <c r="AK1441" s="3">
        <v>169.99999999883579</v>
      </c>
      <c r="AL1441" s="3">
        <f>AVERAGE(AK1441:AK1498)</f>
        <v>2119.6896551723457</v>
      </c>
      <c r="AM1441" s="2">
        <v>0</v>
      </c>
      <c r="AN1441">
        <v>0.1</v>
      </c>
      <c r="AO1441">
        <v>0</v>
      </c>
      <c r="AP1441">
        <v>0</v>
      </c>
      <c r="AQ1441" s="2">
        <f>IF((2*G1441 + M1441 -P1441 + 3*W1441 + 2*Z1441+2*AD1441 + AG1441+2*AJ1441 + 4*AM1441) &gt;=8,1,0)</f>
        <v>0</v>
      </c>
    </row>
    <row r="1442" spans="1:43" x14ac:dyDescent="0.25">
      <c r="A1442" t="s">
        <v>27</v>
      </c>
      <c r="B1442" s="1">
        <v>42770</v>
      </c>
      <c r="C1442" s="7">
        <f t="shared" si="247"/>
        <v>2017</v>
      </c>
      <c r="D1442">
        <v>63.8</v>
      </c>
      <c r="E1442">
        <v>45.9</v>
      </c>
      <c r="F1442">
        <v>54.4</v>
      </c>
      <c r="G1442" s="2">
        <f t="shared" si="256"/>
        <v>0</v>
      </c>
      <c r="H1442">
        <v>63.8</v>
      </c>
      <c r="I1442">
        <v>43.6</v>
      </c>
      <c r="J1442">
        <v>54.3</v>
      </c>
      <c r="K1442">
        <v>44</v>
      </c>
      <c r="L1442">
        <v>69.3</v>
      </c>
      <c r="M1442" s="2">
        <f t="shared" si="248"/>
        <v>0</v>
      </c>
      <c r="N1442">
        <v>0</v>
      </c>
      <c r="P1442" s="2">
        <f t="shared" si="249"/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22.6</v>
      </c>
      <c r="W1442" s="2">
        <f t="shared" si="250"/>
        <v>1</v>
      </c>
      <c r="X1442">
        <v>12.8</v>
      </c>
      <c r="Z1442" s="2">
        <f t="shared" si="251"/>
        <v>0</v>
      </c>
      <c r="AA1442">
        <v>241.5</v>
      </c>
      <c r="AB1442" s="2" t="str">
        <f>CHOOSE(MATCH(AA1442,{0;11;80;111;161;191;241;281;341},1),"North","NorthEast","East","SouthEast","South","SouthWest","West","NorthWest","North")</f>
        <v>West</v>
      </c>
      <c r="AC1442" s="5">
        <f>CHOOSE(MATCH(AB1442,{"South";"SouthEast";"SouthWest";"North";"NorthEast";"East";"West";"NorthWest"},0),1,2,3,4,5,6,7,8)</f>
        <v>7</v>
      </c>
      <c r="AD1442" s="2">
        <f t="shared" si="252"/>
        <v>0</v>
      </c>
      <c r="AE1442">
        <v>1021.2</v>
      </c>
      <c r="AF1442" s="4" t="s">
        <v>1247</v>
      </c>
      <c r="AG1442" s="2">
        <f t="shared" si="253"/>
        <v>1</v>
      </c>
      <c r="AH1442" t="s">
        <v>2253</v>
      </c>
      <c r="AI1442" s="2">
        <f t="shared" si="254"/>
        <v>2</v>
      </c>
      <c r="AJ1442" s="2">
        <f t="shared" si="255"/>
        <v>0</v>
      </c>
      <c r="AK1442" s="3">
        <v>81.999999994877726</v>
      </c>
      <c r="AM1442" s="2">
        <v>0</v>
      </c>
      <c r="AN1442">
        <v>0</v>
      </c>
      <c r="AO1442">
        <v>0.2</v>
      </c>
      <c r="AP1442">
        <v>0</v>
      </c>
      <c r="AQ1442" s="2">
        <f>IF((2*G1442 + M1442 -P1442 + 3*W1442 + 2*Z1442+2*AD1442 + AG1442+2*AJ1442 + 4*AM1442) &gt;=8,1,0)</f>
        <v>0</v>
      </c>
    </row>
    <row r="1443" spans="1:43" x14ac:dyDescent="0.25">
      <c r="A1443" t="s">
        <v>27</v>
      </c>
      <c r="B1443" s="1">
        <v>42771</v>
      </c>
      <c r="C1443" s="7">
        <f t="shared" si="247"/>
        <v>2017</v>
      </c>
      <c r="D1443">
        <v>62.9</v>
      </c>
      <c r="E1443">
        <v>51.9</v>
      </c>
      <c r="F1443">
        <v>56.9</v>
      </c>
      <c r="G1443" s="2">
        <f t="shared" si="256"/>
        <v>0</v>
      </c>
      <c r="H1443">
        <v>62.9</v>
      </c>
      <c r="I1443">
        <v>51.9</v>
      </c>
      <c r="J1443">
        <v>56.9</v>
      </c>
      <c r="K1443">
        <v>45.7</v>
      </c>
      <c r="L1443">
        <v>66.400000000000006</v>
      </c>
      <c r="M1443" s="2">
        <f t="shared" si="248"/>
        <v>0</v>
      </c>
      <c r="N1443">
        <v>0</v>
      </c>
      <c r="P1443" s="2">
        <f t="shared" si="249"/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27.7</v>
      </c>
      <c r="W1443" s="2">
        <f t="shared" si="250"/>
        <v>1</v>
      </c>
      <c r="X1443">
        <v>14.4</v>
      </c>
      <c r="Z1443" s="2">
        <f t="shared" si="251"/>
        <v>0</v>
      </c>
      <c r="AA1443">
        <v>221.9</v>
      </c>
      <c r="AB1443" s="2" t="str">
        <f>CHOOSE(MATCH(AA1443,{0;11;80;111;161;191;241;281;341},1),"North","NorthEast","East","SouthEast","South","SouthWest","West","NorthWest","North")</f>
        <v>SouthWest</v>
      </c>
      <c r="AC1443" s="5">
        <f>CHOOSE(MATCH(AB1443,{"South";"SouthEast";"SouthWest";"North";"NorthEast";"East";"West";"NorthWest"},0),1,2,3,4,5,6,7,8)</f>
        <v>3</v>
      </c>
      <c r="AD1443" s="2">
        <f t="shared" si="252"/>
        <v>1</v>
      </c>
      <c r="AE1443">
        <v>1016.3</v>
      </c>
      <c r="AF1443" s="4" t="s">
        <v>2200</v>
      </c>
      <c r="AG1443" s="2">
        <f t="shared" si="253"/>
        <v>0</v>
      </c>
      <c r="AH1443" t="s">
        <v>2254</v>
      </c>
      <c r="AI1443" s="2">
        <f t="shared" si="254"/>
        <v>2</v>
      </c>
      <c r="AJ1443" s="2">
        <f t="shared" si="255"/>
        <v>0</v>
      </c>
      <c r="AK1443" s="3">
        <v>47.999999999301508</v>
      </c>
      <c r="AM1443" s="2">
        <v>0</v>
      </c>
      <c r="AN1443">
        <v>0</v>
      </c>
      <c r="AO1443">
        <v>1.5</v>
      </c>
      <c r="AP1443">
        <v>0</v>
      </c>
      <c r="AQ1443" s="2">
        <f>IF((2*G1443 + M1443 -P1443 + 3*W1443 + 2*Z1443+2*AD1443 + AG1443+2*AJ1443 + 4*AM1443) &gt;=8,1,0)</f>
        <v>0</v>
      </c>
    </row>
    <row r="1444" spans="1:43" x14ac:dyDescent="0.25">
      <c r="A1444" t="s">
        <v>27</v>
      </c>
      <c r="B1444" s="1">
        <v>42789</v>
      </c>
      <c r="C1444" s="7">
        <f t="shared" si="247"/>
        <v>2017</v>
      </c>
      <c r="D1444">
        <v>68</v>
      </c>
      <c r="E1444">
        <v>41</v>
      </c>
      <c r="F1444">
        <v>54</v>
      </c>
      <c r="G1444" s="2">
        <f t="shared" si="256"/>
        <v>0</v>
      </c>
      <c r="H1444">
        <v>68</v>
      </c>
      <c r="I1444">
        <v>41</v>
      </c>
      <c r="J1444">
        <v>53.9</v>
      </c>
      <c r="K1444">
        <v>42.1</v>
      </c>
      <c r="L1444">
        <v>67.7</v>
      </c>
      <c r="M1444" s="2">
        <f t="shared" si="248"/>
        <v>0</v>
      </c>
      <c r="N1444">
        <v>0</v>
      </c>
      <c r="P1444" s="2">
        <f t="shared" si="249"/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22.6</v>
      </c>
      <c r="W1444" s="2">
        <f t="shared" si="250"/>
        <v>1</v>
      </c>
      <c r="X1444">
        <v>12.7</v>
      </c>
      <c r="Z1444" s="2">
        <f t="shared" si="251"/>
        <v>0</v>
      </c>
      <c r="AA1444">
        <v>209.2</v>
      </c>
      <c r="AB1444" s="2" t="str">
        <f>CHOOSE(MATCH(AA1444,{0;11;80;111;161;191;241;281;341},1),"North","NorthEast","East","SouthEast","South","SouthWest","West","NorthWest","North")</f>
        <v>SouthWest</v>
      </c>
      <c r="AC1444" s="5">
        <f>CHOOSE(MATCH(AB1444,{"South";"SouthEast";"SouthWest";"North";"NorthEast";"East";"West";"NorthWest"},0),1,2,3,4,5,6,7,8)</f>
        <v>3</v>
      </c>
      <c r="AD1444" s="2">
        <f t="shared" si="252"/>
        <v>1</v>
      </c>
      <c r="AE1444">
        <v>1018.5</v>
      </c>
      <c r="AF1444" s="4" t="s">
        <v>2255</v>
      </c>
      <c r="AG1444" s="2">
        <f t="shared" si="253"/>
        <v>1</v>
      </c>
      <c r="AH1444" t="s">
        <v>2256</v>
      </c>
      <c r="AI1444" s="2">
        <f t="shared" si="254"/>
        <v>2</v>
      </c>
      <c r="AJ1444" s="2">
        <f t="shared" si="255"/>
        <v>0</v>
      </c>
      <c r="AK1444" s="3">
        <v>820.00000000116415</v>
      </c>
      <c r="AM1444" s="2">
        <v>1</v>
      </c>
      <c r="AN1444">
        <v>0</v>
      </c>
      <c r="AO1444">
        <v>5</v>
      </c>
      <c r="AP1444">
        <v>0</v>
      </c>
      <c r="AQ1444" s="2">
        <f>IF((2*G1444 + M1444 -P1444 + 3*W1444 + 2*Z1444+2*AD1444 + AG1444+2*AJ1444 + 4*AM1444) &gt;=8,1,0)</f>
        <v>1</v>
      </c>
    </row>
    <row r="1445" spans="1:43" x14ac:dyDescent="0.25">
      <c r="A1445" t="s">
        <v>27</v>
      </c>
      <c r="B1445" s="1">
        <v>42815</v>
      </c>
      <c r="C1445" s="7">
        <f t="shared" si="247"/>
        <v>2017</v>
      </c>
      <c r="D1445">
        <v>68.5</v>
      </c>
      <c r="E1445">
        <v>47</v>
      </c>
      <c r="F1445">
        <v>57.4</v>
      </c>
      <c r="G1445" s="2">
        <f t="shared" si="256"/>
        <v>0</v>
      </c>
      <c r="H1445">
        <v>68.5</v>
      </c>
      <c r="I1445">
        <v>45.6</v>
      </c>
      <c r="J1445">
        <v>57.3</v>
      </c>
      <c r="K1445">
        <v>48.5</v>
      </c>
      <c r="L1445">
        <v>73.3</v>
      </c>
      <c r="M1445" s="2">
        <f t="shared" si="248"/>
        <v>0</v>
      </c>
      <c r="N1445">
        <v>0</v>
      </c>
      <c r="P1445" s="2">
        <f t="shared" si="249"/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20.8</v>
      </c>
      <c r="W1445" s="2">
        <f t="shared" si="250"/>
        <v>1</v>
      </c>
      <c r="X1445">
        <v>8.4</v>
      </c>
      <c r="Z1445" s="2">
        <f t="shared" si="251"/>
        <v>0</v>
      </c>
      <c r="AA1445">
        <v>114.6</v>
      </c>
      <c r="AB1445" s="2" t="str">
        <f>CHOOSE(MATCH(AA1445,{0;11;80;111;161;191;241;281;341},1),"North","NorthEast","East","SouthEast","South","SouthWest","West","NorthWest","North")</f>
        <v>SouthEast</v>
      </c>
      <c r="AC1445" s="5">
        <f>CHOOSE(MATCH(AB1445,{"South";"SouthEast";"SouthWest";"North";"NorthEast";"East";"West";"NorthWest"},0),1,2,3,4,5,6,7,8)</f>
        <v>2</v>
      </c>
      <c r="AD1445" s="2">
        <f t="shared" si="252"/>
        <v>0</v>
      </c>
      <c r="AE1445">
        <v>1012.8</v>
      </c>
      <c r="AF1445" s="4" t="s">
        <v>2067</v>
      </c>
      <c r="AG1445" s="2">
        <f t="shared" si="253"/>
        <v>0</v>
      </c>
      <c r="AH1445" t="s">
        <v>2257</v>
      </c>
      <c r="AI1445" s="2">
        <f t="shared" si="254"/>
        <v>3</v>
      </c>
      <c r="AJ1445" s="2">
        <f t="shared" si="255"/>
        <v>0</v>
      </c>
      <c r="AK1445" s="3">
        <v>326.00000000442378</v>
      </c>
      <c r="AM1445" s="2">
        <v>0</v>
      </c>
      <c r="AN1445">
        <v>4</v>
      </c>
      <c r="AO1445">
        <v>4</v>
      </c>
      <c r="AP1445">
        <v>0</v>
      </c>
      <c r="AQ1445" s="2">
        <f>IF((2*G1445 + M1445 -P1445 + 3*W1445 + 2*Z1445+2*AD1445 + AG1445+2*AJ1445 + 4*AM1445) &gt;=8,1,0)</f>
        <v>0</v>
      </c>
    </row>
    <row r="1446" spans="1:43" x14ac:dyDescent="0.25">
      <c r="A1446" t="s">
        <v>27</v>
      </c>
      <c r="B1446" s="1">
        <v>42831</v>
      </c>
      <c r="C1446" s="7">
        <f t="shared" ref="C1446:C1502" si="257">YEAR(B1446)</f>
        <v>2017</v>
      </c>
      <c r="D1446">
        <v>68.599999999999994</v>
      </c>
      <c r="E1446">
        <v>48.4</v>
      </c>
      <c r="F1446">
        <v>58.3</v>
      </c>
      <c r="G1446" s="2">
        <f t="shared" si="256"/>
        <v>0</v>
      </c>
      <c r="H1446">
        <v>68.599999999999994</v>
      </c>
      <c r="I1446">
        <v>48.4</v>
      </c>
      <c r="J1446">
        <v>58.3</v>
      </c>
      <c r="K1446">
        <v>47.9</v>
      </c>
      <c r="L1446">
        <v>70.2</v>
      </c>
      <c r="M1446" s="2">
        <f t="shared" ref="M1446:M1502" si="258">IF(L1446&lt;=49.3,1,0)</f>
        <v>0</v>
      </c>
      <c r="N1446">
        <v>0</v>
      </c>
      <c r="P1446" s="2">
        <f t="shared" ref="P1446:P1502" si="259">IF(N1446&lt;=0.01,1,0)</f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20.8</v>
      </c>
      <c r="W1446" s="2">
        <f t="shared" ref="W1446:W1502" si="260">IF(V1446&lt;=10,0,1)</f>
        <v>1</v>
      </c>
      <c r="X1446">
        <v>12.3</v>
      </c>
      <c r="Z1446" s="2">
        <f t="shared" ref="Z1446:Z1502" si="261">IF(X1446&gt;=16,1,0)</f>
        <v>0</v>
      </c>
      <c r="AA1446">
        <v>121.7</v>
      </c>
      <c r="AB1446" s="2" t="str">
        <f>CHOOSE(MATCH(AA1446,{0;11;80;111;161;191;241;281;341},1),"North","NorthEast","East","SouthEast","South","SouthWest","West","NorthWest","North")</f>
        <v>SouthEast</v>
      </c>
      <c r="AC1446" s="5">
        <f>CHOOSE(MATCH(AB1446,{"South";"SouthEast";"SouthWest";"North";"NorthEast";"East";"West";"NorthWest"},0),1,2,3,4,5,6,7,8)</f>
        <v>2</v>
      </c>
      <c r="AD1446" s="2">
        <f t="shared" ref="AD1446:AD1502" si="262">IF(OR(AC1446=3,AC1446=4,AC1446=5,AC1446=8),1,0)</f>
        <v>0</v>
      </c>
      <c r="AE1446">
        <v>1011.6</v>
      </c>
      <c r="AF1446" s="4" t="s">
        <v>2258</v>
      </c>
      <c r="AG1446" s="2">
        <f t="shared" ref="AG1446:AG1502" si="263">IF(TIMEVALUE(AF1446)&lt;=TIME(12,30,0),0,1)</f>
        <v>0</v>
      </c>
      <c r="AH1446" t="s">
        <v>2259</v>
      </c>
      <c r="AI1446" s="2">
        <f t="shared" ref="AI1446:AI1502" si="264">MONTH(AH1446)</f>
        <v>4</v>
      </c>
      <c r="AJ1446" s="2">
        <f t="shared" ref="AJ1446:AJ1502" si="265">IF(OR(AI1446=6,AI1446=7,AI1446=8),1,0)</f>
        <v>0</v>
      </c>
      <c r="AK1446" s="3">
        <v>80.000000009313226</v>
      </c>
      <c r="AM1446" s="2">
        <v>0</v>
      </c>
      <c r="AN1446">
        <v>0.01</v>
      </c>
      <c r="AO1446">
        <v>0</v>
      </c>
      <c r="AP1446">
        <v>0</v>
      </c>
      <c r="AQ1446" s="2">
        <f>IF((2*G1446 + M1446 -P1446 + 3*W1446 + 2*Z1446+2*AD1446 + AG1446+2*AJ1446 + 4*AM1446) &gt;=8,1,0)</f>
        <v>0</v>
      </c>
    </row>
    <row r="1447" spans="1:43" x14ac:dyDescent="0.25">
      <c r="A1447" t="s">
        <v>27</v>
      </c>
      <c r="B1447" s="1">
        <v>42834</v>
      </c>
      <c r="C1447" s="7">
        <f t="shared" si="257"/>
        <v>2017</v>
      </c>
      <c r="D1447">
        <v>65</v>
      </c>
      <c r="E1447">
        <v>48.3</v>
      </c>
      <c r="F1447">
        <v>56.6</v>
      </c>
      <c r="G1447" s="2">
        <f t="shared" si="256"/>
        <v>0</v>
      </c>
      <c r="H1447">
        <v>65</v>
      </c>
      <c r="I1447">
        <v>47.4</v>
      </c>
      <c r="J1447">
        <v>56.5</v>
      </c>
      <c r="K1447">
        <v>40.200000000000003</v>
      </c>
      <c r="L1447">
        <v>55.4</v>
      </c>
      <c r="M1447" s="2">
        <f t="shared" si="258"/>
        <v>0</v>
      </c>
      <c r="N1447">
        <v>0</v>
      </c>
      <c r="P1447" s="2">
        <f t="shared" si="259"/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21.5</v>
      </c>
      <c r="W1447" s="2">
        <f t="shared" si="260"/>
        <v>1</v>
      </c>
      <c r="X1447">
        <v>13.1</v>
      </c>
      <c r="Z1447" s="2">
        <f t="shared" si="261"/>
        <v>0</v>
      </c>
      <c r="AA1447">
        <v>26.7</v>
      </c>
      <c r="AB1447" s="2" t="str">
        <f>CHOOSE(MATCH(AA1447,{0;11;80;111;161;191;241;281;341},1),"North","NorthEast","East","SouthEast","South","SouthWest","West","NorthWest","North")</f>
        <v>NorthEast</v>
      </c>
      <c r="AC1447" s="5">
        <f>CHOOSE(MATCH(AB1447,{"South";"SouthEast";"SouthWest";"North";"NorthEast";"East";"West";"NorthWest"},0),1,2,3,4,5,6,7,8)</f>
        <v>5</v>
      </c>
      <c r="AD1447" s="2">
        <f t="shared" si="262"/>
        <v>1</v>
      </c>
      <c r="AE1447">
        <v>1023</v>
      </c>
      <c r="AF1447" s="4" t="s">
        <v>2260</v>
      </c>
      <c r="AG1447" s="2">
        <f t="shared" si="263"/>
        <v>1</v>
      </c>
      <c r="AH1447" t="s">
        <v>2261</v>
      </c>
      <c r="AI1447" s="2">
        <f t="shared" si="264"/>
        <v>4</v>
      </c>
      <c r="AJ1447" s="2">
        <f t="shared" si="265"/>
        <v>0</v>
      </c>
      <c r="AK1447" s="3">
        <v>227.00000000651929</v>
      </c>
      <c r="AM1447" s="2">
        <v>0</v>
      </c>
      <c r="AN1447">
        <v>0</v>
      </c>
      <c r="AO1447">
        <v>2</v>
      </c>
      <c r="AP1447">
        <v>0</v>
      </c>
      <c r="AQ1447" s="2">
        <f>IF((2*G1447 + M1447 -P1447 + 3*W1447 + 2*Z1447+2*AD1447 + AG1447+2*AJ1447 + 4*AM1447) &gt;=8,1,0)</f>
        <v>0</v>
      </c>
    </row>
    <row r="1448" spans="1:43" x14ac:dyDescent="0.25">
      <c r="A1448" t="s">
        <v>27</v>
      </c>
      <c r="B1448" s="1">
        <v>42841</v>
      </c>
      <c r="C1448" s="7">
        <f t="shared" si="257"/>
        <v>2017</v>
      </c>
      <c r="D1448">
        <v>74</v>
      </c>
      <c r="E1448">
        <v>49.4</v>
      </c>
      <c r="F1448">
        <v>61.8</v>
      </c>
      <c r="G1448" s="2">
        <f t="shared" si="256"/>
        <v>0</v>
      </c>
      <c r="H1448">
        <v>74</v>
      </c>
      <c r="I1448">
        <v>49.4</v>
      </c>
      <c r="J1448">
        <v>61.8</v>
      </c>
      <c r="K1448">
        <v>50.3</v>
      </c>
      <c r="L1448">
        <v>68.099999999999994</v>
      </c>
      <c r="M1448" s="2">
        <f t="shared" si="258"/>
        <v>0</v>
      </c>
      <c r="N1448">
        <v>0</v>
      </c>
      <c r="P1448" s="2">
        <f t="shared" si="259"/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25.1</v>
      </c>
      <c r="W1448" s="2">
        <f t="shared" si="260"/>
        <v>1</v>
      </c>
      <c r="X1448">
        <v>11.6</v>
      </c>
      <c r="Z1448" s="2">
        <f t="shared" si="261"/>
        <v>0</v>
      </c>
      <c r="AA1448">
        <v>199.6</v>
      </c>
      <c r="AB1448" s="2" t="str">
        <f>CHOOSE(MATCH(AA1448,{0;11;80;111;161;191;241;281;341},1),"North","NorthEast","East","SouthEast","South","SouthWest","West","NorthWest","North")</f>
        <v>SouthWest</v>
      </c>
      <c r="AC1448" s="5">
        <f>CHOOSE(MATCH(AB1448,{"South";"SouthEast";"SouthWest";"North";"NorthEast";"East";"West";"NorthWest"},0),1,2,3,4,5,6,7,8)</f>
        <v>3</v>
      </c>
      <c r="AD1448" s="2">
        <f t="shared" si="262"/>
        <v>1</v>
      </c>
      <c r="AE1448">
        <v>1012.1</v>
      </c>
      <c r="AF1448" s="4" t="s">
        <v>2262</v>
      </c>
      <c r="AG1448" s="2">
        <f t="shared" si="263"/>
        <v>0</v>
      </c>
      <c r="AH1448" t="s">
        <v>2263</v>
      </c>
      <c r="AI1448" s="2">
        <f t="shared" si="264"/>
        <v>4</v>
      </c>
      <c r="AJ1448" s="2">
        <f t="shared" si="265"/>
        <v>0</v>
      </c>
      <c r="AK1448" s="3">
        <v>45</v>
      </c>
      <c r="AM1448" s="2">
        <v>0</v>
      </c>
      <c r="AN1448">
        <v>0</v>
      </c>
      <c r="AO1448">
        <v>0.15</v>
      </c>
      <c r="AP1448">
        <v>0</v>
      </c>
      <c r="AQ1448" s="2">
        <f>IF((2*G1448 + M1448 -P1448 + 3*W1448 + 2*Z1448+2*AD1448 + AG1448+2*AJ1448 + 4*AM1448) &gt;=8,1,0)</f>
        <v>0</v>
      </c>
    </row>
    <row r="1449" spans="1:43" x14ac:dyDescent="0.25">
      <c r="A1449" t="s">
        <v>27</v>
      </c>
      <c r="B1449" s="1">
        <v>42841</v>
      </c>
      <c r="C1449" s="7">
        <f t="shared" si="257"/>
        <v>2017</v>
      </c>
      <c r="D1449">
        <v>74</v>
      </c>
      <c r="E1449">
        <v>49.4</v>
      </c>
      <c r="F1449">
        <v>61.8</v>
      </c>
      <c r="G1449" s="2">
        <f t="shared" si="256"/>
        <v>0</v>
      </c>
      <c r="H1449">
        <v>74</v>
      </c>
      <c r="I1449">
        <v>49.4</v>
      </c>
      <c r="J1449">
        <v>61.8</v>
      </c>
      <c r="K1449">
        <v>50.3</v>
      </c>
      <c r="L1449">
        <v>68.099999999999994</v>
      </c>
      <c r="M1449" s="2">
        <f t="shared" si="258"/>
        <v>0</v>
      </c>
      <c r="N1449">
        <v>0</v>
      </c>
      <c r="P1449" s="2">
        <f t="shared" si="259"/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25.1</v>
      </c>
      <c r="W1449" s="2">
        <f t="shared" si="260"/>
        <v>1</v>
      </c>
      <c r="X1449">
        <v>11.6</v>
      </c>
      <c r="Z1449" s="2">
        <f t="shared" si="261"/>
        <v>0</v>
      </c>
      <c r="AA1449">
        <v>199.6</v>
      </c>
      <c r="AB1449" s="2" t="str">
        <f>CHOOSE(MATCH(AA1449,{0;11;80;111;161;191;241;281;341},1),"North","NorthEast","East","SouthEast","South","SouthWest","West","NorthWest","North")</f>
        <v>SouthWest</v>
      </c>
      <c r="AC1449" s="5">
        <f>CHOOSE(MATCH(AB1449,{"South";"SouthEast";"SouthWest";"North";"NorthEast";"East";"West";"NorthWest"},0),1,2,3,4,5,6,7,8)</f>
        <v>3</v>
      </c>
      <c r="AD1449" s="2">
        <f t="shared" si="262"/>
        <v>1</v>
      </c>
      <c r="AE1449">
        <v>1012.1</v>
      </c>
      <c r="AF1449" s="4" t="s">
        <v>2264</v>
      </c>
      <c r="AG1449" s="2">
        <f t="shared" si="263"/>
        <v>0</v>
      </c>
      <c r="AH1449" t="s">
        <v>2265</v>
      </c>
      <c r="AI1449" s="2">
        <f t="shared" si="264"/>
        <v>4</v>
      </c>
      <c r="AJ1449" s="2">
        <f t="shared" si="265"/>
        <v>0</v>
      </c>
      <c r="AK1449" s="3">
        <v>58.999999993247911</v>
      </c>
      <c r="AM1449" s="2">
        <v>0</v>
      </c>
      <c r="AN1449">
        <v>0</v>
      </c>
      <c r="AO1449">
        <v>0.05</v>
      </c>
      <c r="AP1449">
        <v>0</v>
      </c>
      <c r="AQ1449" s="2">
        <f>IF((2*G1449 + M1449 -P1449 + 3*W1449 + 2*Z1449+2*AD1449 + AG1449+2*AJ1449 + 4*AM1449) &gt;=8,1,0)</f>
        <v>0</v>
      </c>
    </row>
    <row r="1450" spans="1:43" x14ac:dyDescent="0.25">
      <c r="A1450" t="s">
        <v>27</v>
      </c>
      <c r="B1450" s="1">
        <v>42860</v>
      </c>
      <c r="C1450" s="7">
        <f t="shared" si="257"/>
        <v>2017</v>
      </c>
      <c r="D1450">
        <v>81.2</v>
      </c>
      <c r="E1450">
        <v>59</v>
      </c>
      <c r="F1450">
        <v>70.900000000000006</v>
      </c>
      <c r="G1450" s="2">
        <f t="shared" si="256"/>
        <v>0</v>
      </c>
      <c r="H1450">
        <v>79.900000000000006</v>
      </c>
      <c r="I1450">
        <v>59</v>
      </c>
      <c r="J1450">
        <v>70.7</v>
      </c>
      <c r="K1450">
        <v>47.6</v>
      </c>
      <c r="L1450">
        <v>45.8</v>
      </c>
      <c r="M1450" s="2">
        <f t="shared" si="258"/>
        <v>1</v>
      </c>
      <c r="N1450">
        <v>0</v>
      </c>
      <c r="P1450" s="2">
        <f t="shared" si="259"/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29.8</v>
      </c>
      <c r="W1450" s="2">
        <f t="shared" si="260"/>
        <v>1</v>
      </c>
      <c r="X1450">
        <v>16.100000000000001</v>
      </c>
      <c r="Z1450" s="2">
        <f t="shared" si="261"/>
        <v>1</v>
      </c>
      <c r="AA1450">
        <v>240.1</v>
      </c>
      <c r="AB1450" s="2" t="str">
        <f>CHOOSE(MATCH(AA1450,{0;11;80;111;161;191;241;281;341},1),"North","NorthEast","East","SouthEast","South","SouthWest","West","NorthWest","North")</f>
        <v>SouthWest</v>
      </c>
      <c r="AC1450" s="5">
        <f>CHOOSE(MATCH(AB1450,{"South";"SouthEast";"SouthWest";"North";"NorthEast";"East";"West";"NorthWest"},0),1,2,3,4,5,6,7,8)</f>
        <v>3</v>
      </c>
      <c r="AD1450" s="2">
        <f t="shared" si="262"/>
        <v>1</v>
      </c>
      <c r="AE1450">
        <v>1013.7</v>
      </c>
      <c r="AF1450" s="4" t="s">
        <v>2267</v>
      </c>
      <c r="AG1450" s="2">
        <f t="shared" si="263"/>
        <v>0</v>
      </c>
      <c r="AH1450" t="s">
        <v>2268</v>
      </c>
      <c r="AI1450" s="2">
        <f t="shared" si="264"/>
        <v>5</v>
      </c>
      <c r="AJ1450" s="2">
        <f t="shared" si="265"/>
        <v>0</v>
      </c>
      <c r="AK1450" s="3">
        <v>549.99999999068677</v>
      </c>
      <c r="AM1450" s="2">
        <v>1</v>
      </c>
      <c r="AN1450">
        <v>0</v>
      </c>
      <c r="AO1450">
        <v>2</v>
      </c>
      <c r="AP1450">
        <v>0</v>
      </c>
      <c r="AQ1450" s="2">
        <f>IF((2*G1450 + M1450 -P1450 + 3*W1450 + 2*Z1450+2*AD1450 + AG1450+2*AJ1450 + 4*AM1450) &gt;=8,1,0)</f>
        <v>1</v>
      </c>
    </row>
    <row r="1451" spans="1:43" x14ac:dyDescent="0.25">
      <c r="A1451" t="s">
        <v>27</v>
      </c>
      <c r="B1451" s="1">
        <v>42864</v>
      </c>
      <c r="C1451" s="7">
        <f t="shared" si="257"/>
        <v>2017</v>
      </c>
      <c r="D1451">
        <v>80</v>
      </c>
      <c r="E1451">
        <v>52.8</v>
      </c>
      <c r="F1451">
        <v>68.099999999999994</v>
      </c>
      <c r="G1451" s="2">
        <f t="shared" si="256"/>
        <v>0</v>
      </c>
      <c r="H1451">
        <v>78.8</v>
      </c>
      <c r="I1451">
        <v>52.8</v>
      </c>
      <c r="J1451">
        <v>68.099999999999994</v>
      </c>
      <c r="K1451">
        <v>43.3</v>
      </c>
      <c r="L1451">
        <v>45.9</v>
      </c>
      <c r="M1451" s="2">
        <f t="shared" si="258"/>
        <v>1</v>
      </c>
      <c r="N1451">
        <v>0</v>
      </c>
      <c r="P1451" s="2">
        <f t="shared" si="259"/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34.200000000000003</v>
      </c>
      <c r="W1451" s="2">
        <f t="shared" si="260"/>
        <v>1</v>
      </c>
      <c r="X1451">
        <v>17.600000000000001</v>
      </c>
      <c r="Z1451" s="2">
        <f t="shared" si="261"/>
        <v>1</v>
      </c>
      <c r="AA1451">
        <v>281</v>
      </c>
      <c r="AB1451" s="2" t="str">
        <f>CHOOSE(MATCH(AA1451,{0;11;80;111;161;191;241;281;341},1),"North","NorthEast","East","SouthEast","South","SouthWest","West","NorthWest","North")</f>
        <v>NorthWest</v>
      </c>
      <c r="AC1451" s="5">
        <f>CHOOSE(MATCH(AB1451,{"South";"SouthEast";"SouthWest";"North";"NorthEast";"East";"West";"NorthWest"},0),1,2,3,4,5,6,7,8)</f>
        <v>8</v>
      </c>
      <c r="AD1451" s="2">
        <f t="shared" si="262"/>
        <v>1</v>
      </c>
      <c r="AE1451">
        <v>1003.6</v>
      </c>
      <c r="AF1451" s="4" t="s">
        <v>2269</v>
      </c>
      <c r="AG1451" s="2">
        <f t="shared" si="263"/>
        <v>0</v>
      </c>
      <c r="AH1451" t="s">
        <v>2270</v>
      </c>
      <c r="AI1451" s="2">
        <f t="shared" si="264"/>
        <v>5</v>
      </c>
      <c r="AJ1451" s="2">
        <f t="shared" si="265"/>
        <v>0</v>
      </c>
      <c r="AK1451" s="3">
        <v>2760.9999999997672</v>
      </c>
      <c r="AM1451" s="2">
        <v>1</v>
      </c>
      <c r="AN1451">
        <v>0</v>
      </c>
      <c r="AO1451">
        <v>5</v>
      </c>
      <c r="AP1451">
        <v>0</v>
      </c>
      <c r="AQ1451" s="2">
        <f>IF((2*G1451 + M1451 -P1451 + 3*W1451 + 2*Z1451+2*AD1451 + AG1451+2*AJ1451 + 4*AM1451) &gt;=8,1,0)</f>
        <v>1</v>
      </c>
    </row>
    <row r="1452" spans="1:43" x14ac:dyDescent="0.25">
      <c r="A1452" t="s">
        <v>27</v>
      </c>
      <c r="B1452" s="1">
        <v>42885</v>
      </c>
      <c r="C1452" s="7">
        <f t="shared" si="257"/>
        <v>2017</v>
      </c>
      <c r="D1452">
        <v>78.099999999999994</v>
      </c>
      <c r="E1452">
        <v>60.3</v>
      </c>
      <c r="F1452">
        <v>70</v>
      </c>
      <c r="G1452" s="2">
        <f t="shared" si="256"/>
        <v>0</v>
      </c>
      <c r="H1452">
        <v>78.099999999999994</v>
      </c>
      <c r="I1452">
        <v>60.3</v>
      </c>
      <c r="J1452">
        <v>70</v>
      </c>
      <c r="K1452">
        <v>51.3</v>
      </c>
      <c r="L1452">
        <v>52.4</v>
      </c>
      <c r="M1452" s="2">
        <f t="shared" si="258"/>
        <v>0</v>
      </c>
      <c r="N1452">
        <v>0</v>
      </c>
      <c r="P1452" s="2">
        <f t="shared" si="259"/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20.6</v>
      </c>
      <c r="W1452" s="2">
        <f t="shared" si="260"/>
        <v>1</v>
      </c>
      <c r="X1452">
        <v>12</v>
      </c>
      <c r="Z1452" s="2">
        <f t="shared" si="261"/>
        <v>0</v>
      </c>
      <c r="AA1452">
        <v>74.3</v>
      </c>
      <c r="AB1452" s="2" t="str">
        <f>CHOOSE(MATCH(AA1452,{0;11;80;111;161;191;241;281;341},1),"North","NorthEast","East","SouthEast","South","SouthWest","West","NorthWest","North")</f>
        <v>NorthEast</v>
      </c>
      <c r="AC1452" s="5">
        <f>CHOOSE(MATCH(AB1452,{"South";"SouthEast";"SouthWest";"North";"NorthEast";"East";"West";"NorthWest"},0),1,2,3,4,5,6,7,8)</f>
        <v>5</v>
      </c>
      <c r="AD1452" s="2">
        <f t="shared" si="262"/>
        <v>1</v>
      </c>
      <c r="AE1452">
        <v>1016.5</v>
      </c>
      <c r="AF1452" s="4" t="s">
        <v>1116</v>
      </c>
      <c r="AG1452" s="2">
        <f t="shared" si="263"/>
        <v>1</v>
      </c>
      <c r="AH1452" t="s">
        <v>2271</v>
      </c>
      <c r="AI1452" s="2">
        <f t="shared" si="264"/>
        <v>5</v>
      </c>
      <c r="AJ1452" s="2">
        <f t="shared" si="265"/>
        <v>0</v>
      </c>
      <c r="AK1452" s="3">
        <v>20.00000000232831</v>
      </c>
      <c r="AM1452" s="2">
        <v>0</v>
      </c>
      <c r="AN1452">
        <v>0</v>
      </c>
      <c r="AO1452">
        <v>0.3</v>
      </c>
      <c r="AP1452">
        <v>0</v>
      </c>
      <c r="AQ1452" s="2">
        <f>IF((2*G1452 + M1452 -P1452 + 3*W1452 + 2*Z1452+2*AD1452 + AG1452+2*AJ1452 + 4*AM1452) &gt;=8,1,0)</f>
        <v>0</v>
      </c>
    </row>
    <row r="1453" spans="1:43" x14ac:dyDescent="0.25">
      <c r="A1453" t="s">
        <v>27</v>
      </c>
      <c r="B1453" s="1">
        <v>42886</v>
      </c>
      <c r="C1453" s="7">
        <f t="shared" si="257"/>
        <v>2017</v>
      </c>
      <c r="D1453">
        <v>82.2</v>
      </c>
      <c r="E1453">
        <v>59</v>
      </c>
      <c r="F1453">
        <v>71.5</v>
      </c>
      <c r="G1453" s="2">
        <f t="shared" si="256"/>
        <v>0</v>
      </c>
      <c r="H1453">
        <v>81.2</v>
      </c>
      <c r="I1453">
        <v>59</v>
      </c>
      <c r="J1453">
        <v>71.3</v>
      </c>
      <c r="K1453">
        <v>52.3</v>
      </c>
      <c r="L1453">
        <v>53.3</v>
      </c>
      <c r="M1453" s="2">
        <f t="shared" si="258"/>
        <v>0</v>
      </c>
      <c r="N1453">
        <v>0</v>
      </c>
      <c r="P1453" s="2">
        <f t="shared" si="259"/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19.5</v>
      </c>
      <c r="W1453" s="2">
        <f t="shared" si="260"/>
        <v>1</v>
      </c>
      <c r="X1453">
        <v>12.3</v>
      </c>
      <c r="Z1453" s="2">
        <f t="shared" si="261"/>
        <v>0</v>
      </c>
      <c r="AA1453">
        <v>212</v>
      </c>
      <c r="AB1453" s="2" t="str">
        <f>CHOOSE(MATCH(AA1453,{0;11;80;111;161;191;241;281;341},1),"North","NorthEast","East","SouthEast","South","SouthWest","West","NorthWest","North")</f>
        <v>SouthWest</v>
      </c>
      <c r="AC1453" s="5">
        <f>CHOOSE(MATCH(AB1453,{"South";"SouthEast";"SouthWest";"North";"NorthEast";"East";"West";"NorthWest"},0),1,2,3,4,5,6,7,8)</f>
        <v>3</v>
      </c>
      <c r="AD1453" s="2">
        <f t="shared" si="262"/>
        <v>1</v>
      </c>
      <c r="AE1453">
        <v>1018.1</v>
      </c>
      <c r="AF1453" s="4" t="s">
        <v>1990</v>
      </c>
      <c r="AG1453" s="2">
        <f t="shared" si="263"/>
        <v>0</v>
      </c>
      <c r="AH1453" t="s">
        <v>2272</v>
      </c>
      <c r="AI1453" s="2">
        <f t="shared" si="264"/>
        <v>5</v>
      </c>
      <c r="AJ1453" s="2">
        <f t="shared" si="265"/>
        <v>0</v>
      </c>
      <c r="AK1453" s="3">
        <v>140.99999999860299</v>
      </c>
      <c r="AM1453" s="2">
        <v>0</v>
      </c>
      <c r="AN1453">
        <v>0</v>
      </c>
      <c r="AO1453">
        <v>2</v>
      </c>
      <c r="AP1453">
        <v>0</v>
      </c>
      <c r="AQ1453" s="2">
        <f>IF((2*G1453 + M1453 -P1453 + 3*W1453 + 2*Z1453+2*AD1453 + AG1453+2*AJ1453 + 4*AM1453) &gt;=8,1,0)</f>
        <v>0</v>
      </c>
    </row>
    <row r="1454" spans="1:43" x14ac:dyDescent="0.25">
      <c r="A1454" t="s">
        <v>27</v>
      </c>
      <c r="B1454" s="1">
        <v>42890</v>
      </c>
      <c r="C1454" s="7">
        <f t="shared" si="257"/>
        <v>2017</v>
      </c>
      <c r="D1454">
        <v>80.900000000000006</v>
      </c>
      <c r="E1454">
        <v>66.5</v>
      </c>
      <c r="F1454">
        <v>73.900000000000006</v>
      </c>
      <c r="G1454" s="2">
        <f t="shared" si="256"/>
        <v>1</v>
      </c>
      <c r="H1454">
        <v>81.5</v>
      </c>
      <c r="I1454">
        <v>66.5</v>
      </c>
      <c r="J1454">
        <v>73.900000000000006</v>
      </c>
      <c r="K1454">
        <v>59</v>
      </c>
      <c r="L1454">
        <v>60.6</v>
      </c>
      <c r="M1454" s="2">
        <f t="shared" si="258"/>
        <v>0</v>
      </c>
      <c r="N1454">
        <v>0.30199999999999999</v>
      </c>
      <c r="P1454" s="2">
        <f t="shared" si="259"/>
        <v>0</v>
      </c>
      <c r="Q1454">
        <v>100</v>
      </c>
      <c r="R1454">
        <v>8.33</v>
      </c>
      <c r="S1454" t="s">
        <v>87</v>
      </c>
      <c r="T1454">
        <v>0</v>
      </c>
      <c r="U1454">
        <v>0</v>
      </c>
      <c r="V1454">
        <v>22.6</v>
      </c>
      <c r="W1454" s="2">
        <f t="shared" si="260"/>
        <v>1</v>
      </c>
      <c r="X1454">
        <v>16.3</v>
      </c>
      <c r="Z1454" s="2">
        <f t="shared" si="261"/>
        <v>1</v>
      </c>
      <c r="AA1454">
        <v>32.6</v>
      </c>
      <c r="AB1454" s="2" t="str">
        <f>CHOOSE(MATCH(AA1454,{0;11;80;111;161;191;241;281;341},1),"North","NorthEast","East","SouthEast","South","SouthWest","West","NorthWest","North")</f>
        <v>NorthEast</v>
      </c>
      <c r="AC1454" s="5">
        <f>CHOOSE(MATCH(AB1454,{"South";"SouthEast";"SouthWest";"North";"NorthEast";"East";"West";"NorthWest"},0),1,2,3,4,5,6,7,8)</f>
        <v>5</v>
      </c>
      <c r="AD1454" s="2">
        <f t="shared" si="262"/>
        <v>1</v>
      </c>
      <c r="AE1454">
        <v>1012.3</v>
      </c>
      <c r="AF1454" s="4" t="s">
        <v>1202</v>
      </c>
      <c r="AG1454" s="2">
        <f t="shared" si="263"/>
        <v>1</v>
      </c>
      <c r="AH1454" t="s">
        <v>2273</v>
      </c>
      <c r="AI1454" s="2">
        <f t="shared" si="264"/>
        <v>6</v>
      </c>
      <c r="AJ1454" s="2">
        <f t="shared" si="265"/>
        <v>1</v>
      </c>
      <c r="AK1454" s="3">
        <v>354.00000000139698</v>
      </c>
      <c r="AM1454" s="2">
        <v>0</v>
      </c>
      <c r="AN1454">
        <v>0.2</v>
      </c>
      <c r="AO1454">
        <v>0</v>
      </c>
      <c r="AP1454">
        <v>0</v>
      </c>
      <c r="AQ1454" s="2">
        <f>IF((2*G1454 + M1454 -P1454 + 3*W1454 + 2*Z1454+2*AD1454 + AG1454+2*AJ1454 + 4*AM1454) &gt;=8,1,0)</f>
        <v>1</v>
      </c>
    </row>
    <row r="1455" spans="1:43" x14ac:dyDescent="0.25">
      <c r="A1455" t="s">
        <v>27</v>
      </c>
      <c r="B1455" s="1">
        <v>42890</v>
      </c>
      <c r="C1455" s="7">
        <f t="shared" si="257"/>
        <v>2017</v>
      </c>
      <c r="D1455">
        <v>80.900000000000006</v>
      </c>
      <c r="E1455">
        <v>66.5</v>
      </c>
      <c r="F1455">
        <v>73.900000000000006</v>
      </c>
      <c r="G1455" s="2">
        <f t="shared" si="256"/>
        <v>1</v>
      </c>
      <c r="H1455">
        <v>81.5</v>
      </c>
      <c r="I1455">
        <v>66.5</v>
      </c>
      <c r="J1455">
        <v>73.900000000000006</v>
      </c>
      <c r="K1455">
        <v>59</v>
      </c>
      <c r="L1455">
        <v>60.6</v>
      </c>
      <c r="M1455" s="2">
        <f t="shared" si="258"/>
        <v>0</v>
      </c>
      <c r="N1455">
        <v>0.30199999999999999</v>
      </c>
      <c r="P1455" s="2">
        <f t="shared" si="259"/>
        <v>0</v>
      </c>
      <c r="Q1455">
        <v>100</v>
      </c>
      <c r="R1455">
        <v>8.33</v>
      </c>
      <c r="S1455" t="s">
        <v>87</v>
      </c>
      <c r="T1455">
        <v>0</v>
      </c>
      <c r="U1455">
        <v>0</v>
      </c>
      <c r="V1455">
        <v>22.6</v>
      </c>
      <c r="W1455" s="2">
        <f t="shared" si="260"/>
        <v>1</v>
      </c>
      <c r="X1455">
        <v>16.3</v>
      </c>
      <c r="Z1455" s="2">
        <f t="shared" si="261"/>
        <v>1</v>
      </c>
      <c r="AA1455">
        <v>32.6</v>
      </c>
      <c r="AB1455" s="2" t="str">
        <f>CHOOSE(MATCH(AA1455,{0;11;80;111;161;191;241;281;341},1),"North","NorthEast","East","SouthEast","South","SouthWest","West","NorthWest","North")</f>
        <v>NorthEast</v>
      </c>
      <c r="AC1455" s="5">
        <f>CHOOSE(MATCH(AB1455,{"South";"SouthEast";"SouthWest";"North";"NorthEast";"East";"West";"NorthWest"},0),1,2,3,4,5,6,7,8)</f>
        <v>5</v>
      </c>
      <c r="AD1455" s="2">
        <f t="shared" si="262"/>
        <v>1</v>
      </c>
      <c r="AE1455">
        <v>1012.3</v>
      </c>
      <c r="AF1455" s="4" t="s">
        <v>1141</v>
      </c>
      <c r="AG1455" s="2">
        <f t="shared" si="263"/>
        <v>1</v>
      </c>
      <c r="AH1455" t="s">
        <v>2274</v>
      </c>
      <c r="AI1455" s="2">
        <f t="shared" si="264"/>
        <v>6</v>
      </c>
      <c r="AJ1455" s="2">
        <f t="shared" si="265"/>
        <v>1</v>
      </c>
      <c r="AK1455" s="3">
        <v>115.0000000081491</v>
      </c>
      <c r="AM1455" s="2">
        <v>0</v>
      </c>
      <c r="AN1455">
        <v>0</v>
      </c>
      <c r="AO1455">
        <v>0.1</v>
      </c>
      <c r="AP1455">
        <v>0</v>
      </c>
      <c r="AQ1455" s="2">
        <f>IF((2*G1455 + M1455 -P1455 + 3*W1455 + 2*Z1455+2*AD1455 + AG1455+2*AJ1455 + 4*AM1455) &gt;=8,1,0)</f>
        <v>1</v>
      </c>
    </row>
    <row r="1456" spans="1:43" x14ac:dyDescent="0.25">
      <c r="A1456" t="s">
        <v>27</v>
      </c>
      <c r="B1456" s="1">
        <v>42902</v>
      </c>
      <c r="C1456" s="7">
        <f t="shared" si="257"/>
        <v>2017</v>
      </c>
      <c r="D1456">
        <v>85.4</v>
      </c>
      <c r="E1456">
        <v>69.2</v>
      </c>
      <c r="F1456">
        <v>76.2</v>
      </c>
      <c r="G1456" s="2">
        <f t="shared" si="256"/>
        <v>1</v>
      </c>
      <c r="H1456">
        <v>85.7</v>
      </c>
      <c r="I1456">
        <v>69.2</v>
      </c>
      <c r="J1456">
        <v>76.5</v>
      </c>
      <c r="K1456">
        <v>63.7</v>
      </c>
      <c r="L1456">
        <v>66.900000000000006</v>
      </c>
      <c r="M1456" s="2">
        <f t="shared" si="258"/>
        <v>0</v>
      </c>
      <c r="N1456">
        <v>0.182</v>
      </c>
      <c r="P1456" s="2">
        <f t="shared" si="259"/>
        <v>0</v>
      </c>
      <c r="Q1456">
        <v>100</v>
      </c>
      <c r="R1456">
        <v>12.5</v>
      </c>
      <c r="S1456" t="s">
        <v>87</v>
      </c>
      <c r="T1456">
        <v>0</v>
      </c>
      <c r="U1456">
        <v>0</v>
      </c>
      <c r="V1456">
        <v>17.2</v>
      </c>
      <c r="W1456" s="2">
        <f t="shared" si="260"/>
        <v>1</v>
      </c>
      <c r="X1456">
        <v>13.9</v>
      </c>
      <c r="Z1456" s="2">
        <f t="shared" si="261"/>
        <v>0</v>
      </c>
      <c r="AA1456">
        <v>48</v>
      </c>
      <c r="AB1456" s="2" t="str">
        <f>CHOOSE(MATCH(AA1456,{0;11;80;111;161;191;241;281;341},1),"North","NorthEast","East","SouthEast","South","SouthWest","West","NorthWest","North")</f>
        <v>NorthEast</v>
      </c>
      <c r="AC1456" s="5">
        <f>CHOOSE(MATCH(AB1456,{"South";"SouthEast";"SouthWest";"North";"NorthEast";"East";"West";"NorthWest"},0),1,2,3,4,5,6,7,8)</f>
        <v>5</v>
      </c>
      <c r="AD1456" s="2">
        <f t="shared" si="262"/>
        <v>1</v>
      </c>
      <c r="AE1456">
        <v>1014.3</v>
      </c>
      <c r="AF1456" s="4" t="s">
        <v>2275</v>
      </c>
      <c r="AG1456" s="2">
        <f t="shared" si="263"/>
        <v>1</v>
      </c>
      <c r="AH1456" t="s">
        <v>2276</v>
      </c>
      <c r="AI1456" s="2">
        <f t="shared" si="264"/>
        <v>6</v>
      </c>
      <c r="AJ1456" s="2">
        <f t="shared" si="265"/>
        <v>1</v>
      </c>
      <c r="AK1456" s="3">
        <v>105.00000000698491</v>
      </c>
      <c r="AM1456" s="2">
        <v>0</v>
      </c>
      <c r="AN1456">
        <v>0.01</v>
      </c>
      <c r="AO1456">
        <v>0</v>
      </c>
      <c r="AP1456">
        <v>0</v>
      </c>
      <c r="AQ1456" s="2">
        <f>IF((2*G1456 + M1456 -P1456 + 3*W1456 + 2*Z1456+2*AD1456 + AG1456+2*AJ1456 + 4*AM1456) &gt;=8,1,0)</f>
        <v>1</v>
      </c>
    </row>
    <row r="1457" spans="1:43" x14ac:dyDescent="0.25">
      <c r="A1457" t="s">
        <v>27</v>
      </c>
      <c r="B1457" s="1">
        <v>42911</v>
      </c>
      <c r="C1457" s="7">
        <f t="shared" si="257"/>
        <v>2017</v>
      </c>
      <c r="D1457">
        <v>93.8</v>
      </c>
      <c r="E1457">
        <v>69.8</v>
      </c>
      <c r="F1457">
        <v>83.3</v>
      </c>
      <c r="G1457" s="2">
        <f t="shared" si="256"/>
        <v>1</v>
      </c>
      <c r="H1457">
        <v>93.3</v>
      </c>
      <c r="I1457">
        <v>69.8</v>
      </c>
      <c r="J1457">
        <v>83.1</v>
      </c>
      <c r="K1457">
        <v>60.1</v>
      </c>
      <c r="L1457">
        <v>47.9</v>
      </c>
      <c r="M1457" s="2">
        <f t="shared" si="258"/>
        <v>1</v>
      </c>
      <c r="N1457">
        <v>0</v>
      </c>
      <c r="P1457" s="2">
        <f t="shared" si="259"/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18.7</v>
      </c>
      <c r="W1457" s="2">
        <f t="shared" si="260"/>
        <v>1</v>
      </c>
      <c r="X1457">
        <v>12.4</v>
      </c>
      <c r="Z1457" s="2">
        <f t="shared" si="261"/>
        <v>0</v>
      </c>
      <c r="AA1457">
        <v>36.9</v>
      </c>
      <c r="AB1457" s="2" t="str">
        <f>CHOOSE(MATCH(AA1457,{0;11;80;111;161;191;241;281;341},1),"North","NorthEast","East","SouthEast","South","SouthWest","West","NorthWest","North")</f>
        <v>NorthEast</v>
      </c>
      <c r="AC1457" s="5">
        <f>CHOOSE(MATCH(AB1457,{"South";"SouthEast";"SouthWest";"North";"NorthEast";"East";"West";"NorthWest"},0),1,2,3,4,5,6,7,8)</f>
        <v>5</v>
      </c>
      <c r="AD1457" s="2">
        <f t="shared" si="262"/>
        <v>1</v>
      </c>
      <c r="AE1457">
        <v>1012.7</v>
      </c>
      <c r="AF1457" s="4" t="s">
        <v>2168</v>
      </c>
      <c r="AG1457" s="2">
        <f t="shared" si="263"/>
        <v>1</v>
      </c>
      <c r="AH1457" t="s">
        <v>2277</v>
      </c>
      <c r="AI1457" s="2">
        <f t="shared" si="264"/>
        <v>6</v>
      </c>
      <c r="AJ1457" s="2">
        <f t="shared" si="265"/>
        <v>1</v>
      </c>
      <c r="AK1457" s="3">
        <v>137.00000000651929</v>
      </c>
      <c r="AM1457" s="2">
        <v>0</v>
      </c>
      <c r="AN1457">
        <v>0</v>
      </c>
      <c r="AO1457">
        <v>0.02</v>
      </c>
      <c r="AP1457">
        <v>0</v>
      </c>
      <c r="AQ1457" s="2">
        <f>IF((2*G1457 + M1457 -P1457 + 3*W1457 + 2*Z1457+2*AD1457 + AG1457+2*AJ1457 + 4*AM1457) &gt;=8,1,0)</f>
        <v>1</v>
      </c>
    </row>
    <row r="1458" spans="1:43" x14ac:dyDescent="0.25">
      <c r="A1458" t="s">
        <v>27</v>
      </c>
      <c r="B1458" s="1">
        <v>42913</v>
      </c>
      <c r="C1458" s="7">
        <f t="shared" si="257"/>
        <v>2017</v>
      </c>
      <c r="D1458">
        <v>94.4</v>
      </c>
      <c r="E1458">
        <v>72.2</v>
      </c>
      <c r="F1458">
        <v>83.7</v>
      </c>
      <c r="G1458" s="2">
        <f t="shared" si="256"/>
        <v>1</v>
      </c>
      <c r="H1458">
        <v>93</v>
      </c>
      <c r="I1458">
        <v>72.2</v>
      </c>
      <c r="J1458">
        <v>83</v>
      </c>
      <c r="K1458">
        <v>58.6</v>
      </c>
      <c r="L1458">
        <v>45.2</v>
      </c>
      <c r="M1458" s="2">
        <f t="shared" si="258"/>
        <v>1</v>
      </c>
      <c r="N1458">
        <v>0</v>
      </c>
      <c r="P1458" s="2">
        <f t="shared" si="259"/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22.4</v>
      </c>
      <c r="W1458" s="2">
        <f t="shared" si="260"/>
        <v>1</v>
      </c>
      <c r="X1458">
        <v>10.7</v>
      </c>
      <c r="Z1458" s="2">
        <f t="shared" si="261"/>
        <v>0</v>
      </c>
      <c r="AA1458">
        <v>200</v>
      </c>
      <c r="AB1458" s="2" t="str">
        <f>CHOOSE(MATCH(AA1458,{0;11;80;111;161;191;241;281;341},1),"North","NorthEast","East","SouthEast","South","SouthWest","West","NorthWest","North")</f>
        <v>SouthWest</v>
      </c>
      <c r="AC1458" s="5">
        <f>CHOOSE(MATCH(AB1458,{"South";"SouthEast";"SouthWest";"North";"NorthEast";"East";"West";"NorthWest"},0),1,2,3,4,5,6,7,8)</f>
        <v>3</v>
      </c>
      <c r="AD1458" s="2">
        <f t="shared" si="262"/>
        <v>1</v>
      </c>
      <c r="AE1458">
        <v>1010.9</v>
      </c>
      <c r="AF1458" s="4" t="s">
        <v>2278</v>
      </c>
      <c r="AG1458" s="2">
        <f t="shared" si="263"/>
        <v>0</v>
      </c>
      <c r="AH1458" t="s">
        <v>2279</v>
      </c>
      <c r="AI1458" s="2">
        <f t="shared" si="264"/>
        <v>6</v>
      </c>
      <c r="AJ1458" s="2">
        <f t="shared" si="265"/>
        <v>1</v>
      </c>
      <c r="AK1458" s="3">
        <v>82.999999998137355</v>
      </c>
      <c r="AM1458" s="2">
        <v>0</v>
      </c>
      <c r="AN1458">
        <v>1</v>
      </c>
      <c r="AO1458">
        <v>0</v>
      </c>
      <c r="AP1458">
        <v>0</v>
      </c>
      <c r="AQ1458" s="2">
        <f>IF((2*G1458 + M1458 -P1458 + 3*W1458 + 2*Z1458+2*AD1458 + AG1458+2*AJ1458 + 4*AM1458) &gt;=8,1,0)</f>
        <v>1</v>
      </c>
    </row>
    <row r="1459" spans="1:43" x14ac:dyDescent="0.25">
      <c r="A1459" t="s">
        <v>27</v>
      </c>
      <c r="B1459" s="1">
        <v>42916</v>
      </c>
      <c r="C1459" s="7">
        <f t="shared" si="257"/>
        <v>2017</v>
      </c>
      <c r="D1459">
        <v>108.2</v>
      </c>
      <c r="E1459">
        <v>74</v>
      </c>
      <c r="F1459">
        <v>91.3</v>
      </c>
      <c r="G1459" s="2">
        <f t="shared" si="256"/>
        <v>1</v>
      </c>
      <c r="H1459">
        <v>103.8</v>
      </c>
      <c r="I1459">
        <v>74</v>
      </c>
      <c r="J1459">
        <v>89.7</v>
      </c>
      <c r="K1459">
        <v>54</v>
      </c>
      <c r="L1459">
        <v>32.700000000000003</v>
      </c>
      <c r="M1459" s="2">
        <f t="shared" si="258"/>
        <v>1</v>
      </c>
      <c r="N1459">
        <v>0</v>
      </c>
      <c r="P1459" s="2">
        <f t="shared" si="259"/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22.6</v>
      </c>
      <c r="W1459" s="2">
        <f t="shared" si="260"/>
        <v>1</v>
      </c>
      <c r="X1459">
        <v>10.7</v>
      </c>
      <c r="Z1459" s="2">
        <f t="shared" si="261"/>
        <v>0</v>
      </c>
      <c r="AA1459">
        <v>139</v>
      </c>
      <c r="AB1459" s="2" t="str">
        <f>CHOOSE(MATCH(AA1459,{0;11;80;111;161;191;241;281;341},1),"North","NorthEast","East","SouthEast","South","SouthWest","West","NorthWest","North")</f>
        <v>SouthEast</v>
      </c>
      <c r="AC1459" s="5">
        <f>CHOOSE(MATCH(AB1459,{"South";"SouthEast";"SouthWest";"North";"NorthEast";"East";"West";"NorthWest"},0),1,2,3,4,5,6,7,8)</f>
        <v>2</v>
      </c>
      <c r="AD1459" s="2">
        <f t="shared" si="262"/>
        <v>0</v>
      </c>
      <c r="AE1459">
        <v>1011.5</v>
      </c>
      <c r="AF1459" s="4" t="s">
        <v>2280</v>
      </c>
      <c r="AG1459" s="2">
        <f t="shared" si="263"/>
        <v>1</v>
      </c>
      <c r="AH1459" t="s">
        <v>2281</v>
      </c>
      <c r="AI1459" s="2">
        <f t="shared" si="264"/>
        <v>6</v>
      </c>
      <c r="AJ1459" s="2">
        <f t="shared" si="265"/>
        <v>1</v>
      </c>
      <c r="AK1459" s="3">
        <v>1839.000000001397</v>
      </c>
      <c r="AM1459" s="2">
        <v>1</v>
      </c>
      <c r="AN1459">
        <v>4</v>
      </c>
      <c r="AO1459">
        <v>0</v>
      </c>
      <c r="AP1459">
        <v>0</v>
      </c>
      <c r="AQ1459" s="2">
        <f>IF((2*G1459 + M1459 -P1459 + 3*W1459 + 2*Z1459+2*AD1459 + AG1459+2*AJ1459 + 4*AM1459) &gt;=8,1,0)</f>
        <v>1</v>
      </c>
    </row>
    <row r="1460" spans="1:43" x14ac:dyDescent="0.25">
      <c r="A1460" t="s">
        <v>27</v>
      </c>
      <c r="B1460" s="1">
        <v>42917</v>
      </c>
      <c r="C1460" s="7">
        <f t="shared" si="257"/>
        <v>2017</v>
      </c>
      <c r="D1460">
        <v>104.9</v>
      </c>
      <c r="E1460">
        <v>77.7</v>
      </c>
      <c r="F1460">
        <v>92.1</v>
      </c>
      <c r="G1460" s="2">
        <f t="shared" si="256"/>
        <v>1</v>
      </c>
      <c r="H1460">
        <v>101.6</v>
      </c>
      <c r="I1460">
        <v>77.7</v>
      </c>
      <c r="J1460">
        <v>90.4</v>
      </c>
      <c r="K1460">
        <v>52.9</v>
      </c>
      <c r="L1460">
        <v>28.7</v>
      </c>
      <c r="M1460" s="2">
        <f t="shared" si="258"/>
        <v>1</v>
      </c>
      <c r="N1460">
        <v>0</v>
      </c>
      <c r="P1460" s="2">
        <f t="shared" si="259"/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15.2</v>
      </c>
      <c r="W1460" s="2">
        <f t="shared" si="260"/>
        <v>1</v>
      </c>
      <c r="X1460">
        <v>11.1</v>
      </c>
      <c r="Z1460" s="2">
        <f t="shared" si="261"/>
        <v>0</v>
      </c>
      <c r="AA1460">
        <v>100.8</v>
      </c>
      <c r="AB1460" s="2" t="str">
        <f>CHOOSE(MATCH(AA1460,{0;11;80;111;161;191;241;281;341},1),"North","NorthEast","East","SouthEast","South","SouthWest","West","NorthWest","North")</f>
        <v>East</v>
      </c>
      <c r="AC1460" s="5">
        <f>CHOOSE(MATCH(AB1460,{"South";"SouthEast";"SouthWest";"North";"NorthEast";"East";"West";"NorthWest"},0),1,2,3,4,5,6,7,8)</f>
        <v>6</v>
      </c>
      <c r="AD1460" s="2">
        <f t="shared" si="262"/>
        <v>0</v>
      </c>
      <c r="AE1460">
        <v>1009.7</v>
      </c>
      <c r="AF1460" s="4" t="s">
        <v>2282</v>
      </c>
      <c r="AG1460" s="2">
        <f t="shared" si="263"/>
        <v>1</v>
      </c>
      <c r="AH1460" t="s">
        <v>2283</v>
      </c>
      <c r="AI1460" s="2">
        <f t="shared" si="264"/>
        <v>7</v>
      </c>
      <c r="AJ1460" s="2">
        <f t="shared" si="265"/>
        <v>1</v>
      </c>
      <c r="AK1460" s="3">
        <v>3051.000000002095</v>
      </c>
      <c r="AM1460" s="2">
        <v>1</v>
      </c>
      <c r="AN1460">
        <v>0</v>
      </c>
      <c r="AO1460">
        <v>55</v>
      </c>
      <c r="AP1460">
        <v>0</v>
      </c>
      <c r="AQ1460" s="2">
        <f>IF((2*G1460 + M1460 -P1460 + 3*W1460 + 2*Z1460+2*AD1460 + AG1460+2*AJ1460 + 4*AM1460) &gt;=8,1,0)</f>
        <v>1</v>
      </c>
    </row>
    <row r="1461" spans="1:43" x14ac:dyDescent="0.25">
      <c r="A1461" t="s">
        <v>27</v>
      </c>
      <c r="B1461" s="1">
        <v>42919</v>
      </c>
      <c r="C1461" s="7">
        <f t="shared" si="257"/>
        <v>2017</v>
      </c>
      <c r="D1461">
        <v>94.8</v>
      </c>
      <c r="E1461">
        <v>78.7</v>
      </c>
      <c r="F1461">
        <v>87</v>
      </c>
      <c r="G1461" s="2">
        <f t="shared" si="256"/>
        <v>1</v>
      </c>
      <c r="H1461">
        <v>91.7</v>
      </c>
      <c r="I1461">
        <v>78.7</v>
      </c>
      <c r="J1461">
        <v>85.3</v>
      </c>
      <c r="K1461">
        <v>52.8</v>
      </c>
      <c r="L1461">
        <v>32.5</v>
      </c>
      <c r="M1461" s="2">
        <f t="shared" si="258"/>
        <v>1</v>
      </c>
      <c r="N1461">
        <v>0</v>
      </c>
      <c r="P1461" s="2">
        <f t="shared" si="259"/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31.8</v>
      </c>
      <c r="W1461" s="2">
        <f t="shared" si="260"/>
        <v>1</v>
      </c>
      <c r="X1461">
        <v>13.9</v>
      </c>
      <c r="Z1461" s="2">
        <f t="shared" si="261"/>
        <v>0</v>
      </c>
      <c r="AA1461">
        <v>321.60000000000002</v>
      </c>
      <c r="AB1461" s="2" t="str">
        <f>CHOOSE(MATCH(AA1461,{0;11;80;111;161;191;241;281;341},1),"North","NorthEast","East","SouthEast","South","SouthWest","West","NorthWest","North")</f>
        <v>NorthWest</v>
      </c>
      <c r="AC1461" s="5">
        <f>CHOOSE(MATCH(AB1461,{"South";"SouthEast";"SouthWest";"North";"NorthEast";"East";"West";"NorthWest"},0),1,2,3,4,5,6,7,8)</f>
        <v>8</v>
      </c>
      <c r="AD1461" s="2">
        <f t="shared" si="262"/>
        <v>1</v>
      </c>
      <c r="AE1461">
        <v>1004.4</v>
      </c>
      <c r="AF1461" s="4" t="s">
        <v>1127</v>
      </c>
      <c r="AG1461" s="2">
        <f t="shared" si="263"/>
        <v>1</v>
      </c>
      <c r="AH1461" t="s">
        <v>2284</v>
      </c>
      <c r="AI1461" s="2">
        <f t="shared" si="264"/>
        <v>7</v>
      </c>
      <c r="AJ1461" s="2">
        <f t="shared" si="265"/>
        <v>1</v>
      </c>
      <c r="AK1461" s="3">
        <v>2475</v>
      </c>
      <c r="AM1461" s="2">
        <v>1</v>
      </c>
      <c r="AN1461">
        <v>0</v>
      </c>
      <c r="AO1461">
        <v>15</v>
      </c>
      <c r="AP1461">
        <v>0</v>
      </c>
      <c r="AQ1461" s="2">
        <f>IF((2*G1461 + M1461 -P1461 + 3*W1461 + 2*Z1461+2*AD1461 + AG1461+2*AJ1461 + 4*AM1461) &gt;=8,1,0)</f>
        <v>1</v>
      </c>
    </row>
    <row r="1462" spans="1:43" x14ac:dyDescent="0.25">
      <c r="A1462" t="s">
        <v>27</v>
      </c>
      <c r="B1462" s="1">
        <v>42919</v>
      </c>
      <c r="C1462" s="7">
        <f t="shared" si="257"/>
        <v>2017</v>
      </c>
      <c r="D1462">
        <v>94.8</v>
      </c>
      <c r="E1462">
        <v>78.7</v>
      </c>
      <c r="F1462">
        <v>87</v>
      </c>
      <c r="G1462" s="2">
        <f t="shared" si="256"/>
        <v>1</v>
      </c>
      <c r="H1462">
        <v>91.7</v>
      </c>
      <c r="I1462">
        <v>78.7</v>
      </c>
      <c r="J1462">
        <v>85.3</v>
      </c>
      <c r="K1462">
        <v>52.8</v>
      </c>
      <c r="L1462">
        <v>32.5</v>
      </c>
      <c r="M1462" s="2">
        <f t="shared" si="258"/>
        <v>1</v>
      </c>
      <c r="N1462">
        <v>0</v>
      </c>
      <c r="P1462" s="2">
        <f t="shared" si="259"/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31.8</v>
      </c>
      <c r="W1462" s="2">
        <f t="shared" si="260"/>
        <v>1</v>
      </c>
      <c r="X1462">
        <v>13.9</v>
      </c>
      <c r="Z1462" s="2">
        <f t="shared" si="261"/>
        <v>0</v>
      </c>
      <c r="AA1462">
        <v>321.60000000000002</v>
      </c>
      <c r="AB1462" s="2" t="str">
        <f>CHOOSE(MATCH(AA1462,{0;11;80;111;161;191;241;281;341},1),"North","NorthEast","East","SouthEast","South","SouthWest","West","NorthWest","North")</f>
        <v>NorthWest</v>
      </c>
      <c r="AC1462" s="5">
        <f>CHOOSE(MATCH(AB1462,{"South";"SouthEast";"SouthWest";"North";"NorthEast";"East";"West";"NorthWest"},0),1,2,3,4,5,6,7,8)</f>
        <v>8</v>
      </c>
      <c r="AD1462" s="2">
        <f t="shared" si="262"/>
        <v>1</v>
      </c>
      <c r="AE1462">
        <v>1004.4</v>
      </c>
      <c r="AF1462" s="4" t="s">
        <v>1198</v>
      </c>
      <c r="AG1462" s="2">
        <f t="shared" si="263"/>
        <v>0</v>
      </c>
      <c r="AH1462" t="s">
        <v>2285</v>
      </c>
      <c r="AI1462" s="2">
        <f t="shared" si="264"/>
        <v>7</v>
      </c>
      <c r="AJ1462" s="2">
        <f t="shared" si="265"/>
        <v>1</v>
      </c>
      <c r="AK1462" s="3">
        <v>990</v>
      </c>
      <c r="AM1462" s="2">
        <v>1</v>
      </c>
      <c r="AN1462">
        <v>0</v>
      </c>
      <c r="AO1462">
        <v>7</v>
      </c>
      <c r="AP1462">
        <v>0</v>
      </c>
      <c r="AQ1462" s="2">
        <f>IF((2*G1462 + M1462 -P1462 + 3*W1462 + 2*Z1462+2*AD1462 + AG1462+2*AJ1462 + 4*AM1462) &gt;=8,1,0)</f>
        <v>1</v>
      </c>
    </row>
    <row r="1463" spans="1:43" x14ac:dyDescent="0.25">
      <c r="A1463" t="s">
        <v>27</v>
      </c>
      <c r="B1463" s="1">
        <v>42921</v>
      </c>
      <c r="C1463" s="7">
        <f t="shared" si="257"/>
        <v>2017</v>
      </c>
      <c r="D1463">
        <v>84.9</v>
      </c>
      <c r="E1463">
        <v>71.599999999999994</v>
      </c>
      <c r="F1463">
        <v>78</v>
      </c>
      <c r="G1463" s="2">
        <f t="shared" si="256"/>
        <v>1</v>
      </c>
      <c r="H1463">
        <v>82.4</v>
      </c>
      <c r="I1463">
        <v>71.599999999999994</v>
      </c>
      <c r="J1463">
        <v>77.2</v>
      </c>
      <c r="K1463">
        <v>50.5</v>
      </c>
      <c r="L1463">
        <v>40</v>
      </c>
      <c r="M1463" s="2">
        <f t="shared" si="258"/>
        <v>1</v>
      </c>
      <c r="N1463">
        <v>0</v>
      </c>
      <c r="P1463" s="2">
        <f t="shared" si="259"/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39.9</v>
      </c>
      <c r="W1463" s="2">
        <f t="shared" si="260"/>
        <v>1</v>
      </c>
      <c r="X1463">
        <v>23.4</v>
      </c>
      <c r="Z1463" s="2">
        <f t="shared" si="261"/>
        <v>1</v>
      </c>
      <c r="AA1463">
        <v>1.3</v>
      </c>
      <c r="AB1463" s="2" t="str">
        <f>CHOOSE(MATCH(AA1463,{0;11;80;111;161;191;241;281;341},1),"North","NorthEast","East","SouthEast","South","SouthWest","West","NorthWest","North")</f>
        <v>North</v>
      </c>
      <c r="AC1463" s="5">
        <f>CHOOSE(MATCH(AB1463,{"South";"SouthEast";"SouthWest";"North";"NorthEast";"East";"West";"NorthWest"},0),1,2,3,4,5,6,7,8)</f>
        <v>4</v>
      </c>
      <c r="AD1463" s="2">
        <f t="shared" si="262"/>
        <v>1</v>
      </c>
      <c r="AE1463">
        <v>1015.9</v>
      </c>
      <c r="AF1463" s="4" t="s">
        <v>2286</v>
      </c>
      <c r="AG1463" s="2">
        <f t="shared" si="263"/>
        <v>1</v>
      </c>
      <c r="AH1463" t="s">
        <v>2287</v>
      </c>
      <c r="AI1463" s="2">
        <f t="shared" si="264"/>
        <v>7</v>
      </c>
      <c r="AJ1463" s="2">
        <f t="shared" si="265"/>
        <v>1</v>
      </c>
      <c r="AK1463" s="3">
        <v>3768.9999999955762</v>
      </c>
      <c r="AM1463" s="2">
        <v>1</v>
      </c>
      <c r="AN1463">
        <v>0</v>
      </c>
      <c r="AO1463">
        <v>18</v>
      </c>
      <c r="AP1463">
        <v>0</v>
      </c>
      <c r="AQ1463" s="2">
        <f>IF((2*G1463 + M1463 -P1463 + 3*W1463 + 2*Z1463+2*AD1463 + AG1463+2*AJ1463 + 4*AM1463) &gt;=8,1,0)</f>
        <v>1</v>
      </c>
    </row>
    <row r="1464" spans="1:43" x14ac:dyDescent="0.25">
      <c r="A1464" t="s">
        <v>27</v>
      </c>
      <c r="B1464" s="1">
        <v>42922</v>
      </c>
      <c r="C1464" s="7">
        <f t="shared" si="257"/>
        <v>2017</v>
      </c>
      <c r="D1464">
        <v>88.7</v>
      </c>
      <c r="E1464">
        <v>73.900000000000006</v>
      </c>
      <c r="F1464">
        <v>80.7</v>
      </c>
      <c r="G1464" s="2">
        <f t="shared" si="256"/>
        <v>1</v>
      </c>
      <c r="H1464">
        <v>85.1</v>
      </c>
      <c r="I1464">
        <v>73.900000000000006</v>
      </c>
      <c r="J1464">
        <v>79.3</v>
      </c>
      <c r="K1464">
        <v>46.7</v>
      </c>
      <c r="L1464">
        <v>31.8</v>
      </c>
      <c r="M1464" s="2">
        <f t="shared" si="258"/>
        <v>1</v>
      </c>
      <c r="N1464">
        <v>0</v>
      </c>
      <c r="P1464" s="2">
        <f t="shared" si="259"/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35.799999999999997</v>
      </c>
      <c r="W1464" s="2">
        <f t="shared" si="260"/>
        <v>1</v>
      </c>
      <c r="X1464">
        <v>23.8</v>
      </c>
      <c r="Z1464" s="2">
        <f t="shared" si="261"/>
        <v>1</v>
      </c>
      <c r="AA1464">
        <v>359.4</v>
      </c>
      <c r="AB1464" s="2" t="str">
        <f>CHOOSE(MATCH(AA1464,{0;11;80;111;161;191;241;281;341},1),"North","NorthEast","East","SouthEast","South","SouthWest","West","NorthWest","North")</f>
        <v>North</v>
      </c>
      <c r="AC1464" s="5">
        <f>CHOOSE(MATCH(AB1464,{"South";"SouthEast";"SouthWest";"North";"NorthEast";"East";"West";"NorthWest"},0),1,2,3,4,5,6,7,8)</f>
        <v>4</v>
      </c>
      <c r="AD1464" s="2">
        <f t="shared" si="262"/>
        <v>1</v>
      </c>
      <c r="AE1464">
        <v>1014.9</v>
      </c>
      <c r="AF1464" s="4" t="s">
        <v>2288</v>
      </c>
      <c r="AG1464" s="2">
        <f t="shared" si="263"/>
        <v>0</v>
      </c>
      <c r="AH1464" t="s">
        <v>2289</v>
      </c>
      <c r="AI1464" s="2">
        <f t="shared" si="264"/>
        <v>7</v>
      </c>
      <c r="AJ1464" s="2">
        <f t="shared" si="265"/>
        <v>1</v>
      </c>
      <c r="AK1464" s="3">
        <v>6416.0000000009313</v>
      </c>
      <c r="AM1464" s="2">
        <v>1</v>
      </c>
      <c r="AN1464">
        <v>40</v>
      </c>
      <c r="AO1464">
        <v>0</v>
      </c>
      <c r="AP1464">
        <v>0</v>
      </c>
      <c r="AQ1464" s="2">
        <f>IF((2*G1464 + M1464 -P1464 + 3*W1464 + 2*Z1464+2*AD1464 + AG1464+2*AJ1464 + 4*AM1464) &gt;=8,1,0)</f>
        <v>1</v>
      </c>
    </row>
    <row r="1465" spans="1:43" x14ac:dyDescent="0.25">
      <c r="A1465" t="s">
        <v>27</v>
      </c>
      <c r="B1465" s="1">
        <v>42922</v>
      </c>
      <c r="C1465" s="7">
        <f t="shared" si="257"/>
        <v>2017</v>
      </c>
      <c r="D1465">
        <v>88.7</v>
      </c>
      <c r="E1465">
        <v>73.900000000000006</v>
      </c>
      <c r="F1465">
        <v>80.7</v>
      </c>
      <c r="G1465" s="2">
        <f t="shared" si="256"/>
        <v>1</v>
      </c>
      <c r="H1465">
        <v>85.1</v>
      </c>
      <c r="I1465">
        <v>73.900000000000006</v>
      </c>
      <c r="J1465">
        <v>79.3</v>
      </c>
      <c r="K1465">
        <v>46.7</v>
      </c>
      <c r="L1465">
        <v>31.8</v>
      </c>
      <c r="M1465" s="2">
        <f t="shared" si="258"/>
        <v>1</v>
      </c>
      <c r="N1465">
        <v>0</v>
      </c>
      <c r="P1465" s="2">
        <f t="shared" si="259"/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35.799999999999997</v>
      </c>
      <c r="W1465" s="2">
        <f t="shared" si="260"/>
        <v>1</v>
      </c>
      <c r="X1465">
        <v>23.8</v>
      </c>
      <c r="Z1465" s="2">
        <f t="shared" si="261"/>
        <v>1</v>
      </c>
      <c r="AA1465">
        <v>359.4</v>
      </c>
      <c r="AB1465" s="2" t="str">
        <f>CHOOSE(MATCH(AA1465,{0;11;80;111;161;191;241;281;341},1),"North","NorthEast","East","SouthEast","South","SouthWest","West","NorthWest","North")</f>
        <v>North</v>
      </c>
      <c r="AC1465" s="5">
        <f>CHOOSE(MATCH(AB1465,{"South";"SouthEast";"SouthWest";"North";"NorthEast";"East";"West";"NorthWest"},0),1,2,3,4,5,6,7,8)</f>
        <v>4</v>
      </c>
      <c r="AD1465" s="2">
        <f t="shared" si="262"/>
        <v>1</v>
      </c>
      <c r="AE1465">
        <v>1014.9</v>
      </c>
      <c r="AF1465" s="4" t="s">
        <v>2278</v>
      </c>
      <c r="AG1465" s="2">
        <f t="shared" si="263"/>
        <v>0</v>
      </c>
      <c r="AH1465" t="s">
        <v>2290</v>
      </c>
      <c r="AI1465" s="2">
        <f t="shared" si="264"/>
        <v>7</v>
      </c>
      <c r="AJ1465" s="2">
        <f t="shared" si="265"/>
        <v>1</v>
      </c>
      <c r="AK1465" s="3">
        <v>25.99999999045394</v>
      </c>
      <c r="AM1465" s="2">
        <v>0</v>
      </c>
      <c r="AN1465">
        <v>0.3</v>
      </c>
      <c r="AO1465">
        <v>0</v>
      </c>
      <c r="AP1465">
        <v>0</v>
      </c>
      <c r="AQ1465" s="2">
        <f>IF((2*G1465 + M1465 -P1465 + 3*W1465 + 2*Z1465+2*AD1465 + AG1465+2*AJ1465 + 4*AM1465) &gt;=8,1,0)</f>
        <v>1</v>
      </c>
    </row>
    <row r="1466" spans="1:43" x14ac:dyDescent="0.25">
      <c r="A1466" t="s">
        <v>27</v>
      </c>
      <c r="B1466" s="1">
        <v>42922</v>
      </c>
      <c r="C1466" s="7">
        <f t="shared" si="257"/>
        <v>2017</v>
      </c>
      <c r="D1466">
        <v>88.7</v>
      </c>
      <c r="E1466">
        <v>73.900000000000006</v>
      </c>
      <c r="F1466">
        <v>80.7</v>
      </c>
      <c r="G1466" s="2">
        <f t="shared" si="256"/>
        <v>1</v>
      </c>
      <c r="H1466">
        <v>85.1</v>
      </c>
      <c r="I1466">
        <v>73.900000000000006</v>
      </c>
      <c r="J1466">
        <v>79.3</v>
      </c>
      <c r="K1466">
        <v>46.7</v>
      </c>
      <c r="L1466">
        <v>31.8</v>
      </c>
      <c r="M1466" s="2">
        <f t="shared" si="258"/>
        <v>1</v>
      </c>
      <c r="N1466">
        <v>0</v>
      </c>
      <c r="P1466" s="2">
        <f t="shared" si="259"/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35.799999999999997</v>
      </c>
      <c r="W1466" s="2">
        <f t="shared" si="260"/>
        <v>1</v>
      </c>
      <c r="X1466">
        <v>23.8</v>
      </c>
      <c r="Z1466" s="2">
        <f t="shared" si="261"/>
        <v>1</v>
      </c>
      <c r="AA1466">
        <v>359.4</v>
      </c>
      <c r="AB1466" s="2" t="str">
        <f>CHOOSE(MATCH(AA1466,{0;11;80;111;161;191;241;281;341},1),"North","NorthEast","East","SouthEast","South","SouthWest","West","NorthWest","North")</f>
        <v>North</v>
      </c>
      <c r="AC1466" s="5">
        <f>CHOOSE(MATCH(AB1466,{"South";"SouthEast";"SouthWest";"North";"NorthEast";"East";"West";"NorthWest"},0),1,2,3,4,5,6,7,8)</f>
        <v>4</v>
      </c>
      <c r="AD1466" s="2">
        <f t="shared" si="262"/>
        <v>1</v>
      </c>
      <c r="AE1466">
        <v>1014.9</v>
      </c>
      <c r="AF1466" s="4" t="s">
        <v>1141</v>
      </c>
      <c r="AG1466" s="2">
        <f t="shared" si="263"/>
        <v>1</v>
      </c>
      <c r="AH1466" t="s">
        <v>2291</v>
      </c>
      <c r="AI1466" s="2">
        <f t="shared" si="264"/>
        <v>7</v>
      </c>
      <c r="AJ1466" s="2">
        <f t="shared" si="265"/>
        <v>1</v>
      </c>
      <c r="AK1466" s="3">
        <v>3229.9999999988358</v>
      </c>
      <c r="AM1466" s="2">
        <v>1</v>
      </c>
      <c r="AN1466">
        <v>0</v>
      </c>
      <c r="AO1466">
        <v>20</v>
      </c>
      <c r="AP1466">
        <v>0</v>
      </c>
      <c r="AQ1466" s="2">
        <f>IF((2*G1466 + M1466 -P1466 + 3*W1466 + 2*Z1466+2*AD1466 + AG1466+2*AJ1466 + 4*AM1466) &gt;=8,1,0)</f>
        <v>1</v>
      </c>
    </row>
    <row r="1467" spans="1:43" x14ac:dyDescent="0.25">
      <c r="A1467" t="s">
        <v>27</v>
      </c>
      <c r="B1467" s="1">
        <v>42927</v>
      </c>
      <c r="C1467" s="7">
        <f t="shared" si="257"/>
        <v>2017</v>
      </c>
      <c r="D1467">
        <v>94.9</v>
      </c>
      <c r="E1467">
        <v>79.2</v>
      </c>
      <c r="F1467">
        <v>87</v>
      </c>
      <c r="G1467" s="2">
        <f t="shared" si="256"/>
        <v>1</v>
      </c>
      <c r="H1467">
        <v>91.9</v>
      </c>
      <c r="I1467">
        <v>79.2</v>
      </c>
      <c r="J1467">
        <v>85.1</v>
      </c>
      <c r="K1467">
        <v>50.6</v>
      </c>
      <c r="L1467">
        <v>29.2</v>
      </c>
      <c r="M1467" s="2">
        <f t="shared" si="258"/>
        <v>1</v>
      </c>
      <c r="N1467">
        <v>0</v>
      </c>
      <c r="P1467" s="2">
        <f t="shared" si="259"/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25.4</v>
      </c>
      <c r="W1467" s="2">
        <f t="shared" si="260"/>
        <v>1</v>
      </c>
      <c r="X1467">
        <v>14.9</v>
      </c>
      <c r="Z1467" s="2">
        <f t="shared" si="261"/>
        <v>0</v>
      </c>
      <c r="AA1467">
        <v>8.1</v>
      </c>
      <c r="AB1467" s="2" t="str">
        <f>CHOOSE(MATCH(AA1467,{0;11;80;111;161;191;241;281;341},1),"North","NorthEast","East","SouthEast","South","SouthWest","West","NorthWest","North")</f>
        <v>North</v>
      </c>
      <c r="AC1467" s="5">
        <f>CHOOSE(MATCH(AB1467,{"South";"SouthEast";"SouthWest";"North";"NorthEast";"East";"West";"NorthWest"},0),1,2,3,4,5,6,7,8)</f>
        <v>4</v>
      </c>
      <c r="AD1467" s="2">
        <f t="shared" si="262"/>
        <v>1</v>
      </c>
      <c r="AE1467">
        <v>1014.7</v>
      </c>
      <c r="AF1467" s="4" t="s">
        <v>2292</v>
      </c>
      <c r="AG1467" s="2">
        <f t="shared" si="263"/>
        <v>1</v>
      </c>
      <c r="AH1467" t="s">
        <v>2293</v>
      </c>
      <c r="AI1467" s="2">
        <f t="shared" si="264"/>
        <v>7</v>
      </c>
      <c r="AJ1467" s="2">
        <f t="shared" si="265"/>
        <v>1</v>
      </c>
      <c r="AK1467" s="3">
        <v>72.000000004190952</v>
      </c>
      <c r="AM1467" s="2">
        <v>0</v>
      </c>
      <c r="AN1467">
        <v>0</v>
      </c>
      <c r="AO1467">
        <v>0.2</v>
      </c>
      <c r="AP1467">
        <v>0</v>
      </c>
      <c r="AQ1467" s="2">
        <f>IF((2*G1467 + M1467 -P1467 + 3*W1467 + 2*Z1467+2*AD1467 + AG1467+2*AJ1467 + 4*AM1467) &gt;=8,1,0)</f>
        <v>1</v>
      </c>
    </row>
    <row r="1468" spans="1:43" x14ac:dyDescent="0.25">
      <c r="A1468" t="s">
        <v>27</v>
      </c>
      <c r="B1468" s="1">
        <v>42931</v>
      </c>
      <c r="C1468" s="7">
        <f t="shared" si="257"/>
        <v>2017</v>
      </c>
      <c r="D1468">
        <v>89.4</v>
      </c>
      <c r="E1468">
        <v>75.2</v>
      </c>
      <c r="F1468">
        <v>82.8</v>
      </c>
      <c r="G1468" s="2">
        <f t="shared" si="256"/>
        <v>1</v>
      </c>
      <c r="H1468">
        <v>88.4</v>
      </c>
      <c r="I1468">
        <v>75.2</v>
      </c>
      <c r="J1468">
        <v>82.8</v>
      </c>
      <c r="K1468">
        <v>60.4</v>
      </c>
      <c r="L1468">
        <v>47.6</v>
      </c>
      <c r="M1468" s="2">
        <f t="shared" si="258"/>
        <v>1</v>
      </c>
      <c r="N1468">
        <v>0</v>
      </c>
      <c r="P1468" s="2">
        <f t="shared" si="259"/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27.7</v>
      </c>
      <c r="W1468" s="2">
        <f t="shared" si="260"/>
        <v>1</v>
      </c>
      <c r="X1468">
        <v>17.8</v>
      </c>
      <c r="Z1468" s="2">
        <f t="shared" si="261"/>
        <v>1</v>
      </c>
      <c r="AA1468">
        <v>17.899999999999999</v>
      </c>
      <c r="AB1468" s="2" t="str">
        <f>CHOOSE(MATCH(AA1468,{0;11;80;111;161;191;241;281;341},1),"North","NorthEast","East","SouthEast","South","SouthWest","West","NorthWest","North")</f>
        <v>NorthEast</v>
      </c>
      <c r="AC1468" s="5">
        <f>CHOOSE(MATCH(AB1468,{"South";"SouthEast";"SouthWest";"North";"NorthEast";"East";"West";"NorthWest"},0),1,2,3,4,5,6,7,8)</f>
        <v>5</v>
      </c>
      <c r="AD1468" s="2">
        <f t="shared" si="262"/>
        <v>1</v>
      </c>
      <c r="AE1468">
        <v>1007.7</v>
      </c>
      <c r="AF1468" s="4" t="s">
        <v>2294</v>
      </c>
      <c r="AG1468" s="2">
        <f t="shared" si="263"/>
        <v>0</v>
      </c>
      <c r="AH1468" t="s">
        <v>2295</v>
      </c>
      <c r="AI1468" s="2">
        <f t="shared" si="264"/>
        <v>7</v>
      </c>
      <c r="AJ1468" s="2">
        <f t="shared" si="265"/>
        <v>1</v>
      </c>
      <c r="AK1468" s="3">
        <v>3710.0000000023279</v>
      </c>
      <c r="AM1468" s="2">
        <v>1</v>
      </c>
      <c r="AN1468">
        <v>4</v>
      </c>
      <c r="AO1468">
        <v>0</v>
      </c>
      <c r="AP1468">
        <v>0</v>
      </c>
      <c r="AQ1468" s="2">
        <f>IF((2*G1468 + M1468 -P1468 + 3*W1468 + 2*Z1468+2*AD1468 + AG1468+2*AJ1468 + 4*AM1468) &gt;=8,1,0)</f>
        <v>1</v>
      </c>
    </row>
    <row r="1469" spans="1:43" x14ac:dyDescent="0.25">
      <c r="A1469" t="s">
        <v>27</v>
      </c>
      <c r="B1469" s="1">
        <v>42932</v>
      </c>
      <c r="C1469" s="7">
        <f t="shared" si="257"/>
        <v>2017</v>
      </c>
      <c r="D1469">
        <v>85.9</v>
      </c>
      <c r="E1469">
        <v>75.7</v>
      </c>
      <c r="F1469">
        <v>79.599999999999994</v>
      </c>
      <c r="G1469" s="2">
        <f t="shared" si="256"/>
        <v>1</v>
      </c>
      <c r="H1469">
        <v>84.1</v>
      </c>
      <c r="I1469">
        <v>75.7</v>
      </c>
      <c r="J1469">
        <v>79.2</v>
      </c>
      <c r="K1469">
        <v>54.8</v>
      </c>
      <c r="L1469">
        <v>42.9</v>
      </c>
      <c r="M1469" s="2">
        <f t="shared" si="258"/>
        <v>1</v>
      </c>
      <c r="N1469">
        <v>0</v>
      </c>
      <c r="P1469" s="2">
        <f t="shared" si="259"/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27.3</v>
      </c>
      <c r="W1469" s="2">
        <f t="shared" si="260"/>
        <v>1</v>
      </c>
      <c r="X1469">
        <v>21.7</v>
      </c>
      <c r="Z1469" s="2">
        <f t="shared" si="261"/>
        <v>1</v>
      </c>
      <c r="AA1469">
        <v>12.1</v>
      </c>
      <c r="AB1469" s="2" t="str">
        <f>CHOOSE(MATCH(AA1469,{0;11;80;111;161;191;241;281;341},1),"North","NorthEast","East","SouthEast","South","SouthWest","West","NorthWest","North")</f>
        <v>NorthEast</v>
      </c>
      <c r="AC1469" s="5">
        <f>CHOOSE(MATCH(AB1469,{"South";"SouthEast";"SouthWest";"North";"NorthEast";"East";"West";"NorthWest"},0),1,2,3,4,5,6,7,8)</f>
        <v>5</v>
      </c>
      <c r="AD1469" s="2">
        <f t="shared" si="262"/>
        <v>1</v>
      </c>
      <c r="AE1469">
        <v>1008.6</v>
      </c>
      <c r="AF1469" s="4" t="s">
        <v>2296</v>
      </c>
      <c r="AG1469" s="2">
        <f t="shared" si="263"/>
        <v>1</v>
      </c>
      <c r="AH1469" t="s">
        <v>2297</v>
      </c>
      <c r="AI1469" s="2">
        <f t="shared" si="264"/>
        <v>7</v>
      </c>
      <c r="AJ1469" s="2">
        <f t="shared" si="265"/>
        <v>1</v>
      </c>
      <c r="AK1469" s="3">
        <v>698.00000000162981</v>
      </c>
      <c r="AM1469" s="2">
        <v>1</v>
      </c>
      <c r="AN1469">
        <v>0</v>
      </c>
      <c r="AO1469">
        <v>1</v>
      </c>
      <c r="AP1469">
        <v>0</v>
      </c>
      <c r="AQ1469" s="2">
        <f>IF((2*G1469 + M1469 -P1469 + 3*W1469 + 2*Z1469+2*AD1469 + AG1469+2*AJ1469 + 4*AM1469) &gt;=8,1,0)</f>
        <v>1</v>
      </c>
    </row>
    <row r="1470" spans="1:43" x14ac:dyDescent="0.25">
      <c r="A1470" t="s">
        <v>27</v>
      </c>
      <c r="B1470" s="1">
        <v>42935</v>
      </c>
      <c r="C1470" s="7">
        <f t="shared" si="257"/>
        <v>2017</v>
      </c>
      <c r="D1470">
        <v>85.2</v>
      </c>
      <c r="E1470">
        <v>70.7</v>
      </c>
      <c r="F1470">
        <v>78.3</v>
      </c>
      <c r="G1470" s="2">
        <f t="shared" si="256"/>
        <v>1</v>
      </c>
      <c r="H1470">
        <v>82.7</v>
      </c>
      <c r="I1470">
        <v>70.7</v>
      </c>
      <c r="J1470">
        <v>77.5</v>
      </c>
      <c r="K1470">
        <v>50.2</v>
      </c>
      <c r="L1470">
        <v>38.6</v>
      </c>
      <c r="M1470" s="2">
        <f t="shared" si="258"/>
        <v>1</v>
      </c>
      <c r="N1470">
        <v>0</v>
      </c>
      <c r="P1470" s="2">
        <f t="shared" si="259"/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35.6</v>
      </c>
      <c r="W1470" s="2">
        <f t="shared" si="260"/>
        <v>1</v>
      </c>
      <c r="X1470">
        <v>20.8</v>
      </c>
      <c r="Z1470" s="2">
        <f t="shared" si="261"/>
        <v>1</v>
      </c>
      <c r="AA1470">
        <v>356.7</v>
      </c>
      <c r="AB1470" s="2" t="str">
        <f>CHOOSE(MATCH(AA1470,{0;11;80;111;161;191;241;281;341},1),"North","NorthEast","East","SouthEast","South","SouthWest","West","NorthWest","North")</f>
        <v>North</v>
      </c>
      <c r="AC1470" s="5">
        <f>CHOOSE(MATCH(AB1470,{"South";"SouthEast";"SouthWest";"North";"NorthEast";"East";"West";"NorthWest"},0),1,2,3,4,5,6,7,8)</f>
        <v>4</v>
      </c>
      <c r="AD1470" s="2">
        <f t="shared" si="262"/>
        <v>1</v>
      </c>
      <c r="AE1470">
        <v>1016.2</v>
      </c>
      <c r="AF1470" s="4" t="s">
        <v>2298</v>
      </c>
      <c r="AG1470" s="2">
        <f t="shared" si="263"/>
        <v>1</v>
      </c>
      <c r="AH1470" t="s">
        <v>2299</v>
      </c>
      <c r="AI1470" s="2">
        <f t="shared" si="264"/>
        <v>7</v>
      </c>
      <c r="AJ1470" s="2">
        <f t="shared" si="265"/>
        <v>1</v>
      </c>
      <c r="AK1470" s="3">
        <v>805.00000000465661</v>
      </c>
      <c r="AM1470" s="2">
        <v>1</v>
      </c>
      <c r="AN1470">
        <v>0</v>
      </c>
      <c r="AO1470">
        <v>3</v>
      </c>
      <c r="AP1470">
        <v>0</v>
      </c>
      <c r="AQ1470" s="2">
        <f>IF((2*G1470 + M1470 -P1470 + 3*W1470 + 2*Z1470+2*AD1470 + AG1470+2*AJ1470 + 4*AM1470) &gt;=8,1,0)</f>
        <v>1</v>
      </c>
    </row>
    <row r="1471" spans="1:43" x14ac:dyDescent="0.25">
      <c r="A1471" t="s">
        <v>27</v>
      </c>
      <c r="B1471" s="1">
        <v>42943</v>
      </c>
      <c r="C1471" s="7">
        <f t="shared" si="257"/>
        <v>2017</v>
      </c>
      <c r="D1471">
        <v>86.8</v>
      </c>
      <c r="E1471">
        <v>70</v>
      </c>
      <c r="F1471">
        <v>79.8</v>
      </c>
      <c r="G1471" s="2">
        <f t="shared" ref="G1471:G1534" si="266">IF(F1471&lt;=73.6,0,1)</f>
        <v>1</v>
      </c>
      <c r="H1471">
        <v>84.6</v>
      </c>
      <c r="I1471">
        <v>70</v>
      </c>
      <c r="J1471">
        <v>79.2</v>
      </c>
      <c r="K1471">
        <v>57.7</v>
      </c>
      <c r="L1471">
        <v>48.7</v>
      </c>
      <c r="M1471" s="2">
        <f t="shared" si="258"/>
        <v>1</v>
      </c>
      <c r="N1471">
        <v>7.0999999999999994E-2</v>
      </c>
      <c r="P1471" s="2">
        <f t="shared" si="259"/>
        <v>0</v>
      </c>
      <c r="Q1471">
        <v>100</v>
      </c>
      <c r="R1471">
        <v>4.17</v>
      </c>
      <c r="S1471" t="s">
        <v>87</v>
      </c>
      <c r="T1471">
        <v>0</v>
      </c>
      <c r="U1471">
        <v>0</v>
      </c>
      <c r="V1471">
        <v>29.2</v>
      </c>
      <c r="W1471" s="2">
        <f t="shared" si="260"/>
        <v>1</v>
      </c>
      <c r="X1471">
        <v>16.7</v>
      </c>
      <c r="Z1471" s="2">
        <f t="shared" si="261"/>
        <v>1</v>
      </c>
      <c r="AA1471">
        <v>318.8</v>
      </c>
      <c r="AB1471" s="2" t="str">
        <f>CHOOSE(MATCH(AA1471,{0;11;80;111;161;191;241;281;341},1),"North","NorthEast","East","SouthEast","South","SouthWest","West","NorthWest","North")</f>
        <v>NorthWest</v>
      </c>
      <c r="AC1471" s="5">
        <f>CHOOSE(MATCH(AB1471,{"South";"SouthEast";"SouthWest";"North";"NorthEast";"East";"West";"NorthWest"},0),1,2,3,4,5,6,7,8)</f>
        <v>8</v>
      </c>
      <c r="AD1471" s="2">
        <f t="shared" si="262"/>
        <v>1</v>
      </c>
      <c r="AE1471">
        <v>1003.9</v>
      </c>
      <c r="AF1471" s="4" t="s">
        <v>1074</v>
      </c>
      <c r="AG1471" s="2">
        <f t="shared" si="263"/>
        <v>1</v>
      </c>
      <c r="AH1471" t="s">
        <v>2300</v>
      </c>
      <c r="AI1471" s="2">
        <f t="shared" si="264"/>
        <v>7</v>
      </c>
      <c r="AJ1471" s="2">
        <f t="shared" si="265"/>
        <v>1</v>
      </c>
      <c r="AK1471" s="3">
        <v>59.99999999650754</v>
      </c>
      <c r="AM1471" s="2">
        <v>0</v>
      </c>
      <c r="AN1471">
        <v>0</v>
      </c>
      <c r="AO1471">
        <v>10</v>
      </c>
      <c r="AP1471">
        <v>0</v>
      </c>
      <c r="AQ1471" s="2">
        <f>IF((2*G1471 + M1471 -P1471 + 3*W1471 + 2*Z1471+2*AD1471 + AG1471+2*AJ1471 + 4*AM1471) &gt;=8,1,0)</f>
        <v>1</v>
      </c>
    </row>
    <row r="1472" spans="1:43" x14ac:dyDescent="0.25">
      <c r="A1472" t="s">
        <v>27</v>
      </c>
      <c r="B1472" s="1">
        <v>42945</v>
      </c>
      <c r="C1472" s="7">
        <f t="shared" si="257"/>
        <v>2017</v>
      </c>
      <c r="D1472">
        <v>90.7</v>
      </c>
      <c r="E1472">
        <v>68.8</v>
      </c>
      <c r="F1472">
        <v>80.400000000000006</v>
      </c>
      <c r="G1472" s="2">
        <f t="shared" si="266"/>
        <v>1</v>
      </c>
      <c r="H1472">
        <v>89</v>
      </c>
      <c r="I1472">
        <v>68.8</v>
      </c>
      <c r="J1472">
        <v>79.599999999999994</v>
      </c>
      <c r="K1472">
        <v>57.2</v>
      </c>
      <c r="L1472">
        <v>48.7</v>
      </c>
      <c r="M1472" s="2">
        <f t="shared" si="258"/>
        <v>1</v>
      </c>
      <c r="N1472">
        <v>0</v>
      </c>
      <c r="P1472" s="2">
        <f t="shared" si="259"/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21.7</v>
      </c>
      <c r="W1472" s="2">
        <f t="shared" si="260"/>
        <v>1</v>
      </c>
      <c r="X1472">
        <v>13.7</v>
      </c>
      <c r="Z1472" s="2">
        <f t="shared" si="261"/>
        <v>0</v>
      </c>
      <c r="AA1472">
        <v>20</v>
      </c>
      <c r="AB1472" s="2" t="str">
        <f>CHOOSE(MATCH(AA1472,{0;11;80;111;161;191;241;281;341},1),"North","NorthEast","East","SouthEast","South","SouthWest","West","NorthWest","North")</f>
        <v>NorthEast</v>
      </c>
      <c r="AC1472" s="5">
        <f>CHOOSE(MATCH(AB1472,{"South";"SouthEast";"SouthWest";"North";"NorthEast";"East";"West";"NorthWest"},0),1,2,3,4,5,6,7,8)</f>
        <v>5</v>
      </c>
      <c r="AD1472" s="2">
        <f t="shared" si="262"/>
        <v>1</v>
      </c>
      <c r="AE1472">
        <v>1015.1</v>
      </c>
      <c r="AF1472" s="4" t="s">
        <v>2030</v>
      </c>
      <c r="AG1472" s="2">
        <f t="shared" si="263"/>
        <v>1</v>
      </c>
      <c r="AH1472" t="s">
        <v>2301</v>
      </c>
      <c r="AI1472" s="2">
        <f t="shared" si="264"/>
        <v>7</v>
      </c>
      <c r="AJ1472" s="2">
        <f t="shared" si="265"/>
        <v>1</v>
      </c>
      <c r="AK1472" s="3">
        <v>799.99999999883585</v>
      </c>
      <c r="AM1472" s="2">
        <v>1</v>
      </c>
      <c r="AN1472">
        <v>0</v>
      </c>
      <c r="AO1472">
        <v>5</v>
      </c>
      <c r="AP1472">
        <v>0</v>
      </c>
      <c r="AQ1472" s="2">
        <f>IF((2*G1472 + M1472 -P1472 + 3*W1472 + 2*Z1472+2*AD1472 + AG1472+2*AJ1472 + 4*AM1472) &gt;=8,1,0)</f>
        <v>1</v>
      </c>
    </row>
    <row r="1473" spans="1:43" x14ac:dyDescent="0.25">
      <c r="A1473" t="s">
        <v>27</v>
      </c>
      <c r="B1473" s="1">
        <v>42947</v>
      </c>
      <c r="C1473" s="7">
        <f t="shared" si="257"/>
        <v>2017</v>
      </c>
      <c r="D1473">
        <v>89.4</v>
      </c>
      <c r="E1473">
        <v>78.400000000000006</v>
      </c>
      <c r="F1473">
        <v>82.8</v>
      </c>
      <c r="G1473" s="2">
        <f t="shared" si="266"/>
        <v>1</v>
      </c>
      <c r="H1473">
        <v>87.3</v>
      </c>
      <c r="I1473">
        <v>78.400000000000006</v>
      </c>
      <c r="J1473">
        <v>82</v>
      </c>
      <c r="K1473">
        <v>53.8</v>
      </c>
      <c r="L1473">
        <v>37.299999999999997</v>
      </c>
      <c r="M1473" s="2">
        <f t="shared" si="258"/>
        <v>1</v>
      </c>
      <c r="N1473">
        <v>0</v>
      </c>
      <c r="P1473" s="2">
        <f t="shared" si="259"/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36.6</v>
      </c>
      <c r="W1473" s="2">
        <f t="shared" si="260"/>
        <v>1</v>
      </c>
      <c r="X1473">
        <v>23.4</v>
      </c>
      <c r="Z1473" s="2">
        <f t="shared" si="261"/>
        <v>1</v>
      </c>
      <c r="AA1473">
        <v>5</v>
      </c>
      <c r="AB1473" s="2" t="str">
        <f>CHOOSE(MATCH(AA1473,{0;11;80;111;161;191;241;281;341},1),"North","NorthEast","East","SouthEast","South","SouthWest","West","NorthWest","North")</f>
        <v>North</v>
      </c>
      <c r="AC1473" s="5">
        <f>CHOOSE(MATCH(AB1473,{"South";"SouthEast";"SouthWest";"North";"NorthEast";"East";"West";"NorthWest"},0),1,2,3,4,5,6,7,8)</f>
        <v>4</v>
      </c>
      <c r="AD1473" s="2">
        <f t="shared" si="262"/>
        <v>1</v>
      </c>
      <c r="AE1473">
        <v>1013.8</v>
      </c>
      <c r="AF1473" s="4" t="s">
        <v>2027</v>
      </c>
      <c r="AG1473" s="2">
        <f t="shared" si="263"/>
        <v>1</v>
      </c>
      <c r="AH1473" t="s">
        <v>2302</v>
      </c>
      <c r="AI1473" s="2">
        <f t="shared" si="264"/>
        <v>7</v>
      </c>
      <c r="AJ1473" s="2">
        <f t="shared" si="265"/>
        <v>1</v>
      </c>
      <c r="AK1473" s="3">
        <v>8794.9999999918509</v>
      </c>
      <c r="AM1473" s="2">
        <v>1</v>
      </c>
      <c r="AN1473">
        <v>0</v>
      </c>
      <c r="AO1473">
        <v>3000</v>
      </c>
      <c r="AP1473">
        <v>0</v>
      </c>
      <c r="AQ1473" s="2">
        <f>IF((2*G1473 + M1473 -P1473 + 3*W1473 + 2*Z1473+2*AD1473 + AG1473+2*AJ1473 + 4*AM1473) &gt;=8,1,0)</f>
        <v>1</v>
      </c>
    </row>
    <row r="1474" spans="1:43" x14ac:dyDescent="0.25">
      <c r="A1474" t="s">
        <v>27</v>
      </c>
      <c r="B1474" s="1">
        <v>42948</v>
      </c>
      <c r="C1474" s="7">
        <f t="shared" si="257"/>
        <v>2017</v>
      </c>
      <c r="D1474">
        <v>85.8</v>
      </c>
      <c r="E1474">
        <v>75.900000000000006</v>
      </c>
      <c r="F1474">
        <v>81.2</v>
      </c>
      <c r="G1474" s="2">
        <f t="shared" si="266"/>
        <v>1</v>
      </c>
      <c r="H1474">
        <v>83.9</v>
      </c>
      <c r="I1474">
        <v>75.900000000000006</v>
      </c>
      <c r="J1474">
        <v>80.5</v>
      </c>
      <c r="K1474">
        <v>54.5</v>
      </c>
      <c r="L1474">
        <v>40.299999999999997</v>
      </c>
      <c r="M1474" s="2">
        <f t="shared" si="258"/>
        <v>1</v>
      </c>
      <c r="N1474">
        <v>0</v>
      </c>
      <c r="P1474" s="2">
        <f t="shared" si="259"/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42.8</v>
      </c>
      <c r="W1474" s="2">
        <f t="shared" si="260"/>
        <v>1</v>
      </c>
      <c r="X1474">
        <v>27.2</v>
      </c>
      <c r="Z1474" s="2">
        <f t="shared" si="261"/>
        <v>1</v>
      </c>
      <c r="AA1474">
        <v>2.2000000000000002</v>
      </c>
      <c r="AB1474" s="2" t="str">
        <f>CHOOSE(MATCH(AA1474,{0;11;80;111;161;191;241;281;341},1),"North","NorthEast","East","SouthEast","South","SouthWest","West","NorthWest","North")</f>
        <v>North</v>
      </c>
      <c r="AC1474" s="5">
        <f>CHOOSE(MATCH(AB1474,{"South";"SouthEast";"SouthWest";"North";"NorthEast";"East";"West";"NorthWest"},0),1,2,3,4,5,6,7,8)</f>
        <v>4</v>
      </c>
      <c r="AD1474" s="2">
        <f t="shared" si="262"/>
        <v>1</v>
      </c>
      <c r="AE1474">
        <v>1014.6</v>
      </c>
      <c r="AF1474" s="4" t="s">
        <v>1741</v>
      </c>
      <c r="AG1474" s="2">
        <f t="shared" si="263"/>
        <v>1</v>
      </c>
      <c r="AH1474" t="s">
        <v>2303</v>
      </c>
      <c r="AI1474" s="2">
        <f t="shared" si="264"/>
        <v>8</v>
      </c>
      <c r="AJ1474" s="2">
        <f t="shared" si="265"/>
        <v>1</v>
      </c>
      <c r="AK1474" s="3">
        <v>5491.0000000032596</v>
      </c>
      <c r="AM1474" s="2">
        <v>1</v>
      </c>
      <c r="AN1474">
        <v>0</v>
      </c>
      <c r="AO1474">
        <v>40</v>
      </c>
      <c r="AP1474">
        <v>0</v>
      </c>
      <c r="AQ1474" s="2">
        <f>IF((2*G1474 + M1474 -P1474 + 3*W1474 + 2*Z1474+2*AD1474 + AG1474+2*AJ1474 + 4*AM1474) &gt;=8,1,0)</f>
        <v>1</v>
      </c>
    </row>
    <row r="1475" spans="1:43" x14ac:dyDescent="0.25">
      <c r="A1475" t="s">
        <v>27</v>
      </c>
      <c r="B1475" s="1">
        <v>42950</v>
      </c>
      <c r="C1475" s="7">
        <f t="shared" si="257"/>
        <v>2017</v>
      </c>
      <c r="D1475">
        <v>93.2</v>
      </c>
      <c r="E1475">
        <v>79.400000000000006</v>
      </c>
      <c r="F1475">
        <v>86.5</v>
      </c>
      <c r="G1475" s="2">
        <f t="shared" si="266"/>
        <v>1</v>
      </c>
      <c r="H1475">
        <v>90.5</v>
      </c>
      <c r="I1475">
        <v>79.400000000000006</v>
      </c>
      <c r="J1475">
        <v>84.7</v>
      </c>
      <c r="K1475">
        <v>52.8</v>
      </c>
      <c r="L1475">
        <v>32.200000000000003</v>
      </c>
      <c r="M1475" s="2">
        <f t="shared" si="258"/>
        <v>1</v>
      </c>
      <c r="N1475">
        <v>0</v>
      </c>
      <c r="P1475" s="2">
        <f t="shared" si="259"/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40</v>
      </c>
      <c r="W1475" s="2">
        <f t="shared" si="260"/>
        <v>1</v>
      </c>
      <c r="X1475">
        <v>24.1</v>
      </c>
      <c r="Z1475" s="2">
        <f t="shared" si="261"/>
        <v>1</v>
      </c>
      <c r="AA1475">
        <v>355.1</v>
      </c>
      <c r="AB1475" s="2" t="str">
        <f>CHOOSE(MATCH(AA1475,{0;11;80;111;161;191;241;281;341},1),"North","NorthEast","East","SouthEast","South","SouthWest","West","NorthWest","North")</f>
        <v>North</v>
      </c>
      <c r="AC1475" s="5">
        <f>CHOOSE(MATCH(AB1475,{"South";"SouthEast";"SouthWest";"North";"NorthEast";"East";"West";"NorthWest"},0),1,2,3,4,5,6,7,8)</f>
        <v>4</v>
      </c>
      <c r="AD1475" s="2">
        <f t="shared" si="262"/>
        <v>1</v>
      </c>
      <c r="AE1475">
        <v>1012.6</v>
      </c>
      <c r="AF1475" s="4" t="s">
        <v>2304</v>
      </c>
      <c r="AG1475" s="2">
        <f t="shared" si="263"/>
        <v>1</v>
      </c>
      <c r="AH1475" t="s">
        <v>2305</v>
      </c>
      <c r="AI1475" s="2">
        <f t="shared" si="264"/>
        <v>8</v>
      </c>
      <c r="AJ1475" s="2">
        <f t="shared" si="265"/>
        <v>1</v>
      </c>
      <c r="AK1475" s="3">
        <v>5636.999999997206</v>
      </c>
      <c r="AM1475" s="2">
        <v>1</v>
      </c>
      <c r="AN1475">
        <v>0</v>
      </c>
      <c r="AO1475">
        <v>55</v>
      </c>
      <c r="AP1475">
        <v>0</v>
      </c>
      <c r="AQ1475" s="2">
        <f>IF((2*G1475 + M1475 -P1475 + 3*W1475 + 2*Z1475+2*AD1475 + AG1475+2*AJ1475 + 4*AM1475) &gt;=8,1,0)</f>
        <v>1</v>
      </c>
    </row>
    <row r="1476" spans="1:43" x14ac:dyDescent="0.25">
      <c r="A1476" t="s">
        <v>27</v>
      </c>
      <c r="B1476" s="1">
        <v>42950</v>
      </c>
      <c r="C1476" s="7">
        <f t="shared" si="257"/>
        <v>2017</v>
      </c>
      <c r="D1476">
        <v>93.2</v>
      </c>
      <c r="E1476">
        <v>79.400000000000006</v>
      </c>
      <c r="F1476">
        <v>86.5</v>
      </c>
      <c r="G1476" s="2">
        <f t="shared" si="266"/>
        <v>1</v>
      </c>
      <c r="H1476">
        <v>90.5</v>
      </c>
      <c r="I1476">
        <v>79.400000000000006</v>
      </c>
      <c r="J1476">
        <v>84.7</v>
      </c>
      <c r="K1476">
        <v>52.8</v>
      </c>
      <c r="L1476">
        <v>32.200000000000003</v>
      </c>
      <c r="M1476" s="2">
        <f t="shared" si="258"/>
        <v>1</v>
      </c>
      <c r="N1476">
        <v>0</v>
      </c>
      <c r="P1476" s="2">
        <f t="shared" si="259"/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40</v>
      </c>
      <c r="W1476" s="2">
        <f t="shared" si="260"/>
        <v>1</v>
      </c>
      <c r="X1476">
        <v>24.1</v>
      </c>
      <c r="Z1476" s="2">
        <f t="shared" si="261"/>
        <v>1</v>
      </c>
      <c r="AA1476">
        <v>355.1</v>
      </c>
      <c r="AB1476" s="2" t="str">
        <f>CHOOSE(MATCH(AA1476,{0;11;80;111;161;191;241;281;341},1),"North","NorthEast","East","SouthEast","South","SouthWest","West","NorthWest","North")</f>
        <v>North</v>
      </c>
      <c r="AC1476" s="5">
        <f>CHOOSE(MATCH(AB1476,{"South";"SouthEast";"SouthWest";"North";"NorthEast";"East";"West";"NorthWest"},0),1,2,3,4,5,6,7,8)</f>
        <v>4</v>
      </c>
      <c r="AD1476" s="2">
        <f t="shared" si="262"/>
        <v>1</v>
      </c>
      <c r="AE1476">
        <v>1012.6</v>
      </c>
      <c r="AF1476" s="4" t="s">
        <v>2306</v>
      </c>
      <c r="AG1476" s="2">
        <f t="shared" si="263"/>
        <v>1</v>
      </c>
      <c r="AH1476" t="s">
        <v>2307</v>
      </c>
      <c r="AI1476" s="2">
        <f t="shared" si="264"/>
        <v>8</v>
      </c>
      <c r="AJ1476" s="2">
        <f t="shared" si="265"/>
        <v>1</v>
      </c>
      <c r="AK1476" s="3">
        <v>1061.999999993714</v>
      </c>
      <c r="AM1476" s="2">
        <v>1</v>
      </c>
      <c r="AN1476">
        <v>4.5</v>
      </c>
      <c r="AO1476">
        <v>0</v>
      </c>
      <c r="AP1476">
        <v>0</v>
      </c>
      <c r="AQ1476" s="2">
        <f>IF((2*G1476 + M1476 -P1476 + 3*W1476 + 2*Z1476+2*AD1476 + AG1476+2*AJ1476 + 4*AM1476) &gt;=8,1,0)</f>
        <v>1</v>
      </c>
    </row>
    <row r="1477" spans="1:43" x14ac:dyDescent="0.25">
      <c r="A1477" t="s">
        <v>27</v>
      </c>
      <c r="B1477" s="1">
        <v>42951</v>
      </c>
      <c r="C1477" s="7">
        <f t="shared" si="257"/>
        <v>2017</v>
      </c>
      <c r="D1477">
        <v>96.6</v>
      </c>
      <c r="E1477">
        <v>79.400000000000006</v>
      </c>
      <c r="F1477">
        <v>88.1</v>
      </c>
      <c r="G1477" s="2">
        <f t="shared" si="266"/>
        <v>1</v>
      </c>
      <c r="H1477">
        <v>94.2</v>
      </c>
      <c r="I1477">
        <v>79.400000000000006</v>
      </c>
      <c r="J1477">
        <v>86.5</v>
      </c>
      <c r="K1477">
        <v>53.8</v>
      </c>
      <c r="L1477">
        <v>31.8</v>
      </c>
      <c r="M1477" s="2">
        <f t="shared" si="258"/>
        <v>1</v>
      </c>
      <c r="N1477">
        <v>0</v>
      </c>
      <c r="P1477" s="2">
        <f t="shared" si="259"/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34.4</v>
      </c>
      <c r="W1477" s="2">
        <f t="shared" si="260"/>
        <v>1</v>
      </c>
      <c r="X1477">
        <v>21.6</v>
      </c>
      <c r="Z1477" s="2">
        <f t="shared" si="261"/>
        <v>1</v>
      </c>
      <c r="AA1477">
        <v>2.5</v>
      </c>
      <c r="AB1477" s="2" t="str">
        <f>CHOOSE(MATCH(AA1477,{0;11;80;111;161;191;241;281;341},1),"North","NorthEast","East","SouthEast","South","SouthWest","West","NorthWest","North")</f>
        <v>North</v>
      </c>
      <c r="AC1477" s="5">
        <f>CHOOSE(MATCH(AB1477,{"South";"SouthEast";"SouthWest";"North";"NorthEast";"East";"West";"NorthWest"},0),1,2,3,4,5,6,7,8)</f>
        <v>4</v>
      </c>
      <c r="AD1477" s="2">
        <f t="shared" si="262"/>
        <v>1</v>
      </c>
      <c r="AE1477">
        <v>1011</v>
      </c>
      <c r="AF1477" s="4" t="s">
        <v>2308</v>
      </c>
      <c r="AG1477" s="2">
        <f t="shared" si="263"/>
        <v>1</v>
      </c>
      <c r="AH1477" t="s">
        <v>2309</v>
      </c>
      <c r="AI1477" s="2">
        <f t="shared" si="264"/>
        <v>8</v>
      </c>
      <c r="AJ1477" s="2">
        <f t="shared" si="265"/>
        <v>1</v>
      </c>
      <c r="AK1477" s="3">
        <v>1376.999999993714</v>
      </c>
      <c r="AM1477" s="2">
        <v>1</v>
      </c>
      <c r="AN1477">
        <v>0</v>
      </c>
      <c r="AO1477">
        <v>2</v>
      </c>
      <c r="AP1477">
        <v>13</v>
      </c>
      <c r="AQ1477" s="2">
        <f>IF((2*G1477 + M1477 -P1477 + 3*W1477 + 2*Z1477+2*AD1477 + AG1477+2*AJ1477 + 4*AM1477) &gt;=8,1,0)</f>
        <v>1</v>
      </c>
    </row>
    <row r="1478" spans="1:43" x14ac:dyDescent="0.25">
      <c r="A1478" t="s">
        <v>27</v>
      </c>
      <c r="B1478" s="1">
        <v>42952</v>
      </c>
      <c r="C1478" s="7">
        <f t="shared" si="257"/>
        <v>2017</v>
      </c>
      <c r="D1478">
        <v>99.3</v>
      </c>
      <c r="E1478">
        <v>79.7</v>
      </c>
      <c r="F1478">
        <v>89.7</v>
      </c>
      <c r="G1478" s="2">
        <f t="shared" si="266"/>
        <v>1</v>
      </c>
      <c r="H1478">
        <v>96.3</v>
      </c>
      <c r="I1478">
        <v>79.7</v>
      </c>
      <c r="J1478">
        <v>88</v>
      </c>
      <c r="K1478">
        <v>53.6</v>
      </c>
      <c r="L1478">
        <v>30.2</v>
      </c>
      <c r="M1478" s="2">
        <f t="shared" si="258"/>
        <v>1</v>
      </c>
      <c r="N1478">
        <v>0</v>
      </c>
      <c r="P1478" s="2">
        <f t="shared" si="259"/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32.9</v>
      </c>
      <c r="W1478" s="2">
        <f t="shared" si="260"/>
        <v>1</v>
      </c>
      <c r="X1478">
        <v>17.899999999999999</v>
      </c>
      <c r="Z1478" s="2">
        <f t="shared" si="261"/>
        <v>1</v>
      </c>
      <c r="AA1478">
        <v>8.1</v>
      </c>
      <c r="AB1478" s="2" t="str">
        <f>CHOOSE(MATCH(AA1478,{0;11;80;111;161;191;241;281;341},1),"North","NorthEast","East","SouthEast","South","SouthWest","West","NorthWest","North")</f>
        <v>North</v>
      </c>
      <c r="AC1478" s="5">
        <f>CHOOSE(MATCH(AB1478,{"South";"SouthEast";"SouthWest";"North";"NorthEast";"East";"West";"NorthWest"},0),1,2,3,4,5,6,7,8)</f>
        <v>4</v>
      </c>
      <c r="AD1478" s="2">
        <f t="shared" si="262"/>
        <v>1</v>
      </c>
      <c r="AE1478">
        <v>1010</v>
      </c>
      <c r="AF1478" s="4" t="s">
        <v>2310</v>
      </c>
      <c r="AG1478" s="2">
        <f t="shared" si="263"/>
        <v>0</v>
      </c>
      <c r="AH1478" t="s">
        <v>2311</v>
      </c>
      <c r="AI1478" s="2">
        <f t="shared" si="264"/>
        <v>8</v>
      </c>
      <c r="AJ1478" s="2">
        <f t="shared" si="265"/>
        <v>1</v>
      </c>
      <c r="AK1478" s="3">
        <v>2062.9999999981369</v>
      </c>
      <c r="AM1478" s="2">
        <v>1</v>
      </c>
      <c r="AN1478">
        <v>0</v>
      </c>
      <c r="AO1478">
        <v>7</v>
      </c>
      <c r="AP1478">
        <v>0</v>
      </c>
      <c r="AQ1478" s="2">
        <f>IF((2*G1478 + M1478 -P1478 + 3*W1478 + 2*Z1478+2*AD1478 + AG1478+2*AJ1478 + 4*AM1478) &gt;=8,1,0)</f>
        <v>1</v>
      </c>
    </row>
    <row r="1479" spans="1:43" x14ac:dyDescent="0.25">
      <c r="A1479" t="s">
        <v>27</v>
      </c>
      <c r="B1479" s="1">
        <v>42953</v>
      </c>
      <c r="C1479" s="7">
        <f t="shared" si="257"/>
        <v>2017</v>
      </c>
      <c r="D1479">
        <v>100.2</v>
      </c>
      <c r="E1479">
        <v>81.099999999999994</v>
      </c>
      <c r="F1479">
        <v>90.9</v>
      </c>
      <c r="G1479" s="2">
        <f t="shared" si="266"/>
        <v>1</v>
      </c>
      <c r="H1479">
        <v>98.2</v>
      </c>
      <c r="I1479">
        <v>80.599999999999994</v>
      </c>
      <c r="J1479">
        <v>89.1</v>
      </c>
      <c r="K1479">
        <v>53.7</v>
      </c>
      <c r="L1479">
        <v>29.2</v>
      </c>
      <c r="M1479" s="2">
        <f t="shared" si="258"/>
        <v>1</v>
      </c>
      <c r="N1479">
        <v>0</v>
      </c>
      <c r="P1479" s="2">
        <f t="shared" si="259"/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29.8</v>
      </c>
      <c r="W1479" s="2">
        <f t="shared" si="260"/>
        <v>1</v>
      </c>
      <c r="X1479">
        <v>17.600000000000001</v>
      </c>
      <c r="Z1479" s="2">
        <f t="shared" si="261"/>
        <v>1</v>
      </c>
      <c r="AA1479">
        <v>9.8000000000000007</v>
      </c>
      <c r="AB1479" s="2" t="str">
        <f>CHOOSE(MATCH(AA1479,{0;11;80;111;161;191;241;281;341},1),"North","NorthEast","East","SouthEast","South","SouthWest","West","NorthWest","North")</f>
        <v>North</v>
      </c>
      <c r="AC1479" s="5">
        <f>CHOOSE(MATCH(AB1479,{"South";"SouthEast";"SouthWest";"North";"NorthEast";"East";"West";"NorthWest"},0),1,2,3,4,5,6,7,8)</f>
        <v>4</v>
      </c>
      <c r="AD1479" s="2">
        <f t="shared" si="262"/>
        <v>1</v>
      </c>
      <c r="AE1479">
        <v>1009.8</v>
      </c>
      <c r="AF1479" s="4" t="s">
        <v>1982</v>
      </c>
      <c r="AG1479" s="2">
        <f t="shared" si="263"/>
        <v>1</v>
      </c>
      <c r="AH1479" t="s">
        <v>2312</v>
      </c>
      <c r="AI1479" s="2">
        <f t="shared" si="264"/>
        <v>8</v>
      </c>
      <c r="AJ1479" s="2">
        <f t="shared" si="265"/>
        <v>1</v>
      </c>
      <c r="AK1479" s="3">
        <v>3205.0000000011642</v>
      </c>
      <c r="AM1479" s="2">
        <v>1</v>
      </c>
      <c r="AN1479">
        <v>0</v>
      </c>
      <c r="AO1479">
        <v>20</v>
      </c>
      <c r="AP1479">
        <v>0</v>
      </c>
      <c r="AQ1479" s="2">
        <f>IF((2*G1479 + M1479 -P1479 + 3*W1479 + 2*Z1479+2*AD1479 + AG1479+2*AJ1479 + 4*AM1479) &gt;=8,1,0)</f>
        <v>1</v>
      </c>
    </row>
    <row r="1480" spans="1:43" x14ac:dyDescent="0.25">
      <c r="A1480" t="s">
        <v>27</v>
      </c>
      <c r="B1480" s="1">
        <v>42956</v>
      </c>
      <c r="C1480" s="7">
        <f t="shared" si="257"/>
        <v>2017</v>
      </c>
      <c r="D1480">
        <v>91.9</v>
      </c>
      <c r="E1480">
        <v>81.7</v>
      </c>
      <c r="F1480">
        <v>86.9</v>
      </c>
      <c r="G1480" s="2">
        <f t="shared" si="266"/>
        <v>1</v>
      </c>
      <c r="H1480">
        <v>92.8</v>
      </c>
      <c r="I1480">
        <v>83.1</v>
      </c>
      <c r="J1480">
        <v>87.5</v>
      </c>
      <c r="K1480">
        <v>62.3</v>
      </c>
      <c r="L1480">
        <v>44.3</v>
      </c>
      <c r="M1480" s="2">
        <f t="shared" si="258"/>
        <v>1</v>
      </c>
      <c r="N1480">
        <v>0</v>
      </c>
      <c r="P1480" s="2">
        <f t="shared" si="259"/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41.3</v>
      </c>
      <c r="W1480" s="2">
        <f t="shared" si="260"/>
        <v>1</v>
      </c>
      <c r="X1480">
        <v>25.4</v>
      </c>
      <c r="Z1480" s="2">
        <f t="shared" si="261"/>
        <v>1</v>
      </c>
      <c r="AA1480">
        <v>2.7</v>
      </c>
      <c r="AB1480" s="2" t="str">
        <f>CHOOSE(MATCH(AA1480,{0;11;80;111;161;191;241;281;341},1),"North","NorthEast","East","SouthEast","South","SouthWest","West","NorthWest","North")</f>
        <v>North</v>
      </c>
      <c r="AC1480" s="5">
        <f>CHOOSE(MATCH(AB1480,{"South";"SouthEast";"SouthWest";"North";"NorthEast";"East";"West";"NorthWest"},0),1,2,3,4,5,6,7,8)</f>
        <v>4</v>
      </c>
      <c r="AD1480" s="2">
        <f t="shared" si="262"/>
        <v>1</v>
      </c>
      <c r="AE1480">
        <v>1012.7</v>
      </c>
      <c r="AF1480" s="4" t="s">
        <v>1088</v>
      </c>
      <c r="AG1480" s="2">
        <f t="shared" si="263"/>
        <v>0</v>
      </c>
      <c r="AH1480" t="s">
        <v>2313</v>
      </c>
      <c r="AI1480" s="2">
        <f t="shared" si="264"/>
        <v>8</v>
      </c>
      <c r="AJ1480" s="2">
        <f t="shared" si="265"/>
        <v>1</v>
      </c>
      <c r="AK1480" s="3">
        <v>542.00000000651926</v>
      </c>
      <c r="AM1480" s="2">
        <v>1</v>
      </c>
      <c r="AN1480">
        <v>0</v>
      </c>
      <c r="AO1480">
        <v>2</v>
      </c>
      <c r="AP1480">
        <v>0</v>
      </c>
      <c r="AQ1480" s="2">
        <f>IF((2*G1480 + M1480 -P1480 + 3*W1480 + 2*Z1480+2*AD1480 + AG1480+2*AJ1480 + 4*AM1480) &gt;=8,1,0)</f>
        <v>1</v>
      </c>
    </row>
    <row r="1481" spans="1:43" x14ac:dyDescent="0.25">
      <c r="A1481" t="s">
        <v>27</v>
      </c>
      <c r="B1481" s="1">
        <v>42957</v>
      </c>
      <c r="C1481" s="7">
        <f t="shared" si="257"/>
        <v>2017</v>
      </c>
      <c r="D1481">
        <v>95.7</v>
      </c>
      <c r="E1481">
        <v>82.2</v>
      </c>
      <c r="F1481">
        <v>88.6</v>
      </c>
      <c r="G1481" s="2">
        <f t="shared" si="266"/>
        <v>1</v>
      </c>
      <c r="H1481">
        <v>92.8</v>
      </c>
      <c r="I1481">
        <v>81.599999999999994</v>
      </c>
      <c r="J1481">
        <v>87.1</v>
      </c>
      <c r="K1481">
        <v>55.4</v>
      </c>
      <c r="L1481">
        <v>33.700000000000003</v>
      </c>
      <c r="M1481" s="2">
        <f t="shared" si="258"/>
        <v>1</v>
      </c>
      <c r="N1481">
        <v>0</v>
      </c>
      <c r="P1481" s="2">
        <f t="shared" si="259"/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46.1</v>
      </c>
      <c r="W1481" s="2">
        <f t="shared" si="260"/>
        <v>1</v>
      </c>
      <c r="X1481">
        <v>24</v>
      </c>
      <c r="Z1481" s="2">
        <f t="shared" si="261"/>
        <v>1</v>
      </c>
      <c r="AA1481">
        <v>0.2</v>
      </c>
      <c r="AB1481" s="2" t="str">
        <f>CHOOSE(MATCH(AA1481,{0;11;80;111;161;191;241;281;341},1),"North","NorthEast","East","SouthEast","South","SouthWest","West","NorthWest","North")</f>
        <v>North</v>
      </c>
      <c r="AC1481" s="5">
        <f>CHOOSE(MATCH(AB1481,{"South";"SouthEast";"SouthWest";"North";"NorthEast";"East";"West";"NorthWest"},0),1,2,3,4,5,6,7,8)</f>
        <v>4</v>
      </c>
      <c r="AD1481" s="2">
        <f t="shared" si="262"/>
        <v>1</v>
      </c>
      <c r="AE1481">
        <v>1012</v>
      </c>
      <c r="AF1481" s="4" t="s">
        <v>1971</v>
      </c>
      <c r="AG1481" s="2">
        <f t="shared" si="263"/>
        <v>1</v>
      </c>
      <c r="AH1481" t="s">
        <v>2314</v>
      </c>
      <c r="AI1481" s="2">
        <f t="shared" si="264"/>
        <v>8</v>
      </c>
      <c r="AJ1481" s="2">
        <f t="shared" si="265"/>
        <v>1</v>
      </c>
      <c r="AK1481" s="3">
        <v>8974.0000000095461</v>
      </c>
      <c r="AM1481" s="2">
        <v>1</v>
      </c>
      <c r="AN1481">
        <v>0</v>
      </c>
      <c r="AO1481">
        <v>25</v>
      </c>
      <c r="AP1481">
        <v>0</v>
      </c>
      <c r="AQ1481" s="2">
        <f>IF((2*G1481 + M1481 -P1481 + 3*W1481 + 2*Z1481+2*AD1481 + AG1481+2*AJ1481 + 4*AM1481) &gt;=8,1,0)</f>
        <v>1</v>
      </c>
    </row>
    <row r="1482" spans="1:43" x14ac:dyDescent="0.25">
      <c r="A1482" t="s">
        <v>27</v>
      </c>
      <c r="B1482" s="1">
        <v>42959</v>
      </c>
      <c r="C1482" s="7">
        <f t="shared" si="257"/>
        <v>2017</v>
      </c>
      <c r="D1482">
        <v>98.5</v>
      </c>
      <c r="E1482">
        <v>78.900000000000006</v>
      </c>
      <c r="F1482">
        <v>87.7</v>
      </c>
      <c r="G1482" s="2">
        <f t="shared" si="266"/>
        <v>1</v>
      </c>
      <c r="H1482">
        <v>95.4</v>
      </c>
      <c r="I1482">
        <v>78.900000000000006</v>
      </c>
      <c r="J1482">
        <v>86.4</v>
      </c>
      <c r="K1482">
        <v>54.1</v>
      </c>
      <c r="L1482">
        <v>33</v>
      </c>
      <c r="M1482" s="2">
        <f t="shared" si="258"/>
        <v>1</v>
      </c>
      <c r="N1482">
        <v>0</v>
      </c>
      <c r="P1482" s="2">
        <f t="shared" si="259"/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27.4</v>
      </c>
      <c r="W1482" s="2">
        <f t="shared" si="260"/>
        <v>1</v>
      </c>
      <c r="X1482">
        <v>11.6</v>
      </c>
      <c r="Z1482" s="2">
        <f t="shared" si="261"/>
        <v>0</v>
      </c>
      <c r="AA1482">
        <v>83.9</v>
      </c>
      <c r="AB1482" s="2" t="str">
        <f>CHOOSE(MATCH(AA1482,{0;11;80;111;161;191;241;281;341},1),"North","NorthEast","East","SouthEast","South","SouthWest","West","NorthWest","North")</f>
        <v>East</v>
      </c>
      <c r="AC1482" s="5">
        <f>CHOOSE(MATCH(AB1482,{"South";"SouthEast";"SouthWest";"North";"NorthEast";"East";"West";"NorthWest"},0),1,2,3,4,5,6,7,8)</f>
        <v>6</v>
      </c>
      <c r="AD1482" s="2">
        <f t="shared" si="262"/>
        <v>0</v>
      </c>
      <c r="AE1482">
        <v>1008.8</v>
      </c>
      <c r="AF1482" s="4" t="s">
        <v>2315</v>
      </c>
      <c r="AG1482" s="2">
        <f t="shared" si="263"/>
        <v>0</v>
      </c>
      <c r="AH1482" t="s">
        <v>2316</v>
      </c>
      <c r="AI1482" s="2">
        <f t="shared" si="264"/>
        <v>8</v>
      </c>
      <c r="AJ1482" s="2">
        <f t="shared" si="265"/>
        <v>1</v>
      </c>
      <c r="AK1482" s="3">
        <v>3546.000000002095</v>
      </c>
      <c r="AM1482" s="2">
        <v>1</v>
      </c>
      <c r="AN1482">
        <v>0</v>
      </c>
      <c r="AO1482">
        <v>18</v>
      </c>
      <c r="AP1482">
        <v>0</v>
      </c>
      <c r="AQ1482" s="2">
        <f>IF((2*G1482 + M1482 -P1482 + 3*W1482 + 2*Z1482+2*AD1482 + AG1482+2*AJ1482 + 4*AM1482) &gt;=8,1,0)</f>
        <v>1</v>
      </c>
    </row>
    <row r="1483" spans="1:43" x14ac:dyDescent="0.25">
      <c r="A1483" t="s">
        <v>27</v>
      </c>
      <c r="B1483" s="1">
        <v>42960</v>
      </c>
      <c r="C1483" s="7">
        <f t="shared" si="257"/>
        <v>2017</v>
      </c>
      <c r="D1483">
        <v>94</v>
      </c>
      <c r="E1483">
        <v>77.599999999999994</v>
      </c>
      <c r="F1483">
        <v>84.9</v>
      </c>
      <c r="G1483" s="2">
        <f t="shared" si="266"/>
        <v>1</v>
      </c>
      <c r="H1483">
        <v>90.4</v>
      </c>
      <c r="I1483">
        <v>77.599999999999994</v>
      </c>
      <c r="J1483">
        <v>83.5</v>
      </c>
      <c r="K1483">
        <v>52.2</v>
      </c>
      <c r="L1483">
        <v>34.1</v>
      </c>
      <c r="M1483" s="2">
        <f t="shared" si="258"/>
        <v>1</v>
      </c>
      <c r="N1483">
        <v>0</v>
      </c>
      <c r="P1483" s="2">
        <f t="shared" si="259"/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30</v>
      </c>
      <c r="W1483" s="2">
        <f t="shared" si="260"/>
        <v>1</v>
      </c>
      <c r="X1483">
        <v>12.3</v>
      </c>
      <c r="Z1483" s="2">
        <f t="shared" si="261"/>
        <v>0</v>
      </c>
      <c r="AA1483">
        <v>345.5</v>
      </c>
      <c r="AB1483" s="2" t="str">
        <f>CHOOSE(MATCH(AA1483,{0;11;80;111;161;191;241;281;341},1),"North","NorthEast","East","SouthEast","South","SouthWest","West","NorthWest","North")</f>
        <v>North</v>
      </c>
      <c r="AC1483" s="5">
        <f>CHOOSE(MATCH(AB1483,{"South";"SouthEast";"SouthWest";"North";"NorthEast";"East";"West";"NorthWest"},0),1,2,3,4,5,6,7,8)</f>
        <v>4</v>
      </c>
      <c r="AD1483" s="2">
        <f t="shared" si="262"/>
        <v>1</v>
      </c>
      <c r="AE1483">
        <v>1005.7</v>
      </c>
      <c r="AF1483" s="4" t="s">
        <v>2226</v>
      </c>
      <c r="AG1483" s="2">
        <f t="shared" si="263"/>
        <v>1</v>
      </c>
      <c r="AH1483" t="s">
        <v>2317</v>
      </c>
      <c r="AI1483" s="2">
        <f t="shared" si="264"/>
        <v>8</v>
      </c>
      <c r="AJ1483" s="2">
        <f t="shared" si="265"/>
        <v>1</v>
      </c>
      <c r="AK1483" s="3">
        <v>41984.000000007218</v>
      </c>
      <c r="AM1483" s="2">
        <v>1</v>
      </c>
      <c r="AN1483">
        <v>5000</v>
      </c>
      <c r="AO1483">
        <v>15000</v>
      </c>
      <c r="AP1483">
        <v>0</v>
      </c>
      <c r="AQ1483" s="2">
        <f>IF((2*G1483 + M1483 -P1483 + 3*W1483 + 2*Z1483+2*AD1483 + AG1483+2*AJ1483 + 4*AM1483) &gt;=8,1,0)</f>
        <v>1</v>
      </c>
    </row>
    <row r="1484" spans="1:43" x14ac:dyDescent="0.25">
      <c r="A1484" t="s">
        <v>27</v>
      </c>
      <c r="B1484" s="1">
        <v>42973</v>
      </c>
      <c r="C1484" s="7">
        <f t="shared" si="257"/>
        <v>2017</v>
      </c>
      <c r="D1484">
        <v>85.9</v>
      </c>
      <c r="E1484">
        <v>73.5</v>
      </c>
      <c r="F1484">
        <v>79.2</v>
      </c>
      <c r="G1484" s="2">
        <f t="shared" si="266"/>
        <v>1</v>
      </c>
      <c r="H1484">
        <v>84.3</v>
      </c>
      <c r="I1484">
        <v>73.5</v>
      </c>
      <c r="J1484">
        <v>78.400000000000006</v>
      </c>
      <c r="K1484">
        <v>50.3</v>
      </c>
      <c r="L1484">
        <v>37.299999999999997</v>
      </c>
      <c r="M1484" s="2">
        <f t="shared" si="258"/>
        <v>1</v>
      </c>
      <c r="N1484">
        <v>0</v>
      </c>
      <c r="P1484" s="2">
        <f t="shared" si="259"/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41.7</v>
      </c>
      <c r="W1484" s="2">
        <f t="shared" si="260"/>
        <v>1</v>
      </c>
      <c r="X1484">
        <v>22</v>
      </c>
      <c r="Z1484" s="2">
        <f t="shared" si="261"/>
        <v>1</v>
      </c>
      <c r="AA1484">
        <v>356.8</v>
      </c>
      <c r="AB1484" s="2" t="str">
        <f>CHOOSE(MATCH(AA1484,{0;11;80;111;161;191;241;281;341},1),"North","NorthEast","East","SouthEast","South","SouthWest","West","NorthWest","North")</f>
        <v>North</v>
      </c>
      <c r="AC1484" s="5">
        <f>CHOOSE(MATCH(AB1484,{"South";"SouthEast";"SouthWest";"North";"NorthEast";"East";"West";"NorthWest"},0),1,2,3,4,5,6,7,8)</f>
        <v>4</v>
      </c>
      <c r="AD1484" s="2">
        <f t="shared" si="262"/>
        <v>1</v>
      </c>
      <c r="AE1484">
        <v>1016.2</v>
      </c>
      <c r="AF1484" s="4" t="s">
        <v>2318</v>
      </c>
      <c r="AG1484" s="2">
        <f t="shared" si="263"/>
        <v>1</v>
      </c>
      <c r="AH1484" t="s">
        <v>2319</v>
      </c>
      <c r="AI1484" s="2">
        <f t="shared" si="264"/>
        <v>8</v>
      </c>
      <c r="AJ1484" s="2">
        <f t="shared" si="265"/>
        <v>1</v>
      </c>
      <c r="AK1484" s="3">
        <v>1461.99999999837</v>
      </c>
      <c r="AM1484" s="2">
        <v>1</v>
      </c>
      <c r="AN1484">
        <v>0</v>
      </c>
      <c r="AO1484">
        <v>2</v>
      </c>
      <c r="AP1484">
        <v>0</v>
      </c>
      <c r="AQ1484" s="2">
        <f>IF((2*G1484 + M1484 -P1484 + 3*W1484 + 2*Z1484+2*AD1484 + AG1484+2*AJ1484 + 4*AM1484) &gt;=8,1,0)</f>
        <v>1</v>
      </c>
    </row>
    <row r="1485" spans="1:43" x14ac:dyDescent="0.25">
      <c r="A1485" t="s">
        <v>27</v>
      </c>
      <c r="B1485" s="1">
        <v>42974</v>
      </c>
      <c r="C1485" s="7">
        <f t="shared" si="257"/>
        <v>2017</v>
      </c>
      <c r="D1485">
        <v>85.9</v>
      </c>
      <c r="E1485">
        <v>73.8</v>
      </c>
      <c r="F1485">
        <v>78.8</v>
      </c>
      <c r="G1485" s="2">
        <f t="shared" si="266"/>
        <v>1</v>
      </c>
      <c r="H1485">
        <v>83.4</v>
      </c>
      <c r="I1485">
        <v>73.8</v>
      </c>
      <c r="J1485">
        <v>78.2</v>
      </c>
      <c r="K1485">
        <v>52.4</v>
      </c>
      <c r="L1485">
        <v>40.700000000000003</v>
      </c>
      <c r="M1485" s="2">
        <f t="shared" si="258"/>
        <v>1</v>
      </c>
      <c r="N1485">
        <v>0</v>
      </c>
      <c r="P1485" s="2">
        <f t="shared" si="259"/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35.5</v>
      </c>
      <c r="W1485" s="2">
        <f t="shared" si="260"/>
        <v>1</v>
      </c>
      <c r="X1485">
        <v>23.9</v>
      </c>
      <c r="Z1485" s="2">
        <f t="shared" si="261"/>
        <v>1</v>
      </c>
      <c r="AA1485">
        <v>0.8</v>
      </c>
      <c r="AB1485" s="2" t="str">
        <f>CHOOSE(MATCH(AA1485,{0;11;80;111;161;191;241;281;341},1),"North","NorthEast","East","SouthEast","South","SouthWest","West","NorthWest","North")</f>
        <v>North</v>
      </c>
      <c r="AC1485" s="5">
        <f>CHOOSE(MATCH(AB1485,{"South";"SouthEast";"SouthWest";"North";"NorthEast";"East";"West";"NorthWest"},0),1,2,3,4,5,6,7,8)</f>
        <v>4</v>
      </c>
      <c r="AD1485" s="2">
        <f t="shared" si="262"/>
        <v>1</v>
      </c>
      <c r="AE1485">
        <v>1012.8</v>
      </c>
      <c r="AF1485" s="4" t="s">
        <v>2320</v>
      </c>
      <c r="AG1485" s="2">
        <f t="shared" si="263"/>
        <v>0</v>
      </c>
      <c r="AH1485" t="s">
        <v>2321</v>
      </c>
      <c r="AI1485" s="2">
        <f t="shared" si="264"/>
        <v>8</v>
      </c>
      <c r="AJ1485" s="2">
        <f t="shared" si="265"/>
        <v>1</v>
      </c>
      <c r="AK1485" s="3">
        <v>11.00000000442378</v>
      </c>
      <c r="AM1485" s="2">
        <v>0</v>
      </c>
      <c r="AN1485">
        <v>0</v>
      </c>
      <c r="AO1485">
        <v>0</v>
      </c>
      <c r="AP1485">
        <v>0.05</v>
      </c>
      <c r="AQ1485" s="2">
        <f>IF((2*G1485 + M1485 -P1485 + 3*W1485 + 2*Z1485+2*AD1485 + AG1485+2*AJ1485 + 4*AM1485) &gt;=8,1,0)</f>
        <v>1</v>
      </c>
    </row>
    <row r="1486" spans="1:43" x14ac:dyDescent="0.25">
      <c r="A1486" t="s">
        <v>27</v>
      </c>
      <c r="B1486" s="1">
        <v>42976</v>
      </c>
      <c r="C1486" s="7">
        <f t="shared" si="257"/>
        <v>2017</v>
      </c>
      <c r="D1486">
        <v>92.1</v>
      </c>
      <c r="E1486">
        <v>73.900000000000006</v>
      </c>
      <c r="F1486">
        <v>82.8</v>
      </c>
      <c r="G1486" s="2">
        <f t="shared" si="266"/>
        <v>1</v>
      </c>
      <c r="H1486">
        <v>89.5</v>
      </c>
      <c r="I1486">
        <v>73.900000000000006</v>
      </c>
      <c r="J1486">
        <v>81.7</v>
      </c>
      <c r="K1486">
        <v>51.7</v>
      </c>
      <c r="L1486">
        <v>34.9</v>
      </c>
      <c r="M1486" s="2">
        <f t="shared" si="258"/>
        <v>1</v>
      </c>
      <c r="N1486">
        <v>0</v>
      </c>
      <c r="P1486" s="2">
        <f t="shared" si="259"/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34.4</v>
      </c>
      <c r="W1486" s="2">
        <f t="shared" si="260"/>
        <v>1</v>
      </c>
      <c r="X1486">
        <v>18.5</v>
      </c>
      <c r="Z1486" s="2">
        <f t="shared" si="261"/>
        <v>1</v>
      </c>
      <c r="AA1486">
        <v>19.100000000000001</v>
      </c>
      <c r="AB1486" s="2" t="str">
        <f>CHOOSE(MATCH(AA1486,{0;11;80;111;161;191;241;281;341},1),"North","NorthEast","East","SouthEast","South","SouthWest","West","NorthWest","North")</f>
        <v>NorthEast</v>
      </c>
      <c r="AC1486" s="5">
        <f>CHOOSE(MATCH(AB1486,{"South";"SouthEast";"SouthWest";"North";"NorthEast";"East";"West";"NorthWest"},0),1,2,3,4,5,6,7,8)</f>
        <v>5</v>
      </c>
      <c r="AD1486" s="2">
        <f t="shared" si="262"/>
        <v>1</v>
      </c>
      <c r="AE1486">
        <v>1009.3</v>
      </c>
      <c r="AF1486" s="4" t="s">
        <v>2322</v>
      </c>
      <c r="AG1486" s="2">
        <f t="shared" si="263"/>
        <v>1</v>
      </c>
      <c r="AH1486" t="s">
        <v>2323</v>
      </c>
      <c r="AI1486" s="2">
        <f t="shared" si="264"/>
        <v>8</v>
      </c>
      <c r="AJ1486" s="2">
        <f t="shared" si="265"/>
        <v>1</v>
      </c>
      <c r="AK1486" s="3">
        <v>30.99999999627471</v>
      </c>
      <c r="AM1486" s="2">
        <v>0</v>
      </c>
      <c r="AN1486">
        <v>0</v>
      </c>
      <c r="AO1486">
        <v>0.05</v>
      </c>
      <c r="AP1486">
        <v>0</v>
      </c>
      <c r="AQ1486" s="2">
        <f>IF((2*G1486 + M1486 -P1486 + 3*W1486 + 2*Z1486+2*AD1486 + AG1486+2*AJ1486 + 4*AM1486) &gt;=8,1,0)</f>
        <v>1</v>
      </c>
    </row>
    <row r="1487" spans="1:43" x14ac:dyDescent="0.25">
      <c r="A1487" t="s">
        <v>27</v>
      </c>
      <c r="B1487" s="1">
        <v>42977</v>
      </c>
      <c r="C1487" s="7">
        <f t="shared" si="257"/>
        <v>2017</v>
      </c>
      <c r="D1487">
        <v>80.5</v>
      </c>
      <c r="E1487">
        <v>70.900000000000006</v>
      </c>
      <c r="F1487">
        <v>75.400000000000006</v>
      </c>
      <c r="G1487" s="2">
        <f t="shared" si="266"/>
        <v>1</v>
      </c>
      <c r="H1487">
        <v>80.5</v>
      </c>
      <c r="I1487">
        <v>70.900000000000006</v>
      </c>
      <c r="J1487">
        <v>75.400000000000006</v>
      </c>
      <c r="K1487">
        <v>57.1</v>
      </c>
      <c r="L1487">
        <v>54.1</v>
      </c>
      <c r="M1487" s="2">
        <f t="shared" si="258"/>
        <v>0</v>
      </c>
      <c r="N1487">
        <v>1.4999999999999999E-2</v>
      </c>
      <c r="P1487" s="2">
        <f t="shared" si="259"/>
        <v>0</v>
      </c>
      <c r="Q1487">
        <v>100</v>
      </c>
      <c r="R1487">
        <v>4.17</v>
      </c>
      <c r="S1487" t="s">
        <v>87</v>
      </c>
      <c r="T1487">
        <v>0</v>
      </c>
      <c r="U1487">
        <v>0</v>
      </c>
      <c r="V1487">
        <v>38.700000000000003</v>
      </c>
      <c r="W1487" s="2">
        <f t="shared" si="260"/>
        <v>1</v>
      </c>
      <c r="X1487">
        <v>21</v>
      </c>
      <c r="Z1487" s="2">
        <f t="shared" si="261"/>
        <v>1</v>
      </c>
      <c r="AA1487">
        <v>5.0999999999999996</v>
      </c>
      <c r="AB1487" s="2" t="str">
        <f>CHOOSE(MATCH(AA1487,{0;11;80;111;161;191;241;281;341},1),"North","NorthEast","East","SouthEast","South","SouthWest","West","NorthWest","North")</f>
        <v>North</v>
      </c>
      <c r="AC1487" s="5">
        <f>CHOOSE(MATCH(AB1487,{"South";"SouthEast";"SouthWest";"North";"NorthEast";"East";"West";"NorthWest"},0),1,2,3,4,5,6,7,8)</f>
        <v>4</v>
      </c>
      <c r="AD1487" s="2">
        <f t="shared" si="262"/>
        <v>1</v>
      </c>
      <c r="AE1487">
        <v>1014.2</v>
      </c>
      <c r="AF1487" s="4" t="s">
        <v>2324</v>
      </c>
      <c r="AG1487" s="2">
        <f t="shared" si="263"/>
        <v>1</v>
      </c>
      <c r="AH1487" t="s">
        <v>2325</v>
      </c>
      <c r="AI1487" s="2">
        <f t="shared" si="264"/>
        <v>8</v>
      </c>
      <c r="AJ1487" s="2">
        <f t="shared" si="265"/>
        <v>1</v>
      </c>
      <c r="AK1487" s="3">
        <v>360.99999999278231</v>
      </c>
      <c r="AM1487" s="2">
        <v>1</v>
      </c>
      <c r="AN1487">
        <v>0</v>
      </c>
      <c r="AO1487">
        <v>2</v>
      </c>
      <c r="AP1487">
        <v>0</v>
      </c>
      <c r="AQ1487" s="2">
        <f>IF((2*G1487 + M1487 -P1487 + 3*W1487 + 2*Z1487+2*AD1487 + AG1487+2*AJ1487 + 4*AM1487) &gt;=8,1,0)</f>
        <v>1</v>
      </c>
    </row>
    <row r="1488" spans="1:43" x14ac:dyDescent="0.25">
      <c r="A1488" t="s">
        <v>27</v>
      </c>
      <c r="B1488" s="1">
        <v>42978</v>
      </c>
      <c r="C1488" s="7">
        <f t="shared" si="257"/>
        <v>2017</v>
      </c>
      <c r="D1488">
        <v>82.3</v>
      </c>
      <c r="E1488">
        <v>65.900000000000006</v>
      </c>
      <c r="F1488">
        <v>74.7</v>
      </c>
      <c r="G1488" s="2">
        <f t="shared" si="266"/>
        <v>1</v>
      </c>
      <c r="H1488">
        <v>81</v>
      </c>
      <c r="I1488">
        <v>65.900000000000006</v>
      </c>
      <c r="J1488">
        <v>74.599999999999994</v>
      </c>
      <c r="K1488">
        <v>50.1</v>
      </c>
      <c r="L1488">
        <v>42.8</v>
      </c>
      <c r="M1488" s="2">
        <f t="shared" si="258"/>
        <v>1</v>
      </c>
      <c r="N1488">
        <v>0</v>
      </c>
      <c r="P1488" s="2">
        <f t="shared" si="259"/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34.4</v>
      </c>
      <c r="W1488" s="2">
        <f t="shared" si="260"/>
        <v>1</v>
      </c>
      <c r="X1488">
        <v>24.9</v>
      </c>
      <c r="Z1488" s="2">
        <f t="shared" si="261"/>
        <v>1</v>
      </c>
      <c r="AA1488">
        <v>3.1</v>
      </c>
      <c r="AB1488" s="2" t="str">
        <f>CHOOSE(MATCH(AA1488,{0;11;80;111;161;191;241;281;341},1),"North","NorthEast","East","SouthEast","South","SouthWest","West","NorthWest","North")</f>
        <v>North</v>
      </c>
      <c r="AC1488" s="5">
        <f>CHOOSE(MATCH(AB1488,{"South";"SouthEast";"SouthWest";"North";"NorthEast";"East";"West";"NorthWest"},0),1,2,3,4,5,6,7,8)</f>
        <v>4</v>
      </c>
      <c r="AD1488" s="2">
        <f t="shared" si="262"/>
        <v>1</v>
      </c>
      <c r="AE1488">
        <v>1016.4</v>
      </c>
      <c r="AF1488" s="4" t="s">
        <v>1922</v>
      </c>
      <c r="AG1488" s="2">
        <f t="shared" si="263"/>
        <v>1</v>
      </c>
      <c r="AH1488" t="s">
        <v>2326</v>
      </c>
      <c r="AI1488" s="2">
        <f t="shared" si="264"/>
        <v>8</v>
      </c>
      <c r="AJ1488" s="2">
        <f t="shared" si="265"/>
        <v>1</v>
      </c>
      <c r="AK1488" s="3">
        <v>119.99999999301509</v>
      </c>
      <c r="AM1488" s="2">
        <v>0</v>
      </c>
      <c r="AN1488">
        <v>0</v>
      </c>
      <c r="AO1488">
        <v>0.2</v>
      </c>
      <c r="AP1488">
        <v>0</v>
      </c>
      <c r="AQ1488" s="2">
        <f>IF((2*G1488 + M1488 -P1488 + 3*W1488 + 2*Z1488+2*AD1488 + AG1488+2*AJ1488 + 4*AM1488) &gt;=8,1,0)</f>
        <v>1</v>
      </c>
    </row>
    <row r="1489" spans="1:43" x14ac:dyDescent="0.25">
      <c r="A1489" t="s">
        <v>27</v>
      </c>
      <c r="B1489" s="1">
        <v>42980</v>
      </c>
      <c r="C1489" s="7">
        <f t="shared" si="257"/>
        <v>2017</v>
      </c>
      <c r="D1489">
        <v>89.5</v>
      </c>
      <c r="E1489">
        <v>63.3</v>
      </c>
      <c r="F1489">
        <v>77.5</v>
      </c>
      <c r="G1489" s="2">
        <f t="shared" si="266"/>
        <v>1</v>
      </c>
      <c r="H1489">
        <v>88</v>
      </c>
      <c r="I1489">
        <v>63.3</v>
      </c>
      <c r="J1489">
        <v>77.2</v>
      </c>
      <c r="K1489">
        <v>58.2</v>
      </c>
      <c r="L1489">
        <v>53.9</v>
      </c>
      <c r="M1489" s="2">
        <f t="shared" si="258"/>
        <v>0</v>
      </c>
      <c r="N1489">
        <v>0</v>
      </c>
      <c r="P1489" s="2">
        <f t="shared" si="259"/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15.2</v>
      </c>
      <c r="W1489" s="2">
        <f t="shared" si="260"/>
        <v>1</v>
      </c>
      <c r="X1489">
        <v>10.199999999999999</v>
      </c>
      <c r="Z1489" s="2">
        <f t="shared" si="261"/>
        <v>0</v>
      </c>
      <c r="AA1489">
        <v>133.6</v>
      </c>
      <c r="AB1489" s="2" t="str">
        <f>CHOOSE(MATCH(AA1489,{0;11;80;111;161;191;241;281;341},1),"North","NorthEast","East","SouthEast","South","SouthWest","West","NorthWest","North")</f>
        <v>SouthEast</v>
      </c>
      <c r="AC1489" s="5">
        <f>CHOOSE(MATCH(AB1489,{"South";"SouthEast";"SouthWest";"North";"NorthEast";"East";"West";"NorthWest"},0),1,2,3,4,5,6,7,8)</f>
        <v>2</v>
      </c>
      <c r="AD1489" s="2">
        <f t="shared" si="262"/>
        <v>0</v>
      </c>
      <c r="AE1489">
        <v>1012</v>
      </c>
      <c r="AF1489" s="4" t="s">
        <v>2096</v>
      </c>
      <c r="AG1489" s="2">
        <f t="shared" si="263"/>
        <v>1</v>
      </c>
      <c r="AH1489" t="s">
        <v>2327</v>
      </c>
      <c r="AI1489" s="2">
        <f t="shared" si="264"/>
        <v>9</v>
      </c>
      <c r="AJ1489" s="2">
        <f t="shared" si="265"/>
        <v>0</v>
      </c>
      <c r="AK1489" s="3">
        <v>94.999999995343387</v>
      </c>
      <c r="AM1489" s="2">
        <v>0</v>
      </c>
      <c r="AN1489">
        <v>1</v>
      </c>
      <c r="AO1489">
        <v>0</v>
      </c>
      <c r="AP1489">
        <v>0</v>
      </c>
      <c r="AQ1489" s="2">
        <f>IF((2*G1489 + M1489 -P1489 + 3*W1489 + 2*Z1489+2*AD1489 + AG1489+2*AJ1489 + 4*AM1489) &gt;=8,1,0)</f>
        <v>0</v>
      </c>
    </row>
    <row r="1490" spans="1:43" x14ac:dyDescent="0.25">
      <c r="A1490" t="s">
        <v>27</v>
      </c>
      <c r="B1490" s="1">
        <v>42981</v>
      </c>
      <c r="C1490" s="7">
        <f t="shared" si="257"/>
        <v>2017</v>
      </c>
      <c r="D1490">
        <v>94.3</v>
      </c>
      <c r="E1490">
        <v>66.599999999999994</v>
      </c>
      <c r="F1490">
        <v>80.900000000000006</v>
      </c>
      <c r="G1490" s="2">
        <f t="shared" si="266"/>
        <v>1</v>
      </c>
      <c r="H1490">
        <v>92.8</v>
      </c>
      <c r="I1490">
        <v>66.599999999999994</v>
      </c>
      <c r="J1490">
        <v>81</v>
      </c>
      <c r="K1490">
        <v>59.9</v>
      </c>
      <c r="L1490">
        <v>51.1</v>
      </c>
      <c r="M1490" s="2">
        <f t="shared" si="258"/>
        <v>0</v>
      </c>
      <c r="N1490">
        <v>0</v>
      </c>
      <c r="P1490" s="2">
        <f t="shared" si="259"/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23</v>
      </c>
      <c r="W1490" s="2">
        <f t="shared" si="260"/>
        <v>1</v>
      </c>
      <c r="X1490">
        <v>16.5</v>
      </c>
      <c r="Z1490" s="2">
        <f t="shared" si="261"/>
        <v>1</v>
      </c>
      <c r="AA1490">
        <v>195.7</v>
      </c>
      <c r="AB1490" s="2" t="str">
        <f>CHOOSE(MATCH(AA1490,{0;11;80;111;161;191;241;281;341},1),"North","NorthEast","East","SouthEast","South","SouthWest","West","NorthWest","North")</f>
        <v>SouthWest</v>
      </c>
      <c r="AC1490" s="5">
        <f>CHOOSE(MATCH(AB1490,{"South";"SouthEast";"SouthWest";"North";"NorthEast";"East";"West";"NorthWest"},0),1,2,3,4,5,6,7,8)</f>
        <v>3</v>
      </c>
      <c r="AD1490" s="2">
        <f t="shared" si="262"/>
        <v>1</v>
      </c>
      <c r="AE1490">
        <v>1008.9</v>
      </c>
      <c r="AF1490" s="4" t="s">
        <v>1918</v>
      </c>
      <c r="AG1490" s="2">
        <f t="shared" si="263"/>
        <v>0</v>
      </c>
      <c r="AH1490" t="s">
        <v>2328</v>
      </c>
      <c r="AI1490" s="2">
        <f t="shared" si="264"/>
        <v>9</v>
      </c>
      <c r="AJ1490" s="2">
        <f t="shared" si="265"/>
        <v>0</v>
      </c>
      <c r="AK1490" s="3">
        <v>90</v>
      </c>
      <c r="AM1490" s="2">
        <v>0</v>
      </c>
      <c r="AN1490">
        <v>0.1</v>
      </c>
      <c r="AO1490">
        <v>0</v>
      </c>
      <c r="AP1490">
        <v>0</v>
      </c>
      <c r="AQ1490" s="2">
        <f>IF((2*G1490 + M1490 -P1490 + 3*W1490 + 2*Z1490+2*AD1490 + AG1490+2*AJ1490 + 4*AM1490) &gt;=8,1,0)</f>
        <v>1</v>
      </c>
    </row>
    <row r="1491" spans="1:43" x14ac:dyDescent="0.25">
      <c r="A1491" t="s">
        <v>27</v>
      </c>
      <c r="B1491" s="1">
        <v>42981</v>
      </c>
      <c r="C1491" s="7">
        <f t="shared" si="257"/>
        <v>2017</v>
      </c>
      <c r="D1491">
        <v>94.3</v>
      </c>
      <c r="E1491">
        <v>66.599999999999994</v>
      </c>
      <c r="F1491">
        <v>80.900000000000006</v>
      </c>
      <c r="G1491" s="2">
        <f t="shared" si="266"/>
        <v>1</v>
      </c>
      <c r="H1491">
        <v>92.8</v>
      </c>
      <c r="I1491">
        <v>66.599999999999994</v>
      </c>
      <c r="J1491">
        <v>81</v>
      </c>
      <c r="K1491">
        <v>59.9</v>
      </c>
      <c r="L1491">
        <v>51.1</v>
      </c>
      <c r="M1491" s="2">
        <f t="shared" si="258"/>
        <v>0</v>
      </c>
      <c r="N1491">
        <v>0</v>
      </c>
      <c r="P1491" s="2">
        <f t="shared" si="259"/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23</v>
      </c>
      <c r="W1491" s="2">
        <f t="shared" si="260"/>
        <v>1</v>
      </c>
      <c r="X1491">
        <v>16.5</v>
      </c>
      <c r="Z1491" s="2">
        <f t="shared" si="261"/>
        <v>1</v>
      </c>
      <c r="AA1491">
        <v>195.7</v>
      </c>
      <c r="AB1491" s="2" t="str">
        <f>CHOOSE(MATCH(AA1491,{0;11;80;111;161;191;241;281;341},1),"North","NorthEast","East","SouthEast","South","SouthWest","West","NorthWest","North")</f>
        <v>SouthWest</v>
      </c>
      <c r="AC1491" s="5">
        <f>CHOOSE(MATCH(AB1491,{"South";"SouthEast";"SouthWest";"North";"NorthEast";"East";"West";"NorthWest"},0),1,2,3,4,5,6,7,8)</f>
        <v>3</v>
      </c>
      <c r="AD1491" s="2">
        <f t="shared" si="262"/>
        <v>1</v>
      </c>
      <c r="AE1491">
        <v>1008.9</v>
      </c>
      <c r="AF1491" s="4" t="s">
        <v>1986</v>
      </c>
      <c r="AG1491" s="2">
        <f t="shared" si="263"/>
        <v>1</v>
      </c>
      <c r="AH1491" t="s">
        <v>2329</v>
      </c>
      <c r="AI1491" s="2">
        <f t="shared" si="264"/>
        <v>9</v>
      </c>
      <c r="AJ1491" s="2">
        <f t="shared" si="265"/>
        <v>0</v>
      </c>
      <c r="AK1491" s="3">
        <v>476.00000000093132</v>
      </c>
      <c r="AM1491" s="2">
        <v>1</v>
      </c>
      <c r="AN1491">
        <v>0</v>
      </c>
      <c r="AO1491">
        <v>1</v>
      </c>
      <c r="AP1491">
        <v>0</v>
      </c>
      <c r="AQ1491" s="2">
        <f>IF((2*G1491 + M1491 -P1491 + 3*W1491 + 2*Z1491+2*AD1491 + AG1491+2*AJ1491 + 4*AM1491) &gt;=8,1,0)</f>
        <v>1</v>
      </c>
    </row>
    <row r="1492" spans="1:43" x14ac:dyDescent="0.25">
      <c r="A1492" t="s">
        <v>27</v>
      </c>
      <c r="B1492" s="1">
        <v>43019</v>
      </c>
      <c r="C1492" s="7">
        <f t="shared" si="257"/>
        <v>2017</v>
      </c>
      <c r="D1492">
        <v>74.2</v>
      </c>
      <c r="E1492">
        <v>51.9</v>
      </c>
      <c r="F1492">
        <v>63.6</v>
      </c>
      <c r="G1492" s="2">
        <f t="shared" si="266"/>
        <v>0</v>
      </c>
      <c r="H1492">
        <v>74.2</v>
      </c>
      <c r="I1492">
        <v>51.9</v>
      </c>
      <c r="J1492">
        <v>63.6</v>
      </c>
      <c r="K1492">
        <v>46</v>
      </c>
      <c r="L1492">
        <v>55.2</v>
      </c>
      <c r="M1492" s="2">
        <f t="shared" si="258"/>
        <v>0</v>
      </c>
      <c r="N1492">
        <v>0</v>
      </c>
      <c r="P1492" s="2">
        <f t="shared" si="259"/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20.3</v>
      </c>
      <c r="W1492" s="2">
        <f t="shared" si="260"/>
        <v>1</v>
      </c>
      <c r="X1492">
        <v>12.1</v>
      </c>
      <c r="Z1492" s="2">
        <f t="shared" si="261"/>
        <v>0</v>
      </c>
      <c r="AA1492">
        <v>43.1</v>
      </c>
      <c r="AB1492" s="2" t="str">
        <f>CHOOSE(MATCH(AA1492,{0;11;80;111;161;191;241;281;341},1),"North","NorthEast","East","SouthEast","South","SouthWest","West","NorthWest","North")</f>
        <v>NorthEast</v>
      </c>
      <c r="AC1492" s="5">
        <f>CHOOSE(MATCH(AB1492,{"South";"SouthEast";"SouthWest";"North";"NorthEast";"East";"West";"NorthWest"},0),1,2,3,4,5,6,7,8)</f>
        <v>5</v>
      </c>
      <c r="AD1492" s="2">
        <f t="shared" si="262"/>
        <v>1</v>
      </c>
      <c r="AE1492">
        <v>1021.5</v>
      </c>
      <c r="AF1492" s="4" t="s">
        <v>2330</v>
      </c>
      <c r="AG1492" s="2">
        <f t="shared" si="263"/>
        <v>0</v>
      </c>
      <c r="AH1492" t="s">
        <v>2331</v>
      </c>
      <c r="AI1492" s="2">
        <f t="shared" si="264"/>
        <v>10</v>
      </c>
      <c r="AJ1492" s="2">
        <f t="shared" si="265"/>
        <v>0</v>
      </c>
      <c r="AK1492" s="3">
        <v>177.99999999348071</v>
      </c>
      <c r="AM1492" s="2">
        <v>0</v>
      </c>
      <c r="AN1492">
        <v>0</v>
      </c>
      <c r="AO1492">
        <v>0.5</v>
      </c>
      <c r="AP1492">
        <v>0</v>
      </c>
      <c r="AQ1492" s="2">
        <f>IF((2*G1492 + M1492 -P1492 + 3*W1492 + 2*Z1492+2*AD1492 + AG1492+2*AJ1492 + 4*AM1492) &gt;=8,1,0)</f>
        <v>0</v>
      </c>
    </row>
    <row r="1493" spans="1:43" x14ac:dyDescent="0.25">
      <c r="A1493" t="s">
        <v>27</v>
      </c>
      <c r="B1493" s="1">
        <v>43032</v>
      </c>
      <c r="C1493" s="7">
        <f t="shared" si="257"/>
        <v>2017</v>
      </c>
      <c r="D1493">
        <v>69.7</v>
      </c>
      <c r="E1493">
        <v>57.2</v>
      </c>
      <c r="F1493">
        <v>63.5</v>
      </c>
      <c r="G1493" s="2">
        <f t="shared" si="266"/>
        <v>0</v>
      </c>
      <c r="H1493">
        <v>69.7</v>
      </c>
      <c r="I1493">
        <v>57.2</v>
      </c>
      <c r="J1493">
        <v>63.5</v>
      </c>
      <c r="K1493">
        <v>49.5</v>
      </c>
      <c r="L1493">
        <v>62.9</v>
      </c>
      <c r="M1493" s="2">
        <f t="shared" si="258"/>
        <v>0</v>
      </c>
      <c r="N1493">
        <v>7.2999999999999995E-2</v>
      </c>
      <c r="P1493" s="2">
        <f t="shared" si="259"/>
        <v>0</v>
      </c>
      <c r="Q1493">
        <v>100</v>
      </c>
      <c r="R1493">
        <v>8.33</v>
      </c>
      <c r="S1493" t="s">
        <v>87</v>
      </c>
      <c r="T1493">
        <v>0</v>
      </c>
      <c r="U1493">
        <v>0</v>
      </c>
      <c r="V1493">
        <v>22.1</v>
      </c>
      <c r="W1493" s="2">
        <f t="shared" si="260"/>
        <v>1</v>
      </c>
      <c r="X1493">
        <v>10.3</v>
      </c>
      <c r="Z1493" s="2">
        <f t="shared" si="261"/>
        <v>0</v>
      </c>
      <c r="AA1493">
        <v>252.4</v>
      </c>
      <c r="AB1493" s="2" t="str">
        <f>CHOOSE(MATCH(AA1493,{0;11;80;111;161;191;241;281;341},1),"North","NorthEast","East","SouthEast","South","SouthWest","West","NorthWest","North")</f>
        <v>West</v>
      </c>
      <c r="AC1493" s="5">
        <f>CHOOSE(MATCH(AB1493,{"South";"SouthEast";"SouthWest";"North";"NorthEast";"East";"West";"NorthWest"},0),1,2,3,4,5,6,7,8)</f>
        <v>7</v>
      </c>
      <c r="AD1493" s="2">
        <f t="shared" si="262"/>
        <v>0</v>
      </c>
      <c r="AE1493">
        <v>1002.7</v>
      </c>
      <c r="AF1493" s="4" t="s">
        <v>2332</v>
      </c>
      <c r="AG1493" s="2">
        <f t="shared" si="263"/>
        <v>0</v>
      </c>
      <c r="AH1493" t="s">
        <v>2333</v>
      </c>
      <c r="AI1493" s="2">
        <f t="shared" si="264"/>
        <v>10</v>
      </c>
      <c r="AJ1493" s="2">
        <f t="shared" si="265"/>
        <v>0</v>
      </c>
      <c r="AK1493" s="3">
        <v>169.0000000060536</v>
      </c>
      <c r="AM1493" s="2">
        <v>0</v>
      </c>
      <c r="AN1493">
        <v>0</v>
      </c>
      <c r="AO1493">
        <v>1.5</v>
      </c>
      <c r="AP1493">
        <v>0</v>
      </c>
      <c r="AQ1493" s="2">
        <f>IF((2*G1493 + M1493 -P1493 + 3*W1493 + 2*Z1493+2*AD1493 + AG1493+2*AJ1493 + 4*AM1493) &gt;=8,1,0)</f>
        <v>0</v>
      </c>
    </row>
    <row r="1494" spans="1:43" x14ac:dyDescent="0.25">
      <c r="A1494" t="s">
        <v>27</v>
      </c>
      <c r="B1494" s="1">
        <v>43032</v>
      </c>
      <c r="C1494" s="7">
        <f t="shared" si="257"/>
        <v>2017</v>
      </c>
      <c r="D1494">
        <v>69.7</v>
      </c>
      <c r="E1494">
        <v>57.2</v>
      </c>
      <c r="F1494">
        <v>63.5</v>
      </c>
      <c r="G1494" s="2">
        <f t="shared" si="266"/>
        <v>0</v>
      </c>
      <c r="H1494">
        <v>69.7</v>
      </c>
      <c r="I1494">
        <v>57.2</v>
      </c>
      <c r="J1494">
        <v>63.5</v>
      </c>
      <c r="K1494">
        <v>49.5</v>
      </c>
      <c r="L1494">
        <v>62.9</v>
      </c>
      <c r="M1494" s="2">
        <f t="shared" si="258"/>
        <v>0</v>
      </c>
      <c r="N1494">
        <v>7.2999999999999995E-2</v>
      </c>
      <c r="P1494" s="2">
        <f t="shared" si="259"/>
        <v>0</v>
      </c>
      <c r="Q1494">
        <v>100</v>
      </c>
      <c r="R1494">
        <v>8.33</v>
      </c>
      <c r="S1494" t="s">
        <v>87</v>
      </c>
      <c r="T1494">
        <v>0</v>
      </c>
      <c r="U1494">
        <v>0</v>
      </c>
      <c r="V1494">
        <v>22.1</v>
      </c>
      <c r="W1494" s="2">
        <f t="shared" si="260"/>
        <v>1</v>
      </c>
      <c r="X1494">
        <v>10.3</v>
      </c>
      <c r="Z1494" s="2">
        <f t="shared" si="261"/>
        <v>0</v>
      </c>
      <c r="AA1494">
        <v>252.4</v>
      </c>
      <c r="AB1494" s="2" t="str">
        <f>CHOOSE(MATCH(AA1494,{0;11;80;111;161;191;241;281;341},1),"North","NorthEast","East","SouthEast","South","SouthWest","West","NorthWest","North")</f>
        <v>West</v>
      </c>
      <c r="AC1494" s="5">
        <f>CHOOSE(MATCH(AB1494,{"South";"SouthEast";"SouthWest";"North";"NorthEast";"East";"West";"NorthWest"},0),1,2,3,4,5,6,7,8)</f>
        <v>7</v>
      </c>
      <c r="AD1494" s="2">
        <f t="shared" si="262"/>
        <v>0</v>
      </c>
      <c r="AE1494">
        <v>1002.7</v>
      </c>
      <c r="AF1494" s="4" t="s">
        <v>2334</v>
      </c>
      <c r="AG1494" s="2">
        <f t="shared" si="263"/>
        <v>0</v>
      </c>
      <c r="AH1494" t="s">
        <v>2335</v>
      </c>
      <c r="AI1494" s="2">
        <f t="shared" si="264"/>
        <v>10</v>
      </c>
      <c r="AJ1494" s="2">
        <f t="shared" si="265"/>
        <v>0</v>
      </c>
      <c r="AK1494" s="3">
        <v>666.99999999487773</v>
      </c>
      <c r="AM1494" s="2">
        <v>1</v>
      </c>
      <c r="AN1494">
        <v>0</v>
      </c>
      <c r="AO1494">
        <v>1.5</v>
      </c>
      <c r="AP1494">
        <v>0</v>
      </c>
      <c r="AQ1494" s="2">
        <f>IF((2*G1494 + M1494 -P1494 + 3*W1494 + 2*Z1494+2*AD1494 + AG1494+2*AJ1494 + 4*AM1494) &gt;=8,1,0)</f>
        <v>0</v>
      </c>
    </row>
    <row r="1495" spans="1:43" x14ac:dyDescent="0.25">
      <c r="A1495" t="s">
        <v>27</v>
      </c>
      <c r="B1495" s="1">
        <v>43033</v>
      </c>
      <c r="C1495" s="7">
        <f t="shared" si="257"/>
        <v>2017</v>
      </c>
      <c r="D1495">
        <v>67.7</v>
      </c>
      <c r="E1495">
        <v>56.1</v>
      </c>
      <c r="F1495">
        <v>60.7</v>
      </c>
      <c r="G1495" s="2">
        <f t="shared" si="266"/>
        <v>0</v>
      </c>
      <c r="H1495">
        <v>67.7</v>
      </c>
      <c r="I1495">
        <v>56.1</v>
      </c>
      <c r="J1495">
        <v>60.7</v>
      </c>
      <c r="K1495">
        <v>50.4</v>
      </c>
      <c r="L1495">
        <v>69.599999999999994</v>
      </c>
      <c r="M1495" s="2">
        <f t="shared" si="258"/>
        <v>0</v>
      </c>
      <c r="N1495">
        <v>0.25</v>
      </c>
      <c r="P1495" s="2">
        <f t="shared" si="259"/>
        <v>0</v>
      </c>
      <c r="Q1495">
        <v>100</v>
      </c>
      <c r="R1495">
        <v>8.33</v>
      </c>
      <c r="S1495" t="s">
        <v>87</v>
      </c>
      <c r="T1495">
        <v>0</v>
      </c>
      <c r="U1495">
        <v>0</v>
      </c>
      <c r="V1495">
        <v>30</v>
      </c>
      <c r="W1495" s="2">
        <f t="shared" si="260"/>
        <v>1</v>
      </c>
      <c r="X1495">
        <v>16.2</v>
      </c>
      <c r="Z1495" s="2">
        <f t="shared" si="261"/>
        <v>1</v>
      </c>
      <c r="AA1495">
        <v>355.8</v>
      </c>
      <c r="AB1495" s="2" t="str">
        <f>CHOOSE(MATCH(AA1495,{0;11;80;111;161;191;241;281;341},1),"North","NorthEast","East","SouthEast","South","SouthWest","West","NorthWest","North")</f>
        <v>North</v>
      </c>
      <c r="AC1495" s="5">
        <f>CHOOSE(MATCH(AB1495,{"South";"SouthEast";"SouthWest";"North";"NorthEast";"East";"West";"NorthWest"},0),1,2,3,4,5,6,7,8)</f>
        <v>4</v>
      </c>
      <c r="AD1495" s="2">
        <f t="shared" si="262"/>
        <v>1</v>
      </c>
      <c r="AE1495">
        <v>1012.6</v>
      </c>
      <c r="AF1495" s="4" t="s">
        <v>1847</v>
      </c>
      <c r="AG1495" s="2">
        <f t="shared" si="263"/>
        <v>1</v>
      </c>
      <c r="AH1495" t="s">
        <v>2336</v>
      </c>
      <c r="AI1495" s="2">
        <f t="shared" si="264"/>
        <v>10</v>
      </c>
      <c r="AJ1495" s="2">
        <f t="shared" si="265"/>
        <v>0</v>
      </c>
      <c r="AK1495" s="3">
        <v>1467.000000004191</v>
      </c>
      <c r="AM1495" s="2">
        <v>1</v>
      </c>
      <c r="AN1495">
        <v>2</v>
      </c>
      <c r="AO1495">
        <v>0</v>
      </c>
      <c r="AP1495">
        <v>0</v>
      </c>
      <c r="AQ1495" s="2">
        <f>IF((2*G1495 + M1495 -P1495 + 3*W1495 + 2*Z1495+2*AD1495 + AG1495+2*AJ1495 + 4*AM1495) &gt;=8,1,0)</f>
        <v>1</v>
      </c>
    </row>
    <row r="1496" spans="1:43" x14ac:dyDescent="0.25">
      <c r="A1496" t="s">
        <v>27</v>
      </c>
      <c r="B1496" s="1">
        <v>43035</v>
      </c>
      <c r="C1496" s="7">
        <f t="shared" si="257"/>
        <v>2017</v>
      </c>
      <c r="D1496">
        <v>71.5</v>
      </c>
      <c r="E1496">
        <v>53.3</v>
      </c>
      <c r="F1496">
        <v>61.8</v>
      </c>
      <c r="G1496" s="2">
        <f t="shared" si="266"/>
        <v>0</v>
      </c>
      <c r="H1496">
        <v>71.5</v>
      </c>
      <c r="I1496">
        <v>53.3</v>
      </c>
      <c r="J1496">
        <v>61.8</v>
      </c>
      <c r="K1496">
        <v>47.5</v>
      </c>
      <c r="L1496">
        <v>61</v>
      </c>
      <c r="M1496" s="2">
        <f t="shared" si="258"/>
        <v>0</v>
      </c>
      <c r="N1496">
        <v>0</v>
      </c>
      <c r="P1496" s="2">
        <f t="shared" si="259"/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20.100000000000001</v>
      </c>
      <c r="W1496" s="2">
        <f t="shared" si="260"/>
        <v>1</v>
      </c>
      <c r="X1496">
        <v>10.9</v>
      </c>
      <c r="Z1496" s="2">
        <f t="shared" si="261"/>
        <v>0</v>
      </c>
      <c r="AA1496">
        <v>12</v>
      </c>
      <c r="AB1496" s="2" t="str">
        <f>CHOOSE(MATCH(AA1496,{0;11;80;111;161;191;241;281;341},1),"North","NorthEast","East","SouthEast","South","SouthWest","West","NorthWest","North")</f>
        <v>NorthEast</v>
      </c>
      <c r="AC1496" s="5">
        <f>CHOOSE(MATCH(AB1496,{"South";"SouthEast";"SouthWest";"North";"NorthEast";"East";"West";"NorthWest"},0),1,2,3,4,5,6,7,8)</f>
        <v>5</v>
      </c>
      <c r="AD1496" s="2">
        <f t="shared" si="262"/>
        <v>1</v>
      </c>
      <c r="AE1496">
        <v>1017.4</v>
      </c>
      <c r="AF1496" s="4" t="s">
        <v>2337</v>
      </c>
      <c r="AG1496" s="2">
        <f t="shared" si="263"/>
        <v>1</v>
      </c>
      <c r="AH1496" t="s">
        <v>2338</v>
      </c>
      <c r="AI1496" s="2">
        <f t="shared" si="264"/>
        <v>10</v>
      </c>
      <c r="AJ1496" s="2">
        <f t="shared" si="265"/>
        <v>0</v>
      </c>
      <c r="AK1496" s="3">
        <v>77.999999992316589</v>
      </c>
      <c r="AM1496" s="2">
        <v>0</v>
      </c>
      <c r="AN1496">
        <v>0</v>
      </c>
      <c r="AO1496">
        <v>1</v>
      </c>
      <c r="AP1496">
        <v>0</v>
      </c>
      <c r="AQ1496" s="2">
        <f>IF((2*G1496 + M1496 -P1496 + 3*W1496 + 2*Z1496+2*AD1496 + AG1496+2*AJ1496 + 4*AM1496) &gt;=8,1,0)</f>
        <v>0</v>
      </c>
    </row>
    <row r="1497" spans="1:43" x14ac:dyDescent="0.25">
      <c r="A1497" t="s">
        <v>27</v>
      </c>
      <c r="B1497" s="1">
        <v>43037</v>
      </c>
      <c r="C1497" s="7">
        <f t="shared" si="257"/>
        <v>2017</v>
      </c>
      <c r="D1497">
        <v>65.2</v>
      </c>
      <c r="E1497">
        <v>54.3</v>
      </c>
      <c r="F1497">
        <v>60</v>
      </c>
      <c r="G1497" s="2">
        <f t="shared" si="266"/>
        <v>0</v>
      </c>
      <c r="H1497">
        <v>65.2</v>
      </c>
      <c r="I1497">
        <v>54.3</v>
      </c>
      <c r="J1497">
        <v>60</v>
      </c>
      <c r="K1497">
        <v>42.3</v>
      </c>
      <c r="L1497">
        <v>52.5</v>
      </c>
      <c r="M1497" s="2">
        <f t="shared" si="258"/>
        <v>0</v>
      </c>
      <c r="N1497">
        <v>0.38600000000000001</v>
      </c>
      <c r="P1497" s="2">
        <f t="shared" si="259"/>
        <v>0</v>
      </c>
      <c r="Q1497">
        <v>100</v>
      </c>
      <c r="R1497">
        <v>8.33</v>
      </c>
      <c r="S1497" t="s">
        <v>87</v>
      </c>
      <c r="T1497">
        <v>0</v>
      </c>
      <c r="U1497">
        <v>0</v>
      </c>
      <c r="V1497">
        <v>39.1</v>
      </c>
      <c r="W1497" s="2">
        <f t="shared" si="260"/>
        <v>1</v>
      </c>
      <c r="X1497">
        <v>15</v>
      </c>
      <c r="Z1497" s="2">
        <f t="shared" si="261"/>
        <v>0</v>
      </c>
      <c r="AA1497">
        <v>280.60000000000002</v>
      </c>
      <c r="AB1497" s="2" t="str">
        <f>CHOOSE(MATCH(AA1497,{0;11;80;111;161;191;241;281;341},1),"North","NorthEast","East","SouthEast","South","SouthWest","West","NorthWest","North")</f>
        <v>West</v>
      </c>
      <c r="AC1497" s="5">
        <f>CHOOSE(MATCH(AB1497,{"South";"SouthEast";"SouthWest";"North";"NorthEast";"East";"West";"NorthWest"},0),1,2,3,4,5,6,7,8)</f>
        <v>7</v>
      </c>
      <c r="AD1497" s="2">
        <f t="shared" si="262"/>
        <v>0</v>
      </c>
      <c r="AE1497">
        <v>1009.3</v>
      </c>
      <c r="AF1497" s="4" t="s">
        <v>2339</v>
      </c>
      <c r="AG1497" s="2">
        <f t="shared" si="263"/>
        <v>1</v>
      </c>
      <c r="AH1497" t="s">
        <v>2340</v>
      </c>
      <c r="AI1497" s="2">
        <f t="shared" si="264"/>
        <v>10</v>
      </c>
      <c r="AJ1497" s="2">
        <f t="shared" si="265"/>
        <v>0</v>
      </c>
      <c r="AK1497" s="3">
        <v>889.99999999883585</v>
      </c>
      <c r="AM1497" s="2">
        <v>1</v>
      </c>
      <c r="AN1497">
        <v>0</v>
      </c>
      <c r="AO1497">
        <v>4</v>
      </c>
      <c r="AP1497">
        <v>0</v>
      </c>
      <c r="AQ1497" s="2">
        <f>IF((2*G1497 + M1497 -P1497 + 3*W1497 + 2*Z1497+2*AD1497 + AG1497+2*AJ1497 + 4*AM1497) &gt;=8,1,0)</f>
        <v>1</v>
      </c>
    </row>
    <row r="1498" spans="1:43" x14ac:dyDescent="0.25">
      <c r="A1498" t="s">
        <v>27</v>
      </c>
      <c r="B1498" s="1">
        <v>43039</v>
      </c>
      <c r="C1498" s="7">
        <f t="shared" si="257"/>
        <v>2017</v>
      </c>
      <c r="D1498">
        <v>62.4</v>
      </c>
      <c r="E1498">
        <v>55.9</v>
      </c>
      <c r="F1498">
        <v>59.7</v>
      </c>
      <c r="G1498" s="2">
        <f t="shared" si="266"/>
        <v>0</v>
      </c>
      <c r="H1498">
        <v>62.4</v>
      </c>
      <c r="I1498">
        <v>55.9</v>
      </c>
      <c r="J1498">
        <v>59.7</v>
      </c>
      <c r="K1498">
        <v>37.6</v>
      </c>
      <c r="L1498">
        <v>44</v>
      </c>
      <c r="M1498" s="2">
        <f t="shared" si="258"/>
        <v>1</v>
      </c>
      <c r="N1498">
        <v>0</v>
      </c>
      <c r="P1498" s="2">
        <f t="shared" si="259"/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26.7</v>
      </c>
      <c r="W1498" s="2">
        <f t="shared" si="260"/>
        <v>1</v>
      </c>
      <c r="X1498">
        <v>13.8</v>
      </c>
      <c r="Z1498" s="2">
        <f t="shared" si="261"/>
        <v>0</v>
      </c>
      <c r="AA1498">
        <v>16.5</v>
      </c>
      <c r="AB1498" s="2" t="str">
        <f>CHOOSE(MATCH(AA1498,{0;11;80;111;161;191;241;281;341},1),"North","NorthEast","East","SouthEast","South","SouthWest","West","NorthWest","North")</f>
        <v>NorthEast</v>
      </c>
      <c r="AC1498" s="5">
        <f>CHOOSE(MATCH(AB1498,{"South";"SouthEast";"SouthWest";"North";"NorthEast";"East";"West";"NorthWest"},0),1,2,3,4,5,6,7,8)</f>
        <v>5</v>
      </c>
      <c r="AD1498" s="2">
        <f t="shared" si="262"/>
        <v>1</v>
      </c>
      <c r="AE1498">
        <v>1020.8</v>
      </c>
      <c r="AF1498" s="4" t="s">
        <v>1810</v>
      </c>
      <c r="AG1498" s="2">
        <f t="shared" si="263"/>
        <v>0</v>
      </c>
      <c r="AH1498" t="s">
        <v>2341</v>
      </c>
      <c r="AI1498" s="2">
        <f t="shared" si="264"/>
        <v>10</v>
      </c>
      <c r="AJ1498" s="2">
        <f t="shared" si="265"/>
        <v>0</v>
      </c>
      <c r="AK1498" s="3">
        <v>107.0000000030268</v>
      </c>
      <c r="AM1498" s="2">
        <v>0</v>
      </c>
      <c r="AN1498">
        <v>1</v>
      </c>
      <c r="AO1498">
        <v>0</v>
      </c>
      <c r="AP1498">
        <v>0</v>
      </c>
      <c r="AQ1498" s="2">
        <f>IF((2*G1498 + M1498 -P1498 + 3*W1498 + 2*Z1498+2*AD1498 + AG1498+2*AJ1498 + 4*AM1498) &gt;=8,1,0)</f>
        <v>0</v>
      </c>
    </row>
    <row r="1499" spans="1:43" x14ac:dyDescent="0.25">
      <c r="A1499" t="s">
        <v>27</v>
      </c>
      <c r="B1499" s="1">
        <v>43102</v>
      </c>
      <c r="C1499" s="7">
        <f t="shared" si="257"/>
        <v>2018</v>
      </c>
      <c r="D1499">
        <v>63.4</v>
      </c>
      <c r="E1499">
        <v>47.6</v>
      </c>
      <c r="F1499">
        <v>54.5</v>
      </c>
      <c r="G1499" s="2">
        <f t="shared" si="266"/>
        <v>0</v>
      </c>
      <c r="H1499">
        <v>63.4</v>
      </c>
      <c r="I1499">
        <v>46.1</v>
      </c>
      <c r="J1499">
        <v>54.5</v>
      </c>
      <c r="K1499">
        <v>43.7</v>
      </c>
      <c r="L1499">
        <v>68</v>
      </c>
      <c r="M1499" s="2">
        <f t="shared" si="258"/>
        <v>0</v>
      </c>
      <c r="N1499">
        <v>0</v>
      </c>
      <c r="O1499">
        <f>AVERAGE(N1499:N1562)</f>
        <v>5.7031249999999992E-2</v>
      </c>
      <c r="P1499" s="2">
        <f t="shared" si="259"/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21.3</v>
      </c>
      <c r="W1499" s="2">
        <f t="shared" si="260"/>
        <v>1</v>
      </c>
      <c r="X1499">
        <v>10.9</v>
      </c>
      <c r="Y1499">
        <f>AVERAGE(X1499:X1562)</f>
        <v>15.268749999999999</v>
      </c>
      <c r="Z1499" s="2">
        <f t="shared" si="261"/>
        <v>0</v>
      </c>
      <c r="AA1499">
        <v>251.9</v>
      </c>
      <c r="AB1499" s="2" t="str">
        <f>CHOOSE(MATCH(AA1499,{0;11;80;111;161;191;241;281;341},1),"North","NorthEast","East","SouthEast","South","SouthWest","West","NorthWest","North")</f>
        <v>West</v>
      </c>
      <c r="AC1499" s="5">
        <f>CHOOSE(MATCH(AB1499,{"South";"SouthEast";"SouthWest";"North";"NorthEast";"East";"West";"NorthWest"},0),1,2,3,4,5,6,7,8)</f>
        <v>7</v>
      </c>
      <c r="AD1499" s="2">
        <f t="shared" si="262"/>
        <v>0</v>
      </c>
      <c r="AE1499">
        <v>1010.1</v>
      </c>
      <c r="AF1499" s="4" t="s">
        <v>2342</v>
      </c>
      <c r="AG1499" s="2">
        <f t="shared" si="263"/>
        <v>1</v>
      </c>
      <c r="AH1499" t="s">
        <v>2343</v>
      </c>
      <c r="AI1499" s="2">
        <f t="shared" si="264"/>
        <v>1</v>
      </c>
      <c r="AJ1499" s="2">
        <f t="shared" si="265"/>
        <v>0</v>
      </c>
      <c r="AK1499" s="3">
        <v>268.00000000395812</v>
      </c>
      <c r="AL1499" s="3">
        <f>AVERAGE(AK1499:AK1562)</f>
        <v>2098.5625000001164</v>
      </c>
      <c r="AM1499" s="2">
        <v>0</v>
      </c>
      <c r="AN1499">
        <v>1.5</v>
      </c>
      <c r="AO1499">
        <v>2</v>
      </c>
      <c r="AP1499">
        <v>0</v>
      </c>
      <c r="AQ1499" s="2">
        <f>IF((2*G1499 + M1499 -P1499 + 3*W1499 + 2*Z1499+2*AD1499 + AG1499+2*AJ1499 + 4*AM1499) &gt;=8,1,0)</f>
        <v>0</v>
      </c>
    </row>
    <row r="1500" spans="1:43" x14ac:dyDescent="0.25">
      <c r="A1500" t="s">
        <v>27</v>
      </c>
      <c r="B1500" s="1">
        <v>43129</v>
      </c>
      <c r="C1500" s="7">
        <f t="shared" si="257"/>
        <v>2018</v>
      </c>
      <c r="D1500">
        <v>59</v>
      </c>
      <c r="E1500">
        <v>37.9</v>
      </c>
      <c r="F1500">
        <v>47.4</v>
      </c>
      <c r="G1500" s="2">
        <f t="shared" si="266"/>
        <v>0</v>
      </c>
      <c r="H1500">
        <v>59</v>
      </c>
      <c r="I1500">
        <v>36.299999999999997</v>
      </c>
      <c r="J1500">
        <v>46.9</v>
      </c>
      <c r="K1500">
        <v>38.6</v>
      </c>
      <c r="L1500">
        <v>72.7</v>
      </c>
      <c r="M1500" s="2">
        <f t="shared" si="258"/>
        <v>0</v>
      </c>
      <c r="N1500">
        <v>0</v>
      </c>
      <c r="P1500" s="2">
        <f t="shared" si="259"/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12.3</v>
      </c>
      <c r="W1500" s="2">
        <f t="shared" si="260"/>
        <v>1</v>
      </c>
      <c r="X1500">
        <v>7.2</v>
      </c>
      <c r="Z1500" s="2">
        <f t="shared" si="261"/>
        <v>0</v>
      </c>
      <c r="AA1500">
        <v>343</v>
      </c>
      <c r="AB1500" s="2" t="str">
        <f>CHOOSE(MATCH(AA1500,{0;11;80;111;161;191;241;281;341},1),"North","NorthEast","East","SouthEast","South","SouthWest","West","NorthWest","North")</f>
        <v>North</v>
      </c>
      <c r="AC1500" s="5">
        <f>CHOOSE(MATCH(AB1500,{"South";"SouthEast";"SouthWest";"North";"NorthEast";"East";"West";"NorthWest"},0),1,2,3,4,5,6,7,8)</f>
        <v>4</v>
      </c>
      <c r="AD1500" s="2">
        <f t="shared" si="262"/>
        <v>1</v>
      </c>
      <c r="AE1500">
        <v>1029.2</v>
      </c>
      <c r="AF1500" s="4" t="s">
        <v>2298</v>
      </c>
      <c r="AG1500" s="2">
        <f t="shared" si="263"/>
        <v>1</v>
      </c>
      <c r="AH1500" t="s">
        <v>2344</v>
      </c>
      <c r="AI1500" s="2">
        <f t="shared" si="264"/>
        <v>1</v>
      </c>
      <c r="AJ1500" s="2">
        <f t="shared" si="265"/>
        <v>0</v>
      </c>
      <c r="AK1500" s="3">
        <v>145.00000000116421</v>
      </c>
      <c r="AM1500" s="2">
        <v>0</v>
      </c>
      <c r="AN1500">
        <v>50</v>
      </c>
      <c r="AO1500">
        <v>0</v>
      </c>
      <c r="AP1500">
        <v>0</v>
      </c>
      <c r="AQ1500" s="2">
        <f>IF((2*G1500 + M1500 -P1500 + 3*W1500 + 2*Z1500+2*AD1500 + AG1500+2*AJ1500 + 4*AM1500) &gt;=8,1,0)</f>
        <v>0</v>
      </c>
    </row>
    <row r="1501" spans="1:43" x14ac:dyDescent="0.25">
      <c r="A1501" t="s">
        <v>27</v>
      </c>
      <c r="B1501" s="1">
        <v>43166</v>
      </c>
      <c r="C1501" s="7">
        <f t="shared" si="257"/>
        <v>2018</v>
      </c>
      <c r="D1501">
        <v>70.599999999999994</v>
      </c>
      <c r="E1501">
        <v>56.5</v>
      </c>
      <c r="F1501">
        <v>63.4</v>
      </c>
      <c r="G1501" s="2">
        <f t="shared" si="266"/>
        <v>0</v>
      </c>
      <c r="H1501">
        <v>70.599999999999994</v>
      </c>
      <c r="I1501">
        <v>56.5</v>
      </c>
      <c r="J1501">
        <v>63.4</v>
      </c>
      <c r="K1501">
        <v>46.3</v>
      </c>
      <c r="L1501">
        <v>55.7</v>
      </c>
      <c r="M1501" s="2">
        <f t="shared" si="258"/>
        <v>0</v>
      </c>
      <c r="N1501">
        <v>0</v>
      </c>
      <c r="P1501" s="2">
        <f t="shared" si="259"/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28.4</v>
      </c>
      <c r="W1501" s="2">
        <f t="shared" si="260"/>
        <v>1</v>
      </c>
      <c r="X1501">
        <v>13.3</v>
      </c>
      <c r="Z1501" s="2">
        <f t="shared" si="261"/>
        <v>0</v>
      </c>
      <c r="AA1501">
        <v>240.8</v>
      </c>
      <c r="AB1501" s="2" t="str">
        <f>CHOOSE(MATCH(AA1501,{0;11;80;111;161;191;241;281;341},1),"North","NorthEast","East","SouthEast","South","SouthWest","West","NorthWest","North")</f>
        <v>SouthWest</v>
      </c>
      <c r="AC1501" s="5">
        <f>CHOOSE(MATCH(AB1501,{"South";"SouthEast";"SouthWest";"North";"NorthEast";"East";"West";"NorthWest"},0),1,2,3,4,5,6,7,8)</f>
        <v>3</v>
      </c>
      <c r="AD1501" s="2">
        <f t="shared" si="262"/>
        <v>1</v>
      </c>
      <c r="AE1501">
        <v>1005.8</v>
      </c>
      <c r="AF1501" s="4" t="s">
        <v>1042</v>
      </c>
      <c r="AG1501" s="2">
        <f t="shared" si="263"/>
        <v>1</v>
      </c>
      <c r="AH1501" t="s">
        <v>2345</v>
      </c>
      <c r="AI1501" s="2">
        <f t="shared" si="264"/>
        <v>3</v>
      </c>
      <c r="AJ1501" s="2">
        <f t="shared" si="265"/>
        <v>0</v>
      </c>
      <c r="AK1501" s="3">
        <v>184.99999999534339</v>
      </c>
      <c r="AM1501" s="2">
        <v>0</v>
      </c>
      <c r="AN1501">
        <v>0</v>
      </c>
      <c r="AO1501">
        <v>8</v>
      </c>
      <c r="AP1501">
        <v>0</v>
      </c>
      <c r="AQ1501" s="2">
        <f>IF((2*G1501 + M1501 -P1501 + 3*W1501 + 2*Z1501+2*AD1501 + AG1501+2*AJ1501 + 4*AM1501) &gt;=8,1,0)</f>
        <v>0</v>
      </c>
    </row>
    <row r="1502" spans="1:43" x14ac:dyDescent="0.25">
      <c r="A1502" t="s">
        <v>27</v>
      </c>
      <c r="B1502" s="1">
        <v>43169</v>
      </c>
      <c r="C1502" s="7">
        <f t="shared" si="257"/>
        <v>2018</v>
      </c>
      <c r="D1502">
        <v>65.3</v>
      </c>
      <c r="E1502">
        <v>40.6</v>
      </c>
      <c r="F1502">
        <v>53.4</v>
      </c>
      <c r="G1502" s="2">
        <f t="shared" si="266"/>
        <v>0</v>
      </c>
      <c r="H1502">
        <v>65.3</v>
      </c>
      <c r="I1502">
        <v>40.6</v>
      </c>
      <c r="J1502">
        <v>53.4</v>
      </c>
      <c r="K1502">
        <v>39.9</v>
      </c>
      <c r="L1502">
        <v>63</v>
      </c>
      <c r="M1502" s="2">
        <f t="shared" si="258"/>
        <v>0</v>
      </c>
      <c r="N1502">
        <v>0</v>
      </c>
      <c r="P1502" s="2">
        <f t="shared" si="259"/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15.7</v>
      </c>
      <c r="W1502" s="2">
        <f t="shared" si="260"/>
        <v>1</v>
      </c>
      <c r="X1502">
        <v>7.9</v>
      </c>
      <c r="Z1502" s="2">
        <f t="shared" si="261"/>
        <v>0</v>
      </c>
      <c r="AA1502">
        <v>170.6</v>
      </c>
      <c r="AB1502" s="2" t="str">
        <f>CHOOSE(MATCH(AA1502,{0;11;80;111;161;191;241;281;341},1),"North","NorthEast","East","SouthEast","South","SouthWest","West","NorthWest","North")</f>
        <v>South</v>
      </c>
      <c r="AC1502" s="5">
        <f>CHOOSE(MATCH(AB1502,{"South";"SouthEast";"SouthWest";"North";"NorthEast";"East";"West";"NorthWest"},0),1,2,3,4,5,6,7,8)</f>
        <v>1</v>
      </c>
      <c r="AD1502" s="2">
        <f t="shared" si="262"/>
        <v>0</v>
      </c>
      <c r="AE1502">
        <v>1017.5</v>
      </c>
      <c r="AF1502" s="4" t="s">
        <v>2266</v>
      </c>
      <c r="AG1502" s="2">
        <f t="shared" si="263"/>
        <v>0</v>
      </c>
      <c r="AH1502" t="s">
        <v>2346</v>
      </c>
      <c r="AI1502" s="2">
        <f t="shared" si="264"/>
        <v>3</v>
      </c>
      <c r="AJ1502" s="2">
        <f t="shared" si="265"/>
        <v>0</v>
      </c>
      <c r="AK1502" s="3">
        <v>174.99999999417921</v>
      </c>
      <c r="AM1502" s="2">
        <v>0</v>
      </c>
      <c r="AN1502">
        <v>0.3</v>
      </c>
      <c r="AO1502">
        <v>0</v>
      </c>
      <c r="AP1502">
        <v>0</v>
      </c>
      <c r="AQ1502" s="2">
        <f>IF((2*G1502 + M1502 -P1502 + 3*W1502 + 2*Z1502+2*AD1502 + AG1502+2*AJ1502 + 4*AM1502) &gt;=8,1,0)</f>
        <v>0</v>
      </c>
    </row>
    <row r="1503" spans="1:43" x14ac:dyDescent="0.25">
      <c r="A1503" t="s">
        <v>27</v>
      </c>
      <c r="B1503" s="1">
        <v>43172</v>
      </c>
      <c r="C1503" s="7">
        <f t="shared" ref="C1503:C1561" si="267">YEAR(B1503)</f>
        <v>2018</v>
      </c>
      <c r="D1503">
        <v>67.900000000000006</v>
      </c>
      <c r="E1503">
        <v>55.8</v>
      </c>
      <c r="F1503">
        <v>61.4</v>
      </c>
      <c r="G1503" s="2">
        <f t="shared" si="266"/>
        <v>0</v>
      </c>
      <c r="H1503">
        <v>67.900000000000006</v>
      </c>
      <c r="I1503">
        <v>55.8</v>
      </c>
      <c r="J1503">
        <v>61.4</v>
      </c>
      <c r="K1503">
        <v>43.6</v>
      </c>
      <c r="L1503">
        <v>53.7</v>
      </c>
      <c r="M1503" s="2">
        <f t="shared" ref="M1503:M1561" si="268">IF(L1503&lt;=49.3,1,0)</f>
        <v>0</v>
      </c>
      <c r="N1503">
        <v>0</v>
      </c>
      <c r="P1503" s="2">
        <f t="shared" ref="P1503:P1561" si="269">IF(N1503&lt;=0.01,1,0)</f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27.8</v>
      </c>
      <c r="W1503" s="2">
        <f t="shared" ref="W1503:W1560" si="270">IF(V1503&lt;=10,0,1)</f>
        <v>1</v>
      </c>
      <c r="X1503">
        <v>15.4</v>
      </c>
      <c r="Z1503" s="2">
        <f t="shared" ref="Z1503:Z1560" si="271">IF(X1503&gt;=16,1,0)</f>
        <v>0</v>
      </c>
      <c r="AA1503">
        <v>270.7</v>
      </c>
      <c r="AB1503" s="2" t="str">
        <f>CHOOSE(MATCH(AA1503,{0;11;80;111;161;191;241;281;341},1),"North","NorthEast","East","SouthEast","South","SouthWest","West","NorthWest","North")</f>
        <v>West</v>
      </c>
      <c r="AC1503" s="5">
        <f>CHOOSE(MATCH(AB1503,{"South";"SouthEast";"SouthWest";"North";"NorthEast";"East";"West";"NorthWest"},0),1,2,3,4,5,6,7,8)</f>
        <v>7</v>
      </c>
      <c r="AD1503" s="2">
        <f t="shared" ref="AD1503:AD1561" si="272">IF(OR(AC1503=3,AC1503=4,AC1503=5,AC1503=8),1,0)</f>
        <v>0</v>
      </c>
      <c r="AE1503">
        <v>1009.6</v>
      </c>
      <c r="AF1503" s="4" t="s">
        <v>2001</v>
      </c>
      <c r="AG1503" s="2">
        <f t="shared" ref="AG1503:AG1561" si="273">IF(TIMEVALUE(AF1503)&lt;=TIME(12,30,0),0,1)</f>
        <v>1</v>
      </c>
      <c r="AH1503" t="s">
        <v>2347</v>
      </c>
      <c r="AI1503" s="2">
        <f t="shared" ref="AI1503:AI1561" si="274">MONTH(AH1503)</f>
        <v>3</v>
      </c>
      <c r="AJ1503" s="2">
        <f t="shared" ref="AJ1503:AJ1561" si="275">IF(OR(AI1503=6,AI1503=7,AI1503=8),1,0)</f>
        <v>0</v>
      </c>
      <c r="AK1503" s="3">
        <v>265.00000000465661</v>
      </c>
      <c r="AM1503" s="2">
        <v>0</v>
      </c>
      <c r="AN1503">
        <v>0</v>
      </c>
      <c r="AO1503">
        <v>1</v>
      </c>
      <c r="AP1503">
        <v>0</v>
      </c>
      <c r="AQ1503" s="2">
        <f>IF((2*G1503 + M1503 -P1503 + 3*W1503 + 2*Z1503+2*AD1503 + AG1503+2*AJ1503 + 4*AM1503) &gt;=8,1,0)</f>
        <v>0</v>
      </c>
    </row>
    <row r="1504" spans="1:43" x14ac:dyDescent="0.25">
      <c r="A1504" t="s">
        <v>27</v>
      </c>
      <c r="B1504" s="1">
        <v>43186</v>
      </c>
      <c r="C1504" s="7">
        <f t="shared" si="267"/>
        <v>2018</v>
      </c>
      <c r="D1504">
        <v>66.5</v>
      </c>
      <c r="E1504">
        <v>47.3</v>
      </c>
      <c r="F1504">
        <v>57.3</v>
      </c>
      <c r="G1504" s="2">
        <f t="shared" si="266"/>
        <v>0</v>
      </c>
      <c r="H1504">
        <v>66.5</v>
      </c>
      <c r="I1504">
        <v>46.2</v>
      </c>
      <c r="J1504">
        <v>57.1</v>
      </c>
      <c r="K1504">
        <v>44.2</v>
      </c>
      <c r="L1504">
        <v>62.6</v>
      </c>
      <c r="M1504" s="2">
        <f t="shared" si="268"/>
        <v>0</v>
      </c>
      <c r="N1504">
        <v>0</v>
      </c>
      <c r="P1504" s="2">
        <f t="shared" si="269"/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27.7</v>
      </c>
      <c r="W1504" s="2">
        <f t="shared" si="270"/>
        <v>1</v>
      </c>
      <c r="X1504">
        <v>12.3</v>
      </c>
      <c r="Z1504" s="2">
        <f t="shared" si="271"/>
        <v>0</v>
      </c>
      <c r="AA1504">
        <v>227.9</v>
      </c>
      <c r="AB1504" s="2" t="str">
        <f>CHOOSE(MATCH(AA1504,{0;11;80;111;161;191;241;281;341},1),"North","NorthEast","East","SouthEast","South","SouthWest","West","NorthWest","North")</f>
        <v>SouthWest</v>
      </c>
      <c r="AC1504" s="5">
        <f>CHOOSE(MATCH(AB1504,{"South";"SouthEast";"SouthWest";"North";"NorthEast";"East";"West";"NorthWest"},0),1,2,3,4,5,6,7,8)</f>
        <v>3</v>
      </c>
      <c r="AD1504" s="2">
        <f t="shared" si="272"/>
        <v>1</v>
      </c>
      <c r="AE1504">
        <v>1011.5</v>
      </c>
      <c r="AF1504" s="4" t="s">
        <v>2348</v>
      </c>
      <c r="AG1504" s="2">
        <f t="shared" si="273"/>
        <v>0</v>
      </c>
      <c r="AH1504" t="s">
        <v>2349</v>
      </c>
      <c r="AI1504" s="2">
        <f t="shared" si="274"/>
        <v>3</v>
      </c>
      <c r="AJ1504" s="2">
        <f t="shared" si="275"/>
        <v>0</v>
      </c>
      <c r="AK1504" s="3">
        <v>96.999999991385266</v>
      </c>
      <c r="AM1504" s="2">
        <v>0</v>
      </c>
      <c r="AN1504">
        <v>0</v>
      </c>
      <c r="AO1504">
        <v>0.3</v>
      </c>
      <c r="AP1504">
        <v>0</v>
      </c>
      <c r="AQ1504" s="2">
        <f>IF((2*G1504 + M1504 -P1504 + 3*W1504 + 2*Z1504+2*AD1504 + AG1504+2*AJ1504 + 4*AM1504) &gt;=8,1,0)</f>
        <v>0</v>
      </c>
    </row>
    <row r="1505" spans="1:43" x14ac:dyDescent="0.25">
      <c r="A1505" t="s">
        <v>27</v>
      </c>
      <c r="B1505" s="1">
        <v>43201</v>
      </c>
      <c r="C1505" s="7">
        <f t="shared" si="267"/>
        <v>2018</v>
      </c>
      <c r="D1505">
        <v>70.5</v>
      </c>
      <c r="E1505">
        <v>51.6</v>
      </c>
      <c r="F1505">
        <v>60.3</v>
      </c>
      <c r="G1505" s="2">
        <f t="shared" si="266"/>
        <v>0</v>
      </c>
      <c r="H1505">
        <v>70.5</v>
      </c>
      <c r="I1505">
        <v>51.6</v>
      </c>
      <c r="J1505">
        <v>60.3</v>
      </c>
      <c r="K1505">
        <v>48.5</v>
      </c>
      <c r="L1505">
        <v>66</v>
      </c>
      <c r="M1505" s="2">
        <f t="shared" si="268"/>
        <v>0</v>
      </c>
      <c r="N1505">
        <v>0</v>
      </c>
      <c r="P1505" s="2">
        <f t="shared" si="269"/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19.7</v>
      </c>
      <c r="W1505" s="2">
        <f t="shared" si="270"/>
        <v>1</v>
      </c>
      <c r="X1505">
        <v>7</v>
      </c>
      <c r="Z1505" s="2">
        <f t="shared" si="271"/>
        <v>0</v>
      </c>
      <c r="AA1505">
        <v>176.5</v>
      </c>
      <c r="AB1505" s="2" t="str">
        <f>CHOOSE(MATCH(AA1505,{0;11;80;111;161;191;241;281;341},1),"North","NorthEast","East","SouthEast","South","SouthWest","West","NorthWest","North")</f>
        <v>South</v>
      </c>
      <c r="AC1505" s="5">
        <f>CHOOSE(MATCH(AB1505,{"South";"SouthEast";"SouthWest";"North";"NorthEast";"East";"West";"NorthWest"},0),1,2,3,4,5,6,7,8)</f>
        <v>1</v>
      </c>
      <c r="AD1505" s="2">
        <f t="shared" si="272"/>
        <v>0</v>
      </c>
      <c r="AE1505">
        <v>1011.2</v>
      </c>
      <c r="AF1505" s="4" t="s">
        <v>1954</v>
      </c>
      <c r="AG1505" s="2">
        <f t="shared" si="273"/>
        <v>1</v>
      </c>
      <c r="AH1505" t="s">
        <v>2350</v>
      </c>
      <c r="AI1505" s="2">
        <f t="shared" si="274"/>
        <v>4</v>
      </c>
      <c r="AJ1505" s="2">
        <f t="shared" si="275"/>
        <v>0</v>
      </c>
      <c r="AK1505" s="3">
        <v>53.999999997904517</v>
      </c>
      <c r="AM1505" s="2">
        <v>0</v>
      </c>
      <c r="AN1505">
        <v>0</v>
      </c>
      <c r="AO1505">
        <v>0.8</v>
      </c>
      <c r="AP1505">
        <v>0</v>
      </c>
      <c r="AQ1505" s="2">
        <f>IF((2*G1505 + M1505 -P1505 + 3*W1505 + 2*Z1505+2*AD1505 + AG1505+2*AJ1505 + 4*AM1505) &gt;=8,1,0)</f>
        <v>0</v>
      </c>
    </row>
    <row r="1506" spans="1:43" x14ac:dyDescent="0.25">
      <c r="A1506" t="s">
        <v>27</v>
      </c>
      <c r="B1506" s="1">
        <v>43204</v>
      </c>
      <c r="C1506" s="7">
        <f t="shared" si="267"/>
        <v>2018</v>
      </c>
      <c r="D1506">
        <v>77.8</v>
      </c>
      <c r="E1506">
        <v>53.2</v>
      </c>
      <c r="F1506">
        <v>65.400000000000006</v>
      </c>
      <c r="G1506" s="2">
        <f t="shared" si="266"/>
        <v>0</v>
      </c>
      <c r="H1506">
        <v>77.8</v>
      </c>
      <c r="I1506">
        <v>53.2</v>
      </c>
      <c r="J1506">
        <v>65.400000000000006</v>
      </c>
      <c r="K1506">
        <v>52</v>
      </c>
      <c r="L1506">
        <v>64.7</v>
      </c>
      <c r="M1506" s="2">
        <f t="shared" si="268"/>
        <v>0</v>
      </c>
      <c r="N1506">
        <v>0</v>
      </c>
      <c r="P1506" s="2">
        <f t="shared" si="269"/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18.5</v>
      </c>
      <c r="W1506" s="2">
        <f t="shared" si="270"/>
        <v>1</v>
      </c>
      <c r="X1506">
        <v>13.5</v>
      </c>
      <c r="Z1506" s="2">
        <f t="shared" si="271"/>
        <v>0</v>
      </c>
      <c r="AA1506">
        <v>47.8</v>
      </c>
      <c r="AB1506" s="2" t="str">
        <f>CHOOSE(MATCH(AA1506,{0;11;80;111;161;191;241;281;341},1),"North","NorthEast","East","SouthEast","South","SouthWest","West","NorthWest","North")</f>
        <v>NorthEast</v>
      </c>
      <c r="AC1506" s="5">
        <f>CHOOSE(MATCH(AB1506,{"South";"SouthEast";"SouthWest";"North";"NorthEast";"East";"West";"NorthWest"},0),1,2,3,4,5,6,7,8)</f>
        <v>5</v>
      </c>
      <c r="AD1506" s="2">
        <f t="shared" si="272"/>
        <v>1</v>
      </c>
      <c r="AE1506">
        <v>1017.2</v>
      </c>
      <c r="AF1506" s="4" t="s">
        <v>1237</v>
      </c>
      <c r="AG1506" s="2">
        <f t="shared" si="273"/>
        <v>1</v>
      </c>
      <c r="AH1506" t="s">
        <v>2351</v>
      </c>
      <c r="AI1506" s="2">
        <f t="shared" si="274"/>
        <v>4</v>
      </c>
      <c r="AJ1506" s="2">
        <f t="shared" si="275"/>
        <v>0</v>
      </c>
      <c r="AK1506" s="3">
        <v>130.00000000465661</v>
      </c>
      <c r="AM1506" s="2">
        <v>0</v>
      </c>
      <c r="AN1506">
        <v>0</v>
      </c>
      <c r="AO1506">
        <v>250</v>
      </c>
      <c r="AP1506">
        <v>0</v>
      </c>
      <c r="AQ1506" s="2">
        <f>IF((2*G1506 + M1506 -P1506 + 3*W1506 + 2*Z1506+2*AD1506 + AG1506+2*AJ1506 + 4*AM1506) &gt;=8,1,0)</f>
        <v>0</v>
      </c>
    </row>
    <row r="1507" spans="1:43" x14ac:dyDescent="0.25">
      <c r="A1507" t="s">
        <v>27</v>
      </c>
      <c r="B1507" s="1">
        <v>43212</v>
      </c>
      <c r="C1507" s="7">
        <f t="shared" si="267"/>
        <v>2018</v>
      </c>
      <c r="D1507">
        <v>76.099999999999994</v>
      </c>
      <c r="E1507">
        <v>47.9</v>
      </c>
      <c r="F1507">
        <v>63.3</v>
      </c>
      <c r="G1507" s="2">
        <f t="shared" si="266"/>
        <v>0</v>
      </c>
      <c r="H1507">
        <v>76.099999999999994</v>
      </c>
      <c r="I1507">
        <v>47.9</v>
      </c>
      <c r="J1507">
        <v>63.3</v>
      </c>
      <c r="K1507">
        <v>39.4</v>
      </c>
      <c r="L1507">
        <v>43.1</v>
      </c>
      <c r="M1507" s="2">
        <f t="shared" si="268"/>
        <v>1</v>
      </c>
      <c r="N1507">
        <v>0</v>
      </c>
      <c r="P1507" s="2">
        <f t="shared" si="269"/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15.7</v>
      </c>
      <c r="W1507" s="2">
        <f t="shared" si="270"/>
        <v>1</v>
      </c>
      <c r="X1507">
        <v>10.6</v>
      </c>
      <c r="Z1507" s="2">
        <f t="shared" si="271"/>
        <v>0</v>
      </c>
      <c r="AA1507">
        <v>98.5</v>
      </c>
      <c r="AB1507" s="2" t="str">
        <f>CHOOSE(MATCH(AA1507,{0;11;80;111;161;191;241;281;341},1),"North","NorthEast","East","SouthEast","South","SouthWest","West","NorthWest","North")</f>
        <v>East</v>
      </c>
      <c r="AC1507" s="5">
        <f>CHOOSE(MATCH(AB1507,{"South";"SouthEast";"SouthWest";"North";"NorthEast";"East";"West";"NorthWest"},0),1,2,3,4,5,6,7,8)</f>
        <v>6</v>
      </c>
      <c r="AD1507" s="2">
        <f t="shared" si="272"/>
        <v>0</v>
      </c>
      <c r="AE1507">
        <v>1017.6</v>
      </c>
      <c r="AF1507" s="4" t="s">
        <v>1207</v>
      </c>
      <c r="AG1507" s="2">
        <f t="shared" si="273"/>
        <v>0</v>
      </c>
      <c r="AH1507" t="s">
        <v>2352</v>
      </c>
      <c r="AI1507" s="2">
        <f t="shared" si="274"/>
        <v>4</v>
      </c>
      <c r="AJ1507" s="2">
        <f t="shared" si="275"/>
        <v>0</v>
      </c>
      <c r="AK1507" s="3">
        <v>1744.9999999988361</v>
      </c>
      <c r="AM1507" s="2">
        <v>1</v>
      </c>
      <c r="AN1507">
        <v>0</v>
      </c>
      <c r="AO1507">
        <v>10</v>
      </c>
      <c r="AP1507">
        <v>0</v>
      </c>
      <c r="AQ1507" s="2">
        <f>IF((2*G1507 + M1507 -P1507 + 3*W1507 + 2*Z1507+2*AD1507 + AG1507+2*AJ1507 + 4*AM1507) &gt;=8,1,0)</f>
        <v>0</v>
      </c>
    </row>
    <row r="1508" spans="1:43" x14ac:dyDescent="0.25">
      <c r="A1508" t="s">
        <v>27</v>
      </c>
      <c r="B1508" s="1">
        <v>43212</v>
      </c>
      <c r="C1508" s="7">
        <f t="shared" si="267"/>
        <v>2018</v>
      </c>
      <c r="D1508">
        <v>76.099999999999994</v>
      </c>
      <c r="E1508">
        <v>47.9</v>
      </c>
      <c r="F1508">
        <v>63.3</v>
      </c>
      <c r="G1508" s="2">
        <f t="shared" si="266"/>
        <v>0</v>
      </c>
      <c r="H1508">
        <v>76.099999999999994</v>
      </c>
      <c r="I1508">
        <v>47.9</v>
      </c>
      <c r="J1508">
        <v>63.3</v>
      </c>
      <c r="K1508">
        <v>39.4</v>
      </c>
      <c r="L1508">
        <v>43.1</v>
      </c>
      <c r="M1508" s="2">
        <f t="shared" si="268"/>
        <v>1</v>
      </c>
      <c r="N1508">
        <v>0</v>
      </c>
      <c r="P1508" s="2">
        <f t="shared" si="269"/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15.7</v>
      </c>
      <c r="W1508" s="2">
        <f t="shared" si="270"/>
        <v>1</v>
      </c>
      <c r="X1508">
        <v>10.6</v>
      </c>
      <c r="Z1508" s="2">
        <f t="shared" si="271"/>
        <v>0</v>
      </c>
      <c r="AA1508">
        <v>98.5</v>
      </c>
      <c r="AB1508" s="2" t="str">
        <f>CHOOSE(MATCH(AA1508,{0;11;80;111;161;191;241;281;341},1),"North","NorthEast","East","SouthEast","South","SouthWest","West","NorthWest","North")</f>
        <v>East</v>
      </c>
      <c r="AC1508" s="5">
        <f>CHOOSE(MATCH(AB1508,{"South";"SouthEast";"SouthWest";"North";"NorthEast";"East";"West";"NorthWest"},0),1,2,3,4,5,6,7,8)</f>
        <v>6</v>
      </c>
      <c r="AD1508" s="2">
        <f t="shared" si="272"/>
        <v>0</v>
      </c>
      <c r="AE1508">
        <v>1017.6</v>
      </c>
      <c r="AF1508" s="4" t="s">
        <v>1207</v>
      </c>
      <c r="AG1508" s="2">
        <f t="shared" si="273"/>
        <v>0</v>
      </c>
      <c r="AH1508" t="s">
        <v>2352</v>
      </c>
      <c r="AI1508" s="2">
        <f t="shared" si="274"/>
        <v>4</v>
      </c>
      <c r="AJ1508" s="2">
        <f t="shared" si="275"/>
        <v>0</v>
      </c>
      <c r="AK1508" s="3">
        <v>1744.9999999988361</v>
      </c>
      <c r="AM1508" s="2">
        <v>1</v>
      </c>
      <c r="AN1508">
        <v>0</v>
      </c>
      <c r="AO1508">
        <v>15</v>
      </c>
      <c r="AP1508">
        <v>0</v>
      </c>
      <c r="AQ1508" s="2">
        <f>IF((2*G1508 + M1508 -P1508 + 3*W1508 + 2*Z1508+2*AD1508 + AG1508+2*AJ1508 + 4*AM1508) &gt;=8,1,0)</f>
        <v>0</v>
      </c>
    </row>
    <row r="1509" spans="1:43" x14ac:dyDescent="0.25">
      <c r="A1509" t="s">
        <v>27</v>
      </c>
      <c r="B1509" s="1">
        <v>43214</v>
      </c>
      <c r="C1509" s="7">
        <f t="shared" si="267"/>
        <v>2018</v>
      </c>
      <c r="D1509">
        <v>83.3</v>
      </c>
      <c r="E1509">
        <v>49</v>
      </c>
      <c r="F1509">
        <v>66.099999999999994</v>
      </c>
      <c r="G1509" s="2">
        <f t="shared" si="266"/>
        <v>0</v>
      </c>
      <c r="H1509">
        <v>80.8</v>
      </c>
      <c r="I1509">
        <v>47.9</v>
      </c>
      <c r="J1509">
        <v>65.7</v>
      </c>
      <c r="K1509">
        <v>43.8</v>
      </c>
      <c r="L1509">
        <v>49.6</v>
      </c>
      <c r="M1509" s="2">
        <f t="shared" si="268"/>
        <v>0</v>
      </c>
      <c r="N1509">
        <v>0</v>
      </c>
      <c r="P1509" s="2">
        <f t="shared" si="269"/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17.399999999999999</v>
      </c>
      <c r="W1509" s="2">
        <f t="shared" si="270"/>
        <v>1</v>
      </c>
      <c r="X1509">
        <v>6.8</v>
      </c>
      <c r="Z1509" s="2">
        <f t="shared" si="271"/>
        <v>0</v>
      </c>
      <c r="AA1509">
        <v>171.8</v>
      </c>
      <c r="AB1509" s="2" t="str">
        <f>CHOOSE(MATCH(AA1509,{0;11;80;111;161;191;241;281;341},1),"North","NorthEast","East","SouthEast","South","SouthWest","West","NorthWest","North")</f>
        <v>South</v>
      </c>
      <c r="AC1509" s="5">
        <f>CHOOSE(MATCH(AB1509,{"South";"SouthEast";"SouthWest";"North";"NorthEast";"East";"West";"NorthWest"},0),1,2,3,4,5,6,7,8)</f>
        <v>1</v>
      </c>
      <c r="AD1509" s="2">
        <f t="shared" si="272"/>
        <v>0</v>
      </c>
      <c r="AE1509">
        <v>1015.9</v>
      </c>
      <c r="AF1509" s="4" t="s">
        <v>2353</v>
      </c>
      <c r="AG1509" s="2">
        <f t="shared" si="273"/>
        <v>0</v>
      </c>
      <c r="AH1509" t="s">
        <v>2354</v>
      </c>
      <c r="AI1509" s="2">
        <f t="shared" si="274"/>
        <v>4</v>
      </c>
      <c r="AJ1509" s="2">
        <f t="shared" si="275"/>
        <v>0</v>
      </c>
      <c r="AK1509" s="3">
        <v>95.999999998603016</v>
      </c>
      <c r="AM1509" s="2">
        <v>0</v>
      </c>
      <c r="AN1509">
        <v>0</v>
      </c>
      <c r="AO1509">
        <v>0.3</v>
      </c>
      <c r="AP1509">
        <v>0</v>
      </c>
      <c r="AQ1509" s="2">
        <f>IF((2*G1509 + M1509 -P1509 + 3*W1509 + 2*Z1509+2*AD1509 + AG1509+2*AJ1509 + 4*AM1509) &gt;=8,1,0)</f>
        <v>0</v>
      </c>
    </row>
    <row r="1510" spans="1:43" x14ac:dyDescent="0.25">
      <c r="A1510" t="s">
        <v>27</v>
      </c>
      <c r="B1510" s="1">
        <v>43215</v>
      </c>
      <c r="C1510" s="7">
        <f t="shared" si="267"/>
        <v>2018</v>
      </c>
      <c r="D1510">
        <v>84.2</v>
      </c>
      <c r="E1510">
        <v>53.7</v>
      </c>
      <c r="F1510">
        <v>69.3</v>
      </c>
      <c r="G1510" s="2">
        <f t="shared" si="266"/>
        <v>0</v>
      </c>
      <c r="H1510">
        <v>81.8</v>
      </c>
      <c r="I1510">
        <v>53.7</v>
      </c>
      <c r="J1510">
        <v>68.900000000000006</v>
      </c>
      <c r="K1510">
        <v>46.4</v>
      </c>
      <c r="L1510">
        <v>46.4</v>
      </c>
      <c r="M1510" s="2">
        <f t="shared" si="268"/>
        <v>1</v>
      </c>
      <c r="N1510">
        <v>0</v>
      </c>
      <c r="P1510" s="2">
        <f t="shared" si="269"/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16.100000000000001</v>
      </c>
      <c r="W1510" s="2">
        <f t="shared" si="270"/>
        <v>1</v>
      </c>
      <c r="X1510">
        <v>9.1</v>
      </c>
      <c r="Z1510" s="2">
        <f t="shared" si="271"/>
        <v>0</v>
      </c>
      <c r="AA1510">
        <v>121.5</v>
      </c>
      <c r="AB1510" s="2" t="str">
        <f>CHOOSE(MATCH(AA1510,{0;11;80;111;161;191;241;281;341},1),"North","NorthEast","East","SouthEast","South","SouthWest","West","NorthWest","North")</f>
        <v>SouthEast</v>
      </c>
      <c r="AC1510" s="5">
        <f>CHOOSE(MATCH(AB1510,{"South";"SouthEast";"SouthWest";"North";"NorthEast";"East";"West";"NorthWest"},0),1,2,3,4,5,6,7,8)</f>
        <v>2</v>
      </c>
      <c r="AD1510" s="2">
        <f t="shared" si="272"/>
        <v>0</v>
      </c>
      <c r="AE1510">
        <v>1014.8</v>
      </c>
      <c r="AF1510" s="4" t="s">
        <v>2355</v>
      </c>
      <c r="AG1510" s="2">
        <f t="shared" si="273"/>
        <v>0</v>
      </c>
      <c r="AH1510" t="s">
        <v>2356</v>
      </c>
      <c r="AI1510" s="2">
        <f t="shared" si="274"/>
        <v>4</v>
      </c>
      <c r="AJ1510" s="2">
        <f t="shared" si="275"/>
        <v>0</v>
      </c>
      <c r="AK1510" s="3">
        <v>253.00000000745061</v>
      </c>
      <c r="AM1510" s="2">
        <v>0</v>
      </c>
      <c r="AN1510">
        <v>3</v>
      </c>
      <c r="AO1510">
        <v>0</v>
      </c>
      <c r="AP1510">
        <v>0</v>
      </c>
      <c r="AQ1510" s="2">
        <f>IF((2*G1510 + M1510 -P1510 + 3*W1510 + 2*Z1510+2*AD1510 + AG1510+2*AJ1510 + 4*AM1510) &gt;=8,1,0)</f>
        <v>0</v>
      </c>
    </row>
    <row r="1511" spans="1:43" x14ac:dyDescent="0.25">
      <c r="A1511" t="s">
        <v>27</v>
      </c>
      <c r="B1511" s="1">
        <v>43224</v>
      </c>
      <c r="C1511" s="7">
        <f t="shared" si="267"/>
        <v>2018</v>
      </c>
      <c r="D1511">
        <v>82.3</v>
      </c>
      <c r="E1511">
        <v>62.3</v>
      </c>
      <c r="F1511">
        <v>71.900000000000006</v>
      </c>
      <c r="G1511" s="2">
        <f t="shared" si="266"/>
        <v>0</v>
      </c>
      <c r="H1511">
        <v>81.8</v>
      </c>
      <c r="I1511">
        <v>62.3</v>
      </c>
      <c r="J1511">
        <v>71.900000000000006</v>
      </c>
      <c r="K1511">
        <v>57.2</v>
      </c>
      <c r="L1511">
        <v>61.6</v>
      </c>
      <c r="M1511" s="2">
        <f t="shared" si="268"/>
        <v>0</v>
      </c>
      <c r="N1511">
        <v>0</v>
      </c>
      <c r="P1511" s="2">
        <f t="shared" si="269"/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21.7</v>
      </c>
      <c r="W1511" s="2">
        <f t="shared" si="270"/>
        <v>1</v>
      </c>
      <c r="X1511">
        <v>9.5</v>
      </c>
      <c r="Z1511" s="2">
        <f t="shared" si="271"/>
        <v>0</v>
      </c>
      <c r="AA1511">
        <v>114.7</v>
      </c>
      <c r="AB1511" s="2" t="str">
        <f>CHOOSE(MATCH(AA1511,{0;11;80;111;161;191;241;281;341},1),"North","NorthEast","East","SouthEast","South","SouthWest","West","NorthWest","North")</f>
        <v>SouthEast</v>
      </c>
      <c r="AC1511" s="5">
        <f>CHOOSE(MATCH(AB1511,{"South";"SouthEast";"SouthWest";"North";"NorthEast";"East";"West";"NorthWest"},0),1,2,3,4,5,6,7,8)</f>
        <v>2</v>
      </c>
      <c r="AD1511" s="2">
        <f t="shared" si="272"/>
        <v>0</v>
      </c>
      <c r="AE1511">
        <v>1007.4</v>
      </c>
      <c r="AF1511" s="4" t="s">
        <v>2357</v>
      </c>
      <c r="AG1511" s="2">
        <f t="shared" si="273"/>
        <v>0</v>
      </c>
      <c r="AH1511" t="s">
        <v>2358</v>
      </c>
      <c r="AI1511" s="2">
        <f t="shared" si="274"/>
        <v>5</v>
      </c>
      <c r="AJ1511" s="2">
        <f t="shared" si="275"/>
        <v>0</v>
      </c>
      <c r="AK1511" s="3">
        <v>17.000000003026798</v>
      </c>
      <c r="AM1511" s="2">
        <v>0</v>
      </c>
      <c r="AN1511">
        <v>0</v>
      </c>
      <c r="AO1511">
        <v>0.1</v>
      </c>
      <c r="AP1511">
        <v>0</v>
      </c>
      <c r="AQ1511" s="2">
        <f>IF((2*G1511 + M1511 -P1511 + 3*W1511 + 2*Z1511+2*AD1511 + AG1511+2*AJ1511 + 4*AM1511) &gt;=8,1,0)</f>
        <v>0</v>
      </c>
    </row>
    <row r="1512" spans="1:43" x14ac:dyDescent="0.25">
      <c r="A1512" t="s">
        <v>27</v>
      </c>
      <c r="B1512" s="1">
        <v>43240</v>
      </c>
      <c r="C1512" s="7">
        <f t="shared" si="267"/>
        <v>2018</v>
      </c>
      <c r="D1512">
        <v>80.5</v>
      </c>
      <c r="E1512">
        <v>64.2</v>
      </c>
      <c r="F1512">
        <v>72</v>
      </c>
      <c r="G1512" s="2">
        <f t="shared" si="266"/>
        <v>0</v>
      </c>
      <c r="H1512">
        <v>81.099999999999994</v>
      </c>
      <c r="I1512">
        <v>64.2</v>
      </c>
      <c r="J1512">
        <v>72</v>
      </c>
      <c r="K1512">
        <v>59.8</v>
      </c>
      <c r="L1512">
        <v>67</v>
      </c>
      <c r="M1512" s="2">
        <f t="shared" si="268"/>
        <v>0</v>
      </c>
      <c r="N1512">
        <v>6.0000000000000001E-3</v>
      </c>
      <c r="P1512" s="2">
        <f t="shared" si="269"/>
        <v>1</v>
      </c>
      <c r="Q1512">
        <v>100</v>
      </c>
      <c r="R1512">
        <v>4.17</v>
      </c>
      <c r="S1512" t="s">
        <v>87</v>
      </c>
      <c r="T1512">
        <v>0</v>
      </c>
      <c r="U1512">
        <v>0</v>
      </c>
      <c r="V1512">
        <v>22.7</v>
      </c>
      <c r="W1512" s="2">
        <f t="shared" si="270"/>
        <v>1</v>
      </c>
      <c r="X1512">
        <v>15.1</v>
      </c>
      <c r="Z1512" s="2">
        <f t="shared" si="271"/>
        <v>0</v>
      </c>
      <c r="AA1512">
        <v>58.8</v>
      </c>
      <c r="AB1512" s="2" t="str">
        <f>CHOOSE(MATCH(AA1512,{0;11;80;111;161;191;241;281;341},1),"North","NorthEast","East","SouthEast","South","SouthWest","West","NorthWest","North")</f>
        <v>NorthEast</v>
      </c>
      <c r="AC1512" s="5">
        <f>CHOOSE(MATCH(AB1512,{"South";"SouthEast";"SouthWest";"North";"NorthEast";"East";"West";"NorthWest"},0),1,2,3,4,5,6,7,8)</f>
        <v>5</v>
      </c>
      <c r="AD1512" s="2">
        <f t="shared" si="272"/>
        <v>1</v>
      </c>
      <c r="AE1512">
        <v>1013.2</v>
      </c>
      <c r="AF1512" s="4" t="s">
        <v>1052</v>
      </c>
      <c r="AG1512" s="2">
        <f t="shared" si="273"/>
        <v>1</v>
      </c>
      <c r="AH1512" t="s">
        <v>2359</v>
      </c>
      <c r="AI1512" s="2">
        <f t="shared" si="274"/>
        <v>5</v>
      </c>
      <c r="AJ1512" s="2">
        <f t="shared" si="275"/>
        <v>0</v>
      </c>
      <c r="AK1512" s="3">
        <v>1300.0000000046571</v>
      </c>
      <c r="AM1512" s="2">
        <v>1</v>
      </c>
      <c r="AN1512">
        <v>2</v>
      </c>
      <c r="AO1512">
        <v>0</v>
      </c>
      <c r="AP1512">
        <v>0</v>
      </c>
      <c r="AQ1512" s="2">
        <f>IF((2*G1512 + M1512 -P1512 + 3*W1512 + 2*Z1512+2*AD1512 + AG1512+2*AJ1512 + 4*AM1512) &gt;=8,1,0)</f>
        <v>1</v>
      </c>
    </row>
    <row r="1513" spans="1:43" x14ac:dyDescent="0.25">
      <c r="A1513" t="s">
        <v>27</v>
      </c>
      <c r="B1513" s="1">
        <v>43243</v>
      </c>
      <c r="C1513" s="7">
        <f t="shared" si="267"/>
        <v>2018</v>
      </c>
      <c r="D1513">
        <v>78.7</v>
      </c>
      <c r="E1513">
        <v>63.2</v>
      </c>
      <c r="F1513">
        <v>71.7</v>
      </c>
      <c r="G1513" s="2">
        <f t="shared" si="266"/>
        <v>0</v>
      </c>
      <c r="H1513">
        <v>78.7</v>
      </c>
      <c r="I1513">
        <v>63.2</v>
      </c>
      <c r="J1513">
        <v>71.7</v>
      </c>
      <c r="K1513">
        <v>56.3</v>
      </c>
      <c r="L1513">
        <v>59.1</v>
      </c>
      <c r="M1513" s="2">
        <f t="shared" si="268"/>
        <v>0</v>
      </c>
      <c r="N1513">
        <v>1E-3</v>
      </c>
      <c r="P1513" s="2">
        <f t="shared" si="269"/>
        <v>1</v>
      </c>
      <c r="Q1513">
        <v>100</v>
      </c>
      <c r="R1513">
        <v>4.17</v>
      </c>
      <c r="S1513" t="s">
        <v>87</v>
      </c>
      <c r="T1513">
        <v>0</v>
      </c>
      <c r="U1513">
        <v>0</v>
      </c>
      <c r="V1513">
        <v>20.8</v>
      </c>
      <c r="W1513" s="2">
        <f t="shared" si="270"/>
        <v>1</v>
      </c>
      <c r="X1513">
        <v>13.8</v>
      </c>
      <c r="Z1513" s="2">
        <f t="shared" si="271"/>
        <v>0</v>
      </c>
      <c r="AA1513">
        <v>79.2</v>
      </c>
      <c r="AB1513" s="2" t="str">
        <f>CHOOSE(MATCH(AA1513,{0;11;80;111;161;191;241;281;341},1),"North","NorthEast","East","SouthEast","South","SouthWest","West","NorthWest","North")</f>
        <v>NorthEast</v>
      </c>
      <c r="AC1513" s="5">
        <f>CHOOSE(MATCH(AB1513,{"South";"SouthEast";"SouthWest";"North";"NorthEast";"East";"West";"NorthWest"},0),1,2,3,4,5,6,7,8)</f>
        <v>5</v>
      </c>
      <c r="AD1513" s="2">
        <f t="shared" si="272"/>
        <v>1</v>
      </c>
      <c r="AE1513">
        <v>1016.8</v>
      </c>
      <c r="AF1513" s="4" t="s">
        <v>2360</v>
      </c>
      <c r="AG1513" s="2">
        <f t="shared" si="273"/>
        <v>1</v>
      </c>
      <c r="AH1513" t="s">
        <v>2361</v>
      </c>
      <c r="AI1513" s="2">
        <f t="shared" si="274"/>
        <v>5</v>
      </c>
      <c r="AJ1513" s="2">
        <f t="shared" si="275"/>
        <v>0</v>
      </c>
      <c r="AK1513" s="3">
        <v>34.000000006053597</v>
      </c>
      <c r="AM1513" s="2">
        <v>0</v>
      </c>
      <c r="AN1513">
        <v>0</v>
      </c>
      <c r="AO1513">
        <v>10</v>
      </c>
      <c r="AP1513">
        <v>0</v>
      </c>
      <c r="AQ1513" s="2">
        <f>IF((2*G1513 + M1513 -P1513 + 3*W1513 + 2*Z1513+2*AD1513 + AG1513+2*AJ1513 + 4*AM1513) &gt;=8,1,0)</f>
        <v>0</v>
      </c>
    </row>
    <row r="1514" spans="1:43" x14ac:dyDescent="0.25">
      <c r="A1514" t="s">
        <v>27</v>
      </c>
      <c r="B1514" s="1">
        <v>43247</v>
      </c>
      <c r="C1514" s="7">
        <f t="shared" si="267"/>
        <v>2018</v>
      </c>
      <c r="D1514">
        <v>80.5</v>
      </c>
      <c r="E1514">
        <v>70.099999999999994</v>
      </c>
      <c r="F1514">
        <v>75.400000000000006</v>
      </c>
      <c r="G1514" s="2">
        <f t="shared" si="266"/>
        <v>1</v>
      </c>
      <c r="H1514">
        <v>80.400000000000006</v>
      </c>
      <c r="I1514">
        <v>70.099999999999994</v>
      </c>
      <c r="J1514">
        <v>75.400000000000006</v>
      </c>
      <c r="K1514">
        <v>55.9</v>
      </c>
      <c r="L1514">
        <v>51.4</v>
      </c>
      <c r="M1514" s="2">
        <f t="shared" si="268"/>
        <v>0</v>
      </c>
      <c r="N1514">
        <v>0</v>
      </c>
      <c r="P1514" s="2">
        <f t="shared" si="269"/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40.299999999999997</v>
      </c>
      <c r="W1514" s="2">
        <f t="shared" si="270"/>
        <v>1</v>
      </c>
      <c r="X1514">
        <v>21</v>
      </c>
      <c r="Z1514" s="2">
        <f t="shared" si="271"/>
        <v>1</v>
      </c>
      <c r="AA1514">
        <v>6.1</v>
      </c>
      <c r="AB1514" s="2" t="str">
        <f>CHOOSE(MATCH(AA1514,{0;11;80;111;161;191;241;281;341},1),"North","NorthEast","East","SouthEast","South","SouthWest","West","NorthWest","North")</f>
        <v>North</v>
      </c>
      <c r="AC1514" s="5">
        <f>CHOOSE(MATCH(AB1514,{"South";"SouthEast";"SouthWest";"North";"NorthEast";"East";"West";"NorthWest"},0),1,2,3,4,5,6,7,8)</f>
        <v>4</v>
      </c>
      <c r="AD1514" s="2">
        <f t="shared" si="272"/>
        <v>1</v>
      </c>
      <c r="AE1514">
        <v>1015.5</v>
      </c>
      <c r="AF1514" s="4" t="s">
        <v>2362</v>
      </c>
      <c r="AG1514" s="2">
        <f t="shared" si="273"/>
        <v>1</v>
      </c>
      <c r="AH1514" t="s">
        <v>2363</v>
      </c>
      <c r="AI1514" s="2">
        <f t="shared" si="274"/>
        <v>5</v>
      </c>
      <c r="AJ1514" s="2">
        <f t="shared" si="275"/>
        <v>0</v>
      </c>
      <c r="AK1514" s="3">
        <v>153.99999999906871</v>
      </c>
      <c r="AM1514" s="2">
        <v>0</v>
      </c>
      <c r="AN1514">
        <v>0</v>
      </c>
      <c r="AO1514">
        <v>4</v>
      </c>
      <c r="AP1514">
        <v>0</v>
      </c>
      <c r="AQ1514" s="2">
        <f>IF((2*G1514 + M1514 -P1514 + 3*W1514 + 2*Z1514+2*AD1514 + AG1514+2*AJ1514 + 4*AM1514) &gt;=8,1,0)</f>
        <v>1</v>
      </c>
    </row>
    <row r="1515" spans="1:43" x14ac:dyDescent="0.25">
      <c r="A1515" t="s">
        <v>27</v>
      </c>
      <c r="B1515" s="1">
        <v>43249</v>
      </c>
      <c r="C1515" s="7">
        <f t="shared" si="267"/>
        <v>2018</v>
      </c>
      <c r="D1515">
        <v>83.1</v>
      </c>
      <c r="E1515">
        <v>69.400000000000006</v>
      </c>
      <c r="F1515">
        <v>75.400000000000006</v>
      </c>
      <c r="G1515" s="2">
        <f t="shared" si="266"/>
        <v>1</v>
      </c>
      <c r="H1515">
        <v>81.099999999999994</v>
      </c>
      <c r="I1515">
        <v>69.400000000000006</v>
      </c>
      <c r="J1515">
        <v>75</v>
      </c>
      <c r="K1515">
        <v>46.2</v>
      </c>
      <c r="L1515">
        <v>36</v>
      </c>
      <c r="M1515" s="2">
        <f t="shared" si="268"/>
        <v>1</v>
      </c>
      <c r="N1515">
        <v>0</v>
      </c>
      <c r="P1515" s="2">
        <f t="shared" si="269"/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32.200000000000003</v>
      </c>
      <c r="W1515" s="2">
        <f t="shared" si="270"/>
        <v>1</v>
      </c>
      <c r="X1515">
        <v>23.8</v>
      </c>
      <c r="Z1515" s="2">
        <f t="shared" si="271"/>
        <v>1</v>
      </c>
      <c r="AA1515">
        <v>7</v>
      </c>
      <c r="AB1515" s="2" t="str">
        <f>CHOOSE(MATCH(AA1515,{0;11;80;111;161;191;241;281;341},1),"North","NorthEast","East","SouthEast","South","SouthWest","West","NorthWest","North")</f>
        <v>North</v>
      </c>
      <c r="AC1515" s="5">
        <f>CHOOSE(MATCH(AB1515,{"South";"SouthEast";"SouthWest";"North";"NorthEast";"East";"West";"NorthWest"},0),1,2,3,4,5,6,7,8)</f>
        <v>4</v>
      </c>
      <c r="AD1515" s="2">
        <f t="shared" si="272"/>
        <v>1</v>
      </c>
      <c r="AE1515">
        <v>1015.2</v>
      </c>
      <c r="AF1515" s="4" t="s">
        <v>2364</v>
      </c>
      <c r="AG1515" s="2">
        <f t="shared" si="273"/>
        <v>1</v>
      </c>
      <c r="AH1515" t="s">
        <v>2365</v>
      </c>
      <c r="AI1515" s="2">
        <f t="shared" si="274"/>
        <v>5</v>
      </c>
      <c r="AJ1515" s="2">
        <f t="shared" si="275"/>
        <v>0</v>
      </c>
      <c r="AK1515" s="3">
        <v>256.99999999953428</v>
      </c>
      <c r="AM1515" s="2">
        <v>0</v>
      </c>
      <c r="AN1515">
        <v>0</v>
      </c>
      <c r="AO1515">
        <v>15</v>
      </c>
      <c r="AP1515">
        <v>0</v>
      </c>
      <c r="AQ1515" s="2">
        <f>IF((2*G1515 + M1515 -P1515 + 3*W1515 + 2*Z1515+2*AD1515 + AG1515+2*AJ1515 + 4*AM1515) &gt;=8,1,0)</f>
        <v>1</v>
      </c>
    </row>
    <row r="1516" spans="1:43" x14ac:dyDescent="0.25">
      <c r="A1516" t="s">
        <v>27</v>
      </c>
      <c r="B1516" s="1">
        <v>43252</v>
      </c>
      <c r="C1516" s="7">
        <f t="shared" si="267"/>
        <v>2018</v>
      </c>
      <c r="D1516">
        <v>88.5</v>
      </c>
      <c r="E1516">
        <v>67.099999999999994</v>
      </c>
      <c r="F1516">
        <v>78.599999999999994</v>
      </c>
      <c r="G1516" s="2">
        <f t="shared" si="266"/>
        <v>1</v>
      </c>
      <c r="H1516">
        <v>85</v>
      </c>
      <c r="I1516">
        <v>67.099999999999994</v>
      </c>
      <c r="J1516">
        <v>77.2</v>
      </c>
      <c r="K1516">
        <v>39.9</v>
      </c>
      <c r="L1516">
        <v>25.6</v>
      </c>
      <c r="M1516" s="2">
        <f t="shared" si="268"/>
        <v>1</v>
      </c>
      <c r="N1516">
        <v>0</v>
      </c>
      <c r="P1516" s="2">
        <f t="shared" si="269"/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28.2</v>
      </c>
      <c r="W1516" s="2">
        <f t="shared" si="270"/>
        <v>1</v>
      </c>
      <c r="X1516">
        <v>16.899999999999999</v>
      </c>
      <c r="Z1516" s="2">
        <f t="shared" si="271"/>
        <v>1</v>
      </c>
      <c r="AA1516">
        <v>3.5</v>
      </c>
      <c r="AB1516" s="2" t="str">
        <f>CHOOSE(MATCH(AA1516,{0;11;80;111;161;191;241;281;341},1),"North","NorthEast","East","SouthEast","South","SouthWest","West","NorthWest","North")</f>
        <v>North</v>
      </c>
      <c r="AC1516" s="5">
        <f>CHOOSE(MATCH(AB1516,{"South";"SouthEast";"SouthWest";"North";"NorthEast";"East";"West";"NorthWest"},0),1,2,3,4,5,6,7,8)</f>
        <v>4</v>
      </c>
      <c r="AD1516" s="2">
        <f t="shared" si="272"/>
        <v>1</v>
      </c>
      <c r="AE1516">
        <v>1014</v>
      </c>
      <c r="AF1516" s="4" t="s">
        <v>1118</v>
      </c>
      <c r="AG1516" s="2">
        <f t="shared" si="273"/>
        <v>1</v>
      </c>
      <c r="AH1516" t="s">
        <v>2366</v>
      </c>
      <c r="AI1516" s="2">
        <f t="shared" si="274"/>
        <v>6</v>
      </c>
      <c r="AJ1516" s="2">
        <f t="shared" si="275"/>
        <v>1</v>
      </c>
      <c r="AK1516" s="3">
        <v>4549.9999999953434</v>
      </c>
      <c r="AM1516" s="2">
        <v>1</v>
      </c>
      <c r="AN1516">
        <v>0</v>
      </c>
      <c r="AO1516">
        <v>5</v>
      </c>
      <c r="AP1516">
        <v>0</v>
      </c>
      <c r="AQ1516" s="2">
        <f>IF((2*G1516 + M1516 -P1516 + 3*W1516 + 2*Z1516+2*AD1516 + AG1516+2*AJ1516 + 4*AM1516) &gt;=8,1,0)</f>
        <v>1</v>
      </c>
    </row>
    <row r="1517" spans="1:43" x14ac:dyDescent="0.25">
      <c r="A1517" t="s">
        <v>27</v>
      </c>
      <c r="B1517" s="1">
        <v>43252</v>
      </c>
      <c r="C1517" s="7">
        <f t="shared" si="267"/>
        <v>2018</v>
      </c>
      <c r="D1517">
        <v>88.5</v>
      </c>
      <c r="E1517">
        <v>67.099999999999994</v>
      </c>
      <c r="F1517">
        <v>78.599999999999994</v>
      </c>
      <c r="G1517" s="2">
        <f t="shared" si="266"/>
        <v>1</v>
      </c>
      <c r="H1517">
        <v>85</v>
      </c>
      <c r="I1517">
        <v>67.099999999999994</v>
      </c>
      <c r="J1517">
        <v>77.2</v>
      </c>
      <c r="K1517">
        <v>39.9</v>
      </c>
      <c r="L1517">
        <v>25.6</v>
      </c>
      <c r="M1517" s="2">
        <f t="shared" si="268"/>
        <v>1</v>
      </c>
      <c r="N1517">
        <v>0</v>
      </c>
      <c r="P1517" s="2">
        <f t="shared" si="269"/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28.2</v>
      </c>
      <c r="W1517" s="2">
        <f t="shared" si="270"/>
        <v>1</v>
      </c>
      <c r="X1517">
        <v>16.899999999999999</v>
      </c>
      <c r="Z1517" s="2">
        <f t="shared" si="271"/>
        <v>1</v>
      </c>
      <c r="AA1517">
        <v>3.5</v>
      </c>
      <c r="AB1517" s="2" t="str">
        <f>CHOOSE(MATCH(AA1517,{0;11;80;111;161;191;241;281;341},1),"North","NorthEast","East","SouthEast","South","SouthWest","West","NorthWest","North")</f>
        <v>North</v>
      </c>
      <c r="AC1517" s="5">
        <f>CHOOSE(MATCH(AB1517,{"South";"SouthEast";"SouthWest";"North";"NorthEast";"East";"West";"NorthWest"},0),1,2,3,4,5,6,7,8)</f>
        <v>4</v>
      </c>
      <c r="AD1517" s="2">
        <f t="shared" si="272"/>
        <v>1</v>
      </c>
      <c r="AE1517">
        <v>1014</v>
      </c>
      <c r="AF1517" s="4" t="s">
        <v>1932</v>
      </c>
      <c r="AG1517" s="2">
        <f t="shared" si="273"/>
        <v>1</v>
      </c>
      <c r="AH1517" t="s">
        <v>2367</v>
      </c>
      <c r="AI1517" s="2">
        <f t="shared" si="274"/>
        <v>6</v>
      </c>
      <c r="AJ1517" s="2">
        <f t="shared" si="275"/>
        <v>1</v>
      </c>
      <c r="AK1517" s="3">
        <v>180</v>
      </c>
      <c r="AM1517" s="2">
        <v>0</v>
      </c>
      <c r="AN1517">
        <v>0</v>
      </c>
      <c r="AO1517">
        <v>20</v>
      </c>
      <c r="AP1517">
        <v>0</v>
      </c>
      <c r="AQ1517" s="2">
        <f>IF((2*G1517 + M1517 -P1517 + 3*W1517 + 2*Z1517+2*AD1517 + AG1517+2*AJ1517 + 4*AM1517) &gt;=8,1,0)</f>
        <v>1</v>
      </c>
    </row>
    <row r="1518" spans="1:43" x14ac:dyDescent="0.25">
      <c r="A1518" t="s">
        <v>27</v>
      </c>
      <c r="B1518" s="1">
        <v>43253</v>
      </c>
      <c r="C1518" s="7">
        <f t="shared" si="267"/>
        <v>2018</v>
      </c>
      <c r="D1518">
        <v>86.8</v>
      </c>
      <c r="E1518">
        <v>72.099999999999994</v>
      </c>
      <c r="F1518">
        <v>80.2</v>
      </c>
      <c r="G1518" s="2">
        <f t="shared" si="266"/>
        <v>1</v>
      </c>
      <c r="H1518">
        <v>84.6</v>
      </c>
      <c r="I1518">
        <v>72.099999999999994</v>
      </c>
      <c r="J1518">
        <v>79.099999999999994</v>
      </c>
      <c r="K1518">
        <v>46.6</v>
      </c>
      <c r="L1518">
        <v>31</v>
      </c>
      <c r="M1518" s="2">
        <f t="shared" si="268"/>
        <v>1</v>
      </c>
      <c r="N1518">
        <v>0</v>
      </c>
      <c r="P1518" s="2">
        <f t="shared" si="269"/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27.3</v>
      </c>
      <c r="W1518" s="2">
        <f t="shared" si="270"/>
        <v>1</v>
      </c>
      <c r="X1518">
        <v>16.600000000000001</v>
      </c>
      <c r="Z1518" s="2">
        <f t="shared" si="271"/>
        <v>1</v>
      </c>
      <c r="AA1518">
        <v>18.8</v>
      </c>
      <c r="AB1518" s="2" t="str">
        <f>CHOOSE(MATCH(AA1518,{0;11;80;111;161;191;241;281;341},1),"North","NorthEast","East","SouthEast","South","SouthWest","West","NorthWest","North")</f>
        <v>NorthEast</v>
      </c>
      <c r="AC1518" s="5">
        <f>CHOOSE(MATCH(AB1518,{"South";"SouthEast";"SouthWest";"North";"NorthEast";"East";"West";"NorthWest"},0),1,2,3,4,5,6,7,8)</f>
        <v>5</v>
      </c>
      <c r="AD1518" s="2">
        <f t="shared" si="272"/>
        <v>1</v>
      </c>
      <c r="AE1518">
        <v>1014.2</v>
      </c>
      <c r="AF1518" s="4" t="s">
        <v>1889</v>
      </c>
      <c r="AG1518" s="2">
        <f t="shared" si="273"/>
        <v>1</v>
      </c>
      <c r="AH1518" t="s">
        <v>2368</v>
      </c>
      <c r="AI1518" s="2">
        <f t="shared" si="274"/>
        <v>6</v>
      </c>
      <c r="AJ1518" s="2">
        <f t="shared" si="275"/>
        <v>1</v>
      </c>
      <c r="AK1518" s="3">
        <v>111.9999999983702</v>
      </c>
      <c r="AM1518" s="2">
        <v>0</v>
      </c>
      <c r="AN1518">
        <v>0</v>
      </c>
      <c r="AO1518">
        <v>0.1</v>
      </c>
      <c r="AP1518">
        <v>0</v>
      </c>
      <c r="AQ1518" s="2">
        <f>IF((2*G1518 + M1518 -P1518 + 3*W1518 + 2*Z1518+2*AD1518 + AG1518+2*AJ1518 + 4*AM1518) &gt;=8,1,0)</f>
        <v>1</v>
      </c>
    </row>
    <row r="1519" spans="1:43" x14ac:dyDescent="0.25">
      <c r="A1519" t="s">
        <v>27</v>
      </c>
      <c r="B1519" s="1">
        <v>43255</v>
      </c>
      <c r="C1519" s="7">
        <f t="shared" si="267"/>
        <v>2018</v>
      </c>
      <c r="D1519">
        <v>89.4</v>
      </c>
      <c r="E1519">
        <v>65.2</v>
      </c>
      <c r="F1519">
        <v>77.400000000000006</v>
      </c>
      <c r="G1519" s="2">
        <f t="shared" si="266"/>
        <v>1</v>
      </c>
      <c r="H1519">
        <v>87.3</v>
      </c>
      <c r="I1519">
        <v>65.2</v>
      </c>
      <c r="J1519">
        <v>76.7</v>
      </c>
      <c r="K1519">
        <v>54.5</v>
      </c>
      <c r="L1519">
        <v>47.3</v>
      </c>
      <c r="M1519" s="2">
        <f t="shared" si="268"/>
        <v>1</v>
      </c>
      <c r="N1519">
        <v>0</v>
      </c>
      <c r="P1519" s="2">
        <f t="shared" si="269"/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23</v>
      </c>
      <c r="W1519" s="2">
        <f t="shared" si="270"/>
        <v>1</v>
      </c>
      <c r="X1519">
        <v>11.3</v>
      </c>
      <c r="Z1519" s="2">
        <f t="shared" si="271"/>
        <v>0</v>
      </c>
      <c r="AA1519">
        <v>232.4</v>
      </c>
      <c r="AB1519" s="2" t="str">
        <f>CHOOSE(MATCH(AA1519,{0;11;80;111;161;191;241;281;341},1),"North","NorthEast","East","SouthEast","South","SouthWest","West","NorthWest","North")</f>
        <v>SouthWest</v>
      </c>
      <c r="AC1519" s="5">
        <f>CHOOSE(MATCH(AB1519,{"South";"SouthEast";"SouthWest";"North";"NorthEast";"East";"West";"NorthWest"},0),1,2,3,4,5,6,7,8)</f>
        <v>3</v>
      </c>
      <c r="AD1519" s="2">
        <f t="shared" si="272"/>
        <v>1</v>
      </c>
      <c r="AE1519">
        <v>1010</v>
      </c>
      <c r="AF1519" s="4" t="s">
        <v>2369</v>
      </c>
      <c r="AG1519" s="2">
        <f t="shared" si="273"/>
        <v>0</v>
      </c>
      <c r="AH1519" t="s">
        <v>2370</v>
      </c>
      <c r="AI1519" s="2">
        <f t="shared" si="274"/>
        <v>6</v>
      </c>
      <c r="AJ1519" s="2">
        <f t="shared" si="275"/>
        <v>1</v>
      </c>
      <c r="AK1519" s="3">
        <v>614.99999999301508</v>
      </c>
      <c r="AM1519" s="2">
        <v>1</v>
      </c>
      <c r="AN1519">
        <v>0</v>
      </c>
      <c r="AO1519">
        <v>5</v>
      </c>
      <c r="AP1519">
        <v>0</v>
      </c>
      <c r="AQ1519" s="2">
        <f>IF((2*G1519 + M1519 -P1519 + 3*W1519 + 2*Z1519+2*AD1519 + AG1519+2*AJ1519 + 4*AM1519) &gt;=8,1,0)</f>
        <v>1</v>
      </c>
    </row>
    <row r="1520" spans="1:43" x14ac:dyDescent="0.25">
      <c r="A1520" t="s">
        <v>27</v>
      </c>
      <c r="B1520" s="1">
        <v>43266</v>
      </c>
      <c r="C1520" s="7">
        <f t="shared" si="267"/>
        <v>2018</v>
      </c>
      <c r="D1520">
        <v>86</v>
      </c>
      <c r="E1520">
        <v>70.099999999999994</v>
      </c>
      <c r="F1520">
        <v>78.3</v>
      </c>
      <c r="G1520" s="2">
        <f t="shared" si="266"/>
        <v>1</v>
      </c>
      <c r="H1520">
        <v>85.2</v>
      </c>
      <c r="I1520">
        <v>70.099999999999994</v>
      </c>
      <c r="J1520">
        <v>78.099999999999994</v>
      </c>
      <c r="K1520">
        <v>57.5</v>
      </c>
      <c r="L1520">
        <v>50</v>
      </c>
      <c r="M1520" s="2">
        <f t="shared" si="268"/>
        <v>0</v>
      </c>
      <c r="N1520">
        <v>0</v>
      </c>
      <c r="P1520" s="2">
        <f t="shared" si="269"/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33.6</v>
      </c>
      <c r="W1520" s="2">
        <f t="shared" si="270"/>
        <v>1</v>
      </c>
      <c r="X1520">
        <v>17.8</v>
      </c>
      <c r="Z1520" s="2">
        <f t="shared" si="271"/>
        <v>1</v>
      </c>
      <c r="AA1520">
        <v>204.8</v>
      </c>
      <c r="AB1520" s="2" t="str">
        <f>CHOOSE(MATCH(AA1520,{0;11;80;111;161;191;241;281;341},1),"North","NorthEast","East","SouthEast","South","SouthWest","West","NorthWest","North")</f>
        <v>SouthWest</v>
      </c>
      <c r="AC1520" s="5">
        <f>CHOOSE(MATCH(AB1520,{"South";"SouthEast";"SouthWest";"North";"NorthEast";"East";"West";"NorthWest"},0),1,2,3,4,5,6,7,8)</f>
        <v>3</v>
      </c>
      <c r="AD1520" s="2">
        <f t="shared" si="272"/>
        <v>1</v>
      </c>
      <c r="AE1520">
        <v>1004</v>
      </c>
      <c r="AF1520" s="4" t="s">
        <v>1989</v>
      </c>
      <c r="AG1520" s="2">
        <f t="shared" si="273"/>
        <v>1</v>
      </c>
      <c r="AH1520" t="s">
        <v>2371</v>
      </c>
      <c r="AI1520" s="2">
        <f t="shared" si="274"/>
        <v>6</v>
      </c>
      <c r="AJ1520" s="2">
        <f t="shared" si="275"/>
        <v>1</v>
      </c>
      <c r="AK1520" s="3">
        <v>1703.000000008615</v>
      </c>
      <c r="AM1520" s="2">
        <v>1</v>
      </c>
      <c r="AN1520">
        <v>0</v>
      </c>
      <c r="AO1520">
        <v>10</v>
      </c>
      <c r="AP1520">
        <v>0</v>
      </c>
      <c r="AQ1520" s="2">
        <f>IF((2*G1520 + M1520 -P1520 + 3*W1520 + 2*Z1520+2*AD1520 + AG1520+2*AJ1520 + 4*AM1520) &gt;=8,1,0)</f>
        <v>1</v>
      </c>
    </row>
    <row r="1521" spans="1:43" x14ac:dyDescent="0.25">
      <c r="A1521" t="s">
        <v>27</v>
      </c>
      <c r="B1521" s="1">
        <v>43267</v>
      </c>
      <c r="C1521" s="7">
        <f t="shared" si="267"/>
        <v>2018</v>
      </c>
      <c r="D1521">
        <v>77.5</v>
      </c>
      <c r="E1521">
        <v>67.900000000000006</v>
      </c>
      <c r="F1521">
        <v>72.599999999999994</v>
      </c>
      <c r="G1521" s="2">
        <f t="shared" si="266"/>
        <v>0</v>
      </c>
      <c r="H1521">
        <v>77.5</v>
      </c>
      <c r="I1521">
        <v>67.900000000000006</v>
      </c>
      <c r="J1521">
        <v>72.599999999999994</v>
      </c>
      <c r="K1521">
        <v>62.8</v>
      </c>
      <c r="L1521">
        <v>72</v>
      </c>
      <c r="M1521" s="2">
        <f t="shared" si="268"/>
        <v>0</v>
      </c>
      <c r="N1521">
        <v>0.82899999999999996</v>
      </c>
      <c r="P1521" s="2">
        <f t="shared" si="269"/>
        <v>0</v>
      </c>
      <c r="Q1521">
        <v>100</v>
      </c>
      <c r="R1521">
        <v>12.5</v>
      </c>
      <c r="S1521" t="s">
        <v>87</v>
      </c>
      <c r="T1521">
        <v>0</v>
      </c>
      <c r="U1521">
        <v>0</v>
      </c>
      <c r="V1521">
        <v>20.6</v>
      </c>
      <c r="W1521" s="2">
        <f t="shared" si="270"/>
        <v>1</v>
      </c>
      <c r="X1521">
        <v>8.5</v>
      </c>
      <c r="Z1521" s="2">
        <f t="shared" si="271"/>
        <v>0</v>
      </c>
      <c r="AA1521">
        <v>23.2</v>
      </c>
      <c r="AB1521" s="2" t="str">
        <f>CHOOSE(MATCH(AA1521,{0;11;80;111;161;191;241;281;341},1),"North","NorthEast","East","SouthEast","South","SouthWest","West","NorthWest","North")</f>
        <v>NorthEast</v>
      </c>
      <c r="AC1521" s="5">
        <f>CHOOSE(MATCH(AB1521,{"South";"SouthEast";"SouthWest";"North";"NorthEast";"East";"West";"NorthWest"},0),1,2,3,4,5,6,7,8)</f>
        <v>5</v>
      </c>
      <c r="AD1521" s="2">
        <f t="shared" si="272"/>
        <v>1</v>
      </c>
      <c r="AE1521">
        <v>1005.4</v>
      </c>
      <c r="AF1521" s="4" t="s">
        <v>2372</v>
      </c>
      <c r="AG1521" s="2">
        <f t="shared" si="273"/>
        <v>1</v>
      </c>
      <c r="AH1521" t="s">
        <v>2373</v>
      </c>
      <c r="AI1521" s="2">
        <f t="shared" si="274"/>
        <v>6</v>
      </c>
      <c r="AJ1521" s="2">
        <f t="shared" si="275"/>
        <v>1</v>
      </c>
      <c r="AK1521" s="3">
        <v>5221.0000000032596</v>
      </c>
      <c r="AM1521" s="2">
        <v>1</v>
      </c>
      <c r="AN1521">
        <v>12</v>
      </c>
      <c r="AO1521">
        <v>0</v>
      </c>
      <c r="AP1521">
        <v>0</v>
      </c>
      <c r="AQ1521" s="2">
        <f>IF((2*G1521 + M1521 -P1521 + 3*W1521 + 2*Z1521+2*AD1521 + AG1521+2*AJ1521 + 4*AM1521) &gt;=8,1,0)</f>
        <v>1</v>
      </c>
    </row>
    <row r="1522" spans="1:43" x14ac:dyDescent="0.25">
      <c r="A1522" t="s">
        <v>27</v>
      </c>
      <c r="B1522" s="1">
        <v>43268</v>
      </c>
      <c r="C1522" s="7">
        <f t="shared" si="267"/>
        <v>2018</v>
      </c>
      <c r="D1522">
        <v>78.599999999999994</v>
      </c>
      <c r="E1522">
        <v>66</v>
      </c>
      <c r="F1522">
        <v>71.099999999999994</v>
      </c>
      <c r="G1522" s="2">
        <f t="shared" si="266"/>
        <v>0</v>
      </c>
      <c r="H1522">
        <v>78.599999999999994</v>
      </c>
      <c r="I1522">
        <v>66</v>
      </c>
      <c r="J1522">
        <v>71.099999999999994</v>
      </c>
      <c r="K1522">
        <v>63.2</v>
      </c>
      <c r="L1522">
        <v>77.3</v>
      </c>
      <c r="M1522" s="2">
        <f t="shared" si="268"/>
        <v>0</v>
      </c>
      <c r="N1522">
        <v>0.29099999999999998</v>
      </c>
      <c r="P1522" s="2">
        <f t="shared" si="269"/>
        <v>0</v>
      </c>
      <c r="Q1522">
        <v>100</v>
      </c>
      <c r="R1522">
        <v>8.33</v>
      </c>
      <c r="S1522" t="s">
        <v>87</v>
      </c>
      <c r="T1522">
        <v>0</v>
      </c>
      <c r="U1522">
        <v>0</v>
      </c>
      <c r="V1522">
        <v>16.3</v>
      </c>
      <c r="W1522" s="2">
        <f t="shared" si="270"/>
        <v>1</v>
      </c>
      <c r="X1522">
        <v>6.9</v>
      </c>
      <c r="Z1522" s="2">
        <f t="shared" si="271"/>
        <v>0</v>
      </c>
      <c r="AA1522">
        <v>354.1</v>
      </c>
      <c r="AB1522" s="2" t="str">
        <f>CHOOSE(MATCH(AA1522,{0;11;80;111;161;191;241;281;341},1),"North","NorthEast","East","SouthEast","South","SouthWest","West","NorthWest","North")</f>
        <v>North</v>
      </c>
      <c r="AC1522" s="5">
        <f>CHOOSE(MATCH(AB1522,{"South";"SouthEast";"SouthWest";"North";"NorthEast";"East";"West";"NorthWest"},0),1,2,3,4,5,6,7,8)</f>
        <v>4</v>
      </c>
      <c r="AD1522" s="2">
        <f t="shared" si="272"/>
        <v>1</v>
      </c>
      <c r="AE1522">
        <v>1009.2</v>
      </c>
      <c r="AF1522" s="4" t="s">
        <v>2011</v>
      </c>
      <c r="AG1522" s="2">
        <f t="shared" si="273"/>
        <v>1</v>
      </c>
      <c r="AH1522" t="s">
        <v>2374</v>
      </c>
      <c r="AI1522" s="2">
        <f t="shared" si="274"/>
        <v>6</v>
      </c>
      <c r="AJ1522" s="2">
        <f t="shared" si="275"/>
        <v>1</v>
      </c>
      <c r="AK1522" s="3">
        <v>56.999999997206032</v>
      </c>
      <c r="AM1522" s="2">
        <v>0</v>
      </c>
      <c r="AN1522">
        <v>0.1</v>
      </c>
      <c r="AO1522">
        <v>0</v>
      </c>
      <c r="AP1522">
        <v>0</v>
      </c>
      <c r="AQ1522" s="2">
        <f>IF((2*G1522 + M1522 -P1522 + 3*W1522 + 2*Z1522+2*AD1522 + AG1522+2*AJ1522 + 4*AM1522) &gt;=8,1,0)</f>
        <v>1</v>
      </c>
    </row>
    <row r="1523" spans="1:43" x14ac:dyDescent="0.25">
      <c r="A1523" t="s">
        <v>27</v>
      </c>
      <c r="B1523" s="1">
        <v>43279</v>
      </c>
      <c r="C1523" s="7">
        <f t="shared" si="267"/>
        <v>2018</v>
      </c>
      <c r="D1523">
        <v>80.5</v>
      </c>
      <c r="E1523">
        <v>66.3</v>
      </c>
      <c r="F1523">
        <v>73.3</v>
      </c>
      <c r="G1523" s="2">
        <f t="shared" si="266"/>
        <v>0</v>
      </c>
      <c r="H1523">
        <v>80.599999999999994</v>
      </c>
      <c r="I1523">
        <v>66.3</v>
      </c>
      <c r="J1523">
        <v>73.3</v>
      </c>
      <c r="K1523">
        <v>57.8</v>
      </c>
      <c r="L1523">
        <v>60.4</v>
      </c>
      <c r="M1523" s="2">
        <f t="shared" si="268"/>
        <v>0</v>
      </c>
      <c r="N1523">
        <v>7.0000000000000001E-3</v>
      </c>
      <c r="P1523" s="2">
        <f t="shared" si="269"/>
        <v>1</v>
      </c>
      <c r="Q1523">
        <v>100</v>
      </c>
      <c r="R1523">
        <v>4.17</v>
      </c>
      <c r="S1523" t="s">
        <v>87</v>
      </c>
      <c r="T1523">
        <v>0</v>
      </c>
      <c r="U1523">
        <v>0</v>
      </c>
      <c r="V1523">
        <v>29.1</v>
      </c>
      <c r="W1523" s="2">
        <f t="shared" si="270"/>
        <v>1</v>
      </c>
      <c r="X1523">
        <v>12.7</v>
      </c>
      <c r="Z1523" s="2">
        <f t="shared" si="271"/>
        <v>0</v>
      </c>
      <c r="AA1523">
        <v>257</v>
      </c>
      <c r="AB1523" s="2" t="str">
        <f>CHOOSE(MATCH(AA1523,{0;11;80;111;161;191;241;281;341},1),"North","NorthEast","East","SouthEast","South","SouthWest","West","NorthWest","North")</f>
        <v>West</v>
      </c>
      <c r="AC1523" s="5">
        <f>CHOOSE(MATCH(AB1523,{"South";"SouthEast";"SouthWest";"North";"NorthEast";"East";"West";"NorthWest"},0),1,2,3,4,5,6,7,8)</f>
        <v>7</v>
      </c>
      <c r="AD1523" s="2">
        <f t="shared" si="272"/>
        <v>0</v>
      </c>
      <c r="AE1523">
        <v>1004.3</v>
      </c>
      <c r="AF1523" s="4" t="s">
        <v>2375</v>
      </c>
      <c r="AG1523" s="2">
        <f t="shared" si="273"/>
        <v>1</v>
      </c>
      <c r="AH1523" t="s">
        <v>2376</v>
      </c>
      <c r="AI1523" s="2">
        <f t="shared" si="274"/>
        <v>6</v>
      </c>
      <c r="AJ1523" s="2">
        <f t="shared" si="275"/>
        <v>1</v>
      </c>
      <c r="AK1523" s="3">
        <v>332.0000000030268</v>
      </c>
      <c r="AM1523" s="2">
        <v>0</v>
      </c>
      <c r="AN1523">
        <v>0</v>
      </c>
      <c r="AO1523">
        <v>1</v>
      </c>
      <c r="AP1523">
        <v>0</v>
      </c>
      <c r="AQ1523" s="2">
        <f>IF((2*G1523 + M1523 -P1523 + 3*W1523 + 2*Z1523+2*AD1523 + AG1523+2*AJ1523 + 4*AM1523) &gt;=8,1,0)</f>
        <v>0</v>
      </c>
    </row>
    <row r="1524" spans="1:43" x14ac:dyDescent="0.25">
      <c r="A1524" t="s">
        <v>27</v>
      </c>
      <c r="B1524" s="1">
        <v>43286</v>
      </c>
      <c r="C1524" s="7">
        <f t="shared" si="267"/>
        <v>2018</v>
      </c>
      <c r="D1524">
        <v>93.3</v>
      </c>
      <c r="E1524">
        <v>73.3</v>
      </c>
      <c r="F1524">
        <v>84.1</v>
      </c>
      <c r="G1524" s="2">
        <f t="shared" si="266"/>
        <v>1</v>
      </c>
      <c r="H1524">
        <v>93.6</v>
      </c>
      <c r="I1524">
        <v>73.3</v>
      </c>
      <c r="J1524">
        <v>84.5</v>
      </c>
      <c r="K1524">
        <v>62.4</v>
      </c>
      <c r="L1524">
        <v>49.7</v>
      </c>
      <c r="M1524" s="2">
        <f t="shared" si="268"/>
        <v>0</v>
      </c>
      <c r="N1524">
        <v>0</v>
      </c>
      <c r="P1524" s="2">
        <f t="shared" si="269"/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20.100000000000001</v>
      </c>
      <c r="W1524" s="2">
        <f t="shared" si="270"/>
        <v>1</v>
      </c>
      <c r="X1524">
        <v>14.3</v>
      </c>
      <c r="Z1524" s="2">
        <f t="shared" si="271"/>
        <v>0</v>
      </c>
      <c r="AA1524">
        <v>25.8</v>
      </c>
      <c r="AB1524" s="2" t="str">
        <f>CHOOSE(MATCH(AA1524,{0;11;80;111;161;191;241;281;341},1),"North","NorthEast","East","SouthEast","South","SouthWest","West","NorthWest","North")</f>
        <v>NorthEast</v>
      </c>
      <c r="AC1524" s="5">
        <f>CHOOSE(MATCH(AB1524,{"South";"SouthEast";"SouthWest";"North";"NorthEast";"East";"West";"NorthWest"},0),1,2,3,4,5,6,7,8)</f>
        <v>5</v>
      </c>
      <c r="AD1524" s="2">
        <f t="shared" si="272"/>
        <v>1</v>
      </c>
      <c r="AE1524">
        <v>1010.6</v>
      </c>
      <c r="AF1524" s="4" t="s">
        <v>2377</v>
      </c>
      <c r="AG1524" s="2">
        <f t="shared" si="273"/>
        <v>0</v>
      </c>
      <c r="AH1524" t="s">
        <v>2378</v>
      </c>
      <c r="AI1524" s="2">
        <f t="shared" si="274"/>
        <v>7</v>
      </c>
      <c r="AJ1524" s="2">
        <f t="shared" si="275"/>
        <v>1</v>
      </c>
      <c r="AK1524" s="3">
        <v>31.999999999534339</v>
      </c>
      <c r="AM1524" s="2">
        <v>0</v>
      </c>
      <c r="AN1524">
        <v>0</v>
      </c>
      <c r="AO1524">
        <v>0.2</v>
      </c>
      <c r="AP1524">
        <v>0</v>
      </c>
      <c r="AQ1524" s="2">
        <f>IF((2*G1524 + M1524 -P1524 + 3*W1524 + 2*Z1524+2*AD1524 + AG1524+2*AJ1524 + 4*AM1524) &gt;=8,1,0)</f>
        <v>1</v>
      </c>
    </row>
    <row r="1525" spans="1:43" x14ac:dyDescent="0.25">
      <c r="A1525" t="s">
        <v>27</v>
      </c>
      <c r="B1525" s="1">
        <v>43293</v>
      </c>
      <c r="C1525" s="7">
        <f t="shared" si="267"/>
        <v>2018</v>
      </c>
      <c r="D1525">
        <v>90.5</v>
      </c>
      <c r="E1525">
        <v>69.599999999999994</v>
      </c>
      <c r="F1525">
        <v>81.3</v>
      </c>
      <c r="G1525" s="2">
        <f t="shared" si="266"/>
        <v>1</v>
      </c>
      <c r="H1525">
        <v>89.3</v>
      </c>
      <c r="I1525">
        <v>69.599999999999994</v>
      </c>
      <c r="J1525">
        <v>81.099999999999994</v>
      </c>
      <c r="K1525">
        <v>60.5</v>
      </c>
      <c r="L1525">
        <v>51.9</v>
      </c>
      <c r="M1525" s="2">
        <f t="shared" si="268"/>
        <v>0</v>
      </c>
      <c r="N1525">
        <v>0</v>
      </c>
      <c r="P1525" s="2">
        <f t="shared" si="269"/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26.4</v>
      </c>
      <c r="W1525" s="2">
        <f t="shared" si="270"/>
        <v>1</v>
      </c>
      <c r="X1525">
        <v>17</v>
      </c>
      <c r="Z1525" s="2">
        <f t="shared" si="271"/>
        <v>1</v>
      </c>
      <c r="AA1525">
        <v>344.4</v>
      </c>
      <c r="AB1525" s="2" t="str">
        <f>CHOOSE(MATCH(AA1525,{0;11;80;111;161;191;241;281;341},1),"North","NorthEast","East","SouthEast","South","SouthWest","West","NorthWest","North")</f>
        <v>North</v>
      </c>
      <c r="AC1525" s="5">
        <f>CHOOSE(MATCH(AB1525,{"South";"SouthEast";"SouthWest";"North";"NorthEast";"East";"West";"NorthWest"},0),1,2,3,4,5,6,7,8)</f>
        <v>4</v>
      </c>
      <c r="AD1525" s="2">
        <f t="shared" si="272"/>
        <v>1</v>
      </c>
      <c r="AE1525">
        <v>1012.3</v>
      </c>
      <c r="AF1525" s="4" t="s">
        <v>1192</v>
      </c>
      <c r="AG1525" s="2">
        <f t="shared" si="273"/>
        <v>1</v>
      </c>
      <c r="AH1525" t="s">
        <v>2379</v>
      </c>
      <c r="AI1525" s="2">
        <f t="shared" si="274"/>
        <v>7</v>
      </c>
      <c r="AJ1525" s="2">
        <f t="shared" si="275"/>
        <v>1</v>
      </c>
      <c r="AK1525" s="3">
        <v>393.99999999557622</v>
      </c>
      <c r="AM1525" s="2">
        <v>1</v>
      </c>
      <c r="AN1525">
        <v>0</v>
      </c>
      <c r="AO1525">
        <v>5</v>
      </c>
      <c r="AP1525">
        <v>0</v>
      </c>
      <c r="AQ1525" s="2">
        <f>IF((2*G1525 + M1525 -P1525 + 3*W1525 + 2*Z1525+2*AD1525 + AG1525+2*AJ1525 + 4*AM1525) &gt;=8,1,0)</f>
        <v>1</v>
      </c>
    </row>
    <row r="1526" spans="1:43" x14ac:dyDescent="0.25">
      <c r="A1526" t="s">
        <v>27</v>
      </c>
      <c r="B1526" s="1">
        <v>43297</v>
      </c>
      <c r="C1526" s="7">
        <f t="shared" si="267"/>
        <v>2018</v>
      </c>
      <c r="D1526">
        <v>93.2</v>
      </c>
      <c r="E1526">
        <v>71.099999999999994</v>
      </c>
      <c r="F1526">
        <v>82.4</v>
      </c>
      <c r="G1526" s="2">
        <f t="shared" si="266"/>
        <v>1</v>
      </c>
      <c r="H1526">
        <v>91.7</v>
      </c>
      <c r="I1526">
        <v>71.099999999999994</v>
      </c>
      <c r="J1526">
        <v>81.599999999999994</v>
      </c>
      <c r="K1526">
        <v>56.8</v>
      </c>
      <c r="L1526">
        <v>43.7</v>
      </c>
      <c r="M1526" s="2">
        <f t="shared" si="268"/>
        <v>1</v>
      </c>
      <c r="N1526">
        <v>0</v>
      </c>
      <c r="P1526" s="2">
        <f t="shared" si="269"/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21.5</v>
      </c>
      <c r="W1526" s="2">
        <f t="shared" si="270"/>
        <v>1</v>
      </c>
      <c r="X1526">
        <v>11.9</v>
      </c>
      <c r="Z1526" s="2">
        <f t="shared" si="271"/>
        <v>0</v>
      </c>
      <c r="AA1526">
        <v>335.6</v>
      </c>
      <c r="AB1526" s="2" t="str">
        <f>CHOOSE(MATCH(AA1526,{0;11;80;111;161;191;241;281;341},1),"North","NorthEast","East","SouthEast","South","SouthWest","West","NorthWest","North")</f>
        <v>NorthWest</v>
      </c>
      <c r="AC1526" s="5">
        <f>CHOOSE(MATCH(AB1526,{"South";"SouthEast";"SouthWest";"North";"NorthEast";"East";"West";"NorthWest"},0),1,2,3,4,5,6,7,8)</f>
        <v>8</v>
      </c>
      <c r="AD1526" s="2">
        <f t="shared" si="272"/>
        <v>1</v>
      </c>
      <c r="AE1526">
        <v>1010.9</v>
      </c>
      <c r="AF1526" s="4" t="s">
        <v>2380</v>
      </c>
      <c r="AG1526" s="2">
        <f t="shared" si="273"/>
        <v>1</v>
      </c>
      <c r="AH1526" t="s">
        <v>2381</v>
      </c>
      <c r="AI1526" s="2">
        <f t="shared" si="274"/>
        <v>7</v>
      </c>
      <c r="AJ1526" s="2">
        <f t="shared" si="275"/>
        <v>1</v>
      </c>
      <c r="AK1526" s="3">
        <v>129.00000000139701</v>
      </c>
      <c r="AM1526" s="2">
        <v>0</v>
      </c>
      <c r="AN1526">
        <v>1</v>
      </c>
      <c r="AO1526">
        <v>0</v>
      </c>
      <c r="AP1526">
        <v>0</v>
      </c>
      <c r="AQ1526" s="2">
        <f>IF((2*G1526 + M1526 -P1526 + 3*W1526 + 2*Z1526+2*AD1526 + AG1526+2*AJ1526 + 4*AM1526) &gt;=8,1,0)</f>
        <v>1</v>
      </c>
    </row>
    <row r="1527" spans="1:43" x14ac:dyDescent="0.25">
      <c r="A1527" t="s">
        <v>27</v>
      </c>
      <c r="B1527" s="1">
        <v>43298</v>
      </c>
      <c r="C1527" s="7">
        <f t="shared" si="267"/>
        <v>2018</v>
      </c>
      <c r="D1527">
        <v>97.1</v>
      </c>
      <c r="E1527">
        <v>74.099999999999994</v>
      </c>
      <c r="F1527">
        <v>84.7</v>
      </c>
      <c r="G1527" s="2">
        <f t="shared" si="266"/>
        <v>1</v>
      </c>
      <c r="H1527">
        <v>96.2</v>
      </c>
      <c r="I1527">
        <v>74.099999999999994</v>
      </c>
      <c r="J1527">
        <v>84.8</v>
      </c>
      <c r="K1527">
        <v>59.2</v>
      </c>
      <c r="L1527">
        <v>43.2</v>
      </c>
      <c r="M1527" s="2">
        <f t="shared" si="268"/>
        <v>1</v>
      </c>
      <c r="N1527">
        <v>0</v>
      </c>
      <c r="P1527" s="2">
        <f t="shared" si="269"/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28.6</v>
      </c>
      <c r="W1527" s="2">
        <f t="shared" si="270"/>
        <v>1</v>
      </c>
      <c r="X1527">
        <v>18.5</v>
      </c>
      <c r="Z1527" s="2">
        <f t="shared" si="271"/>
        <v>1</v>
      </c>
      <c r="AA1527">
        <v>202.8</v>
      </c>
      <c r="AB1527" s="2" t="str">
        <f>CHOOSE(MATCH(AA1527,{0;11;80;111;161;191;241;281;341},1),"North","NorthEast","East","SouthEast","South","SouthWest","West","NorthWest","North")</f>
        <v>SouthWest</v>
      </c>
      <c r="AC1527" s="5">
        <f>CHOOSE(MATCH(AB1527,{"South";"SouthEast";"SouthWest";"North";"NorthEast";"East";"West";"NorthWest"},0),1,2,3,4,5,6,7,8)</f>
        <v>3</v>
      </c>
      <c r="AD1527" s="2">
        <f t="shared" si="272"/>
        <v>1</v>
      </c>
      <c r="AE1527">
        <v>1008.3</v>
      </c>
      <c r="AF1527" s="4" t="s">
        <v>2382</v>
      </c>
      <c r="AG1527" s="2">
        <f t="shared" si="273"/>
        <v>1</v>
      </c>
      <c r="AH1527" t="s">
        <v>2383</v>
      </c>
      <c r="AI1527" s="2">
        <f t="shared" si="274"/>
        <v>7</v>
      </c>
      <c r="AJ1527" s="2">
        <f t="shared" si="275"/>
        <v>1</v>
      </c>
      <c r="AK1527" s="3">
        <v>53.999999997904517</v>
      </c>
      <c r="AM1527" s="2">
        <v>0</v>
      </c>
      <c r="AN1527">
        <v>0</v>
      </c>
      <c r="AO1527">
        <v>0.1</v>
      </c>
      <c r="AP1527">
        <v>0</v>
      </c>
      <c r="AQ1527" s="2">
        <f>IF((2*G1527 + M1527 -P1527 + 3*W1527 + 2*Z1527+2*AD1527 + AG1527+2*AJ1527 + 4*AM1527) &gt;=8,1,0)</f>
        <v>1</v>
      </c>
    </row>
    <row r="1528" spans="1:43" x14ac:dyDescent="0.25">
      <c r="A1528" t="s">
        <v>27</v>
      </c>
      <c r="B1528" s="1">
        <v>43302</v>
      </c>
      <c r="C1528" s="7">
        <f t="shared" si="267"/>
        <v>2018</v>
      </c>
      <c r="D1528">
        <v>94.9</v>
      </c>
      <c r="E1528">
        <v>72.900000000000006</v>
      </c>
      <c r="F1528">
        <v>83.4</v>
      </c>
      <c r="G1528" s="2">
        <f t="shared" si="266"/>
        <v>1</v>
      </c>
      <c r="H1528">
        <v>94.1</v>
      </c>
      <c r="I1528">
        <v>72.900000000000006</v>
      </c>
      <c r="J1528">
        <v>83.3</v>
      </c>
      <c r="K1528">
        <v>61.3</v>
      </c>
      <c r="L1528">
        <v>49.8</v>
      </c>
      <c r="M1528" s="2">
        <f t="shared" si="268"/>
        <v>0</v>
      </c>
      <c r="N1528">
        <v>0</v>
      </c>
      <c r="P1528" s="2">
        <f t="shared" si="269"/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19.7</v>
      </c>
      <c r="W1528" s="2">
        <f t="shared" si="270"/>
        <v>1</v>
      </c>
      <c r="X1528">
        <v>9.8000000000000007</v>
      </c>
      <c r="Z1528" s="2">
        <f t="shared" si="271"/>
        <v>0</v>
      </c>
      <c r="AA1528">
        <v>17.899999999999999</v>
      </c>
      <c r="AB1528" s="2" t="str">
        <f>CHOOSE(MATCH(AA1528,{0;11;80;111;161;191;241;281;341},1),"North","NorthEast","East","SouthEast","South","SouthWest","West","NorthWest","North")</f>
        <v>NorthEast</v>
      </c>
      <c r="AC1528" s="5">
        <f>CHOOSE(MATCH(AB1528,{"South";"SouthEast";"SouthWest";"North";"NorthEast";"East";"West";"NorthWest"},0),1,2,3,4,5,6,7,8)</f>
        <v>5</v>
      </c>
      <c r="AD1528" s="2">
        <f t="shared" si="272"/>
        <v>1</v>
      </c>
      <c r="AE1528">
        <v>1011.2</v>
      </c>
      <c r="AF1528" s="4" t="s">
        <v>2384</v>
      </c>
      <c r="AG1528" s="2">
        <f t="shared" si="273"/>
        <v>1</v>
      </c>
      <c r="AH1528" t="s">
        <v>2385</v>
      </c>
      <c r="AI1528" s="2">
        <f t="shared" si="274"/>
        <v>7</v>
      </c>
      <c r="AJ1528" s="2">
        <f t="shared" si="275"/>
        <v>1</v>
      </c>
      <c r="AK1528" s="3">
        <v>2816.0000000009309</v>
      </c>
      <c r="AM1528" s="2">
        <v>1</v>
      </c>
      <c r="AN1528">
        <v>500</v>
      </c>
      <c r="AO1528">
        <v>0</v>
      </c>
      <c r="AP1528">
        <v>0</v>
      </c>
      <c r="AQ1528" s="2">
        <f>IF((2*G1528 + M1528 -P1528 + 3*W1528 + 2*Z1528+2*AD1528 + AG1528+2*AJ1528 + 4*AM1528) &gt;=8,1,0)</f>
        <v>1</v>
      </c>
    </row>
    <row r="1529" spans="1:43" x14ac:dyDescent="0.25">
      <c r="A1529" t="s">
        <v>27</v>
      </c>
      <c r="B1529" s="1">
        <v>43304</v>
      </c>
      <c r="C1529" s="7">
        <f t="shared" si="267"/>
        <v>2018</v>
      </c>
      <c r="D1529">
        <v>98.6</v>
      </c>
      <c r="E1529">
        <v>79.7</v>
      </c>
      <c r="F1529">
        <v>88.9</v>
      </c>
      <c r="G1529" s="2">
        <f t="shared" si="266"/>
        <v>1</v>
      </c>
      <c r="H1529">
        <v>95.7</v>
      </c>
      <c r="I1529">
        <v>79.7</v>
      </c>
      <c r="J1529">
        <v>86.7</v>
      </c>
      <c r="K1529">
        <v>51.4</v>
      </c>
      <c r="L1529">
        <v>28.2</v>
      </c>
      <c r="M1529" s="2">
        <f t="shared" si="268"/>
        <v>1</v>
      </c>
      <c r="N1529">
        <v>0</v>
      </c>
      <c r="P1529" s="2">
        <f t="shared" si="269"/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52.1</v>
      </c>
      <c r="W1529" s="2">
        <f t="shared" si="270"/>
        <v>1</v>
      </c>
      <c r="X1529">
        <v>27.6</v>
      </c>
      <c r="Z1529" s="2">
        <f t="shared" si="271"/>
        <v>1</v>
      </c>
      <c r="AA1529">
        <v>278.8</v>
      </c>
      <c r="AB1529" s="2" t="str">
        <f>CHOOSE(MATCH(AA1529,{0;11;80;111;161;191;241;281;341},1),"North","NorthEast","East","SouthEast","South","SouthWest","West","NorthWest","North")</f>
        <v>West</v>
      </c>
      <c r="AC1529" s="5">
        <f>CHOOSE(MATCH(AB1529,{"South";"SouthEast";"SouthWest";"North";"NorthEast";"East";"West";"NorthWest"},0),1,2,3,4,5,6,7,8)</f>
        <v>7</v>
      </c>
      <c r="AD1529" s="2">
        <f t="shared" si="272"/>
        <v>0</v>
      </c>
      <c r="AE1529">
        <v>1005.6</v>
      </c>
      <c r="AF1529" s="4" t="s">
        <v>1266</v>
      </c>
      <c r="AG1529" s="2">
        <f t="shared" si="273"/>
        <v>1</v>
      </c>
      <c r="AH1529" t="s">
        <v>2386</v>
      </c>
      <c r="AI1529" s="2">
        <f t="shared" si="274"/>
        <v>7</v>
      </c>
      <c r="AJ1529" s="2">
        <f t="shared" si="275"/>
        <v>1</v>
      </c>
      <c r="AK1529" s="3">
        <v>10998.00000000629</v>
      </c>
      <c r="AM1529" s="2">
        <v>1</v>
      </c>
      <c r="AN1529">
        <v>0</v>
      </c>
      <c r="AO1529">
        <v>150</v>
      </c>
      <c r="AP1529">
        <v>0</v>
      </c>
      <c r="AQ1529" s="2">
        <f>IF((2*G1529 + M1529 -P1529 + 3*W1529 + 2*Z1529+2*AD1529 + AG1529+2*AJ1529 + 4*AM1529) &gt;=8,1,0)</f>
        <v>1</v>
      </c>
    </row>
    <row r="1530" spans="1:43" x14ac:dyDescent="0.25">
      <c r="A1530" t="s">
        <v>27</v>
      </c>
      <c r="B1530" s="1">
        <v>43304</v>
      </c>
      <c r="C1530" s="7">
        <f t="shared" si="267"/>
        <v>2018</v>
      </c>
      <c r="D1530">
        <v>98.6</v>
      </c>
      <c r="E1530">
        <v>79.7</v>
      </c>
      <c r="F1530">
        <v>88.9</v>
      </c>
      <c r="G1530" s="2">
        <f t="shared" si="266"/>
        <v>1</v>
      </c>
      <c r="H1530">
        <v>95.7</v>
      </c>
      <c r="I1530">
        <v>79.7</v>
      </c>
      <c r="J1530">
        <v>86.7</v>
      </c>
      <c r="K1530">
        <v>51.4</v>
      </c>
      <c r="L1530">
        <v>28.2</v>
      </c>
      <c r="M1530" s="2">
        <f t="shared" si="268"/>
        <v>1</v>
      </c>
      <c r="N1530">
        <v>0</v>
      </c>
      <c r="P1530" s="2">
        <f t="shared" si="269"/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52.1</v>
      </c>
      <c r="W1530" s="2">
        <f t="shared" si="270"/>
        <v>1</v>
      </c>
      <c r="X1530">
        <v>27.6</v>
      </c>
      <c r="Z1530" s="2">
        <f t="shared" si="271"/>
        <v>1</v>
      </c>
      <c r="AA1530">
        <v>278.8</v>
      </c>
      <c r="AB1530" s="2" t="str">
        <f>CHOOSE(MATCH(AA1530,{0;11;80;111;161;191;241;281;341},1),"North","NorthEast","East","SouthEast","South","SouthWest","West","NorthWest","North")</f>
        <v>West</v>
      </c>
      <c r="AC1530" s="5">
        <f>CHOOSE(MATCH(AB1530,{"South";"SouthEast";"SouthWest";"North";"NorthEast";"East";"West";"NorthWest"},0),1,2,3,4,5,6,7,8)</f>
        <v>7</v>
      </c>
      <c r="AD1530" s="2">
        <f t="shared" si="272"/>
        <v>0</v>
      </c>
      <c r="AE1530">
        <v>1005.6</v>
      </c>
      <c r="AF1530" s="4" t="s">
        <v>2031</v>
      </c>
      <c r="AG1530" s="2">
        <f t="shared" si="273"/>
        <v>1</v>
      </c>
      <c r="AH1530" t="s">
        <v>2387</v>
      </c>
      <c r="AI1530" s="2">
        <f t="shared" si="274"/>
        <v>7</v>
      </c>
      <c r="AJ1530" s="2">
        <f t="shared" si="275"/>
        <v>1</v>
      </c>
      <c r="AK1530" s="3">
        <v>70095.000000003492</v>
      </c>
      <c r="AM1530" s="2">
        <v>1</v>
      </c>
      <c r="AN1530">
        <v>0</v>
      </c>
      <c r="AO1530">
        <v>12500</v>
      </c>
      <c r="AP1530">
        <v>0</v>
      </c>
      <c r="AQ1530" s="2">
        <f>IF((2*G1530 + M1530 -P1530 + 3*W1530 + 2*Z1530+2*AD1530 + AG1530+2*AJ1530 + 4*AM1530) &gt;=8,1,0)</f>
        <v>1</v>
      </c>
    </row>
    <row r="1531" spans="1:43" x14ac:dyDescent="0.25">
      <c r="A1531" t="s">
        <v>27</v>
      </c>
      <c r="B1531" s="1">
        <v>43304</v>
      </c>
      <c r="C1531" s="7">
        <f t="shared" si="267"/>
        <v>2018</v>
      </c>
      <c r="D1531">
        <v>98.6</v>
      </c>
      <c r="E1531">
        <v>79.7</v>
      </c>
      <c r="F1531">
        <v>88.9</v>
      </c>
      <c r="G1531" s="2">
        <f t="shared" si="266"/>
        <v>1</v>
      </c>
      <c r="H1531">
        <v>95.7</v>
      </c>
      <c r="I1531">
        <v>79.7</v>
      </c>
      <c r="J1531">
        <v>86.7</v>
      </c>
      <c r="K1531">
        <v>51.4</v>
      </c>
      <c r="L1531">
        <v>28.2</v>
      </c>
      <c r="M1531" s="2">
        <f t="shared" si="268"/>
        <v>1</v>
      </c>
      <c r="N1531">
        <v>0</v>
      </c>
      <c r="P1531" s="2">
        <f t="shared" si="269"/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52.1</v>
      </c>
      <c r="W1531" s="2">
        <f t="shared" si="270"/>
        <v>1</v>
      </c>
      <c r="X1531">
        <v>27.6</v>
      </c>
      <c r="Z1531" s="2">
        <f t="shared" si="271"/>
        <v>1</v>
      </c>
      <c r="AA1531">
        <v>278.8</v>
      </c>
      <c r="AB1531" s="2" t="str">
        <f>CHOOSE(MATCH(AA1531,{0;11;80;111;161;191;241;281;341},1),"North","NorthEast","East","SouthEast","South","SouthWest","West","NorthWest","North")</f>
        <v>West</v>
      </c>
      <c r="AC1531" s="5">
        <f>CHOOSE(MATCH(AB1531,{"South";"SouthEast";"SouthWest";"North";"NorthEast";"East";"West";"NorthWest"},0),1,2,3,4,5,6,7,8)</f>
        <v>7</v>
      </c>
      <c r="AD1531" s="2">
        <f t="shared" si="272"/>
        <v>0</v>
      </c>
      <c r="AE1531">
        <v>1005.6</v>
      </c>
      <c r="AF1531" s="4" t="s">
        <v>1745</v>
      </c>
      <c r="AG1531" s="2">
        <f t="shared" si="273"/>
        <v>0</v>
      </c>
      <c r="AH1531" t="s">
        <v>2388</v>
      </c>
      <c r="AI1531" s="2">
        <f t="shared" si="274"/>
        <v>7</v>
      </c>
      <c r="AJ1531" s="2">
        <f t="shared" si="275"/>
        <v>1</v>
      </c>
      <c r="AK1531" s="3">
        <v>14847.0000000007</v>
      </c>
      <c r="AM1531" s="2">
        <v>1</v>
      </c>
      <c r="AN1531">
        <v>41680</v>
      </c>
      <c r="AO1531">
        <v>0</v>
      </c>
      <c r="AP1531">
        <v>0</v>
      </c>
      <c r="AQ1531" s="2">
        <f>IF((2*G1531 + M1531 -P1531 + 3*W1531 + 2*Z1531+2*AD1531 + AG1531+2*AJ1531 + 4*AM1531) &gt;=8,1,0)</f>
        <v>1</v>
      </c>
    </row>
    <row r="1532" spans="1:43" x14ac:dyDescent="0.25">
      <c r="A1532" t="s">
        <v>27</v>
      </c>
      <c r="B1532" s="1">
        <v>43306</v>
      </c>
      <c r="C1532" s="7">
        <f t="shared" si="267"/>
        <v>2018</v>
      </c>
      <c r="D1532">
        <v>87.7</v>
      </c>
      <c r="E1532">
        <v>71</v>
      </c>
      <c r="F1532">
        <v>79.599999999999994</v>
      </c>
      <c r="G1532" s="2">
        <f t="shared" si="266"/>
        <v>1</v>
      </c>
      <c r="H1532">
        <v>87.7</v>
      </c>
      <c r="I1532">
        <v>71</v>
      </c>
      <c r="J1532">
        <v>80.2</v>
      </c>
      <c r="K1532">
        <v>63.3</v>
      </c>
      <c r="L1532">
        <v>58.6</v>
      </c>
      <c r="M1532" s="2">
        <f t="shared" si="268"/>
        <v>0</v>
      </c>
      <c r="N1532">
        <v>4.7E-2</v>
      </c>
      <c r="P1532" s="2">
        <f t="shared" si="269"/>
        <v>0</v>
      </c>
      <c r="Q1532">
        <v>100</v>
      </c>
      <c r="R1532">
        <v>8.33</v>
      </c>
      <c r="S1532" t="s">
        <v>87</v>
      </c>
      <c r="T1532">
        <v>0</v>
      </c>
      <c r="U1532">
        <v>0</v>
      </c>
      <c r="V1532">
        <v>17.399999999999999</v>
      </c>
      <c r="W1532" s="2">
        <f t="shared" si="270"/>
        <v>1</v>
      </c>
      <c r="X1532">
        <v>11.9</v>
      </c>
      <c r="Z1532" s="2">
        <f t="shared" si="271"/>
        <v>0</v>
      </c>
      <c r="AA1532">
        <v>223.9</v>
      </c>
      <c r="AB1532" s="2" t="str">
        <f>CHOOSE(MATCH(AA1532,{0;11;80;111;161;191;241;281;341},1),"North","NorthEast","East","SouthEast","South","SouthWest","West","NorthWest","North")</f>
        <v>SouthWest</v>
      </c>
      <c r="AC1532" s="5">
        <f>CHOOSE(MATCH(AB1532,{"South";"SouthEast";"SouthWest";"North";"NorthEast";"East";"West";"NorthWest"},0),1,2,3,4,5,6,7,8)</f>
        <v>3</v>
      </c>
      <c r="AD1532" s="2">
        <f t="shared" si="272"/>
        <v>1</v>
      </c>
      <c r="AE1532">
        <v>1005.3</v>
      </c>
      <c r="AF1532" s="4" t="s">
        <v>1105</v>
      </c>
      <c r="AG1532" s="2">
        <f t="shared" si="273"/>
        <v>1</v>
      </c>
      <c r="AH1532" t="s">
        <v>2389</v>
      </c>
      <c r="AI1532" s="2">
        <f t="shared" si="274"/>
        <v>7</v>
      </c>
      <c r="AJ1532" s="2">
        <f t="shared" si="275"/>
        <v>1</v>
      </c>
      <c r="AK1532" s="3">
        <v>265.00000000465661</v>
      </c>
      <c r="AM1532" s="2">
        <v>0</v>
      </c>
      <c r="AN1532">
        <v>0.5</v>
      </c>
      <c r="AO1532">
        <v>0</v>
      </c>
      <c r="AP1532">
        <v>0</v>
      </c>
      <c r="AQ1532" s="2">
        <f>IF((2*G1532 + M1532 -P1532 + 3*W1532 + 2*Z1532+2*AD1532 + AG1532+2*AJ1532 + 4*AM1532) &gt;=8,1,0)</f>
        <v>1</v>
      </c>
    </row>
    <row r="1533" spans="1:43" x14ac:dyDescent="0.25">
      <c r="A1533" t="s">
        <v>27</v>
      </c>
      <c r="B1533" s="1">
        <v>43307</v>
      </c>
      <c r="C1533" s="7">
        <f t="shared" si="267"/>
        <v>2018</v>
      </c>
      <c r="D1533">
        <v>87.7</v>
      </c>
      <c r="E1533">
        <v>72.3</v>
      </c>
      <c r="F1533">
        <v>78</v>
      </c>
      <c r="G1533" s="2">
        <f t="shared" si="266"/>
        <v>1</v>
      </c>
      <c r="H1533">
        <v>87.9</v>
      </c>
      <c r="I1533">
        <v>72.3</v>
      </c>
      <c r="J1533">
        <v>78.3</v>
      </c>
      <c r="K1533">
        <v>64.400000000000006</v>
      </c>
      <c r="L1533">
        <v>63.8</v>
      </c>
      <c r="M1533" s="2">
        <f t="shared" si="268"/>
        <v>0</v>
      </c>
      <c r="N1533">
        <v>0.186</v>
      </c>
      <c r="P1533" s="2">
        <f t="shared" si="269"/>
        <v>0</v>
      </c>
      <c r="Q1533">
        <v>100</v>
      </c>
      <c r="R1533">
        <v>4.17</v>
      </c>
      <c r="S1533" t="s">
        <v>87</v>
      </c>
      <c r="T1533">
        <v>0</v>
      </c>
      <c r="U1533">
        <v>0</v>
      </c>
      <c r="V1533">
        <v>28.9</v>
      </c>
      <c r="W1533" s="2">
        <f t="shared" si="270"/>
        <v>1</v>
      </c>
      <c r="X1533">
        <v>10.8</v>
      </c>
      <c r="Z1533" s="2">
        <f t="shared" si="271"/>
        <v>0</v>
      </c>
      <c r="AA1533">
        <v>320.7</v>
      </c>
      <c r="AB1533" s="2" t="str">
        <f>CHOOSE(MATCH(AA1533,{0;11;80;111;161;191;241;281;341},1),"North","NorthEast","East","SouthEast","South","SouthWest","West","NorthWest","North")</f>
        <v>NorthWest</v>
      </c>
      <c r="AC1533" s="5">
        <f>CHOOSE(MATCH(AB1533,{"South";"SouthEast";"SouthWest";"North";"NorthEast";"East";"West";"NorthWest"},0),1,2,3,4,5,6,7,8)</f>
        <v>8</v>
      </c>
      <c r="AD1533" s="2">
        <f t="shared" si="272"/>
        <v>1</v>
      </c>
      <c r="AE1533">
        <v>1007.6</v>
      </c>
      <c r="AF1533" s="4" t="s">
        <v>1920</v>
      </c>
      <c r="AG1533" s="2">
        <f t="shared" si="273"/>
        <v>1</v>
      </c>
      <c r="AH1533" t="s">
        <v>2390</v>
      </c>
      <c r="AI1533" s="2">
        <f t="shared" si="274"/>
        <v>7</v>
      </c>
      <c r="AJ1533" s="2">
        <f t="shared" si="275"/>
        <v>1</v>
      </c>
      <c r="AK1533" s="3">
        <v>11.00000000442378</v>
      </c>
      <c r="AM1533" s="2">
        <v>0</v>
      </c>
      <c r="AN1533">
        <v>0.1</v>
      </c>
      <c r="AO1533">
        <v>0</v>
      </c>
      <c r="AP1533">
        <v>0</v>
      </c>
      <c r="AQ1533" s="2">
        <f>IF((2*G1533 + M1533 -P1533 + 3*W1533 + 2*Z1533+2*AD1533 + AG1533+2*AJ1533 + 4*AM1533) &gt;=8,1,0)</f>
        <v>1</v>
      </c>
    </row>
    <row r="1534" spans="1:43" x14ac:dyDescent="0.25">
      <c r="A1534" t="s">
        <v>27</v>
      </c>
      <c r="B1534" s="1">
        <v>43307</v>
      </c>
      <c r="C1534" s="7">
        <f t="shared" si="267"/>
        <v>2018</v>
      </c>
      <c r="D1534">
        <v>87.7</v>
      </c>
      <c r="E1534">
        <v>72.3</v>
      </c>
      <c r="F1534">
        <v>78</v>
      </c>
      <c r="G1534" s="2">
        <f t="shared" si="266"/>
        <v>1</v>
      </c>
      <c r="H1534">
        <v>87.9</v>
      </c>
      <c r="I1534">
        <v>72.3</v>
      </c>
      <c r="J1534">
        <v>78.3</v>
      </c>
      <c r="K1534">
        <v>64.400000000000006</v>
      </c>
      <c r="L1534">
        <v>63.8</v>
      </c>
      <c r="M1534" s="2">
        <f t="shared" si="268"/>
        <v>0</v>
      </c>
      <c r="N1534">
        <v>0.186</v>
      </c>
      <c r="P1534" s="2">
        <f t="shared" si="269"/>
        <v>0</v>
      </c>
      <c r="Q1534">
        <v>100</v>
      </c>
      <c r="R1534">
        <v>4.17</v>
      </c>
      <c r="S1534" t="s">
        <v>87</v>
      </c>
      <c r="T1534">
        <v>0</v>
      </c>
      <c r="U1534">
        <v>0</v>
      </c>
      <c r="V1534">
        <v>28.9</v>
      </c>
      <c r="W1534" s="2">
        <f t="shared" si="270"/>
        <v>1</v>
      </c>
      <c r="X1534">
        <v>10.8</v>
      </c>
      <c r="Z1534" s="2">
        <f t="shared" si="271"/>
        <v>0</v>
      </c>
      <c r="AA1534">
        <v>320.7</v>
      </c>
      <c r="AB1534" s="2" t="str">
        <f>CHOOSE(MATCH(AA1534,{0;11;80;111;161;191;241;281;341},1),"North","NorthEast","East","SouthEast","South","SouthWest","West","NorthWest","North")</f>
        <v>NorthWest</v>
      </c>
      <c r="AC1534" s="5">
        <f>CHOOSE(MATCH(AB1534,{"South";"SouthEast";"SouthWest";"North";"NorthEast";"East";"West";"NorthWest"},0),1,2,3,4,5,6,7,8)</f>
        <v>8</v>
      </c>
      <c r="AD1534" s="2">
        <f t="shared" si="272"/>
        <v>1</v>
      </c>
      <c r="AE1534">
        <v>1007.6</v>
      </c>
      <c r="AF1534" s="4" t="s">
        <v>1982</v>
      </c>
      <c r="AG1534" s="2">
        <f t="shared" si="273"/>
        <v>1</v>
      </c>
      <c r="AH1534" t="s">
        <v>2391</v>
      </c>
      <c r="AI1534" s="2">
        <f t="shared" si="274"/>
        <v>7</v>
      </c>
      <c r="AJ1534" s="2">
        <f t="shared" si="275"/>
        <v>1</v>
      </c>
      <c r="AK1534" s="3">
        <v>955.00000000116415</v>
      </c>
      <c r="AM1534" s="2">
        <v>1</v>
      </c>
      <c r="AN1534">
        <v>30</v>
      </c>
      <c r="AO1534">
        <v>0</v>
      </c>
      <c r="AP1534">
        <v>0</v>
      </c>
      <c r="AQ1534" s="2">
        <f>IF((2*G1534 + M1534 -P1534 + 3*W1534 + 2*Z1534+2*AD1534 + AG1534+2*AJ1534 + 4*AM1534) &gt;=8,1,0)</f>
        <v>1</v>
      </c>
    </row>
    <row r="1535" spans="1:43" x14ac:dyDescent="0.25">
      <c r="A1535" t="s">
        <v>27</v>
      </c>
      <c r="B1535" s="1">
        <v>43307</v>
      </c>
      <c r="C1535" s="7">
        <f t="shared" si="267"/>
        <v>2018</v>
      </c>
      <c r="D1535">
        <v>87.7</v>
      </c>
      <c r="E1535">
        <v>72.3</v>
      </c>
      <c r="F1535">
        <v>78</v>
      </c>
      <c r="G1535" s="2">
        <f t="shared" ref="G1535:G1597" si="276">IF(F1535&lt;=73.6,0,1)</f>
        <v>1</v>
      </c>
      <c r="H1535">
        <v>87.9</v>
      </c>
      <c r="I1535">
        <v>72.3</v>
      </c>
      <c r="J1535">
        <v>78.3</v>
      </c>
      <c r="K1535">
        <v>64.400000000000006</v>
      </c>
      <c r="L1535">
        <v>63.8</v>
      </c>
      <c r="M1535" s="2">
        <f t="shared" si="268"/>
        <v>0</v>
      </c>
      <c r="N1535">
        <v>0.186</v>
      </c>
      <c r="P1535" s="2">
        <f t="shared" si="269"/>
        <v>0</v>
      </c>
      <c r="Q1535">
        <v>100</v>
      </c>
      <c r="R1535">
        <v>4.17</v>
      </c>
      <c r="S1535" t="s">
        <v>87</v>
      </c>
      <c r="T1535">
        <v>0</v>
      </c>
      <c r="U1535">
        <v>0</v>
      </c>
      <c r="V1535">
        <v>28.9</v>
      </c>
      <c r="W1535" s="2">
        <f t="shared" si="270"/>
        <v>1</v>
      </c>
      <c r="X1535">
        <v>10.8</v>
      </c>
      <c r="Z1535" s="2">
        <f t="shared" si="271"/>
        <v>0</v>
      </c>
      <c r="AA1535">
        <v>320.7</v>
      </c>
      <c r="AB1535" s="2" t="str">
        <f>CHOOSE(MATCH(AA1535,{0;11;80;111;161;191;241;281;341},1),"North","NorthEast","East","SouthEast","South","SouthWest","West","NorthWest","North")</f>
        <v>NorthWest</v>
      </c>
      <c r="AC1535" s="5">
        <f>CHOOSE(MATCH(AB1535,{"South";"SouthEast";"SouthWest";"North";"NorthEast";"East";"West";"NorthWest"},0),1,2,3,4,5,6,7,8)</f>
        <v>8</v>
      </c>
      <c r="AD1535" s="2">
        <f t="shared" si="272"/>
        <v>1</v>
      </c>
      <c r="AE1535">
        <v>1007.6</v>
      </c>
      <c r="AF1535" s="4" t="s">
        <v>1726</v>
      </c>
      <c r="AG1535" s="2">
        <f t="shared" si="273"/>
        <v>1</v>
      </c>
      <c r="AH1535" t="s">
        <v>2392</v>
      </c>
      <c r="AI1535" s="2">
        <f t="shared" si="274"/>
        <v>7</v>
      </c>
      <c r="AJ1535" s="2">
        <f t="shared" si="275"/>
        <v>1</v>
      </c>
      <c r="AK1535" s="3">
        <v>38.000000008614727</v>
      </c>
      <c r="AM1535" s="2">
        <v>0</v>
      </c>
      <c r="AN1535">
        <v>0</v>
      </c>
      <c r="AO1535">
        <v>0.1</v>
      </c>
      <c r="AP1535">
        <v>0</v>
      </c>
      <c r="AQ1535" s="2">
        <f>IF((2*G1535 + M1535 -P1535 + 3*W1535 + 2*Z1535+2*AD1535 + AG1535+2*AJ1535 + 4*AM1535) &gt;=8,1,0)</f>
        <v>1</v>
      </c>
    </row>
    <row r="1536" spans="1:43" x14ac:dyDescent="0.25">
      <c r="A1536" t="s">
        <v>27</v>
      </c>
      <c r="B1536" s="1">
        <v>43308</v>
      </c>
      <c r="C1536" s="7">
        <f t="shared" si="267"/>
        <v>2018</v>
      </c>
      <c r="D1536">
        <v>85.9</v>
      </c>
      <c r="E1536">
        <v>67.900000000000006</v>
      </c>
      <c r="F1536">
        <v>77.900000000000006</v>
      </c>
      <c r="G1536" s="2">
        <f t="shared" si="276"/>
        <v>1</v>
      </c>
      <c r="H1536">
        <v>87.8</v>
      </c>
      <c r="I1536">
        <v>67.900000000000006</v>
      </c>
      <c r="J1536">
        <v>78.599999999999994</v>
      </c>
      <c r="K1536">
        <v>63.9</v>
      </c>
      <c r="L1536">
        <v>63.6</v>
      </c>
      <c r="M1536" s="2">
        <f t="shared" si="268"/>
        <v>0</v>
      </c>
      <c r="N1536">
        <v>0</v>
      </c>
      <c r="P1536" s="2">
        <f t="shared" si="269"/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17.399999999999999</v>
      </c>
      <c r="W1536" s="2">
        <f t="shared" si="270"/>
        <v>1</v>
      </c>
      <c r="X1536">
        <v>10.5</v>
      </c>
      <c r="Z1536" s="2">
        <f t="shared" si="271"/>
        <v>0</v>
      </c>
      <c r="AA1536">
        <v>224.5</v>
      </c>
      <c r="AB1536" s="2" t="str">
        <f>CHOOSE(MATCH(AA1536,{0;11;80;111;161;191;241;281;341},1),"North","NorthEast","East","SouthEast","South","SouthWest","West","NorthWest","North")</f>
        <v>SouthWest</v>
      </c>
      <c r="AC1536" s="5">
        <f>CHOOSE(MATCH(AB1536,{"South";"SouthEast";"SouthWest";"North";"NorthEast";"East";"West";"NorthWest"},0),1,2,3,4,5,6,7,8)</f>
        <v>3</v>
      </c>
      <c r="AD1536" s="2">
        <f t="shared" si="272"/>
        <v>1</v>
      </c>
      <c r="AE1536">
        <v>1010.3</v>
      </c>
      <c r="AF1536" s="4" t="s">
        <v>2393</v>
      </c>
      <c r="AG1536" s="2">
        <f t="shared" si="273"/>
        <v>1</v>
      </c>
      <c r="AH1536" t="s">
        <v>2394</v>
      </c>
      <c r="AI1536" s="2">
        <f t="shared" si="274"/>
        <v>7</v>
      </c>
      <c r="AJ1536" s="2">
        <f t="shared" si="275"/>
        <v>1</v>
      </c>
      <c r="AK1536" s="3">
        <v>146.999999997206</v>
      </c>
      <c r="AM1536" s="2">
        <v>0</v>
      </c>
      <c r="AN1536">
        <v>0</v>
      </c>
      <c r="AO1536">
        <v>1.5</v>
      </c>
      <c r="AP1536">
        <v>0</v>
      </c>
      <c r="AQ1536" s="2">
        <f>IF((2*G1536 + M1536 -P1536 + 3*W1536 + 2*Z1536+2*AD1536 + AG1536+2*AJ1536 + 4*AM1536) &gt;=8,1,0)</f>
        <v>1</v>
      </c>
    </row>
    <row r="1537" spans="1:43" x14ac:dyDescent="0.25">
      <c r="A1537" t="s">
        <v>27</v>
      </c>
      <c r="B1537" s="1">
        <v>43309</v>
      </c>
      <c r="C1537" s="7">
        <f t="shared" si="267"/>
        <v>2018</v>
      </c>
      <c r="D1537">
        <v>87.7</v>
      </c>
      <c r="E1537">
        <v>71.599999999999994</v>
      </c>
      <c r="F1537">
        <v>79.5</v>
      </c>
      <c r="G1537" s="2">
        <f t="shared" si="276"/>
        <v>1</v>
      </c>
      <c r="H1537">
        <v>89.6</v>
      </c>
      <c r="I1537">
        <v>71.599999999999994</v>
      </c>
      <c r="J1537">
        <v>80.8</v>
      </c>
      <c r="K1537">
        <v>67</v>
      </c>
      <c r="L1537">
        <v>66.400000000000006</v>
      </c>
      <c r="M1537" s="2">
        <f t="shared" si="268"/>
        <v>0</v>
      </c>
      <c r="N1537">
        <v>4.2999999999999997E-2</v>
      </c>
      <c r="P1537" s="2">
        <f t="shared" si="269"/>
        <v>0</v>
      </c>
      <c r="Q1537">
        <v>100</v>
      </c>
      <c r="R1537">
        <v>8.33</v>
      </c>
      <c r="S1537" t="s">
        <v>87</v>
      </c>
      <c r="T1537">
        <v>0</v>
      </c>
      <c r="U1537">
        <v>0</v>
      </c>
      <c r="V1537">
        <v>16.899999999999999</v>
      </c>
      <c r="W1537" s="2">
        <f t="shared" si="270"/>
        <v>1</v>
      </c>
      <c r="X1537">
        <v>12.4</v>
      </c>
      <c r="Z1537" s="2">
        <f t="shared" si="271"/>
        <v>0</v>
      </c>
      <c r="AA1537">
        <v>188.8</v>
      </c>
      <c r="AB1537" s="2" t="str">
        <f>CHOOSE(MATCH(AA1537,{0;11;80;111;161;191;241;281;341},1),"North","NorthEast","East","SouthEast","South","SouthWest","West","NorthWest","North")</f>
        <v>South</v>
      </c>
      <c r="AC1537" s="5">
        <f>CHOOSE(MATCH(AB1537,{"South";"SouthEast";"SouthWest";"North";"NorthEast";"East";"West";"NorthWest"},0),1,2,3,4,5,6,7,8)</f>
        <v>1</v>
      </c>
      <c r="AD1537" s="2">
        <f t="shared" si="272"/>
        <v>0</v>
      </c>
      <c r="AE1537">
        <v>1009.1</v>
      </c>
      <c r="AF1537" s="4" t="s">
        <v>2185</v>
      </c>
      <c r="AG1537" s="2">
        <f t="shared" si="273"/>
        <v>1</v>
      </c>
      <c r="AH1537" t="s">
        <v>2395</v>
      </c>
      <c r="AI1537" s="2">
        <f t="shared" si="274"/>
        <v>7</v>
      </c>
      <c r="AJ1537" s="2">
        <f t="shared" si="275"/>
        <v>1</v>
      </c>
      <c r="AK1537" s="3">
        <v>2279.9999999930151</v>
      </c>
      <c r="AM1537" s="2">
        <v>1</v>
      </c>
      <c r="AN1537">
        <v>0</v>
      </c>
      <c r="AO1537">
        <v>0.5</v>
      </c>
      <c r="AP1537">
        <v>0</v>
      </c>
      <c r="AQ1537" s="2">
        <f>IF((2*G1537 + M1537 -P1537 + 3*W1537 + 2*Z1537+2*AD1537 + AG1537+2*AJ1537 + 4*AM1537) &gt;=8,1,0)</f>
        <v>1</v>
      </c>
    </row>
    <row r="1538" spans="1:43" x14ac:dyDescent="0.25">
      <c r="A1538" t="s">
        <v>27</v>
      </c>
      <c r="B1538" s="1">
        <v>43324</v>
      </c>
      <c r="C1538" s="7">
        <f t="shared" si="267"/>
        <v>2018</v>
      </c>
      <c r="D1538">
        <v>85.9</v>
      </c>
      <c r="E1538">
        <v>72.3</v>
      </c>
      <c r="F1538">
        <v>79.400000000000006</v>
      </c>
      <c r="G1538" s="2">
        <f t="shared" si="276"/>
        <v>1</v>
      </c>
      <c r="H1538">
        <v>84.1</v>
      </c>
      <c r="I1538">
        <v>72.3</v>
      </c>
      <c r="J1538">
        <v>78.900000000000006</v>
      </c>
      <c r="K1538">
        <v>55.4</v>
      </c>
      <c r="L1538">
        <v>44.9</v>
      </c>
      <c r="M1538" s="2">
        <f t="shared" si="268"/>
        <v>1</v>
      </c>
      <c r="N1538">
        <v>0</v>
      </c>
      <c r="P1538" s="2">
        <f t="shared" si="269"/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35.5</v>
      </c>
      <c r="W1538" s="2">
        <f t="shared" si="270"/>
        <v>1</v>
      </c>
      <c r="X1538">
        <v>19.899999999999999</v>
      </c>
      <c r="Z1538" s="2">
        <f t="shared" si="271"/>
        <v>1</v>
      </c>
      <c r="AA1538">
        <v>4.5999999999999996</v>
      </c>
      <c r="AB1538" s="2" t="str">
        <f>CHOOSE(MATCH(AA1538,{0;11;80;111;161;191;241;281;341},1),"North","NorthEast","East","SouthEast","South","SouthWest","West","NorthWest","North")</f>
        <v>North</v>
      </c>
      <c r="AC1538" s="5">
        <f>CHOOSE(MATCH(AB1538,{"South";"SouthEast";"SouthWest";"North";"NorthEast";"East";"West";"NorthWest"},0),1,2,3,4,5,6,7,8)</f>
        <v>4</v>
      </c>
      <c r="AD1538" s="2">
        <f t="shared" si="272"/>
        <v>1</v>
      </c>
      <c r="AE1538">
        <v>1015.2</v>
      </c>
      <c r="AF1538" s="4" t="s">
        <v>1995</v>
      </c>
      <c r="AG1538" s="2">
        <f t="shared" si="273"/>
        <v>1</v>
      </c>
      <c r="AH1538" t="s">
        <v>2396</v>
      </c>
      <c r="AI1538" s="2">
        <f t="shared" si="274"/>
        <v>8</v>
      </c>
      <c r="AJ1538" s="2">
        <f t="shared" si="275"/>
        <v>1</v>
      </c>
      <c r="AK1538" s="3">
        <v>686.00000000442378</v>
      </c>
      <c r="AM1538" s="2">
        <v>1</v>
      </c>
      <c r="AN1538">
        <v>0</v>
      </c>
      <c r="AO1538">
        <v>0.01</v>
      </c>
      <c r="AP1538">
        <v>0</v>
      </c>
      <c r="AQ1538" s="2">
        <f>IF((2*G1538 + M1538 -P1538 + 3*W1538 + 2*Z1538+2*AD1538 + AG1538+2*AJ1538 + 4*AM1538) &gt;=8,1,0)</f>
        <v>1</v>
      </c>
    </row>
    <row r="1539" spans="1:43" x14ac:dyDescent="0.25">
      <c r="A1539" t="s">
        <v>27</v>
      </c>
      <c r="B1539" s="1">
        <v>43324</v>
      </c>
      <c r="C1539" s="7">
        <f t="shared" si="267"/>
        <v>2018</v>
      </c>
      <c r="D1539">
        <v>85.9</v>
      </c>
      <c r="E1539">
        <v>72.3</v>
      </c>
      <c r="F1539">
        <v>79.400000000000006</v>
      </c>
      <c r="G1539" s="2">
        <f t="shared" si="276"/>
        <v>1</v>
      </c>
      <c r="H1539">
        <v>84.1</v>
      </c>
      <c r="I1539">
        <v>72.3</v>
      </c>
      <c r="J1539">
        <v>78.900000000000006</v>
      </c>
      <c r="K1539">
        <v>55.4</v>
      </c>
      <c r="L1539">
        <v>44.9</v>
      </c>
      <c r="M1539" s="2">
        <f t="shared" si="268"/>
        <v>1</v>
      </c>
      <c r="N1539">
        <v>0</v>
      </c>
      <c r="P1539" s="2">
        <f t="shared" si="269"/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35.5</v>
      </c>
      <c r="W1539" s="2">
        <f t="shared" si="270"/>
        <v>1</v>
      </c>
      <c r="X1539">
        <v>19.899999999999999</v>
      </c>
      <c r="Z1539" s="2">
        <f t="shared" si="271"/>
        <v>1</v>
      </c>
      <c r="AA1539">
        <v>4.5999999999999996</v>
      </c>
      <c r="AB1539" s="2" t="str">
        <f>CHOOSE(MATCH(AA1539,{0;11;80;111;161;191;241;281;341},1),"North","NorthEast","East","SouthEast","South","SouthWest","West","NorthWest","North")</f>
        <v>North</v>
      </c>
      <c r="AC1539" s="5">
        <f>CHOOSE(MATCH(AB1539,{"South";"SouthEast";"SouthWest";"North";"NorthEast";"East";"West";"NorthWest"},0),1,2,3,4,5,6,7,8)</f>
        <v>4</v>
      </c>
      <c r="AD1539" s="2">
        <f t="shared" si="272"/>
        <v>1</v>
      </c>
      <c r="AE1539">
        <v>1015.2</v>
      </c>
      <c r="AF1539" s="4" t="s">
        <v>1173</v>
      </c>
      <c r="AG1539" s="2">
        <f t="shared" si="273"/>
        <v>1</v>
      </c>
      <c r="AH1539" t="s">
        <v>2397</v>
      </c>
      <c r="AI1539" s="2">
        <f t="shared" si="274"/>
        <v>8</v>
      </c>
      <c r="AJ1539" s="2">
        <f t="shared" si="275"/>
        <v>1</v>
      </c>
      <c r="AK1539" s="3">
        <v>49.999999995343387</v>
      </c>
      <c r="AM1539" s="2">
        <v>0</v>
      </c>
      <c r="AN1539">
        <v>0</v>
      </c>
      <c r="AO1539">
        <v>1</v>
      </c>
      <c r="AP1539">
        <v>0</v>
      </c>
      <c r="AQ1539" s="2">
        <f>IF((2*G1539 + M1539 -P1539 + 3*W1539 + 2*Z1539+2*AD1539 + AG1539+2*AJ1539 + 4*AM1539) &gt;=8,1,0)</f>
        <v>1</v>
      </c>
    </row>
    <row r="1540" spans="1:43" x14ac:dyDescent="0.25">
      <c r="A1540" t="s">
        <v>27</v>
      </c>
      <c r="B1540" s="1">
        <v>43324</v>
      </c>
      <c r="C1540" s="7">
        <f t="shared" si="267"/>
        <v>2018</v>
      </c>
      <c r="D1540">
        <v>85.9</v>
      </c>
      <c r="E1540">
        <v>72.3</v>
      </c>
      <c r="F1540">
        <v>79.400000000000006</v>
      </c>
      <c r="G1540" s="2">
        <f t="shared" si="276"/>
        <v>1</v>
      </c>
      <c r="H1540">
        <v>84.1</v>
      </c>
      <c r="I1540">
        <v>72.3</v>
      </c>
      <c r="J1540">
        <v>78.900000000000006</v>
      </c>
      <c r="K1540">
        <v>55.4</v>
      </c>
      <c r="L1540">
        <v>44.9</v>
      </c>
      <c r="M1540" s="2">
        <f t="shared" si="268"/>
        <v>1</v>
      </c>
      <c r="N1540">
        <v>0</v>
      </c>
      <c r="P1540" s="2">
        <f t="shared" si="269"/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35.5</v>
      </c>
      <c r="W1540" s="2">
        <f t="shared" si="270"/>
        <v>1</v>
      </c>
      <c r="X1540">
        <v>19.899999999999999</v>
      </c>
      <c r="Z1540" s="2">
        <f t="shared" si="271"/>
        <v>1</v>
      </c>
      <c r="AA1540">
        <v>4.5999999999999996</v>
      </c>
      <c r="AB1540" s="2" t="str">
        <f>CHOOSE(MATCH(AA1540,{0;11;80;111;161;191;241;281;341},1),"North","NorthEast","East","SouthEast","South","SouthWest","West","NorthWest","North")</f>
        <v>North</v>
      </c>
      <c r="AC1540" s="5">
        <f>CHOOSE(MATCH(AB1540,{"South";"SouthEast";"SouthWest";"North";"NorthEast";"East";"West";"NorthWest"},0),1,2,3,4,5,6,7,8)</f>
        <v>4</v>
      </c>
      <c r="AD1540" s="2">
        <f t="shared" si="272"/>
        <v>1</v>
      </c>
      <c r="AE1540">
        <v>1015.2</v>
      </c>
      <c r="AF1540" s="4" t="s">
        <v>1044</v>
      </c>
      <c r="AG1540" s="2">
        <f t="shared" si="273"/>
        <v>1</v>
      </c>
      <c r="AH1540" t="s">
        <v>2398</v>
      </c>
      <c r="AI1540" s="2">
        <f t="shared" si="274"/>
        <v>8</v>
      </c>
      <c r="AJ1540" s="2">
        <f t="shared" si="275"/>
        <v>1</v>
      </c>
      <c r="AK1540" s="3">
        <v>416.99999999720598</v>
      </c>
      <c r="AM1540" s="2">
        <v>1</v>
      </c>
      <c r="AN1540">
        <v>10</v>
      </c>
      <c r="AO1540">
        <v>0</v>
      </c>
      <c r="AP1540">
        <v>0</v>
      </c>
      <c r="AQ1540" s="2">
        <f>IF((2*G1540 + M1540 -P1540 + 3*W1540 + 2*Z1540+2*AD1540 + AG1540+2*AJ1540 + 4*AM1540) &gt;=8,1,0)</f>
        <v>1</v>
      </c>
    </row>
    <row r="1541" spans="1:43" x14ac:dyDescent="0.25">
      <c r="A1541" t="s">
        <v>27</v>
      </c>
      <c r="B1541" s="1">
        <v>43326</v>
      </c>
      <c r="C1541" s="7">
        <f t="shared" si="267"/>
        <v>2018</v>
      </c>
      <c r="D1541">
        <v>90.4</v>
      </c>
      <c r="E1541">
        <v>72.099999999999994</v>
      </c>
      <c r="F1541">
        <v>80.8</v>
      </c>
      <c r="G1541" s="2">
        <f t="shared" si="276"/>
        <v>1</v>
      </c>
      <c r="H1541">
        <v>88.5</v>
      </c>
      <c r="I1541">
        <v>72.099999999999994</v>
      </c>
      <c r="J1541">
        <v>80.2</v>
      </c>
      <c r="K1541">
        <v>54.6</v>
      </c>
      <c r="L1541">
        <v>41.4</v>
      </c>
      <c r="M1541" s="2">
        <f t="shared" si="268"/>
        <v>1</v>
      </c>
      <c r="N1541">
        <v>0</v>
      </c>
      <c r="P1541" s="2">
        <f t="shared" si="269"/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26.4</v>
      </c>
      <c r="W1541" s="2">
        <f t="shared" si="270"/>
        <v>1</v>
      </c>
      <c r="X1541">
        <v>17.5</v>
      </c>
      <c r="Z1541" s="2">
        <f t="shared" si="271"/>
        <v>1</v>
      </c>
      <c r="AA1541">
        <v>1.7</v>
      </c>
      <c r="AB1541" s="2" t="str">
        <f>CHOOSE(MATCH(AA1541,{0;11;80;111;161;191;241;281;341},1),"North","NorthEast","East","SouthEast","South","SouthWest","West","NorthWest","North")</f>
        <v>North</v>
      </c>
      <c r="AC1541" s="5">
        <f>CHOOSE(MATCH(AB1541,{"South";"SouthEast";"SouthWest";"North";"NorthEast";"East";"West";"NorthWest"},0),1,2,3,4,5,6,7,8)</f>
        <v>4</v>
      </c>
      <c r="AD1541" s="2">
        <f t="shared" si="272"/>
        <v>1</v>
      </c>
      <c r="AE1541">
        <v>1011.3</v>
      </c>
      <c r="AF1541" s="4" t="s">
        <v>1819</v>
      </c>
      <c r="AG1541" s="2">
        <f t="shared" si="273"/>
        <v>1</v>
      </c>
      <c r="AH1541" t="s">
        <v>2399</v>
      </c>
      <c r="AI1541" s="2">
        <f t="shared" si="274"/>
        <v>8</v>
      </c>
      <c r="AJ1541" s="2">
        <f t="shared" si="275"/>
        <v>1</v>
      </c>
      <c r="AK1541" s="3">
        <v>200.00000000232831</v>
      </c>
      <c r="AM1541" s="2">
        <v>0</v>
      </c>
      <c r="AN1541">
        <v>0</v>
      </c>
      <c r="AO1541">
        <v>0.2</v>
      </c>
      <c r="AP1541">
        <v>0</v>
      </c>
      <c r="AQ1541" s="2">
        <f>IF((2*G1541 + M1541 -P1541 + 3*W1541 + 2*Z1541+2*AD1541 + AG1541+2*AJ1541 + 4*AM1541) &gt;=8,1,0)</f>
        <v>1</v>
      </c>
    </row>
    <row r="1542" spans="1:43" x14ac:dyDescent="0.25">
      <c r="A1542" t="s">
        <v>27</v>
      </c>
      <c r="B1542" s="1">
        <v>43327</v>
      </c>
      <c r="C1542" s="7">
        <f t="shared" si="267"/>
        <v>2018</v>
      </c>
      <c r="D1542">
        <v>90.4</v>
      </c>
      <c r="E1542">
        <v>71.2</v>
      </c>
      <c r="F1542">
        <v>81.099999999999994</v>
      </c>
      <c r="G1542" s="2">
        <f t="shared" si="276"/>
        <v>1</v>
      </c>
      <c r="H1542">
        <v>89.5</v>
      </c>
      <c r="I1542">
        <v>71.2</v>
      </c>
      <c r="J1542">
        <v>80.5</v>
      </c>
      <c r="K1542">
        <v>55</v>
      </c>
      <c r="L1542">
        <v>41.4</v>
      </c>
      <c r="M1542" s="2">
        <f t="shared" si="268"/>
        <v>1</v>
      </c>
      <c r="N1542">
        <v>0</v>
      </c>
      <c r="P1542" s="2">
        <f t="shared" si="269"/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24.8</v>
      </c>
      <c r="W1542" s="2">
        <f t="shared" si="270"/>
        <v>1</v>
      </c>
      <c r="X1542">
        <v>17</v>
      </c>
      <c r="Z1542" s="2">
        <f t="shared" si="271"/>
        <v>1</v>
      </c>
      <c r="AA1542">
        <v>357.4</v>
      </c>
      <c r="AB1542" s="2" t="str">
        <f>CHOOSE(MATCH(AA1542,{0;11;80;111;161;191;241;281;341},1),"North","NorthEast","East","SouthEast","South","SouthWest","West","NorthWest","North")</f>
        <v>North</v>
      </c>
      <c r="AC1542" s="5">
        <f>CHOOSE(MATCH(AB1542,{"South";"SouthEast";"SouthWest";"North";"NorthEast";"East";"West";"NorthWest"},0),1,2,3,4,5,6,7,8)</f>
        <v>4</v>
      </c>
      <c r="AD1542" s="2">
        <f t="shared" si="272"/>
        <v>1</v>
      </c>
      <c r="AE1542">
        <v>1010.3</v>
      </c>
      <c r="AF1542" s="4" t="s">
        <v>2400</v>
      </c>
      <c r="AG1542" s="2">
        <f t="shared" si="273"/>
        <v>1</v>
      </c>
      <c r="AH1542" t="s">
        <v>2401</v>
      </c>
      <c r="AI1542" s="2">
        <f t="shared" si="274"/>
        <v>8</v>
      </c>
      <c r="AJ1542" s="2">
        <f t="shared" si="275"/>
        <v>1</v>
      </c>
      <c r="AK1542" s="3">
        <v>1646.0000000009311</v>
      </c>
      <c r="AM1542" s="2">
        <v>1</v>
      </c>
      <c r="AN1542">
        <v>0</v>
      </c>
      <c r="AO1542">
        <v>7</v>
      </c>
      <c r="AP1542">
        <v>0</v>
      </c>
      <c r="AQ1542" s="2">
        <f>IF((2*G1542 + M1542 -P1542 + 3*W1542 + 2*Z1542+2*AD1542 + AG1542+2*AJ1542 + 4*AM1542) &gt;=8,1,0)</f>
        <v>1</v>
      </c>
    </row>
    <row r="1543" spans="1:43" x14ac:dyDescent="0.25">
      <c r="A1543" t="s">
        <v>27</v>
      </c>
      <c r="B1543" s="1">
        <v>43335</v>
      </c>
      <c r="C1543" s="7">
        <f t="shared" si="267"/>
        <v>2018</v>
      </c>
      <c r="D1543">
        <v>89.5</v>
      </c>
      <c r="E1543">
        <v>73.8</v>
      </c>
      <c r="F1543">
        <v>81.8</v>
      </c>
      <c r="G1543" s="2">
        <f t="shared" si="276"/>
        <v>1</v>
      </c>
      <c r="H1543">
        <v>87.9</v>
      </c>
      <c r="I1543">
        <v>73.8</v>
      </c>
      <c r="J1543">
        <v>81</v>
      </c>
      <c r="K1543">
        <v>55.7</v>
      </c>
      <c r="L1543">
        <v>41.8</v>
      </c>
      <c r="M1543" s="2">
        <f t="shared" si="268"/>
        <v>1</v>
      </c>
      <c r="N1543">
        <v>0</v>
      </c>
      <c r="P1543" s="2">
        <f t="shared" si="269"/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30</v>
      </c>
      <c r="W1543" s="2">
        <f t="shared" si="270"/>
        <v>1</v>
      </c>
      <c r="X1543">
        <v>19.2</v>
      </c>
      <c r="Z1543" s="2">
        <f t="shared" si="271"/>
        <v>1</v>
      </c>
      <c r="AA1543">
        <v>10.9</v>
      </c>
      <c r="AB1543" s="2" t="str">
        <f>CHOOSE(MATCH(AA1543,{0;11;80;111;161;191;241;281;341},1),"North","NorthEast","East","SouthEast","South","SouthWest","West","NorthWest","North")</f>
        <v>North</v>
      </c>
      <c r="AC1543" s="5">
        <f>CHOOSE(MATCH(AB1543,{"South";"SouthEast";"SouthWest";"North";"NorthEast";"East";"West";"NorthWest"},0),1,2,3,4,5,6,7,8)</f>
        <v>4</v>
      </c>
      <c r="AD1543" s="2">
        <f t="shared" si="272"/>
        <v>1</v>
      </c>
      <c r="AE1543">
        <v>1011.5</v>
      </c>
      <c r="AF1543" s="4" t="s">
        <v>2402</v>
      </c>
      <c r="AG1543" s="2">
        <f t="shared" si="273"/>
        <v>1</v>
      </c>
      <c r="AH1543" t="s">
        <v>2403</v>
      </c>
      <c r="AI1543" s="2">
        <f t="shared" si="274"/>
        <v>8</v>
      </c>
      <c r="AJ1543" s="2">
        <f t="shared" si="275"/>
        <v>1</v>
      </c>
      <c r="AK1543" s="3">
        <v>2236.0000000067521</v>
      </c>
      <c r="AM1543" s="2">
        <v>1</v>
      </c>
      <c r="AN1543">
        <v>2.5</v>
      </c>
      <c r="AO1543">
        <v>0</v>
      </c>
      <c r="AP1543">
        <v>0</v>
      </c>
      <c r="AQ1543" s="2">
        <f>IF((2*G1543 + M1543 -P1543 + 3*W1543 + 2*Z1543+2*AD1543 + AG1543+2*AJ1543 + 4*AM1543) &gt;=8,1,0)</f>
        <v>1</v>
      </c>
    </row>
    <row r="1544" spans="1:43" x14ac:dyDescent="0.25">
      <c r="A1544" t="s">
        <v>27</v>
      </c>
      <c r="B1544" s="1">
        <v>43338</v>
      </c>
      <c r="C1544" s="7">
        <f t="shared" si="267"/>
        <v>2018</v>
      </c>
      <c r="D1544">
        <v>89.5</v>
      </c>
      <c r="E1544">
        <v>70.599999999999994</v>
      </c>
      <c r="F1544">
        <v>80</v>
      </c>
      <c r="G1544" s="2">
        <f t="shared" si="276"/>
        <v>1</v>
      </c>
      <c r="H1544">
        <v>92.3</v>
      </c>
      <c r="I1544">
        <v>70.599999999999994</v>
      </c>
      <c r="J1544">
        <v>81.2</v>
      </c>
      <c r="K1544">
        <v>65.099999999999994</v>
      </c>
      <c r="L1544">
        <v>61.4</v>
      </c>
      <c r="M1544" s="2">
        <f t="shared" si="268"/>
        <v>0</v>
      </c>
      <c r="N1544">
        <v>0</v>
      </c>
      <c r="P1544" s="2">
        <f t="shared" si="269"/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18.3</v>
      </c>
      <c r="W1544" s="2">
        <f t="shared" si="270"/>
        <v>1</v>
      </c>
      <c r="X1544">
        <v>11.2</v>
      </c>
      <c r="Z1544" s="2">
        <f t="shared" si="271"/>
        <v>0</v>
      </c>
      <c r="AA1544">
        <v>168.8</v>
      </c>
      <c r="AB1544" s="2" t="str">
        <f>CHOOSE(MATCH(AA1544,{0;11;80;111;161;191;241;281;341},1),"North","NorthEast","East","SouthEast","South","SouthWest","West","NorthWest","North")</f>
        <v>South</v>
      </c>
      <c r="AC1544" s="5">
        <f>CHOOSE(MATCH(AB1544,{"South";"SouthEast";"SouthWest";"North";"NorthEast";"East";"West";"NorthWest"},0),1,2,3,4,5,6,7,8)</f>
        <v>1</v>
      </c>
      <c r="AD1544" s="2">
        <f t="shared" si="272"/>
        <v>0</v>
      </c>
      <c r="AE1544">
        <v>1007.6</v>
      </c>
      <c r="AF1544" s="4" t="s">
        <v>1074</v>
      </c>
      <c r="AG1544" s="2">
        <f t="shared" si="273"/>
        <v>1</v>
      </c>
      <c r="AH1544" t="s">
        <v>2404</v>
      </c>
      <c r="AI1544" s="2">
        <f t="shared" si="274"/>
        <v>8</v>
      </c>
      <c r="AJ1544" s="2">
        <f t="shared" si="275"/>
        <v>1</v>
      </c>
      <c r="AK1544" s="3">
        <v>984.99999999417923</v>
      </c>
      <c r="AM1544" s="2">
        <v>1</v>
      </c>
      <c r="AN1544">
        <v>0</v>
      </c>
      <c r="AO1544">
        <v>0.1</v>
      </c>
      <c r="AP1544">
        <v>0</v>
      </c>
      <c r="AQ1544" s="2">
        <f>IF((2*G1544 + M1544 -P1544 + 3*W1544 + 2*Z1544+2*AD1544 + AG1544+2*AJ1544 + 4*AM1544) &gt;=8,1,0)</f>
        <v>1</v>
      </c>
    </row>
    <row r="1545" spans="1:43" x14ac:dyDescent="0.25">
      <c r="A1545" t="s">
        <v>27</v>
      </c>
      <c r="B1545" s="1">
        <v>43342</v>
      </c>
      <c r="C1545" s="7">
        <f t="shared" si="267"/>
        <v>2018</v>
      </c>
      <c r="D1545">
        <v>89.5</v>
      </c>
      <c r="E1545">
        <v>75.400000000000006</v>
      </c>
      <c r="F1545">
        <v>82.7</v>
      </c>
      <c r="G1545" s="2">
        <f t="shared" si="276"/>
        <v>1</v>
      </c>
      <c r="H1545">
        <v>88</v>
      </c>
      <c r="I1545">
        <v>75.400000000000006</v>
      </c>
      <c r="J1545">
        <v>81.8</v>
      </c>
      <c r="K1545">
        <v>53.9</v>
      </c>
      <c r="L1545">
        <v>37.700000000000003</v>
      </c>
      <c r="M1545" s="2">
        <f t="shared" si="268"/>
        <v>1</v>
      </c>
      <c r="N1545">
        <v>0</v>
      </c>
      <c r="P1545" s="2">
        <f t="shared" si="269"/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33.299999999999997</v>
      </c>
      <c r="W1545" s="2">
        <f t="shared" si="270"/>
        <v>1</v>
      </c>
      <c r="X1545">
        <v>16</v>
      </c>
      <c r="Z1545" s="2">
        <f t="shared" si="271"/>
        <v>1</v>
      </c>
      <c r="AA1545">
        <v>1</v>
      </c>
      <c r="AB1545" s="2" t="str">
        <f>CHOOSE(MATCH(AA1545,{0;11;80;111;161;191;241;281;341},1),"North","NorthEast","East","SouthEast","South","SouthWest","West","NorthWest","North")</f>
        <v>North</v>
      </c>
      <c r="AC1545" s="5">
        <f>CHOOSE(MATCH(AB1545,{"South";"SouthEast";"SouthWest";"North";"NorthEast";"East";"West";"NorthWest"},0),1,2,3,4,5,6,7,8)</f>
        <v>4</v>
      </c>
      <c r="AD1545" s="2">
        <f t="shared" si="272"/>
        <v>1</v>
      </c>
      <c r="AE1545">
        <v>1013.5</v>
      </c>
      <c r="AF1545" s="4" t="s">
        <v>1969</v>
      </c>
      <c r="AG1545" s="2">
        <f t="shared" si="273"/>
        <v>1</v>
      </c>
      <c r="AH1545" t="s">
        <v>2405</v>
      </c>
      <c r="AI1545" s="2">
        <f t="shared" si="274"/>
        <v>8</v>
      </c>
      <c r="AJ1545" s="2">
        <f t="shared" si="275"/>
        <v>1</v>
      </c>
      <c r="AK1545" s="3">
        <v>163.00000000745061</v>
      </c>
      <c r="AM1545" s="2">
        <v>0</v>
      </c>
      <c r="AN1545">
        <v>0</v>
      </c>
      <c r="AO1545">
        <v>1</v>
      </c>
      <c r="AP1545">
        <v>0</v>
      </c>
      <c r="AQ1545" s="2">
        <f>IF((2*G1545 + M1545 -P1545 + 3*W1545 + 2*Z1545+2*AD1545 + AG1545+2*AJ1545 + 4*AM1545) &gt;=8,1,0)</f>
        <v>1</v>
      </c>
    </row>
    <row r="1546" spans="1:43" x14ac:dyDescent="0.25">
      <c r="A1546" t="s">
        <v>27</v>
      </c>
      <c r="B1546" s="1">
        <v>43344</v>
      </c>
      <c r="C1546" s="7">
        <f t="shared" si="267"/>
        <v>2018</v>
      </c>
      <c r="D1546">
        <v>93.2</v>
      </c>
      <c r="E1546">
        <v>75.900000000000006</v>
      </c>
      <c r="F1546">
        <v>83.8</v>
      </c>
      <c r="G1546" s="2">
        <f t="shared" si="276"/>
        <v>1</v>
      </c>
      <c r="H1546">
        <v>90.7</v>
      </c>
      <c r="I1546">
        <v>75.900000000000006</v>
      </c>
      <c r="J1546">
        <v>82.5</v>
      </c>
      <c r="K1546">
        <v>51.9</v>
      </c>
      <c r="L1546">
        <v>34.1</v>
      </c>
      <c r="M1546" s="2">
        <f t="shared" si="268"/>
        <v>1</v>
      </c>
      <c r="N1546">
        <v>0</v>
      </c>
      <c r="P1546" s="2">
        <f t="shared" si="269"/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27.1</v>
      </c>
      <c r="W1546" s="2">
        <f t="shared" si="270"/>
        <v>1</v>
      </c>
      <c r="X1546">
        <v>18.2</v>
      </c>
      <c r="Z1546" s="2">
        <f t="shared" si="271"/>
        <v>1</v>
      </c>
      <c r="AA1546">
        <v>3.5</v>
      </c>
      <c r="AB1546" s="2" t="str">
        <f>CHOOSE(MATCH(AA1546,{0;11;80;111;161;191;241;281;341},1),"North","NorthEast","East","SouthEast","South","SouthWest","West","NorthWest","North")</f>
        <v>North</v>
      </c>
      <c r="AC1546" s="5">
        <f>CHOOSE(MATCH(AB1546,{"South";"SouthEast";"SouthWest";"North";"NorthEast";"East";"West";"NorthWest"},0),1,2,3,4,5,6,7,8)</f>
        <v>4</v>
      </c>
      <c r="AD1546" s="2">
        <f t="shared" si="272"/>
        <v>1</v>
      </c>
      <c r="AE1546">
        <v>1013.7</v>
      </c>
      <c r="AF1546" s="4" t="s">
        <v>1997</v>
      </c>
      <c r="AG1546" s="2">
        <f t="shared" si="273"/>
        <v>1</v>
      </c>
      <c r="AH1546" t="s">
        <v>2406</v>
      </c>
      <c r="AI1546" s="2">
        <f t="shared" si="274"/>
        <v>9</v>
      </c>
      <c r="AJ1546" s="2">
        <f t="shared" si="275"/>
        <v>0</v>
      </c>
      <c r="AK1546" s="3">
        <v>91.000000003259629</v>
      </c>
      <c r="AM1546" s="2">
        <v>0</v>
      </c>
      <c r="AN1546">
        <v>0</v>
      </c>
      <c r="AO1546">
        <v>0.5</v>
      </c>
      <c r="AP1546">
        <v>0</v>
      </c>
      <c r="AQ1546" s="2">
        <f>IF((2*G1546 + M1546 -P1546 + 3*W1546 + 2*Z1546+2*AD1546 + AG1546+2*AJ1546 + 4*AM1546) &gt;=8,1,0)</f>
        <v>1</v>
      </c>
    </row>
    <row r="1547" spans="1:43" x14ac:dyDescent="0.25">
      <c r="A1547" t="s">
        <v>27</v>
      </c>
      <c r="B1547" s="1">
        <v>43344</v>
      </c>
      <c r="C1547" s="7">
        <f t="shared" si="267"/>
        <v>2018</v>
      </c>
      <c r="D1547">
        <v>93.2</v>
      </c>
      <c r="E1547">
        <v>75.900000000000006</v>
      </c>
      <c r="F1547">
        <v>83.8</v>
      </c>
      <c r="G1547" s="2">
        <f t="shared" si="276"/>
        <v>1</v>
      </c>
      <c r="H1547">
        <v>90.7</v>
      </c>
      <c r="I1547">
        <v>75.900000000000006</v>
      </c>
      <c r="J1547">
        <v>82.5</v>
      </c>
      <c r="K1547">
        <v>51.9</v>
      </c>
      <c r="L1547">
        <v>34.1</v>
      </c>
      <c r="M1547" s="2">
        <f t="shared" si="268"/>
        <v>1</v>
      </c>
      <c r="N1547">
        <v>0</v>
      </c>
      <c r="P1547" s="2">
        <f t="shared" si="269"/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27.1</v>
      </c>
      <c r="W1547" s="2">
        <f t="shared" si="270"/>
        <v>1</v>
      </c>
      <c r="X1547">
        <v>18.2</v>
      </c>
      <c r="Z1547" s="2">
        <f t="shared" si="271"/>
        <v>1</v>
      </c>
      <c r="AA1547">
        <v>3.5</v>
      </c>
      <c r="AB1547" s="2" t="str">
        <f>CHOOSE(MATCH(AA1547,{0;11;80;111;161;191;241;281;341},1),"North","NorthEast","East","SouthEast","South","SouthWest","West","NorthWest","North")</f>
        <v>North</v>
      </c>
      <c r="AC1547" s="5">
        <f>CHOOSE(MATCH(AB1547,{"South";"SouthEast";"SouthWest";"North";"NorthEast";"East";"West";"NorthWest"},0),1,2,3,4,5,6,7,8)</f>
        <v>4</v>
      </c>
      <c r="AD1547" s="2">
        <f t="shared" si="272"/>
        <v>1</v>
      </c>
      <c r="AE1547">
        <v>1013.7</v>
      </c>
      <c r="AF1547" s="4" t="s">
        <v>1179</v>
      </c>
      <c r="AG1547" s="2">
        <f t="shared" si="273"/>
        <v>1</v>
      </c>
      <c r="AH1547" t="s">
        <v>2407</v>
      </c>
      <c r="AI1547" s="2">
        <f t="shared" si="274"/>
        <v>9</v>
      </c>
      <c r="AJ1547" s="2">
        <f t="shared" si="275"/>
        <v>0</v>
      </c>
      <c r="AK1547" s="3">
        <v>80.999999991618097</v>
      </c>
      <c r="AM1547" s="2">
        <v>0</v>
      </c>
      <c r="AN1547">
        <v>150</v>
      </c>
      <c r="AO1547">
        <v>0</v>
      </c>
      <c r="AP1547">
        <v>0</v>
      </c>
      <c r="AQ1547" s="2">
        <f>IF((2*G1547 + M1547 -P1547 + 3*W1547 + 2*Z1547+2*AD1547 + AG1547+2*AJ1547 + 4*AM1547) &gt;=8,1,0)</f>
        <v>1</v>
      </c>
    </row>
    <row r="1548" spans="1:43" x14ac:dyDescent="0.25">
      <c r="A1548" t="s">
        <v>27</v>
      </c>
      <c r="B1548" s="1">
        <v>43350</v>
      </c>
      <c r="C1548" s="7">
        <f t="shared" si="267"/>
        <v>2018</v>
      </c>
      <c r="D1548">
        <v>86.9</v>
      </c>
      <c r="E1548">
        <v>72.2</v>
      </c>
      <c r="F1548">
        <v>78.900000000000006</v>
      </c>
      <c r="G1548" s="2">
        <f t="shared" si="276"/>
        <v>1</v>
      </c>
      <c r="H1548">
        <v>86.3</v>
      </c>
      <c r="I1548">
        <v>72.2</v>
      </c>
      <c r="J1548">
        <v>79</v>
      </c>
      <c r="K1548">
        <v>62.6</v>
      </c>
      <c r="L1548">
        <v>58.9</v>
      </c>
      <c r="M1548" s="2">
        <f t="shared" si="268"/>
        <v>0</v>
      </c>
      <c r="N1548">
        <v>6.0000000000000001E-3</v>
      </c>
      <c r="P1548" s="2">
        <f t="shared" si="269"/>
        <v>1</v>
      </c>
      <c r="Q1548">
        <v>100</v>
      </c>
      <c r="R1548">
        <v>4.17</v>
      </c>
      <c r="S1548" t="s">
        <v>87</v>
      </c>
      <c r="T1548">
        <v>0</v>
      </c>
      <c r="U1548">
        <v>0</v>
      </c>
      <c r="V1548">
        <v>17.7</v>
      </c>
      <c r="W1548" s="2">
        <f t="shared" si="270"/>
        <v>1</v>
      </c>
      <c r="X1548">
        <v>13</v>
      </c>
      <c r="Z1548" s="2">
        <f t="shared" si="271"/>
        <v>0</v>
      </c>
      <c r="AA1548">
        <v>181.1</v>
      </c>
      <c r="AB1548" s="2" t="str">
        <f>CHOOSE(MATCH(AA1548,{0;11;80;111;161;191;241;281;341},1),"North","NorthEast","East","SouthEast","South","SouthWest","West","NorthWest","North")</f>
        <v>South</v>
      </c>
      <c r="AC1548" s="5">
        <f>CHOOSE(MATCH(AB1548,{"South";"SouthEast";"SouthWest";"North";"NorthEast";"East";"West";"NorthWest"},0),1,2,3,4,5,6,7,8)</f>
        <v>1</v>
      </c>
      <c r="AD1548" s="2">
        <f t="shared" si="272"/>
        <v>0</v>
      </c>
      <c r="AE1548">
        <v>1010.6</v>
      </c>
      <c r="AF1548" s="4" t="s">
        <v>2408</v>
      </c>
      <c r="AG1548" s="2">
        <f t="shared" si="273"/>
        <v>0</v>
      </c>
      <c r="AH1548" t="s">
        <v>2409</v>
      </c>
      <c r="AI1548" s="2">
        <f t="shared" si="274"/>
        <v>9</v>
      </c>
      <c r="AJ1548" s="2">
        <f t="shared" si="275"/>
        <v>0</v>
      </c>
      <c r="AK1548" s="3">
        <v>92.999999999301508</v>
      </c>
      <c r="AM1548" s="2">
        <v>0</v>
      </c>
      <c r="AN1548">
        <v>0</v>
      </c>
      <c r="AO1548">
        <v>0.5</v>
      </c>
      <c r="AP1548">
        <v>0</v>
      </c>
      <c r="AQ1548" s="2">
        <f>IF((2*G1548 + M1548 -P1548 + 3*W1548 + 2*Z1548+2*AD1548 + AG1548+2*AJ1548 + 4*AM1548) &gt;=8,1,0)</f>
        <v>0</v>
      </c>
    </row>
    <row r="1549" spans="1:43" x14ac:dyDescent="0.25">
      <c r="A1549" t="s">
        <v>27</v>
      </c>
      <c r="B1549" s="1">
        <v>43351</v>
      </c>
      <c r="C1549" s="7">
        <f t="shared" si="267"/>
        <v>2018</v>
      </c>
      <c r="D1549">
        <v>87.8</v>
      </c>
      <c r="E1549">
        <v>70.599999999999994</v>
      </c>
      <c r="F1549">
        <v>75.599999999999994</v>
      </c>
      <c r="G1549" s="2">
        <f t="shared" si="276"/>
        <v>1</v>
      </c>
      <c r="H1549">
        <v>87.6</v>
      </c>
      <c r="I1549">
        <v>70.599999999999994</v>
      </c>
      <c r="J1549">
        <v>75.7</v>
      </c>
      <c r="K1549">
        <v>63.5</v>
      </c>
      <c r="L1549">
        <v>67.599999999999994</v>
      </c>
      <c r="M1549" s="2">
        <f t="shared" si="268"/>
        <v>0</v>
      </c>
      <c r="N1549">
        <v>0.57399999999999995</v>
      </c>
      <c r="P1549" s="2">
        <f t="shared" si="269"/>
        <v>0</v>
      </c>
      <c r="Q1549">
        <v>100</v>
      </c>
      <c r="R1549">
        <v>8.33</v>
      </c>
      <c r="S1549" t="s">
        <v>87</v>
      </c>
      <c r="T1549">
        <v>0</v>
      </c>
      <c r="U1549">
        <v>0</v>
      </c>
      <c r="V1549">
        <v>22.3</v>
      </c>
      <c r="W1549" s="2">
        <f t="shared" si="270"/>
        <v>1</v>
      </c>
      <c r="X1549">
        <v>16.3</v>
      </c>
      <c r="Z1549" s="2">
        <f t="shared" si="271"/>
        <v>1</v>
      </c>
      <c r="AA1549">
        <v>345.4</v>
      </c>
      <c r="AB1549" s="2" t="str">
        <f>CHOOSE(MATCH(AA1549,{0;11;80;111;161;191;241;281;341},1),"North","NorthEast","East","SouthEast","South","SouthWest","West","NorthWest","North")</f>
        <v>North</v>
      </c>
      <c r="AC1549" s="5">
        <f>CHOOSE(MATCH(AB1549,{"South";"SouthEast";"SouthWest";"North";"NorthEast";"East";"West";"NorthWest"},0),1,2,3,4,5,6,7,8)</f>
        <v>4</v>
      </c>
      <c r="AD1549" s="2">
        <f t="shared" si="272"/>
        <v>1</v>
      </c>
      <c r="AE1549">
        <v>1012.5</v>
      </c>
      <c r="AF1549" s="4" t="s">
        <v>2198</v>
      </c>
      <c r="AG1549" s="2">
        <f t="shared" si="273"/>
        <v>1</v>
      </c>
      <c r="AH1549" t="s">
        <v>2410</v>
      </c>
      <c r="AI1549" s="2">
        <f t="shared" si="274"/>
        <v>9</v>
      </c>
      <c r="AJ1549" s="2">
        <f t="shared" si="275"/>
        <v>0</v>
      </c>
      <c r="AK1549" s="3">
        <v>235.00000000116421</v>
      </c>
      <c r="AM1549" s="2">
        <v>0</v>
      </c>
      <c r="AN1549">
        <v>0</v>
      </c>
      <c r="AO1549">
        <v>0.1</v>
      </c>
      <c r="AP1549">
        <v>0</v>
      </c>
      <c r="AQ1549" s="2">
        <f>IF((2*G1549 + M1549 -P1549 + 3*W1549 + 2*Z1549+2*AD1549 + AG1549+2*AJ1549 + 4*AM1549) &gt;=8,1,0)</f>
        <v>1</v>
      </c>
    </row>
    <row r="1550" spans="1:43" x14ac:dyDescent="0.25">
      <c r="A1550" t="s">
        <v>27</v>
      </c>
      <c r="B1550" s="1">
        <v>43351</v>
      </c>
      <c r="C1550" s="7">
        <f t="shared" si="267"/>
        <v>2018</v>
      </c>
      <c r="D1550">
        <v>87.8</v>
      </c>
      <c r="E1550">
        <v>70.599999999999994</v>
      </c>
      <c r="F1550">
        <v>75.599999999999994</v>
      </c>
      <c r="G1550" s="2">
        <f t="shared" si="276"/>
        <v>1</v>
      </c>
      <c r="H1550">
        <v>87.6</v>
      </c>
      <c r="I1550">
        <v>70.599999999999994</v>
      </c>
      <c r="J1550">
        <v>75.7</v>
      </c>
      <c r="K1550">
        <v>63.5</v>
      </c>
      <c r="L1550">
        <v>67.599999999999994</v>
      </c>
      <c r="M1550" s="2">
        <f t="shared" si="268"/>
        <v>0</v>
      </c>
      <c r="N1550">
        <v>0.57399999999999995</v>
      </c>
      <c r="P1550" s="2">
        <f t="shared" si="269"/>
        <v>0</v>
      </c>
      <c r="Q1550">
        <v>100</v>
      </c>
      <c r="R1550">
        <v>8.33</v>
      </c>
      <c r="S1550" t="s">
        <v>87</v>
      </c>
      <c r="T1550">
        <v>0</v>
      </c>
      <c r="U1550">
        <v>0</v>
      </c>
      <c r="V1550">
        <v>22.3</v>
      </c>
      <c r="W1550" s="2">
        <f t="shared" si="270"/>
        <v>1</v>
      </c>
      <c r="X1550">
        <v>16.3</v>
      </c>
      <c r="Z1550" s="2">
        <f t="shared" si="271"/>
        <v>1</v>
      </c>
      <c r="AA1550">
        <v>345.4</v>
      </c>
      <c r="AB1550" s="2" t="str">
        <f>CHOOSE(MATCH(AA1550,{0;11;80;111;161;191;241;281;341},1),"North","NorthEast","East","SouthEast","South","SouthWest","West","NorthWest","North")</f>
        <v>North</v>
      </c>
      <c r="AC1550" s="5">
        <f>CHOOSE(MATCH(AB1550,{"South";"SouthEast";"SouthWest";"North";"NorthEast";"East";"West";"NorthWest"},0),1,2,3,4,5,6,7,8)</f>
        <v>4</v>
      </c>
      <c r="AD1550" s="2">
        <f t="shared" si="272"/>
        <v>1</v>
      </c>
      <c r="AE1550">
        <v>1012.5</v>
      </c>
      <c r="AF1550" s="4" t="s">
        <v>2411</v>
      </c>
      <c r="AG1550" s="2">
        <f t="shared" si="273"/>
        <v>1</v>
      </c>
      <c r="AH1550" t="s">
        <v>2412</v>
      </c>
      <c r="AI1550" s="2">
        <f t="shared" si="274"/>
        <v>9</v>
      </c>
      <c r="AJ1550" s="2">
        <f t="shared" si="275"/>
        <v>0</v>
      </c>
      <c r="AK1550" s="3">
        <v>41.000000007916242</v>
      </c>
      <c r="AM1550" s="2">
        <v>0</v>
      </c>
      <c r="AN1550">
        <v>0</v>
      </c>
      <c r="AO1550">
        <v>0.5</v>
      </c>
      <c r="AP1550">
        <v>0</v>
      </c>
      <c r="AQ1550" s="2">
        <f>IF((2*G1550 + M1550 -P1550 + 3*W1550 + 2*Z1550+2*AD1550 + AG1550+2*AJ1550 + 4*AM1550) &gt;=8,1,0)</f>
        <v>1</v>
      </c>
    </row>
    <row r="1551" spans="1:43" x14ac:dyDescent="0.25">
      <c r="A1551" t="s">
        <v>27</v>
      </c>
      <c r="B1551" s="1">
        <v>43351</v>
      </c>
      <c r="C1551" s="7">
        <f t="shared" si="267"/>
        <v>2018</v>
      </c>
      <c r="D1551">
        <v>87.8</v>
      </c>
      <c r="E1551">
        <v>70.599999999999994</v>
      </c>
      <c r="F1551">
        <v>75.599999999999994</v>
      </c>
      <c r="G1551" s="2">
        <f t="shared" si="276"/>
        <v>1</v>
      </c>
      <c r="H1551">
        <v>87.6</v>
      </c>
      <c r="I1551">
        <v>70.599999999999994</v>
      </c>
      <c r="J1551">
        <v>75.7</v>
      </c>
      <c r="K1551">
        <v>63.5</v>
      </c>
      <c r="L1551">
        <v>67.599999999999994</v>
      </c>
      <c r="M1551" s="2">
        <f t="shared" si="268"/>
        <v>0</v>
      </c>
      <c r="N1551">
        <v>0.57399999999999995</v>
      </c>
      <c r="P1551" s="2">
        <f t="shared" si="269"/>
        <v>0</v>
      </c>
      <c r="Q1551">
        <v>100</v>
      </c>
      <c r="R1551">
        <v>8.33</v>
      </c>
      <c r="S1551" t="s">
        <v>87</v>
      </c>
      <c r="T1551">
        <v>0</v>
      </c>
      <c r="U1551">
        <v>0</v>
      </c>
      <c r="V1551">
        <v>22.3</v>
      </c>
      <c r="W1551" s="2">
        <f t="shared" si="270"/>
        <v>1</v>
      </c>
      <c r="X1551">
        <v>16.3</v>
      </c>
      <c r="Z1551" s="2">
        <f t="shared" si="271"/>
        <v>1</v>
      </c>
      <c r="AA1551">
        <v>345.4</v>
      </c>
      <c r="AB1551" s="2" t="str">
        <f>CHOOSE(MATCH(AA1551,{0;11;80;111;161;191;241;281;341},1),"North","NorthEast","East","SouthEast","South","SouthWest","West","NorthWest","North")</f>
        <v>North</v>
      </c>
      <c r="AC1551" s="5">
        <f>CHOOSE(MATCH(AB1551,{"South";"SouthEast";"SouthWest";"North";"NorthEast";"East";"West";"NorthWest"},0),1,2,3,4,5,6,7,8)</f>
        <v>4</v>
      </c>
      <c r="AD1551" s="2">
        <f t="shared" si="272"/>
        <v>1</v>
      </c>
      <c r="AE1551">
        <v>1012.5</v>
      </c>
      <c r="AF1551" s="4" t="s">
        <v>2041</v>
      </c>
      <c r="AG1551" s="2">
        <f t="shared" si="273"/>
        <v>1</v>
      </c>
      <c r="AH1551" t="s">
        <v>2413</v>
      </c>
      <c r="AI1551" s="2">
        <f t="shared" si="274"/>
        <v>9</v>
      </c>
      <c r="AJ1551" s="2">
        <f t="shared" si="275"/>
        <v>0</v>
      </c>
      <c r="AK1551" s="3">
        <v>212.99999999231659</v>
      </c>
      <c r="AM1551" s="2">
        <v>0</v>
      </c>
      <c r="AN1551">
        <v>0.05</v>
      </c>
      <c r="AO1551">
        <v>0</v>
      </c>
      <c r="AP1551">
        <v>0</v>
      </c>
      <c r="AQ1551" s="2">
        <f>IF((2*G1551 + M1551 -P1551 + 3*W1551 + 2*Z1551+2*AD1551 + AG1551+2*AJ1551 + 4*AM1551) &gt;=8,1,0)</f>
        <v>1</v>
      </c>
    </row>
    <row r="1552" spans="1:43" x14ac:dyDescent="0.25">
      <c r="A1552" t="s">
        <v>27</v>
      </c>
      <c r="B1552" s="1">
        <v>43352</v>
      </c>
      <c r="C1552" s="7">
        <f t="shared" si="267"/>
        <v>2018</v>
      </c>
      <c r="D1552">
        <v>85.7</v>
      </c>
      <c r="E1552">
        <v>68.8</v>
      </c>
      <c r="F1552">
        <v>76.8</v>
      </c>
      <c r="G1552" s="2">
        <f t="shared" si="276"/>
        <v>1</v>
      </c>
      <c r="H1552">
        <v>85.2</v>
      </c>
      <c r="I1552">
        <v>68.8</v>
      </c>
      <c r="J1552">
        <v>76.8</v>
      </c>
      <c r="K1552">
        <v>61</v>
      </c>
      <c r="L1552">
        <v>60.3</v>
      </c>
      <c r="M1552" s="2">
        <f t="shared" si="268"/>
        <v>0</v>
      </c>
      <c r="N1552">
        <v>0</v>
      </c>
      <c r="P1552" s="2">
        <f t="shared" si="269"/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25</v>
      </c>
      <c r="W1552" s="2">
        <f t="shared" si="270"/>
        <v>1</v>
      </c>
      <c r="X1552">
        <v>15.4</v>
      </c>
      <c r="Z1552" s="2">
        <f t="shared" si="271"/>
        <v>0</v>
      </c>
      <c r="AA1552">
        <v>355.1</v>
      </c>
      <c r="AB1552" s="2" t="str">
        <f>CHOOSE(MATCH(AA1552,{0;11;80;111;161;191;241;281;341},1),"North","NorthEast","East","SouthEast","South","SouthWest","West","NorthWest","North")</f>
        <v>North</v>
      </c>
      <c r="AC1552" s="5">
        <f>CHOOSE(MATCH(AB1552,{"South";"SouthEast";"SouthWest";"North";"NorthEast";"East";"West";"NorthWest"},0),1,2,3,4,5,6,7,8)</f>
        <v>4</v>
      </c>
      <c r="AD1552" s="2">
        <f t="shared" si="272"/>
        <v>1</v>
      </c>
      <c r="AE1552">
        <v>1015.3</v>
      </c>
      <c r="AF1552" s="4" t="s">
        <v>1753</v>
      </c>
      <c r="AG1552" s="2">
        <f t="shared" si="273"/>
        <v>1</v>
      </c>
      <c r="AH1552" t="s">
        <v>2414</v>
      </c>
      <c r="AI1552" s="2">
        <f t="shared" si="274"/>
        <v>9</v>
      </c>
      <c r="AJ1552" s="2">
        <f t="shared" si="275"/>
        <v>0</v>
      </c>
      <c r="AK1552" s="3">
        <v>210.00000000349249</v>
      </c>
      <c r="AM1552" s="2">
        <v>0</v>
      </c>
      <c r="AN1552">
        <v>1.5</v>
      </c>
      <c r="AO1552">
        <v>0</v>
      </c>
      <c r="AP1552">
        <v>0</v>
      </c>
      <c r="AQ1552" s="2">
        <f>IF((2*G1552 + M1552 -P1552 + 3*W1552 + 2*Z1552+2*AD1552 + AG1552+2*AJ1552 + 4*AM1552) &gt;=8,1,0)</f>
        <v>0</v>
      </c>
    </row>
    <row r="1553" spans="1:43" x14ac:dyDescent="0.25">
      <c r="A1553" t="s">
        <v>27</v>
      </c>
      <c r="B1553" s="1">
        <v>43352</v>
      </c>
      <c r="C1553" s="7">
        <f t="shared" si="267"/>
        <v>2018</v>
      </c>
      <c r="D1553">
        <v>85.7</v>
      </c>
      <c r="E1553">
        <v>68.8</v>
      </c>
      <c r="F1553">
        <v>76.8</v>
      </c>
      <c r="G1553" s="2">
        <f t="shared" si="276"/>
        <v>1</v>
      </c>
      <c r="H1553">
        <v>85.2</v>
      </c>
      <c r="I1553">
        <v>68.8</v>
      </c>
      <c r="J1553">
        <v>76.8</v>
      </c>
      <c r="K1553">
        <v>61</v>
      </c>
      <c r="L1553">
        <v>60.3</v>
      </c>
      <c r="M1553" s="2">
        <f t="shared" si="268"/>
        <v>0</v>
      </c>
      <c r="N1553">
        <v>0</v>
      </c>
      <c r="P1553" s="2">
        <f t="shared" si="269"/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25</v>
      </c>
      <c r="W1553" s="2">
        <f t="shared" si="270"/>
        <v>1</v>
      </c>
      <c r="X1553">
        <v>15.4</v>
      </c>
      <c r="Z1553" s="2">
        <f t="shared" si="271"/>
        <v>0</v>
      </c>
      <c r="AA1553">
        <v>355.1</v>
      </c>
      <c r="AB1553" s="2" t="str">
        <f>CHOOSE(MATCH(AA1553,{0;11;80;111;161;191;241;281;341},1),"North","NorthEast","East","SouthEast","South","SouthWest","West","NorthWest","North")</f>
        <v>North</v>
      </c>
      <c r="AC1553" s="5">
        <f>CHOOSE(MATCH(AB1553,{"South";"SouthEast";"SouthWest";"North";"NorthEast";"East";"West";"NorthWest"},0),1,2,3,4,5,6,7,8)</f>
        <v>4</v>
      </c>
      <c r="AD1553" s="2">
        <f t="shared" si="272"/>
        <v>1</v>
      </c>
      <c r="AE1553">
        <v>1015.3</v>
      </c>
      <c r="AF1553" s="4" t="s">
        <v>1755</v>
      </c>
      <c r="AG1553" s="2">
        <f t="shared" si="273"/>
        <v>1</v>
      </c>
      <c r="AH1553" t="s">
        <v>2415</v>
      </c>
      <c r="AI1553" s="2">
        <f t="shared" si="274"/>
        <v>9</v>
      </c>
      <c r="AJ1553" s="2">
        <f t="shared" si="275"/>
        <v>0</v>
      </c>
      <c r="AK1553" s="3">
        <v>199.9999999918509</v>
      </c>
      <c r="AM1553" s="2">
        <v>0</v>
      </c>
      <c r="AN1553">
        <v>0.3</v>
      </c>
      <c r="AO1553">
        <v>0</v>
      </c>
      <c r="AP1553">
        <v>0</v>
      </c>
      <c r="AQ1553" s="2">
        <f>IF((2*G1553 + M1553 -P1553 + 3*W1553 + 2*Z1553+2*AD1553 + AG1553+2*AJ1553 + 4*AM1553) &gt;=8,1,0)</f>
        <v>0</v>
      </c>
    </row>
    <row r="1554" spans="1:43" x14ac:dyDescent="0.25">
      <c r="A1554" t="s">
        <v>27</v>
      </c>
      <c r="B1554" s="1">
        <v>43355</v>
      </c>
      <c r="C1554" s="7">
        <f t="shared" si="267"/>
        <v>2018</v>
      </c>
      <c r="D1554">
        <v>82.2</v>
      </c>
      <c r="E1554">
        <v>66.7</v>
      </c>
      <c r="F1554">
        <v>75</v>
      </c>
      <c r="G1554" s="2">
        <f t="shared" si="276"/>
        <v>1</v>
      </c>
      <c r="H1554">
        <v>81.099999999999994</v>
      </c>
      <c r="I1554">
        <v>66.7</v>
      </c>
      <c r="J1554">
        <v>74.8</v>
      </c>
      <c r="K1554">
        <v>53.9</v>
      </c>
      <c r="L1554">
        <v>48.7</v>
      </c>
      <c r="M1554" s="2">
        <f t="shared" si="268"/>
        <v>1</v>
      </c>
      <c r="N1554">
        <v>8.9999999999999993E-3</v>
      </c>
      <c r="P1554" s="2">
        <f t="shared" si="269"/>
        <v>1</v>
      </c>
      <c r="Q1554">
        <v>100</v>
      </c>
      <c r="R1554">
        <v>4.17</v>
      </c>
      <c r="S1554" t="s">
        <v>87</v>
      </c>
      <c r="T1554">
        <v>0</v>
      </c>
      <c r="U1554">
        <v>0</v>
      </c>
      <c r="V1554">
        <v>37.1</v>
      </c>
      <c r="W1554" s="2">
        <f t="shared" si="270"/>
        <v>1</v>
      </c>
      <c r="X1554">
        <v>20</v>
      </c>
      <c r="Z1554" s="2">
        <f t="shared" si="271"/>
        <v>1</v>
      </c>
      <c r="AA1554">
        <v>359.5</v>
      </c>
      <c r="AB1554" s="2" t="str">
        <f>CHOOSE(MATCH(AA1554,{0;11;80;111;161;191;241;281;341},1),"North","NorthEast","East","SouthEast","South","SouthWest","West","NorthWest","North")</f>
        <v>North</v>
      </c>
      <c r="AC1554" s="5">
        <f>CHOOSE(MATCH(AB1554,{"South";"SouthEast";"SouthWest";"North";"NorthEast";"East";"West";"NorthWest"},0),1,2,3,4,5,6,7,8)</f>
        <v>4</v>
      </c>
      <c r="AD1554" s="2">
        <f t="shared" si="272"/>
        <v>1</v>
      </c>
      <c r="AE1554">
        <v>1017.9</v>
      </c>
      <c r="AF1554" s="4" t="s">
        <v>1116</v>
      </c>
      <c r="AG1554" s="2">
        <f t="shared" si="273"/>
        <v>1</v>
      </c>
      <c r="AH1554" t="s">
        <v>2416</v>
      </c>
      <c r="AI1554" s="2">
        <f t="shared" si="274"/>
        <v>9</v>
      </c>
      <c r="AJ1554" s="2">
        <f t="shared" si="275"/>
        <v>0</v>
      </c>
      <c r="AK1554" s="3">
        <v>329.99999999650748</v>
      </c>
      <c r="AM1554" s="2">
        <v>0</v>
      </c>
      <c r="AN1554">
        <v>0.01</v>
      </c>
      <c r="AO1554">
        <v>0</v>
      </c>
      <c r="AP1554">
        <v>0</v>
      </c>
      <c r="AQ1554" s="2">
        <f>IF((2*G1554 + M1554 -P1554 + 3*W1554 + 2*Z1554+2*AD1554 + AG1554+2*AJ1554 + 4*AM1554) &gt;=8,1,0)</f>
        <v>1</v>
      </c>
    </row>
    <row r="1555" spans="1:43" x14ac:dyDescent="0.25">
      <c r="A1555" t="s">
        <v>27</v>
      </c>
      <c r="B1555" s="1">
        <v>43358</v>
      </c>
      <c r="C1555" s="7">
        <f t="shared" si="267"/>
        <v>2018</v>
      </c>
      <c r="D1555">
        <v>85.9</v>
      </c>
      <c r="E1555">
        <v>64.400000000000006</v>
      </c>
      <c r="F1555">
        <v>74.8</v>
      </c>
      <c r="G1555" s="2">
        <f t="shared" si="276"/>
        <v>1</v>
      </c>
      <c r="H1555">
        <v>84.1</v>
      </c>
      <c r="I1555">
        <v>64.400000000000006</v>
      </c>
      <c r="J1555">
        <v>74.5</v>
      </c>
      <c r="K1555">
        <v>58.1</v>
      </c>
      <c r="L1555">
        <v>59</v>
      </c>
      <c r="M1555" s="2">
        <f t="shared" si="268"/>
        <v>0</v>
      </c>
      <c r="N1555">
        <v>0</v>
      </c>
      <c r="P1555" s="2">
        <f t="shared" si="269"/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12.2</v>
      </c>
      <c r="W1555" s="2">
        <f t="shared" si="270"/>
        <v>1</v>
      </c>
      <c r="X1555">
        <v>10</v>
      </c>
      <c r="Z1555" s="2">
        <f t="shared" si="271"/>
        <v>0</v>
      </c>
      <c r="AA1555">
        <v>38.1</v>
      </c>
      <c r="AB1555" s="2" t="str">
        <f>CHOOSE(MATCH(AA1555,{0;11;80;111;161;191;241;281;341},1),"North","NorthEast","East","SouthEast","South","SouthWest","West","NorthWest","North")</f>
        <v>NorthEast</v>
      </c>
      <c r="AC1555" s="5">
        <f>CHOOSE(MATCH(AB1555,{"South";"SouthEast";"SouthWest";"North";"NorthEast";"East";"West";"NorthWest"},0),1,2,3,4,5,6,7,8)</f>
        <v>5</v>
      </c>
      <c r="AD1555" s="2">
        <f t="shared" si="272"/>
        <v>1</v>
      </c>
      <c r="AE1555">
        <v>1016.6</v>
      </c>
      <c r="AF1555" s="4" t="s">
        <v>1169</v>
      </c>
      <c r="AG1555" s="2">
        <f t="shared" si="273"/>
        <v>0</v>
      </c>
      <c r="AH1555" t="s">
        <v>2417</v>
      </c>
      <c r="AI1555" s="2">
        <f t="shared" si="274"/>
        <v>9</v>
      </c>
      <c r="AJ1555" s="2">
        <f t="shared" si="275"/>
        <v>0</v>
      </c>
      <c r="AK1555" s="3">
        <v>190.00000000116421</v>
      </c>
      <c r="AM1555" s="2">
        <v>0</v>
      </c>
      <c r="AN1555">
        <v>0</v>
      </c>
      <c r="AO1555">
        <v>1</v>
      </c>
      <c r="AP1555">
        <v>0</v>
      </c>
      <c r="AQ1555" s="2">
        <f>IF((2*G1555 + M1555 -P1555 + 3*W1555 + 2*Z1555+2*AD1555 + AG1555+2*AJ1555 + 4*AM1555) &gt;=8,1,0)</f>
        <v>0</v>
      </c>
    </row>
    <row r="1556" spans="1:43" x14ac:dyDescent="0.25">
      <c r="A1556" t="s">
        <v>27</v>
      </c>
      <c r="B1556" s="1">
        <v>43363</v>
      </c>
      <c r="C1556" s="7">
        <f t="shared" si="267"/>
        <v>2018</v>
      </c>
      <c r="D1556">
        <v>82</v>
      </c>
      <c r="E1556">
        <v>66.3</v>
      </c>
      <c r="F1556">
        <v>74.099999999999994</v>
      </c>
      <c r="G1556" s="2">
        <f t="shared" si="276"/>
        <v>1</v>
      </c>
      <c r="H1556">
        <v>80.900000000000006</v>
      </c>
      <c r="I1556">
        <v>66.3</v>
      </c>
      <c r="J1556">
        <v>74</v>
      </c>
      <c r="K1556">
        <v>53.5</v>
      </c>
      <c r="L1556">
        <v>50</v>
      </c>
      <c r="M1556" s="2">
        <f t="shared" si="268"/>
        <v>0</v>
      </c>
      <c r="N1556">
        <v>0</v>
      </c>
      <c r="P1556" s="2">
        <f t="shared" si="269"/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32.700000000000003</v>
      </c>
      <c r="W1556" s="2">
        <f t="shared" si="270"/>
        <v>1</v>
      </c>
      <c r="X1556">
        <v>16.899999999999999</v>
      </c>
      <c r="Z1556" s="2">
        <f t="shared" si="271"/>
        <v>1</v>
      </c>
      <c r="AA1556">
        <v>0</v>
      </c>
      <c r="AB1556" s="2" t="str">
        <f>CHOOSE(MATCH(AA1556,{0;11;80;111;161;191;241;281;341},1),"North","NorthEast","East","SouthEast","South","SouthWest","West","NorthWest","North")</f>
        <v>North</v>
      </c>
      <c r="AC1556" s="5">
        <f>CHOOSE(MATCH(AB1556,{"South";"SouthEast";"SouthWest";"North";"NorthEast";"East";"West";"NorthWest"},0),1,2,3,4,5,6,7,8)</f>
        <v>4</v>
      </c>
      <c r="AD1556" s="2">
        <f t="shared" si="272"/>
        <v>1</v>
      </c>
      <c r="AE1556">
        <v>1017</v>
      </c>
      <c r="AF1556" s="4" t="s">
        <v>2418</v>
      </c>
      <c r="AG1556" s="2">
        <f t="shared" si="273"/>
        <v>1</v>
      </c>
      <c r="AH1556" t="s">
        <v>2419</v>
      </c>
      <c r="AI1556" s="2">
        <f t="shared" si="274"/>
        <v>9</v>
      </c>
      <c r="AJ1556" s="2">
        <f t="shared" si="275"/>
        <v>0</v>
      </c>
      <c r="AK1556" s="3">
        <v>766.99999999604188</v>
      </c>
      <c r="AM1556" s="2">
        <v>1</v>
      </c>
      <c r="AN1556">
        <v>0</v>
      </c>
      <c r="AO1556">
        <v>1</v>
      </c>
      <c r="AP1556">
        <v>0</v>
      </c>
      <c r="AQ1556" s="2">
        <f>IF((2*G1556 + M1556 -P1556 + 3*W1556 + 2*Z1556+2*AD1556 + AG1556+2*AJ1556 + 4*AM1556) &gt;=8,1,0)</f>
        <v>1</v>
      </c>
    </row>
    <row r="1557" spans="1:43" x14ac:dyDescent="0.25">
      <c r="A1557" t="s">
        <v>27</v>
      </c>
      <c r="B1557" s="1">
        <v>43369</v>
      </c>
      <c r="C1557" s="7">
        <f t="shared" si="267"/>
        <v>2018</v>
      </c>
      <c r="D1557">
        <v>68</v>
      </c>
      <c r="E1557">
        <v>62.6</v>
      </c>
      <c r="F1557">
        <v>65</v>
      </c>
      <c r="G1557" s="2">
        <f t="shared" si="276"/>
        <v>0</v>
      </c>
      <c r="H1557">
        <v>68</v>
      </c>
      <c r="I1557">
        <v>62.6</v>
      </c>
      <c r="J1557">
        <v>65</v>
      </c>
      <c r="K1557">
        <v>41.7</v>
      </c>
      <c r="L1557">
        <v>42.8</v>
      </c>
      <c r="M1557" s="2">
        <f t="shared" si="268"/>
        <v>1</v>
      </c>
      <c r="N1557">
        <v>0</v>
      </c>
      <c r="P1557" s="2">
        <f t="shared" si="269"/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45.9</v>
      </c>
      <c r="W1557" s="2">
        <f t="shared" si="270"/>
        <v>1</v>
      </c>
      <c r="X1557">
        <v>32.1</v>
      </c>
      <c r="Z1557" s="2">
        <f t="shared" si="271"/>
        <v>1</v>
      </c>
      <c r="AA1557">
        <v>19.3</v>
      </c>
      <c r="AB1557" s="2" t="str">
        <f>CHOOSE(MATCH(AA1557,{0;11;80;111;161;191;241;281;341},1),"North","NorthEast","East","SouthEast","South","SouthWest","West","NorthWest","North")</f>
        <v>NorthEast</v>
      </c>
      <c r="AC1557" s="5">
        <f>CHOOSE(MATCH(AB1557,{"South";"SouthEast";"SouthWest";"North";"NorthEast";"East";"West";"NorthWest"},0),1,2,3,4,5,6,7,8)</f>
        <v>5</v>
      </c>
      <c r="AD1557" s="2">
        <f t="shared" si="272"/>
        <v>1</v>
      </c>
      <c r="AE1557">
        <v>1023.4</v>
      </c>
      <c r="AF1557" s="4" t="s">
        <v>1993</v>
      </c>
      <c r="AG1557" s="2">
        <f t="shared" si="273"/>
        <v>1</v>
      </c>
      <c r="AH1557" t="s">
        <v>2420</v>
      </c>
      <c r="AI1557" s="2">
        <f t="shared" si="274"/>
        <v>9</v>
      </c>
      <c r="AJ1557" s="2">
        <f t="shared" si="275"/>
        <v>0</v>
      </c>
      <c r="AK1557" s="3">
        <v>166.99999999953431</v>
      </c>
      <c r="AM1557" s="2">
        <v>0</v>
      </c>
      <c r="AN1557">
        <v>0</v>
      </c>
      <c r="AO1557">
        <v>0.3</v>
      </c>
      <c r="AP1557">
        <v>0</v>
      </c>
      <c r="AQ1557" s="2">
        <f>IF((2*G1557 + M1557 -P1557 + 3*W1557 + 2*Z1557+2*AD1557 + AG1557+2*AJ1557 + 4*AM1557) &gt;=8,1,0)</f>
        <v>1</v>
      </c>
    </row>
    <row r="1558" spans="1:43" x14ac:dyDescent="0.25">
      <c r="A1558" t="s">
        <v>27</v>
      </c>
      <c r="B1558" s="1">
        <v>43369</v>
      </c>
      <c r="C1558" s="7">
        <f t="shared" si="267"/>
        <v>2018</v>
      </c>
      <c r="D1558">
        <v>68</v>
      </c>
      <c r="E1558">
        <v>62.6</v>
      </c>
      <c r="F1558">
        <v>65</v>
      </c>
      <c r="G1558" s="2">
        <f t="shared" si="276"/>
        <v>0</v>
      </c>
      <c r="H1558">
        <v>68</v>
      </c>
      <c r="I1558">
        <v>62.6</v>
      </c>
      <c r="J1558">
        <v>65</v>
      </c>
      <c r="K1558">
        <v>41.7</v>
      </c>
      <c r="L1558">
        <v>42.8</v>
      </c>
      <c r="M1558" s="2">
        <f t="shared" si="268"/>
        <v>1</v>
      </c>
      <c r="N1558">
        <v>0</v>
      </c>
      <c r="P1558" s="2">
        <f t="shared" si="269"/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45.9</v>
      </c>
      <c r="W1558" s="2">
        <f t="shared" si="270"/>
        <v>1</v>
      </c>
      <c r="X1558">
        <v>32.1</v>
      </c>
      <c r="Z1558" s="2">
        <f t="shared" si="271"/>
        <v>1</v>
      </c>
      <c r="AA1558">
        <v>19.3</v>
      </c>
      <c r="AB1558" s="2" t="str">
        <f>CHOOSE(MATCH(AA1558,{0;11;80;111;161;191;241;281;341},1),"North","NorthEast","East","SouthEast","South","SouthWest","West","NorthWest","North")</f>
        <v>NorthEast</v>
      </c>
      <c r="AC1558" s="5">
        <f>CHOOSE(MATCH(AB1558,{"South";"SouthEast";"SouthWest";"North";"NorthEast";"East";"West";"NorthWest"},0),1,2,3,4,5,6,7,8)</f>
        <v>5</v>
      </c>
      <c r="AD1558" s="2">
        <f t="shared" si="272"/>
        <v>1</v>
      </c>
      <c r="AE1558">
        <v>1023.4</v>
      </c>
      <c r="AF1558" s="4" t="s">
        <v>2421</v>
      </c>
      <c r="AG1558" s="2">
        <f t="shared" si="273"/>
        <v>1</v>
      </c>
      <c r="AH1558" t="s">
        <v>2422</v>
      </c>
      <c r="AI1558" s="2">
        <f t="shared" si="274"/>
        <v>9</v>
      </c>
      <c r="AJ1558" s="2">
        <f t="shared" si="275"/>
        <v>0</v>
      </c>
      <c r="AK1558" s="3">
        <v>2215.0000000011642</v>
      </c>
      <c r="AM1558" s="2">
        <v>1</v>
      </c>
      <c r="AN1558">
        <v>0</v>
      </c>
      <c r="AO1558">
        <v>15</v>
      </c>
      <c r="AP1558">
        <v>0</v>
      </c>
      <c r="AQ1558" s="2">
        <f>IF((2*G1558 + M1558 -P1558 + 3*W1558 + 2*Z1558+2*AD1558 + AG1558+2*AJ1558 + 4*AM1558) &gt;=8,1,0)</f>
        <v>1</v>
      </c>
    </row>
    <row r="1559" spans="1:43" x14ac:dyDescent="0.25">
      <c r="A1559" t="s">
        <v>27</v>
      </c>
      <c r="B1559" s="1">
        <v>43381</v>
      </c>
      <c r="C1559" s="7">
        <f t="shared" si="267"/>
        <v>2018</v>
      </c>
      <c r="D1559">
        <v>75.400000000000006</v>
      </c>
      <c r="E1559">
        <v>57.1</v>
      </c>
      <c r="F1559">
        <v>65.5</v>
      </c>
      <c r="G1559" s="2">
        <f t="shared" si="276"/>
        <v>0</v>
      </c>
      <c r="H1559">
        <v>75.400000000000006</v>
      </c>
      <c r="I1559">
        <v>57.1</v>
      </c>
      <c r="J1559">
        <v>65.5</v>
      </c>
      <c r="K1559">
        <v>55.1</v>
      </c>
      <c r="L1559">
        <v>70.7</v>
      </c>
      <c r="M1559" s="2">
        <f t="shared" si="268"/>
        <v>0</v>
      </c>
      <c r="N1559">
        <v>0</v>
      </c>
      <c r="P1559" s="2">
        <f t="shared" si="269"/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17.399999999999999</v>
      </c>
      <c r="W1559" s="2">
        <f t="shared" si="270"/>
        <v>1</v>
      </c>
      <c r="X1559">
        <v>14</v>
      </c>
      <c r="Z1559" s="2">
        <f t="shared" si="271"/>
        <v>0</v>
      </c>
      <c r="AA1559">
        <v>83</v>
      </c>
      <c r="AB1559" s="2" t="str">
        <f>CHOOSE(MATCH(AA1559,{0;11;80;111;161;191;241;281;341},1),"North","NorthEast","East","SouthEast","South","SouthWest","West","NorthWest","North")</f>
        <v>East</v>
      </c>
      <c r="AC1559" s="5">
        <f>CHOOSE(MATCH(AB1559,{"South";"SouthEast";"SouthWest";"North";"NorthEast";"East";"West";"NorthWest"},0),1,2,3,4,5,6,7,8)</f>
        <v>6</v>
      </c>
      <c r="AD1559" s="2">
        <f t="shared" si="272"/>
        <v>0</v>
      </c>
      <c r="AE1559">
        <v>1016.2</v>
      </c>
      <c r="AF1559" s="4" t="s">
        <v>2423</v>
      </c>
      <c r="AG1559" s="2">
        <f t="shared" si="273"/>
        <v>0</v>
      </c>
      <c r="AH1559" t="s">
        <v>2424</v>
      </c>
      <c r="AI1559" s="2">
        <f t="shared" si="274"/>
        <v>10</v>
      </c>
      <c r="AJ1559" s="2">
        <f t="shared" si="275"/>
        <v>0</v>
      </c>
      <c r="AK1559" s="3">
        <v>50.999999998603023</v>
      </c>
      <c r="AM1559" s="2">
        <v>0</v>
      </c>
      <c r="AN1559">
        <v>0</v>
      </c>
      <c r="AO1559">
        <v>60</v>
      </c>
      <c r="AP1559">
        <v>0</v>
      </c>
      <c r="AQ1559" s="2">
        <f>IF((2*G1559 + M1559 -P1559 + 3*W1559 + 2*Z1559+2*AD1559 + AG1559+2*AJ1559 + 4*AM1559) &gt;=8,1,0)</f>
        <v>0</v>
      </c>
    </row>
    <row r="1560" spans="1:43" x14ac:dyDescent="0.25">
      <c r="A1560" t="s">
        <v>27</v>
      </c>
      <c r="B1560" s="1">
        <v>43408</v>
      </c>
      <c r="C1560" s="7">
        <f t="shared" si="267"/>
        <v>2018</v>
      </c>
      <c r="D1560">
        <v>68.5</v>
      </c>
      <c r="E1560">
        <v>55.9</v>
      </c>
      <c r="F1560">
        <v>62.7</v>
      </c>
      <c r="G1560" s="2">
        <f t="shared" si="276"/>
        <v>0</v>
      </c>
      <c r="H1560">
        <v>68.5</v>
      </c>
      <c r="I1560">
        <v>55.9</v>
      </c>
      <c r="J1560">
        <v>62.7</v>
      </c>
      <c r="K1560">
        <v>49.1</v>
      </c>
      <c r="L1560">
        <v>61.5</v>
      </c>
      <c r="M1560" s="2">
        <f t="shared" si="268"/>
        <v>0</v>
      </c>
      <c r="N1560">
        <v>0</v>
      </c>
      <c r="P1560" s="2">
        <f t="shared" si="269"/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28.9</v>
      </c>
      <c r="W1560" s="2">
        <f t="shared" si="270"/>
        <v>1</v>
      </c>
      <c r="X1560">
        <v>18.600000000000001</v>
      </c>
      <c r="Z1560" s="2">
        <f t="shared" si="271"/>
        <v>1</v>
      </c>
      <c r="AA1560">
        <v>8.5</v>
      </c>
      <c r="AB1560" s="2" t="str">
        <f>CHOOSE(MATCH(AA1560,{0;11;80;111;161;191;241;281;341},1),"North","NorthEast","East","SouthEast","South","SouthWest","West","NorthWest","North")</f>
        <v>North</v>
      </c>
      <c r="AC1560" s="5">
        <f>CHOOSE(MATCH(AB1560,{"South";"SouthEast";"SouthWest";"North";"NorthEast";"East";"West";"NorthWest"},0),1,2,3,4,5,6,7,8)</f>
        <v>4</v>
      </c>
      <c r="AD1560" s="2">
        <f t="shared" si="272"/>
        <v>1</v>
      </c>
      <c r="AE1560">
        <v>1021</v>
      </c>
      <c r="AF1560" s="4" t="s">
        <v>2425</v>
      </c>
      <c r="AG1560" s="2">
        <f t="shared" si="273"/>
        <v>1</v>
      </c>
      <c r="AH1560" t="s">
        <v>2426</v>
      </c>
      <c r="AI1560" s="2">
        <f t="shared" si="274"/>
        <v>11</v>
      </c>
      <c r="AJ1560" s="2">
        <f t="shared" si="275"/>
        <v>0</v>
      </c>
      <c r="AK1560" s="3">
        <v>82.000000005355105</v>
      </c>
      <c r="AM1560" s="2">
        <v>0</v>
      </c>
      <c r="AN1560">
        <v>0</v>
      </c>
      <c r="AO1560">
        <v>0.3</v>
      </c>
      <c r="AP1560">
        <v>0</v>
      </c>
      <c r="AQ1560" s="2">
        <f>IF((2*G1560 + M1560 -P1560 + 3*W1560 + 2*Z1560+2*AD1560 + AG1560+2*AJ1560 + 4*AM1560) &gt;=8,1,0)</f>
        <v>0</v>
      </c>
    </row>
    <row r="1561" spans="1:43" x14ac:dyDescent="0.25">
      <c r="A1561" t="s">
        <v>27</v>
      </c>
      <c r="B1561" s="1">
        <v>43419</v>
      </c>
      <c r="C1561" s="7">
        <f t="shared" si="267"/>
        <v>2018</v>
      </c>
      <c r="D1561">
        <v>63.3</v>
      </c>
      <c r="E1561">
        <v>51.4</v>
      </c>
      <c r="F1561">
        <v>57.2</v>
      </c>
      <c r="G1561" s="2">
        <f t="shared" si="276"/>
        <v>0</v>
      </c>
      <c r="H1561">
        <v>63.3</v>
      </c>
      <c r="I1561">
        <v>51.4</v>
      </c>
      <c r="J1561">
        <v>57.2</v>
      </c>
      <c r="K1561">
        <v>44.6</v>
      </c>
      <c r="L1561">
        <v>63.2</v>
      </c>
      <c r="M1561" s="2">
        <f t="shared" si="268"/>
        <v>0</v>
      </c>
      <c r="N1561">
        <v>0</v>
      </c>
      <c r="P1561" s="2">
        <f t="shared" si="269"/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31.8</v>
      </c>
      <c r="W1561" s="2">
        <f t="shared" ref="W1561:W1621" si="277">IF(V1561&lt;=10,0,1)</f>
        <v>1</v>
      </c>
      <c r="X1561">
        <v>14.4</v>
      </c>
      <c r="Z1561" s="2">
        <f t="shared" ref="Z1561:Z1621" si="278">IF(X1561&gt;=16,1,0)</f>
        <v>0</v>
      </c>
      <c r="AA1561">
        <v>358.4</v>
      </c>
      <c r="AB1561" s="2" t="str">
        <f>CHOOSE(MATCH(AA1561,{0;11;80;111;161;191;241;281;341},1),"North","NorthEast","East","SouthEast","South","SouthWest","West","NorthWest","North")</f>
        <v>North</v>
      </c>
      <c r="AC1561" s="5">
        <f>CHOOSE(MATCH(AB1561,{"South";"SouthEast";"SouthWest";"North";"NorthEast";"East";"West";"NorthWest"},0),1,2,3,4,5,6,7,8)</f>
        <v>4</v>
      </c>
      <c r="AD1561" s="2">
        <f t="shared" si="272"/>
        <v>1</v>
      </c>
      <c r="AE1561">
        <v>1020.5</v>
      </c>
      <c r="AF1561" s="4" t="s">
        <v>1712</v>
      </c>
      <c r="AG1561" s="2">
        <f t="shared" si="273"/>
        <v>0</v>
      </c>
      <c r="AH1561" t="s">
        <v>2427</v>
      </c>
      <c r="AI1561" s="2">
        <f t="shared" si="274"/>
        <v>11</v>
      </c>
      <c r="AJ1561" s="2">
        <f t="shared" si="275"/>
        <v>0</v>
      </c>
      <c r="AK1561" s="3">
        <v>141.99999999138529</v>
      </c>
      <c r="AM1561" s="2">
        <v>0</v>
      </c>
      <c r="AN1561">
        <v>0</v>
      </c>
      <c r="AO1561">
        <v>2</v>
      </c>
      <c r="AP1561">
        <v>0</v>
      </c>
      <c r="AQ1561" s="2">
        <f>IF((2*G1561 + M1561 -P1561 + 3*W1561 + 2*Z1561+2*AD1561 + AG1561+2*AJ1561 + 4*AM1561) &gt;=8,1,0)</f>
        <v>0</v>
      </c>
    </row>
    <row r="1562" spans="1:43" x14ac:dyDescent="0.25">
      <c r="A1562" t="s">
        <v>27</v>
      </c>
      <c r="B1562" s="1">
        <v>43421</v>
      </c>
      <c r="C1562" s="7">
        <f t="shared" ref="C1562:C1621" si="279">YEAR(B1562)</f>
        <v>2018</v>
      </c>
      <c r="D1562">
        <v>56</v>
      </c>
      <c r="E1562">
        <v>48.9</v>
      </c>
      <c r="F1562">
        <v>53</v>
      </c>
      <c r="G1562" s="2">
        <f t="shared" si="276"/>
        <v>0</v>
      </c>
      <c r="H1562">
        <v>56</v>
      </c>
      <c r="I1562">
        <v>45</v>
      </c>
      <c r="J1562">
        <v>52.7</v>
      </c>
      <c r="K1562">
        <v>45</v>
      </c>
      <c r="L1562">
        <v>74.400000000000006</v>
      </c>
      <c r="M1562" s="2">
        <f t="shared" ref="M1562:M1621" si="280">IF(L1562&lt;=49.3,1,0)</f>
        <v>0</v>
      </c>
      <c r="N1562">
        <v>0.13100000000000001</v>
      </c>
      <c r="P1562" s="2">
        <f t="shared" ref="P1562:P1621" si="281">IF(N1562&lt;=0.01,1,0)</f>
        <v>0</v>
      </c>
      <c r="Q1562">
        <v>100</v>
      </c>
      <c r="R1562">
        <v>12.5</v>
      </c>
      <c r="S1562" t="s">
        <v>87</v>
      </c>
      <c r="T1562">
        <v>0</v>
      </c>
      <c r="U1562">
        <v>0</v>
      </c>
      <c r="V1562">
        <v>26.7</v>
      </c>
      <c r="W1562" s="2">
        <f t="shared" si="277"/>
        <v>1</v>
      </c>
      <c r="X1562">
        <v>12.5</v>
      </c>
      <c r="Z1562" s="2">
        <f t="shared" si="278"/>
        <v>0</v>
      </c>
      <c r="AA1562">
        <v>17.8</v>
      </c>
      <c r="AB1562" s="2" t="str">
        <f>CHOOSE(MATCH(AA1562,{0;11;80;111;161;191;241;281;341},1),"North","NorthEast","East","SouthEast","South","SouthWest","West","NorthWest","North")</f>
        <v>NorthEast</v>
      </c>
      <c r="AC1562" s="5">
        <f>CHOOSE(MATCH(AB1562,{"South";"SouthEast";"SouthWest";"North";"NorthEast";"East";"West";"NorthWest"},0),1,2,3,4,5,6,7,8)</f>
        <v>5</v>
      </c>
      <c r="AD1562" s="2">
        <f t="shared" ref="AD1562:AD1621" si="282">IF(OR(AC1562=3,AC1562=4,AC1562=5,AC1562=8),1,0)</f>
        <v>1</v>
      </c>
      <c r="AE1562">
        <v>1020.5</v>
      </c>
      <c r="AF1562" s="4" t="s">
        <v>2428</v>
      </c>
      <c r="AG1562" s="2">
        <f t="shared" ref="AG1562:AG1621" si="283">IF(TIMEVALUE(AF1562)&lt;=TIME(12,30,0),0,1)</f>
        <v>1</v>
      </c>
      <c r="AH1562" t="s">
        <v>2429</v>
      </c>
      <c r="AI1562" s="2">
        <f t="shared" ref="AI1562:AI1621" si="284">MONTH(AH1562)</f>
        <v>11</v>
      </c>
      <c r="AJ1562" s="2">
        <f t="shared" ref="AJ1562:AJ1621" si="285">IF(OR(AI1562=6,AI1562=7,AI1562=8),1,0)</f>
        <v>0</v>
      </c>
      <c r="AK1562" s="3">
        <v>65.999999995110556</v>
      </c>
      <c r="AM1562" s="2">
        <v>0</v>
      </c>
      <c r="AN1562">
        <v>0</v>
      </c>
      <c r="AO1562">
        <v>0.1</v>
      </c>
      <c r="AP1562">
        <v>0</v>
      </c>
      <c r="AQ1562" s="2">
        <f>IF((2*G1562 + M1562 -P1562 + 3*W1562 + 2*Z1562+2*AD1562 + AG1562+2*AJ1562 + 4*AM1562) &gt;=8,1,0)</f>
        <v>0</v>
      </c>
    </row>
    <row r="1563" spans="1:43" x14ac:dyDescent="0.25">
      <c r="A1563" t="s">
        <v>27</v>
      </c>
      <c r="B1563" s="1">
        <v>43494</v>
      </c>
      <c r="C1563" s="7">
        <f t="shared" si="279"/>
        <v>2019</v>
      </c>
      <c r="D1563">
        <v>62.2</v>
      </c>
      <c r="E1563">
        <v>53.7</v>
      </c>
      <c r="F1563">
        <v>57.8</v>
      </c>
      <c r="G1563" s="2">
        <f t="shared" si="276"/>
        <v>0</v>
      </c>
      <c r="H1563">
        <v>62.2</v>
      </c>
      <c r="I1563">
        <v>53.7</v>
      </c>
      <c r="J1563">
        <v>57.8</v>
      </c>
      <c r="K1563">
        <v>47.2</v>
      </c>
      <c r="L1563">
        <v>68.2</v>
      </c>
      <c r="M1563" s="2">
        <f t="shared" si="280"/>
        <v>0</v>
      </c>
      <c r="N1563">
        <v>0</v>
      </c>
      <c r="O1563">
        <f>AVERAGE(N1563:N1617)</f>
        <v>1.1145454545454547E-2</v>
      </c>
      <c r="P1563" s="2">
        <f t="shared" si="281"/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36.9</v>
      </c>
      <c r="W1563" s="2">
        <f t="shared" si="277"/>
        <v>1</v>
      </c>
      <c r="X1563">
        <v>21</v>
      </c>
      <c r="Y1563">
        <f>AVERAGE(X1563:X1617)</f>
        <v>17.790909090909086</v>
      </c>
      <c r="Z1563" s="2">
        <f t="shared" si="278"/>
        <v>1</v>
      </c>
      <c r="AA1563">
        <v>168.1</v>
      </c>
      <c r="AB1563" s="2" t="str">
        <f>CHOOSE(MATCH(AA1563,{0;11;80;111;161;191;241;281;341},1),"North","NorthEast","East","SouthEast","South","SouthWest","West","NorthWest","North")</f>
        <v>South</v>
      </c>
      <c r="AC1563" s="5">
        <f>CHOOSE(MATCH(AB1563,{"South";"SouthEast";"SouthWest";"North";"NorthEast";"East";"West";"NorthWest"},0),1,2,3,4,5,6,7,8)</f>
        <v>1</v>
      </c>
      <c r="AD1563" s="2">
        <f t="shared" si="282"/>
        <v>0</v>
      </c>
      <c r="AE1563">
        <v>1005.2</v>
      </c>
      <c r="AF1563" s="4" t="s">
        <v>2210</v>
      </c>
      <c r="AG1563" s="2">
        <f t="shared" si="283"/>
        <v>1</v>
      </c>
      <c r="AH1563" t="s">
        <v>2430</v>
      </c>
      <c r="AI1563" s="2">
        <f t="shared" si="284"/>
        <v>1</v>
      </c>
      <c r="AJ1563" s="2">
        <f t="shared" si="285"/>
        <v>0</v>
      </c>
      <c r="AK1563" s="3">
        <v>58.000000000465661</v>
      </c>
      <c r="AL1563" s="3">
        <f>AVERAGE(AK1563:AK1617)</f>
        <v>2031.545454545264</v>
      </c>
      <c r="AM1563" s="2">
        <v>0</v>
      </c>
      <c r="AN1563">
        <v>0</v>
      </c>
      <c r="AO1563">
        <v>0.5</v>
      </c>
      <c r="AP1563">
        <v>0</v>
      </c>
      <c r="AQ1563" s="2">
        <f>IF((2*G1563 + M1563 -P1563 + 3*W1563 + 2*Z1563+2*AD1563 + AG1563+2*AJ1563 + 4*AM1563) &gt;=8,1,0)</f>
        <v>0</v>
      </c>
    </row>
    <row r="1564" spans="1:43" x14ac:dyDescent="0.25">
      <c r="A1564" t="s">
        <v>27</v>
      </c>
      <c r="B1564" s="1">
        <v>43501</v>
      </c>
      <c r="C1564" s="7">
        <f t="shared" si="279"/>
        <v>2019</v>
      </c>
      <c r="D1564">
        <v>64.2</v>
      </c>
      <c r="E1564">
        <v>54.5</v>
      </c>
      <c r="F1564">
        <v>58.1</v>
      </c>
      <c r="G1564" s="2">
        <f t="shared" si="276"/>
        <v>0</v>
      </c>
      <c r="H1564">
        <v>64.2</v>
      </c>
      <c r="I1564">
        <v>54.5</v>
      </c>
      <c r="J1564">
        <v>58.1</v>
      </c>
      <c r="K1564">
        <v>48</v>
      </c>
      <c r="L1564">
        <v>70</v>
      </c>
      <c r="M1564" s="2">
        <f t="shared" si="280"/>
        <v>0</v>
      </c>
      <c r="N1564">
        <v>6.0000000000000001E-3</v>
      </c>
      <c r="P1564" s="2">
        <f t="shared" si="281"/>
        <v>1</v>
      </c>
      <c r="Q1564">
        <v>100</v>
      </c>
      <c r="R1564">
        <v>4.17</v>
      </c>
      <c r="S1564" t="s">
        <v>87</v>
      </c>
      <c r="T1564">
        <v>0</v>
      </c>
      <c r="U1564">
        <v>0</v>
      </c>
      <c r="V1564">
        <v>38.299999999999997</v>
      </c>
      <c r="W1564" s="2">
        <f t="shared" si="277"/>
        <v>1</v>
      </c>
      <c r="X1564">
        <v>20.8</v>
      </c>
      <c r="Z1564" s="2">
        <f t="shared" si="278"/>
        <v>1</v>
      </c>
      <c r="AA1564">
        <v>39.1</v>
      </c>
      <c r="AB1564" s="2" t="str">
        <f>CHOOSE(MATCH(AA1564,{0;11;80;111;161;191;241;281;341},1),"North","NorthEast","East","SouthEast","South","SouthWest","West","NorthWest","North")</f>
        <v>NorthEast</v>
      </c>
      <c r="AC1564" s="5">
        <f>CHOOSE(MATCH(AB1564,{"South";"SouthEast";"SouthWest";"North";"NorthEast";"East";"West";"NorthWest"},0),1,2,3,4,5,6,7,8)</f>
        <v>5</v>
      </c>
      <c r="AD1564" s="2">
        <f t="shared" si="282"/>
        <v>1</v>
      </c>
      <c r="AE1564">
        <v>1013.3</v>
      </c>
      <c r="AF1564" s="4" t="s">
        <v>1032</v>
      </c>
      <c r="AG1564" s="2">
        <f t="shared" si="283"/>
        <v>1</v>
      </c>
      <c r="AH1564" t="s">
        <v>2431</v>
      </c>
      <c r="AI1564" s="2">
        <f t="shared" si="284"/>
        <v>2</v>
      </c>
      <c r="AJ1564" s="2">
        <f t="shared" si="285"/>
        <v>0</v>
      </c>
      <c r="AK1564" s="3">
        <v>110.00000000232831</v>
      </c>
      <c r="AM1564" s="2">
        <v>0</v>
      </c>
      <c r="AN1564">
        <v>1</v>
      </c>
      <c r="AO1564">
        <v>0</v>
      </c>
      <c r="AP1564">
        <v>0</v>
      </c>
      <c r="AQ1564" s="2">
        <f>IF((2*G1564 + M1564 -P1564 + 3*W1564 + 2*Z1564+2*AD1564 + AG1564+2*AJ1564 + 4*AM1564) &gt;=8,1,0)</f>
        <v>0</v>
      </c>
    </row>
    <row r="1565" spans="1:43" x14ac:dyDescent="0.25">
      <c r="A1565" t="s">
        <v>27</v>
      </c>
      <c r="B1565" s="1">
        <v>43522</v>
      </c>
      <c r="C1565" s="7">
        <f t="shared" si="279"/>
        <v>2019</v>
      </c>
      <c r="D1565">
        <v>57</v>
      </c>
      <c r="E1565">
        <v>41.7</v>
      </c>
      <c r="F1565">
        <v>48</v>
      </c>
      <c r="G1565" s="2">
        <f t="shared" si="276"/>
        <v>0</v>
      </c>
      <c r="H1565">
        <v>57</v>
      </c>
      <c r="I1565">
        <v>32.1</v>
      </c>
      <c r="J1565">
        <v>44.6</v>
      </c>
      <c r="K1565">
        <v>33.5</v>
      </c>
      <c r="L1565">
        <v>58.2</v>
      </c>
      <c r="M1565" s="2">
        <f t="shared" si="280"/>
        <v>0</v>
      </c>
      <c r="N1565">
        <v>2E-3</v>
      </c>
      <c r="P1565" s="2">
        <f t="shared" si="281"/>
        <v>1</v>
      </c>
      <c r="Q1565">
        <v>100</v>
      </c>
      <c r="R1565">
        <v>4.17</v>
      </c>
      <c r="S1565" t="s">
        <v>87</v>
      </c>
      <c r="T1565">
        <v>0</v>
      </c>
      <c r="U1565">
        <v>0</v>
      </c>
      <c r="V1565">
        <v>38</v>
      </c>
      <c r="W1565" s="2">
        <f t="shared" si="277"/>
        <v>1</v>
      </c>
      <c r="X1565">
        <v>23.4</v>
      </c>
      <c r="Z1565" s="2">
        <f t="shared" si="278"/>
        <v>1</v>
      </c>
      <c r="AA1565">
        <v>341.4</v>
      </c>
      <c r="AB1565" s="2" t="str">
        <f>CHOOSE(MATCH(AA1565,{0;11;80;111;161;191;241;281;341},1),"North","NorthEast","East","SouthEast","South","SouthWest","West","NorthWest","North")</f>
        <v>North</v>
      </c>
      <c r="AC1565" s="5">
        <f>CHOOSE(MATCH(AB1565,{"South";"SouthEast";"SouthWest";"North";"NorthEast";"East";"West";"NorthWest"},0),1,2,3,4,5,6,7,8)</f>
        <v>4</v>
      </c>
      <c r="AD1565" s="2">
        <f t="shared" si="282"/>
        <v>1</v>
      </c>
      <c r="AE1565">
        <v>1017.3</v>
      </c>
      <c r="AF1565" s="4" t="s">
        <v>2432</v>
      </c>
      <c r="AG1565" s="2">
        <f t="shared" si="283"/>
        <v>1</v>
      </c>
      <c r="AH1565" t="s">
        <v>2433</v>
      </c>
      <c r="AI1565" s="2">
        <f t="shared" si="284"/>
        <v>2</v>
      </c>
      <c r="AJ1565" s="2">
        <f t="shared" si="285"/>
        <v>0</v>
      </c>
      <c r="AK1565" s="3">
        <v>45</v>
      </c>
      <c r="AM1565" s="2">
        <v>0</v>
      </c>
      <c r="AN1565">
        <v>0</v>
      </c>
      <c r="AO1565">
        <v>0.1</v>
      </c>
      <c r="AP1565">
        <v>0</v>
      </c>
      <c r="AQ1565" s="2">
        <f>IF((2*G1565 + M1565 -P1565 + 3*W1565 + 2*Z1565+2*AD1565 + AG1565+2*AJ1565 + 4*AM1565) &gt;=8,1,0)</f>
        <v>0</v>
      </c>
    </row>
    <row r="1566" spans="1:43" x14ac:dyDescent="0.25">
      <c r="A1566" t="s">
        <v>27</v>
      </c>
      <c r="B1566" s="1">
        <v>43548</v>
      </c>
      <c r="C1566" s="7">
        <f t="shared" si="279"/>
        <v>2019</v>
      </c>
      <c r="D1566">
        <v>59.8</v>
      </c>
      <c r="E1566">
        <v>51.1</v>
      </c>
      <c r="F1566">
        <v>55.6</v>
      </c>
      <c r="G1566" s="2">
        <f t="shared" si="276"/>
        <v>0</v>
      </c>
      <c r="H1566">
        <v>59.8</v>
      </c>
      <c r="I1566">
        <v>51.1</v>
      </c>
      <c r="J1566">
        <v>55.6</v>
      </c>
      <c r="K1566">
        <v>35.6</v>
      </c>
      <c r="L1566">
        <v>47.7</v>
      </c>
      <c r="M1566" s="2">
        <f t="shared" si="280"/>
        <v>1</v>
      </c>
      <c r="N1566">
        <v>0</v>
      </c>
      <c r="P1566" s="2">
        <f t="shared" si="281"/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33.1</v>
      </c>
      <c r="W1566" s="2">
        <f t="shared" si="277"/>
        <v>1</v>
      </c>
      <c r="X1566">
        <v>19.5</v>
      </c>
      <c r="Z1566" s="2">
        <f t="shared" si="278"/>
        <v>1</v>
      </c>
      <c r="AA1566">
        <v>5</v>
      </c>
      <c r="AB1566" s="2" t="str">
        <f>CHOOSE(MATCH(AA1566,{0;11;80;111;161;191;241;281;341},1),"North","NorthEast","East","SouthEast","South","SouthWest","West","NorthWest","North")</f>
        <v>North</v>
      </c>
      <c r="AC1566" s="5">
        <f>CHOOSE(MATCH(AB1566,{"South";"SouthEast";"SouthWest";"North";"NorthEast";"East";"West";"NorthWest"},0),1,2,3,4,5,6,7,8)</f>
        <v>4</v>
      </c>
      <c r="AD1566" s="2">
        <f t="shared" si="282"/>
        <v>1</v>
      </c>
      <c r="AE1566">
        <v>1019.1</v>
      </c>
      <c r="AF1566" s="4" t="s">
        <v>2038</v>
      </c>
      <c r="AG1566" s="2">
        <f t="shared" si="283"/>
        <v>1</v>
      </c>
      <c r="AH1566" t="s">
        <v>2434</v>
      </c>
      <c r="AI1566" s="2">
        <f t="shared" si="284"/>
        <v>3</v>
      </c>
      <c r="AJ1566" s="2">
        <f t="shared" si="285"/>
        <v>0</v>
      </c>
      <c r="AK1566" s="3">
        <v>40.999999997438863</v>
      </c>
      <c r="AM1566" s="2">
        <v>0</v>
      </c>
      <c r="AN1566">
        <v>0</v>
      </c>
      <c r="AO1566">
        <v>1</v>
      </c>
      <c r="AP1566">
        <v>0</v>
      </c>
      <c r="AQ1566" s="2">
        <f>IF((2*G1566 + M1566 -P1566 + 3*W1566 + 2*Z1566+2*AD1566 + AG1566+2*AJ1566 + 4*AM1566) &gt;=8,1,0)</f>
        <v>1</v>
      </c>
    </row>
    <row r="1567" spans="1:43" x14ac:dyDescent="0.25">
      <c r="A1567" t="s">
        <v>27</v>
      </c>
      <c r="B1567" s="1">
        <v>43556</v>
      </c>
      <c r="C1567" s="7">
        <f t="shared" si="279"/>
        <v>2019</v>
      </c>
      <c r="D1567">
        <v>65.2</v>
      </c>
      <c r="E1567">
        <v>50</v>
      </c>
      <c r="F1567">
        <v>57.6</v>
      </c>
      <c r="G1567" s="2">
        <f t="shared" si="276"/>
        <v>0</v>
      </c>
      <c r="H1567">
        <v>65.2</v>
      </c>
      <c r="I1567">
        <v>50</v>
      </c>
      <c r="J1567">
        <v>57.6</v>
      </c>
      <c r="K1567">
        <v>36.700000000000003</v>
      </c>
      <c r="L1567">
        <v>46.2</v>
      </c>
      <c r="M1567" s="2">
        <f t="shared" si="280"/>
        <v>1</v>
      </c>
      <c r="N1567">
        <v>0</v>
      </c>
      <c r="P1567" s="2">
        <f t="shared" si="281"/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32.4</v>
      </c>
      <c r="W1567" s="2">
        <f t="shared" si="277"/>
        <v>1</v>
      </c>
      <c r="X1567">
        <v>17.5</v>
      </c>
      <c r="Z1567" s="2">
        <f t="shared" si="278"/>
        <v>1</v>
      </c>
      <c r="AA1567">
        <v>12</v>
      </c>
      <c r="AB1567" s="2" t="str">
        <f>CHOOSE(MATCH(AA1567,{0;11;80;111;161;191;241;281;341},1),"North","NorthEast","East","SouthEast","South","SouthWest","West","NorthWest","North")</f>
        <v>NorthEast</v>
      </c>
      <c r="AC1567" s="5">
        <f>CHOOSE(MATCH(AB1567,{"South";"SouthEast";"SouthWest";"North";"NorthEast";"East";"West";"NorthWest"},0),1,2,3,4,5,6,7,8)</f>
        <v>5</v>
      </c>
      <c r="AD1567" s="2">
        <f t="shared" si="282"/>
        <v>1</v>
      </c>
      <c r="AE1567">
        <v>1018.2</v>
      </c>
      <c r="AF1567" s="4" t="s">
        <v>2275</v>
      </c>
      <c r="AG1567" s="2">
        <f t="shared" si="283"/>
        <v>1</v>
      </c>
      <c r="AH1567" t="s">
        <v>2435</v>
      </c>
      <c r="AI1567" s="2">
        <f t="shared" si="284"/>
        <v>4</v>
      </c>
      <c r="AJ1567" s="2">
        <f t="shared" si="285"/>
        <v>0</v>
      </c>
      <c r="AK1567" s="3">
        <v>105.00000000698491</v>
      </c>
      <c r="AM1567" s="2">
        <v>0</v>
      </c>
      <c r="AN1567">
        <v>0.1</v>
      </c>
      <c r="AO1567">
        <v>0</v>
      </c>
      <c r="AP1567">
        <v>0</v>
      </c>
      <c r="AQ1567" s="2">
        <f>IF((2*G1567 + M1567 -P1567 + 3*W1567 + 2*Z1567+2*AD1567 + AG1567+2*AJ1567 + 4*AM1567) &gt;=8,1,0)</f>
        <v>1</v>
      </c>
    </row>
    <row r="1568" spans="1:43" x14ac:dyDescent="0.25">
      <c r="A1568" t="s">
        <v>27</v>
      </c>
      <c r="B1568" s="1">
        <v>43591</v>
      </c>
      <c r="C1568" s="7">
        <f t="shared" si="279"/>
        <v>2019</v>
      </c>
      <c r="D1568">
        <v>73.900000000000006</v>
      </c>
      <c r="E1568">
        <v>54.5</v>
      </c>
      <c r="F1568">
        <v>64.2</v>
      </c>
      <c r="G1568" s="2">
        <f t="shared" si="276"/>
        <v>0</v>
      </c>
      <c r="H1568">
        <v>73.900000000000006</v>
      </c>
      <c r="I1568">
        <v>54.5</v>
      </c>
      <c r="J1568">
        <v>64.2</v>
      </c>
      <c r="K1568">
        <v>49.2</v>
      </c>
      <c r="L1568">
        <v>61.4</v>
      </c>
      <c r="M1568" s="2">
        <f t="shared" si="280"/>
        <v>0</v>
      </c>
      <c r="N1568">
        <v>0</v>
      </c>
      <c r="P1568" s="2">
        <f t="shared" si="281"/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30.6</v>
      </c>
      <c r="W1568" s="2">
        <f t="shared" si="277"/>
        <v>1</v>
      </c>
      <c r="X1568">
        <v>18.2</v>
      </c>
      <c r="Z1568" s="2">
        <f t="shared" si="278"/>
        <v>1</v>
      </c>
      <c r="AA1568">
        <v>240.4</v>
      </c>
      <c r="AB1568" s="2" t="str">
        <f>CHOOSE(MATCH(AA1568,{0;11;80;111;161;191;241;281;341},1),"North","NorthEast","East","SouthEast","South","SouthWest","West","NorthWest","North")</f>
        <v>SouthWest</v>
      </c>
      <c r="AC1568" s="5">
        <f>CHOOSE(MATCH(AB1568,{"South";"SouthEast";"SouthWest";"North";"NorthEast";"East";"West";"NorthWest"},0),1,2,3,4,5,6,7,8)</f>
        <v>3</v>
      </c>
      <c r="AD1568" s="2">
        <f t="shared" si="282"/>
        <v>1</v>
      </c>
      <c r="AE1568">
        <v>1010.8</v>
      </c>
      <c r="AF1568" s="4" t="s">
        <v>1042</v>
      </c>
      <c r="AG1568" s="2">
        <f t="shared" si="283"/>
        <v>1</v>
      </c>
      <c r="AH1568" t="s">
        <v>2437</v>
      </c>
      <c r="AI1568" s="2">
        <f t="shared" si="284"/>
        <v>5</v>
      </c>
      <c r="AJ1568" s="2">
        <f t="shared" si="285"/>
        <v>0</v>
      </c>
      <c r="AK1568" s="3">
        <v>64.999999991850927</v>
      </c>
      <c r="AM1568" s="2">
        <v>0</v>
      </c>
      <c r="AN1568">
        <v>0.04</v>
      </c>
      <c r="AO1568">
        <v>0</v>
      </c>
      <c r="AP1568">
        <v>0</v>
      </c>
      <c r="AQ1568" s="2">
        <f>IF((2*G1568 + M1568 -P1568 + 3*W1568 + 2*Z1568+2*AD1568 + AG1568+2*AJ1568 + 4*AM1568) &gt;=8,1,0)</f>
        <v>0</v>
      </c>
    </row>
    <row r="1569" spans="1:43" x14ac:dyDescent="0.25">
      <c r="A1569" t="s">
        <v>27</v>
      </c>
      <c r="B1569" s="1">
        <v>43591</v>
      </c>
      <c r="C1569" s="7">
        <f t="shared" si="279"/>
        <v>2019</v>
      </c>
      <c r="D1569">
        <v>73.900000000000006</v>
      </c>
      <c r="E1569">
        <v>54.5</v>
      </c>
      <c r="F1569">
        <v>64.2</v>
      </c>
      <c r="G1569" s="2">
        <f t="shared" si="276"/>
        <v>0</v>
      </c>
      <c r="H1569">
        <v>73.900000000000006</v>
      </c>
      <c r="I1569">
        <v>54.5</v>
      </c>
      <c r="J1569">
        <v>64.2</v>
      </c>
      <c r="K1569">
        <v>49.2</v>
      </c>
      <c r="L1569">
        <v>61.4</v>
      </c>
      <c r="M1569" s="2">
        <f t="shared" si="280"/>
        <v>0</v>
      </c>
      <c r="N1569">
        <v>0</v>
      </c>
      <c r="P1569" s="2">
        <f t="shared" si="281"/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30.6</v>
      </c>
      <c r="W1569" s="2">
        <f t="shared" si="277"/>
        <v>1</v>
      </c>
      <c r="X1569">
        <v>18.2</v>
      </c>
      <c r="Z1569" s="2">
        <f t="shared" si="278"/>
        <v>1</v>
      </c>
      <c r="AA1569">
        <v>240.4</v>
      </c>
      <c r="AB1569" s="2" t="str">
        <f>CHOOSE(MATCH(AA1569,{0;11;80;111;161;191;241;281;341},1),"North","NorthEast","East","SouthEast","South","SouthWest","West","NorthWest","North")</f>
        <v>SouthWest</v>
      </c>
      <c r="AC1569" s="5">
        <f>CHOOSE(MATCH(AB1569,{"South";"SouthEast";"SouthWest";"North";"NorthEast";"East";"West";"NorthWest"},0),1,2,3,4,5,6,7,8)</f>
        <v>3</v>
      </c>
      <c r="AD1569" s="2">
        <f t="shared" si="282"/>
        <v>1</v>
      </c>
      <c r="AE1569">
        <v>1010.8</v>
      </c>
      <c r="AF1569" s="4" t="s">
        <v>1171</v>
      </c>
      <c r="AG1569" s="2">
        <f t="shared" si="283"/>
        <v>1</v>
      </c>
      <c r="AH1569" t="s">
        <v>2438</v>
      </c>
      <c r="AI1569" s="2">
        <f t="shared" si="284"/>
        <v>5</v>
      </c>
      <c r="AJ1569" s="2">
        <f t="shared" si="285"/>
        <v>0</v>
      </c>
      <c r="AK1569" s="3">
        <v>79.999999998835847</v>
      </c>
      <c r="AM1569" s="2">
        <v>0</v>
      </c>
      <c r="AN1569">
        <v>0.05</v>
      </c>
      <c r="AO1569">
        <v>0</v>
      </c>
      <c r="AP1569">
        <v>0</v>
      </c>
      <c r="AQ1569" s="2">
        <f>IF((2*G1569 + M1569 -P1569 + 3*W1569 + 2*Z1569+2*AD1569 + AG1569+2*AJ1569 + 4*AM1569) &gt;=8,1,0)</f>
        <v>0</v>
      </c>
    </row>
    <row r="1570" spans="1:43" x14ac:dyDescent="0.25">
      <c r="A1570" t="s">
        <v>27</v>
      </c>
      <c r="B1570" s="1">
        <v>43620</v>
      </c>
      <c r="C1570" s="7">
        <f t="shared" si="279"/>
        <v>2019</v>
      </c>
      <c r="D1570">
        <v>78.2</v>
      </c>
      <c r="E1570">
        <v>61.9</v>
      </c>
      <c r="F1570">
        <v>71.099999999999994</v>
      </c>
      <c r="G1570" s="2">
        <f t="shared" si="276"/>
        <v>0</v>
      </c>
      <c r="H1570">
        <v>78.2</v>
      </c>
      <c r="I1570">
        <v>61.9</v>
      </c>
      <c r="J1570">
        <v>71.099999999999994</v>
      </c>
      <c r="K1570">
        <v>53.5</v>
      </c>
      <c r="L1570">
        <v>54.3</v>
      </c>
      <c r="M1570" s="2">
        <f t="shared" si="280"/>
        <v>0</v>
      </c>
      <c r="N1570">
        <v>0</v>
      </c>
      <c r="P1570" s="2">
        <f t="shared" si="281"/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23</v>
      </c>
      <c r="W1570" s="2">
        <f t="shared" si="277"/>
        <v>1</v>
      </c>
      <c r="X1570">
        <v>13.7</v>
      </c>
      <c r="Z1570" s="2">
        <f t="shared" si="278"/>
        <v>0</v>
      </c>
      <c r="AA1570">
        <v>213.7</v>
      </c>
      <c r="AB1570" s="2" t="str">
        <f>CHOOSE(MATCH(AA1570,{0;11;80;111;161;191;241;281;341},1),"North","NorthEast","East","SouthEast","South","SouthWest","West","NorthWest","North")</f>
        <v>SouthWest</v>
      </c>
      <c r="AC1570" s="5">
        <f>CHOOSE(MATCH(AB1570,{"South";"SouthEast";"SouthWest";"North";"NorthEast";"East";"West";"NorthWest"},0),1,2,3,4,5,6,7,8)</f>
        <v>3</v>
      </c>
      <c r="AD1570" s="2">
        <f t="shared" si="282"/>
        <v>1</v>
      </c>
      <c r="AE1570">
        <v>1018.9</v>
      </c>
      <c r="AF1570" s="4" t="s">
        <v>1876</v>
      </c>
      <c r="AG1570" s="2">
        <f t="shared" si="283"/>
        <v>1</v>
      </c>
      <c r="AH1570" t="s">
        <v>2439</v>
      </c>
      <c r="AI1570" s="2">
        <f t="shared" si="284"/>
        <v>6</v>
      </c>
      <c r="AJ1570" s="2">
        <f t="shared" si="285"/>
        <v>1</v>
      </c>
      <c r="AK1570" s="3">
        <v>153.99999999906871</v>
      </c>
      <c r="AM1570" s="2">
        <v>0</v>
      </c>
      <c r="AN1570">
        <v>0</v>
      </c>
      <c r="AO1570">
        <v>0.2</v>
      </c>
      <c r="AP1570">
        <v>0</v>
      </c>
      <c r="AQ1570" s="2">
        <f>IF((2*G1570 + M1570 -P1570 + 3*W1570 + 2*Z1570+2*AD1570 + AG1570+2*AJ1570 + 4*AM1570) &gt;=8,1,0)</f>
        <v>0</v>
      </c>
    </row>
    <row r="1571" spans="1:43" x14ac:dyDescent="0.25">
      <c r="A1571" t="s">
        <v>27</v>
      </c>
      <c r="B1571" s="1">
        <v>43630</v>
      </c>
      <c r="C1571" s="7">
        <f t="shared" si="279"/>
        <v>2019</v>
      </c>
      <c r="D1571">
        <v>93.9</v>
      </c>
      <c r="E1571">
        <v>67.8</v>
      </c>
      <c r="F1571">
        <v>81.7</v>
      </c>
      <c r="G1571" s="2">
        <f t="shared" si="276"/>
        <v>1</v>
      </c>
      <c r="H1571">
        <v>92.2</v>
      </c>
      <c r="I1571">
        <v>67.8</v>
      </c>
      <c r="J1571">
        <v>80.900000000000006</v>
      </c>
      <c r="K1571">
        <v>57.1</v>
      </c>
      <c r="L1571">
        <v>46.2</v>
      </c>
      <c r="M1571" s="2">
        <f t="shared" si="280"/>
        <v>1</v>
      </c>
      <c r="N1571">
        <v>0</v>
      </c>
      <c r="P1571" s="2">
        <f t="shared" si="281"/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17.7</v>
      </c>
      <c r="W1571" s="2">
        <f t="shared" si="277"/>
        <v>1</v>
      </c>
      <c r="X1571">
        <v>11.9</v>
      </c>
      <c r="Z1571" s="2">
        <f t="shared" si="278"/>
        <v>0</v>
      </c>
      <c r="AA1571">
        <v>55.8</v>
      </c>
      <c r="AB1571" s="2" t="str">
        <f>CHOOSE(MATCH(AA1571,{0;11;80;111;161;191;241;281;341},1),"North","NorthEast","East","SouthEast","South","SouthWest","West","NorthWest","North")</f>
        <v>NorthEast</v>
      </c>
      <c r="AC1571" s="5">
        <f>CHOOSE(MATCH(AB1571,{"South";"SouthEast";"SouthWest";"North";"NorthEast";"East";"West";"NorthWest"},0),1,2,3,4,5,6,7,8)</f>
        <v>5</v>
      </c>
      <c r="AD1571" s="2">
        <f t="shared" si="282"/>
        <v>1</v>
      </c>
      <c r="AE1571">
        <v>1014.1</v>
      </c>
      <c r="AF1571" s="4" t="s">
        <v>1249</v>
      </c>
      <c r="AG1571" s="2">
        <f t="shared" si="283"/>
        <v>1</v>
      </c>
      <c r="AH1571" t="s">
        <v>2440</v>
      </c>
      <c r="AI1571" s="2">
        <f t="shared" si="284"/>
        <v>6</v>
      </c>
      <c r="AJ1571" s="2">
        <f t="shared" si="285"/>
        <v>1</v>
      </c>
      <c r="AK1571" s="3">
        <v>1055.999999995111</v>
      </c>
      <c r="AM1571" s="2">
        <v>1</v>
      </c>
      <c r="AN1571">
        <v>0</v>
      </c>
      <c r="AO1571">
        <v>2</v>
      </c>
      <c r="AP1571">
        <v>0</v>
      </c>
      <c r="AQ1571" s="2">
        <f>IF((2*G1571 + M1571 -P1571 + 3*W1571 + 2*Z1571+2*AD1571 + AG1571+2*AJ1571 + 4*AM1571) &gt;=8,1,0)</f>
        <v>1</v>
      </c>
    </row>
    <row r="1572" spans="1:43" x14ac:dyDescent="0.25">
      <c r="A1572" t="s">
        <v>27</v>
      </c>
      <c r="B1572" s="1">
        <v>43630</v>
      </c>
      <c r="C1572" s="7">
        <f t="shared" si="279"/>
        <v>2019</v>
      </c>
      <c r="D1572">
        <v>93.9</v>
      </c>
      <c r="E1572">
        <v>67.8</v>
      </c>
      <c r="F1572">
        <v>81.7</v>
      </c>
      <c r="G1572" s="2">
        <f t="shared" si="276"/>
        <v>1</v>
      </c>
      <c r="H1572">
        <v>92.2</v>
      </c>
      <c r="I1572">
        <v>67.8</v>
      </c>
      <c r="J1572">
        <v>80.900000000000006</v>
      </c>
      <c r="K1572">
        <v>57.1</v>
      </c>
      <c r="L1572">
        <v>46.2</v>
      </c>
      <c r="M1572" s="2">
        <f t="shared" si="280"/>
        <v>1</v>
      </c>
      <c r="N1572">
        <v>0</v>
      </c>
      <c r="P1572" s="2">
        <f t="shared" si="281"/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17.7</v>
      </c>
      <c r="W1572" s="2">
        <f t="shared" si="277"/>
        <v>1</v>
      </c>
      <c r="X1572">
        <v>11.9</v>
      </c>
      <c r="Z1572" s="2">
        <f t="shared" si="278"/>
        <v>0</v>
      </c>
      <c r="AA1572">
        <v>55.8</v>
      </c>
      <c r="AB1572" s="2" t="str">
        <f>CHOOSE(MATCH(AA1572,{0;11;80;111;161;191;241;281;341},1),"North","NorthEast","East","SouthEast","South","SouthWest","West","NorthWest","North")</f>
        <v>NorthEast</v>
      </c>
      <c r="AC1572" s="5">
        <f>CHOOSE(MATCH(AB1572,{"South";"SouthEast";"SouthWest";"North";"NorthEast";"East";"West";"NorthWest"},0),1,2,3,4,5,6,7,8)</f>
        <v>5</v>
      </c>
      <c r="AD1572" s="2">
        <f t="shared" si="282"/>
        <v>1</v>
      </c>
      <c r="AE1572">
        <v>1014.1</v>
      </c>
      <c r="AF1572" s="4" t="s">
        <v>2375</v>
      </c>
      <c r="AG1572" s="2">
        <f t="shared" si="283"/>
        <v>1</v>
      </c>
      <c r="AH1572" t="s">
        <v>2441</v>
      </c>
      <c r="AI1572" s="2">
        <f t="shared" si="284"/>
        <v>6</v>
      </c>
      <c r="AJ1572" s="2">
        <f t="shared" si="285"/>
        <v>1</v>
      </c>
      <c r="AK1572" s="3">
        <v>111.9999999983702</v>
      </c>
      <c r="AM1572" s="2">
        <v>0</v>
      </c>
      <c r="AN1572">
        <v>0.5</v>
      </c>
      <c r="AO1572">
        <v>0</v>
      </c>
      <c r="AP1572">
        <v>0</v>
      </c>
      <c r="AQ1572" s="2">
        <f>IF((2*G1572 + M1572 -P1572 + 3*W1572 + 2*Z1572+2*AD1572 + AG1572+2*AJ1572 + 4*AM1572) &gt;=8,1,0)</f>
        <v>1</v>
      </c>
    </row>
    <row r="1573" spans="1:43" x14ac:dyDescent="0.25">
      <c r="A1573" t="s">
        <v>27</v>
      </c>
      <c r="B1573" s="1">
        <v>43635</v>
      </c>
      <c r="C1573" s="7">
        <f t="shared" si="279"/>
        <v>2019</v>
      </c>
      <c r="D1573">
        <v>86.7</v>
      </c>
      <c r="E1573">
        <v>69.5</v>
      </c>
      <c r="F1573">
        <v>77.400000000000006</v>
      </c>
      <c r="G1573" s="2">
        <f t="shared" si="276"/>
        <v>1</v>
      </c>
      <c r="H1573">
        <v>86.8</v>
      </c>
      <c r="I1573">
        <v>69.5</v>
      </c>
      <c r="J1573">
        <v>77.599999999999994</v>
      </c>
      <c r="K1573">
        <v>61.1</v>
      </c>
      <c r="L1573">
        <v>58.3</v>
      </c>
      <c r="M1573" s="2">
        <f t="shared" si="280"/>
        <v>0</v>
      </c>
      <c r="N1573">
        <v>0.34699999999999998</v>
      </c>
      <c r="P1573" s="2">
        <f t="shared" si="281"/>
        <v>0</v>
      </c>
      <c r="Q1573">
        <v>100</v>
      </c>
      <c r="R1573">
        <v>8.33</v>
      </c>
      <c r="S1573" t="s">
        <v>87</v>
      </c>
      <c r="T1573">
        <v>0</v>
      </c>
      <c r="U1573">
        <v>0</v>
      </c>
      <c r="V1573">
        <v>24.5</v>
      </c>
      <c r="W1573" s="2">
        <f t="shared" si="277"/>
        <v>1</v>
      </c>
      <c r="X1573">
        <v>10.4</v>
      </c>
      <c r="Z1573" s="2">
        <f t="shared" si="278"/>
        <v>0</v>
      </c>
      <c r="AA1573">
        <v>357.2</v>
      </c>
      <c r="AB1573" s="2" t="str">
        <f>CHOOSE(MATCH(AA1573,{0;11;80;111;161;191;241;281;341},1),"North","NorthEast","East","SouthEast","South","SouthWest","West","NorthWest","North")</f>
        <v>North</v>
      </c>
      <c r="AC1573" s="5">
        <f>CHOOSE(MATCH(AB1573,{"South";"SouthEast";"SouthWest";"North";"NorthEast";"East";"West";"NorthWest"},0),1,2,3,4,5,6,7,8)</f>
        <v>4</v>
      </c>
      <c r="AD1573" s="2">
        <f t="shared" si="282"/>
        <v>1</v>
      </c>
      <c r="AE1573">
        <v>1013.3</v>
      </c>
      <c r="AF1573" s="4" t="s">
        <v>1876</v>
      </c>
      <c r="AG1573" s="2">
        <f t="shared" si="283"/>
        <v>1</v>
      </c>
      <c r="AH1573" t="s">
        <v>2442</v>
      </c>
      <c r="AI1573" s="2">
        <f t="shared" si="284"/>
        <v>6</v>
      </c>
      <c r="AJ1573" s="2">
        <f t="shared" si="285"/>
        <v>1</v>
      </c>
      <c r="AK1573" s="3">
        <v>79.000000006053597</v>
      </c>
      <c r="AM1573" s="2">
        <v>0</v>
      </c>
      <c r="AN1573">
        <v>0</v>
      </c>
      <c r="AO1573">
        <v>1</v>
      </c>
      <c r="AP1573">
        <v>0</v>
      </c>
      <c r="AQ1573" s="2">
        <f>IF((2*G1573 + M1573 -P1573 + 3*W1573 + 2*Z1573+2*AD1573 + AG1573+2*AJ1573 + 4*AM1573) &gt;=8,1,0)</f>
        <v>1</v>
      </c>
    </row>
    <row r="1574" spans="1:43" x14ac:dyDescent="0.25">
      <c r="A1574" t="s">
        <v>27</v>
      </c>
      <c r="B1574" s="1">
        <v>43638</v>
      </c>
      <c r="C1574" s="7">
        <f t="shared" si="279"/>
        <v>2019</v>
      </c>
      <c r="D1574">
        <v>93.1</v>
      </c>
      <c r="E1574">
        <v>70.099999999999994</v>
      </c>
      <c r="F1574">
        <v>82.6</v>
      </c>
      <c r="G1574" s="2">
        <f t="shared" si="276"/>
        <v>1</v>
      </c>
      <c r="H1574">
        <v>92.2</v>
      </c>
      <c r="I1574">
        <v>70.099999999999994</v>
      </c>
      <c r="J1574">
        <v>82.1</v>
      </c>
      <c r="K1574">
        <v>58.6</v>
      </c>
      <c r="L1574">
        <v>46.4</v>
      </c>
      <c r="M1574" s="2">
        <f t="shared" si="280"/>
        <v>1</v>
      </c>
      <c r="N1574">
        <v>0</v>
      </c>
      <c r="P1574" s="2">
        <f t="shared" si="281"/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23.9</v>
      </c>
      <c r="W1574" s="2">
        <f t="shared" si="277"/>
        <v>1</v>
      </c>
      <c r="X1574">
        <v>15.1</v>
      </c>
      <c r="Z1574" s="2">
        <f t="shared" si="278"/>
        <v>0</v>
      </c>
      <c r="AA1574">
        <v>6.5</v>
      </c>
      <c r="AB1574" s="2" t="str">
        <f>CHOOSE(MATCH(AA1574,{0;11;80;111;161;191;241;281;341},1),"North","NorthEast","East","SouthEast","South","SouthWest","West","NorthWest","North")</f>
        <v>North</v>
      </c>
      <c r="AC1574" s="5">
        <f>CHOOSE(MATCH(AB1574,{"South";"SouthEast";"SouthWest";"North";"NorthEast";"East";"West";"NorthWest"},0),1,2,3,4,5,6,7,8)</f>
        <v>4</v>
      </c>
      <c r="AD1574" s="2">
        <f t="shared" si="282"/>
        <v>1</v>
      </c>
      <c r="AE1574">
        <v>1010</v>
      </c>
      <c r="AF1574" s="4" t="s">
        <v>1905</v>
      </c>
      <c r="AG1574" s="2">
        <f t="shared" si="283"/>
        <v>0</v>
      </c>
      <c r="AH1574" t="s">
        <v>2443</v>
      </c>
      <c r="AI1574" s="2">
        <f t="shared" si="284"/>
        <v>6</v>
      </c>
      <c r="AJ1574" s="2">
        <f t="shared" si="285"/>
        <v>1</v>
      </c>
      <c r="AK1574" s="3">
        <v>4502.0000000065193</v>
      </c>
      <c r="AM1574" s="2">
        <v>1</v>
      </c>
      <c r="AN1574">
        <v>0</v>
      </c>
      <c r="AO1574">
        <v>110</v>
      </c>
      <c r="AP1574">
        <v>0</v>
      </c>
      <c r="AQ1574" s="2">
        <f>IF((2*G1574 + M1574 -P1574 + 3*W1574 + 2*Z1574+2*AD1574 + AG1574+2*AJ1574 + 4*AM1574) &gt;=8,1,0)</f>
        <v>1</v>
      </c>
    </row>
    <row r="1575" spans="1:43" x14ac:dyDescent="0.25">
      <c r="A1575" t="s">
        <v>27</v>
      </c>
      <c r="B1575" s="1">
        <v>43646</v>
      </c>
      <c r="C1575" s="7">
        <f t="shared" si="279"/>
        <v>2019</v>
      </c>
      <c r="D1575">
        <v>84.5</v>
      </c>
      <c r="E1575">
        <v>73.2</v>
      </c>
      <c r="F1575">
        <v>78.7</v>
      </c>
      <c r="G1575" s="2">
        <f t="shared" si="276"/>
        <v>1</v>
      </c>
      <c r="H1575">
        <v>82.3</v>
      </c>
      <c r="I1575">
        <v>73.2</v>
      </c>
      <c r="J1575">
        <v>78</v>
      </c>
      <c r="K1575">
        <v>50.3</v>
      </c>
      <c r="L1575">
        <v>38.1</v>
      </c>
      <c r="M1575" s="2">
        <f t="shared" si="280"/>
        <v>1</v>
      </c>
      <c r="N1575">
        <v>0</v>
      </c>
      <c r="P1575" s="2">
        <f t="shared" si="281"/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33.9</v>
      </c>
      <c r="W1575" s="2">
        <f t="shared" si="277"/>
        <v>1</v>
      </c>
      <c r="X1575">
        <v>21</v>
      </c>
      <c r="Z1575" s="2">
        <f t="shared" si="278"/>
        <v>1</v>
      </c>
      <c r="AA1575">
        <v>12.1</v>
      </c>
      <c r="AB1575" s="2" t="str">
        <f>CHOOSE(MATCH(AA1575,{0;11;80;111;161;191;241;281;341},1),"North","NorthEast","East","SouthEast","South","SouthWest","West","NorthWest","North")</f>
        <v>NorthEast</v>
      </c>
      <c r="AC1575" s="5">
        <f>CHOOSE(MATCH(AB1575,{"South";"SouthEast";"SouthWest";"North";"NorthEast";"East";"West";"NorthWest"},0),1,2,3,4,5,6,7,8)</f>
        <v>5</v>
      </c>
      <c r="AD1575" s="2">
        <f t="shared" si="282"/>
        <v>1</v>
      </c>
      <c r="AE1575">
        <v>1015.9</v>
      </c>
      <c r="AF1575" s="4" t="s">
        <v>2444</v>
      </c>
      <c r="AG1575" s="2">
        <f t="shared" si="283"/>
        <v>1</v>
      </c>
      <c r="AH1575" t="s">
        <v>2445</v>
      </c>
      <c r="AI1575" s="2">
        <f t="shared" si="284"/>
        <v>6</v>
      </c>
      <c r="AJ1575" s="2">
        <f t="shared" si="285"/>
        <v>1</v>
      </c>
      <c r="AK1575" s="3">
        <v>1.000000003259629</v>
      </c>
      <c r="AM1575" s="2">
        <v>0</v>
      </c>
      <c r="AN1575">
        <v>20</v>
      </c>
      <c r="AO1575">
        <v>0</v>
      </c>
      <c r="AP1575">
        <v>0</v>
      </c>
      <c r="AQ1575" s="2">
        <f>IF((2*G1575 + M1575 -P1575 + 3*W1575 + 2*Z1575+2*AD1575 + AG1575+2*AJ1575 + 4*AM1575) &gt;=8,1,0)</f>
        <v>1</v>
      </c>
    </row>
    <row r="1576" spans="1:43" x14ac:dyDescent="0.25">
      <c r="A1576" t="s">
        <v>27</v>
      </c>
      <c r="B1576" s="1">
        <v>43651</v>
      </c>
      <c r="C1576" s="7">
        <f t="shared" si="279"/>
        <v>2019</v>
      </c>
      <c r="D1576">
        <v>93.1</v>
      </c>
      <c r="E1576">
        <v>75.5</v>
      </c>
      <c r="F1576">
        <v>85.9</v>
      </c>
      <c r="G1576" s="2">
        <f t="shared" si="276"/>
        <v>1</v>
      </c>
      <c r="H1576">
        <v>92.7</v>
      </c>
      <c r="I1576">
        <v>75.5</v>
      </c>
      <c r="J1576">
        <v>85.5</v>
      </c>
      <c r="K1576">
        <v>57.3</v>
      </c>
      <c r="L1576">
        <v>38.5</v>
      </c>
      <c r="M1576" s="2">
        <f t="shared" si="280"/>
        <v>1</v>
      </c>
      <c r="N1576">
        <v>0</v>
      </c>
      <c r="P1576" s="2">
        <f t="shared" si="281"/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23.8</v>
      </c>
      <c r="W1576" s="2">
        <f t="shared" si="277"/>
        <v>1</v>
      </c>
      <c r="X1576">
        <v>12.9</v>
      </c>
      <c r="Z1576" s="2">
        <f t="shared" si="278"/>
        <v>0</v>
      </c>
      <c r="AA1576">
        <v>27.9</v>
      </c>
      <c r="AB1576" s="2" t="str">
        <f>CHOOSE(MATCH(AA1576,{0;11;80;111;161;191;241;281;341},1),"North","NorthEast","East","SouthEast","South","SouthWest","West","NorthWest","North")</f>
        <v>NorthEast</v>
      </c>
      <c r="AC1576" s="5">
        <f>CHOOSE(MATCH(AB1576,{"South";"SouthEast";"SouthWest";"North";"NorthEast";"East";"West";"NorthWest"},0),1,2,3,4,5,6,7,8)</f>
        <v>5</v>
      </c>
      <c r="AD1576" s="2">
        <f t="shared" si="282"/>
        <v>1</v>
      </c>
      <c r="AE1576">
        <v>1014.2</v>
      </c>
      <c r="AF1576" s="4" t="s">
        <v>2446</v>
      </c>
      <c r="AG1576" s="2">
        <f t="shared" si="283"/>
        <v>0</v>
      </c>
      <c r="AH1576" t="s">
        <v>2447</v>
      </c>
      <c r="AI1576" s="2">
        <f t="shared" si="284"/>
        <v>7</v>
      </c>
      <c r="AJ1576" s="2">
        <f t="shared" si="285"/>
        <v>1</v>
      </c>
      <c r="AK1576" s="3">
        <v>2083.0000000004661</v>
      </c>
      <c r="AM1576" s="2">
        <v>1</v>
      </c>
      <c r="AN1576">
        <v>15</v>
      </c>
      <c r="AO1576">
        <v>0</v>
      </c>
      <c r="AP1576">
        <v>0</v>
      </c>
      <c r="AQ1576" s="2">
        <f>IF((2*G1576 + M1576 -P1576 + 3*W1576 + 2*Z1576+2*AD1576 + AG1576+2*AJ1576 + 4*AM1576) &gt;=8,1,0)</f>
        <v>1</v>
      </c>
    </row>
    <row r="1577" spans="1:43" x14ac:dyDescent="0.25">
      <c r="A1577" t="s">
        <v>27</v>
      </c>
      <c r="B1577" s="1">
        <v>43652</v>
      </c>
      <c r="C1577" s="7">
        <f t="shared" si="279"/>
        <v>2019</v>
      </c>
      <c r="D1577">
        <v>91.2</v>
      </c>
      <c r="E1577">
        <v>74.900000000000006</v>
      </c>
      <c r="F1577">
        <v>83</v>
      </c>
      <c r="G1577" s="2">
        <f t="shared" si="276"/>
        <v>1</v>
      </c>
      <c r="H1577">
        <v>90.6</v>
      </c>
      <c r="I1577">
        <v>74.900000000000006</v>
      </c>
      <c r="J1577">
        <v>83.1</v>
      </c>
      <c r="K1577">
        <v>61.6</v>
      </c>
      <c r="L1577">
        <v>50</v>
      </c>
      <c r="M1577" s="2">
        <f t="shared" si="280"/>
        <v>0</v>
      </c>
      <c r="N1577">
        <v>0</v>
      </c>
      <c r="P1577" s="2">
        <f t="shared" si="281"/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21.4</v>
      </c>
      <c r="W1577" s="2">
        <f t="shared" si="277"/>
        <v>1</v>
      </c>
      <c r="X1577">
        <v>13.4</v>
      </c>
      <c r="Z1577" s="2">
        <f t="shared" si="278"/>
        <v>0</v>
      </c>
      <c r="AA1577">
        <v>33.1</v>
      </c>
      <c r="AB1577" s="2" t="str">
        <f>CHOOSE(MATCH(AA1577,{0;11;80;111;161;191;241;281;341},1),"North","NorthEast","East","SouthEast","South","SouthWest","West","NorthWest","North")</f>
        <v>NorthEast</v>
      </c>
      <c r="AC1577" s="5">
        <f>CHOOSE(MATCH(AB1577,{"South";"SouthEast";"SouthWest";"North";"NorthEast";"East";"West";"NorthWest"},0),1,2,3,4,5,6,7,8)</f>
        <v>5</v>
      </c>
      <c r="AD1577" s="2">
        <f t="shared" si="282"/>
        <v>1</v>
      </c>
      <c r="AE1577">
        <v>1013.3</v>
      </c>
      <c r="AF1577" s="4" t="s">
        <v>1042</v>
      </c>
      <c r="AG1577" s="2">
        <f t="shared" si="283"/>
        <v>1</v>
      </c>
      <c r="AH1577" t="s">
        <v>2448</v>
      </c>
      <c r="AI1577" s="2">
        <f t="shared" si="284"/>
        <v>7</v>
      </c>
      <c r="AJ1577" s="2">
        <f t="shared" si="285"/>
        <v>1</v>
      </c>
      <c r="AK1577" s="3">
        <v>2385</v>
      </c>
      <c r="AM1577" s="2">
        <v>1</v>
      </c>
      <c r="AN1577">
        <v>10</v>
      </c>
      <c r="AO1577">
        <v>0</v>
      </c>
      <c r="AP1577">
        <v>0</v>
      </c>
      <c r="AQ1577" s="2">
        <f>IF((2*G1577 + M1577 -P1577 + 3*W1577 + 2*Z1577+2*AD1577 + AG1577+2*AJ1577 + 4*AM1577) &gt;=8,1,0)</f>
        <v>1</v>
      </c>
    </row>
    <row r="1578" spans="1:43" x14ac:dyDescent="0.25">
      <c r="A1578" t="s">
        <v>27</v>
      </c>
      <c r="B1578" s="1">
        <v>43653</v>
      </c>
      <c r="C1578" s="7">
        <f t="shared" si="279"/>
        <v>2019</v>
      </c>
      <c r="D1578">
        <v>95</v>
      </c>
      <c r="E1578">
        <v>72.400000000000006</v>
      </c>
      <c r="F1578">
        <v>83.8</v>
      </c>
      <c r="G1578" s="2">
        <f t="shared" si="276"/>
        <v>1</v>
      </c>
      <c r="H1578">
        <v>92.8</v>
      </c>
      <c r="I1578">
        <v>72.400000000000006</v>
      </c>
      <c r="J1578">
        <v>83</v>
      </c>
      <c r="K1578">
        <v>55.9</v>
      </c>
      <c r="L1578">
        <v>40.299999999999997</v>
      </c>
      <c r="M1578" s="2">
        <f t="shared" si="280"/>
        <v>1</v>
      </c>
      <c r="N1578">
        <v>0</v>
      </c>
      <c r="P1578" s="2">
        <f t="shared" si="281"/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16.600000000000001</v>
      </c>
      <c r="W1578" s="2">
        <f t="shared" si="277"/>
        <v>1</v>
      </c>
      <c r="X1578">
        <v>10.4</v>
      </c>
      <c r="Z1578" s="2">
        <f t="shared" si="278"/>
        <v>0</v>
      </c>
      <c r="AA1578">
        <v>123.2</v>
      </c>
      <c r="AB1578" s="2" t="str">
        <f>CHOOSE(MATCH(AA1578,{0;11;80;111;161;191;241;281;341},1),"North","NorthEast","East","SouthEast","South","SouthWest","West","NorthWest","North")</f>
        <v>SouthEast</v>
      </c>
      <c r="AC1578" s="5">
        <f>CHOOSE(MATCH(AB1578,{"South";"SouthEast";"SouthWest";"North";"NorthEast";"East";"West";"NorthWest"},0),1,2,3,4,5,6,7,8)</f>
        <v>2</v>
      </c>
      <c r="AD1578" s="2">
        <f t="shared" si="282"/>
        <v>0</v>
      </c>
      <c r="AE1578">
        <v>1011.9</v>
      </c>
      <c r="AF1578" s="4" t="s">
        <v>1235</v>
      </c>
      <c r="AG1578" s="2">
        <f t="shared" si="283"/>
        <v>1</v>
      </c>
      <c r="AH1578" t="s">
        <v>2449</v>
      </c>
      <c r="AI1578" s="2">
        <f t="shared" si="284"/>
        <v>7</v>
      </c>
      <c r="AJ1578" s="2">
        <f t="shared" si="285"/>
        <v>1</v>
      </c>
      <c r="AK1578" s="3">
        <v>3710.999999995111</v>
      </c>
      <c r="AM1578" s="2">
        <v>1</v>
      </c>
      <c r="AN1578">
        <v>0</v>
      </c>
      <c r="AO1578">
        <v>3</v>
      </c>
      <c r="AP1578">
        <v>0</v>
      </c>
      <c r="AQ1578" s="2">
        <f>IF((2*G1578 + M1578 -P1578 + 3*W1578 + 2*Z1578+2*AD1578 + AG1578+2*AJ1578 + 4*AM1578) &gt;=8,1,0)</f>
        <v>1</v>
      </c>
    </row>
    <row r="1579" spans="1:43" x14ac:dyDescent="0.25">
      <c r="A1579" t="s">
        <v>27</v>
      </c>
      <c r="B1579" s="1">
        <v>43656</v>
      </c>
      <c r="C1579" s="7">
        <f t="shared" si="279"/>
        <v>2019</v>
      </c>
      <c r="D1579">
        <v>96.8</v>
      </c>
      <c r="E1579">
        <v>77</v>
      </c>
      <c r="F1579">
        <v>86.6</v>
      </c>
      <c r="G1579" s="2">
        <f t="shared" si="276"/>
        <v>1</v>
      </c>
      <c r="H1579">
        <v>97.8</v>
      </c>
      <c r="I1579">
        <v>77</v>
      </c>
      <c r="J1579">
        <v>87.4</v>
      </c>
      <c r="K1579">
        <v>62.4</v>
      </c>
      <c r="L1579">
        <v>45.7</v>
      </c>
      <c r="M1579" s="2">
        <f t="shared" si="280"/>
        <v>1</v>
      </c>
      <c r="N1579">
        <v>0</v>
      </c>
      <c r="P1579" s="2">
        <f t="shared" si="281"/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25.1</v>
      </c>
      <c r="W1579" s="2">
        <f t="shared" si="277"/>
        <v>1</v>
      </c>
      <c r="X1579">
        <v>10.5</v>
      </c>
      <c r="Z1579" s="2">
        <f t="shared" si="278"/>
        <v>0</v>
      </c>
      <c r="AA1579">
        <v>118.3</v>
      </c>
      <c r="AB1579" s="2" t="str">
        <f>CHOOSE(MATCH(AA1579,{0;11;80;111;161;191;241;281;341},1),"North","NorthEast","East","SouthEast","South","SouthWest","West","NorthWest","North")</f>
        <v>SouthEast</v>
      </c>
      <c r="AC1579" s="5">
        <f>CHOOSE(MATCH(AB1579,{"South";"SouthEast";"SouthWest";"North";"NorthEast";"East";"West";"NorthWest"},0),1,2,3,4,5,6,7,8)</f>
        <v>2</v>
      </c>
      <c r="AD1579" s="2">
        <f t="shared" si="282"/>
        <v>0</v>
      </c>
      <c r="AE1579">
        <v>1010.8</v>
      </c>
      <c r="AF1579" s="4" t="s">
        <v>2364</v>
      </c>
      <c r="AG1579" s="2">
        <f t="shared" si="283"/>
        <v>1</v>
      </c>
      <c r="AH1579" t="s">
        <v>2450</v>
      </c>
      <c r="AI1579" s="2">
        <f t="shared" si="284"/>
        <v>7</v>
      </c>
      <c r="AJ1579" s="2">
        <f t="shared" si="285"/>
        <v>1</v>
      </c>
      <c r="AK1579" s="3">
        <v>4394.0000000002328</v>
      </c>
      <c r="AM1579" s="2">
        <v>1</v>
      </c>
      <c r="AN1579">
        <v>170</v>
      </c>
      <c r="AO1579">
        <v>0</v>
      </c>
      <c r="AP1579">
        <v>0</v>
      </c>
      <c r="AQ1579" s="2">
        <f>IF((2*G1579 + M1579 -P1579 + 3*W1579 + 2*Z1579+2*AD1579 + AG1579+2*AJ1579 + 4*AM1579) &gt;=8,1,0)</f>
        <v>1</v>
      </c>
    </row>
    <row r="1580" spans="1:43" x14ac:dyDescent="0.25">
      <c r="A1580" t="s">
        <v>27</v>
      </c>
      <c r="B1580" s="1">
        <v>43658</v>
      </c>
      <c r="C1580" s="7">
        <f t="shared" si="279"/>
        <v>2019</v>
      </c>
      <c r="D1580">
        <v>84.1</v>
      </c>
      <c r="E1580">
        <v>65.7</v>
      </c>
      <c r="F1580">
        <v>75.400000000000006</v>
      </c>
      <c r="G1580" s="2">
        <f t="shared" si="276"/>
        <v>1</v>
      </c>
      <c r="H1580">
        <v>82.6</v>
      </c>
      <c r="I1580">
        <v>65.7</v>
      </c>
      <c r="J1580">
        <v>75</v>
      </c>
      <c r="K1580">
        <v>52.9</v>
      </c>
      <c r="L1580">
        <v>46.8</v>
      </c>
      <c r="M1580" s="2">
        <f t="shared" si="280"/>
        <v>1</v>
      </c>
      <c r="N1580">
        <v>0</v>
      </c>
      <c r="P1580" s="2">
        <f t="shared" si="281"/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22.1</v>
      </c>
      <c r="W1580" s="2">
        <f t="shared" si="277"/>
        <v>1</v>
      </c>
      <c r="X1580">
        <v>11</v>
      </c>
      <c r="Z1580" s="2">
        <f t="shared" si="278"/>
        <v>0</v>
      </c>
      <c r="AA1580">
        <v>111.4</v>
      </c>
      <c r="AB1580" s="2" t="str">
        <f>CHOOSE(MATCH(AA1580,{0;11;80;111;161;191;241;281;341},1),"North","NorthEast","East","SouthEast","South","SouthWest","West","NorthWest","North")</f>
        <v>SouthEast</v>
      </c>
      <c r="AC1580" s="5">
        <f>CHOOSE(MATCH(AB1580,{"South";"SouthEast";"SouthWest";"North";"NorthEast";"East";"West";"NorthWest"},0),1,2,3,4,5,6,7,8)</f>
        <v>2</v>
      </c>
      <c r="AD1580" s="2">
        <f t="shared" si="282"/>
        <v>0</v>
      </c>
      <c r="AE1580">
        <v>1013.5</v>
      </c>
      <c r="AF1580" s="4" t="s">
        <v>2451</v>
      </c>
      <c r="AG1580" s="2">
        <f t="shared" si="283"/>
        <v>1</v>
      </c>
      <c r="AH1580" t="s">
        <v>2452</v>
      </c>
      <c r="AI1580" s="2">
        <f t="shared" si="284"/>
        <v>7</v>
      </c>
      <c r="AJ1580" s="2">
        <f t="shared" si="285"/>
        <v>1</v>
      </c>
      <c r="AK1580" s="3">
        <v>39.000000001396977</v>
      </c>
      <c r="AM1580" s="2">
        <v>0</v>
      </c>
      <c r="AN1580">
        <v>0</v>
      </c>
      <c r="AO1580">
        <v>0.2</v>
      </c>
      <c r="AP1580">
        <v>0</v>
      </c>
      <c r="AQ1580" s="2">
        <f>IF((2*G1580 + M1580 -P1580 + 3*W1580 + 2*Z1580+2*AD1580 + AG1580+2*AJ1580 + 4*AM1580) &gt;=8,1,0)</f>
        <v>1</v>
      </c>
    </row>
    <row r="1581" spans="1:43" x14ac:dyDescent="0.25">
      <c r="A1581" t="s">
        <v>27</v>
      </c>
      <c r="B1581" s="1">
        <v>43661</v>
      </c>
      <c r="C1581" s="7">
        <f t="shared" si="279"/>
        <v>2019</v>
      </c>
      <c r="D1581">
        <v>81.7</v>
      </c>
      <c r="E1581">
        <v>68.7</v>
      </c>
      <c r="F1581">
        <v>75.3</v>
      </c>
      <c r="G1581" s="2">
        <f t="shared" si="276"/>
        <v>1</v>
      </c>
      <c r="H1581">
        <v>82.6</v>
      </c>
      <c r="I1581">
        <v>68.7</v>
      </c>
      <c r="J1581">
        <v>75.5</v>
      </c>
      <c r="K1581">
        <v>62.3</v>
      </c>
      <c r="L1581">
        <v>64.5</v>
      </c>
      <c r="M1581" s="2">
        <f t="shared" si="280"/>
        <v>0</v>
      </c>
      <c r="N1581">
        <v>3.5000000000000003E-2</v>
      </c>
      <c r="P1581" s="2">
        <f t="shared" si="281"/>
        <v>0</v>
      </c>
      <c r="Q1581">
        <v>100</v>
      </c>
      <c r="R1581">
        <v>4.17</v>
      </c>
      <c r="S1581" t="s">
        <v>87</v>
      </c>
      <c r="T1581">
        <v>0</v>
      </c>
      <c r="U1581">
        <v>0</v>
      </c>
      <c r="V1581">
        <v>23</v>
      </c>
      <c r="W1581" s="2">
        <f t="shared" si="277"/>
        <v>1</v>
      </c>
      <c r="X1581">
        <v>10.5</v>
      </c>
      <c r="Z1581" s="2">
        <f t="shared" si="278"/>
        <v>0</v>
      </c>
      <c r="AA1581">
        <v>110.7</v>
      </c>
      <c r="AB1581" s="2" t="str">
        <f>CHOOSE(MATCH(AA1581,{0;11;80;111;161;191;241;281;341},1),"North","NorthEast","East","SouthEast","South","SouthWest","West","NorthWest","North")</f>
        <v>East</v>
      </c>
      <c r="AC1581" s="5">
        <f>CHOOSE(MATCH(AB1581,{"South";"SouthEast";"SouthWest";"North";"NorthEast";"East";"West";"NorthWest"},0),1,2,3,4,5,6,7,8)</f>
        <v>6</v>
      </c>
      <c r="AD1581" s="2">
        <f t="shared" si="282"/>
        <v>0</v>
      </c>
      <c r="AE1581">
        <v>1010.9</v>
      </c>
      <c r="AF1581" s="4" t="s">
        <v>2041</v>
      </c>
      <c r="AG1581" s="2">
        <f t="shared" si="283"/>
        <v>1</v>
      </c>
      <c r="AH1581" t="s">
        <v>2453</v>
      </c>
      <c r="AI1581" s="2">
        <f t="shared" si="284"/>
        <v>7</v>
      </c>
      <c r="AJ1581" s="2">
        <f t="shared" si="285"/>
        <v>1</v>
      </c>
      <c r="AK1581" s="3">
        <v>1650.9999999962749</v>
      </c>
      <c r="AM1581" s="2">
        <v>1</v>
      </c>
      <c r="AN1581">
        <v>2</v>
      </c>
      <c r="AO1581">
        <v>8</v>
      </c>
      <c r="AP1581">
        <v>0</v>
      </c>
      <c r="AQ1581" s="2">
        <f>IF((2*G1581 + M1581 -P1581 + 3*W1581 + 2*Z1581+2*AD1581 + AG1581+2*AJ1581 + 4*AM1581) &gt;=8,1,0)</f>
        <v>1</v>
      </c>
    </row>
    <row r="1582" spans="1:43" x14ac:dyDescent="0.25">
      <c r="A1582" t="s">
        <v>27</v>
      </c>
      <c r="B1582" s="1">
        <v>43666</v>
      </c>
      <c r="C1582" s="7">
        <f t="shared" si="279"/>
        <v>2019</v>
      </c>
      <c r="D1582">
        <v>89.4</v>
      </c>
      <c r="E1582">
        <v>72.8</v>
      </c>
      <c r="F1582">
        <v>81</v>
      </c>
      <c r="G1582" s="2">
        <f t="shared" si="276"/>
        <v>1</v>
      </c>
      <c r="H1582">
        <v>86</v>
      </c>
      <c r="I1582">
        <v>72.8</v>
      </c>
      <c r="J1582">
        <v>79.900000000000006</v>
      </c>
      <c r="K1582">
        <v>50.9</v>
      </c>
      <c r="L1582">
        <v>36.6</v>
      </c>
      <c r="M1582" s="2">
        <f t="shared" si="280"/>
        <v>1</v>
      </c>
      <c r="N1582">
        <v>0</v>
      </c>
      <c r="P1582" s="2">
        <f t="shared" si="281"/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33.799999999999997</v>
      </c>
      <c r="W1582" s="2">
        <f t="shared" si="277"/>
        <v>1</v>
      </c>
      <c r="X1582">
        <v>18.7</v>
      </c>
      <c r="Z1582" s="2">
        <f t="shared" si="278"/>
        <v>1</v>
      </c>
      <c r="AA1582">
        <v>2.2999999999999998</v>
      </c>
      <c r="AB1582" s="2" t="str">
        <f>CHOOSE(MATCH(AA1582,{0;11;80;111;161;191;241;281;341},1),"North","NorthEast","East","SouthEast","South","SouthWest","West","NorthWest","North")</f>
        <v>North</v>
      </c>
      <c r="AC1582" s="5">
        <f>CHOOSE(MATCH(AB1582,{"South";"SouthEast";"SouthWest";"North";"NorthEast";"East";"West";"NorthWest"},0),1,2,3,4,5,6,7,8)</f>
        <v>4</v>
      </c>
      <c r="AD1582" s="2">
        <f t="shared" si="282"/>
        <v>1</v>
      </c>
      <c r="AE1582">
        <v>1013.5</v>
      </c>
      <c r="AF1582" s="4" t="s">
        <v>2454</v>
      </c>
      <c r="AG1582" s="2">
        <f t="shared" si="283"/>
        <v>1</v>
      </c>
      <c r="AH1582" t="s">
        <v>2455</v>
      </c>
      <c r="AI1582" s="2">
        <f t="shared" si="284"/>
        <v>7</v>
      </c>
      <c r="AJ1582" s="2">
        <f t="shared" si="285"/>
        <v>1</v>
      </c>
      <c r="AK1582" s="3">
        <v>9946.9999999960419</v>
      </c>
      <c r="AM1582" s="2">
        <v>1</v>
      </c>
      <c r="AN1582">
        <v>40</v>
      </c>
      <c r="AO1582">
        <v>0</v>
      </c>
      <c r="AP1582">
        <v>0</v>
      </c>
      <c r="AQ1582" s="2">
        <f>IF((2*G1582 + M1582 -P1582 + 3*W1582 + 2*Z1582+2*AD1582 + AG1582+2*AJ1582 + 4*AM1582) &gt;=8,1,0)</f>
        <v>1</v>
      </c>
    </row>
    <row r="1583" spans="1:43" x14ac:dyDescent="0.25">
      <c r="A1583" t="s">
        <v>27</v>
      </c>
      <c r="B1583" s="1">
        <v>43667</v>
      </c>
      <c r="C1583" s="7">
        <f t="shared" si="279"/>
        <v>2019</v>
      </c>
      <c r="D1583">
        <v>91.3</v>
      </c>
      <c r="E1583">
        <v>76.2</v>
      </c>
      <c r="F1583">
        <v>83.4</v>
      </c>
      <c r="G1583" s="2">
        <f t="shared" si="276"/>
        <v>1</v>
      </c>
      <c r="H1583">
        <v>87.8</v>
      </c>
      <c r="I1583">
        <v>76.2</v>
      </c>
      <c r="J1583">
        <v>81.900000000000006</v>
      </c>
      <c r="K1583">
        <v>49.8</v>
      </c>
      <c r="L1583">
        <v>32</v>
      </c>
      <c r="M1583" s="2">
        <f t="shared" si="280"/>
        <v>1</v>
      </c>
      <c r="N1583">
        <v>0</v>
      </c>
      <c r="P1583" s="2">
        <f t="shared" si="281"/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33.6</v>
      </c>
      <c r="W1583" s="2">
        <f t="shared" si="277"/>
        <v>1</v>
      </c>
      <c r="X1583">
        <v>18.2</v>
      </c>
      <c r="Z1583" s="2">
        <f t="shared" si="278"/>
        <v>1</v>
      </c>
      <c r="AA1583">
        <v>3.1</v>
      </c>
      <c r="AB1583" s="2" t="str">
        <f>CHOOSE(MATCH(AA1583,{0;11;80;111;161;191;241;281;341},1),"North","NorthEast","East","SouthEast","South","SouthWest","West","NorthWest","North")</f>
        <v>North</v>
      </c>
      <c r="AC1583" s="5">
        <f>CHOOSE(MATCH(AB1583,{"South";"SouthEast";"SouthWest";"North";"NorthEast";"East";"West";"NorthWest"},0),1,2,3,4,5,6,7,8)</f>
        <v>4</v>
      </c>
      <c r="AD1583" s="2">
        <f t="shared" si="282"/>
        <v>1</v>
      </c>
      <c r="AE1583">
        <v>1017.8</v>
      </c>
      <c r="AF1583" s="4" t="s">
        <v>2456</v>
      </c>
      <c r="AG1583" s="2">
        <f t="shared" si="283"/>
        <v>1</v>
      </c>
      <c r="AH1583" t="s">
        <v>2457</v>
      </c>
      <c r="AI1583" s="2">
        <f t="shared" si="284"/>
        <v>7</v>
      </c>
      <c r="AJ1583" s="2">
        <f t="shared" si="285"/>
        <v>1</v>
      </c>
      <c r="AK1583" s="3">
        <v>4350.9999999962747</v>
      </c>
      <c r="AM1583" s="2">
        <v>1</v>
      </c>
      <c r="AN1583">
        <v>0</v>
      </c>
      <c r="AO1583">
        <v>48</v>
      </c>
      <c r="AP1583">
        <v>0</v>
      </c>
      <c r="AQ1583" s="2">
        <f>IF((2*G1583 + M1583 -P1583 + 3*W1583 + 2*Z1583+2*AD1583 + AG1583+2*AJ1583 + 4*AM1583) &gt;=8,1,0)</f>
        <v>1</v>
      </c>
    </row>
    <row r="1584" spans="1:43" x14ac:dyDescent="0.25">
      <c r="A1584" t="s">
        <v>27</v>
      </c>
      <c r="B1584" s="1">
        <v>43669</v>
      </c>
      <c r="C1584" s="7">
        <f t="shared" si="279"/>
        <v>2019</v>
      </c>
      <c r="D1584">
        <v>93</v>
      </c>
      <c r="E1584">
        <v>78</v>
      </c>
      <c r="F1584">
        <v>85.6</v>
      </c>
      <c r="G1584" s="2">
        <f t="shared" si="276"/>
        <v>1</v>
      </c>
      <c r="H1584">
        <v>90.1</v>
      </c>
      <c r="I1584">
        <v>78</v>
      </c>
      <c r="J1584">
        <v>84.1</v>
      </c>
      <c r="K1584">
        <v>53.3</v>
      </c>
      <c r="L1584">
        <v>34.1</v>
      </c>
      <c r="M1584" s="2">
        <f t="shared" si="280"/>
        <v>1</v>
      </c>
      <c r="N1584">
        <v>0</v>
      </c>
      <c r="P1584" s="2">
        <f t="shared" si="281"/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30.1</v>
      </c>
      <c r="W1584" s="2">
        <f t="shared" si="277"/>
        <v>1</v>
      </c>
      <c r="X1584">
        <v>18.399999999999999</v>
      </c>
      <c r="Z1584" s="2">
        <f t="shared" si="278"/>
        <v>1</v>
      </c>
      <c r="AA1584">
        <v>5.2</v>
      </c>
      <c r="AB1584" s="2" t="str">
        <f>CHOOSE(MATCH(AA1584,{0;11;80;111;161;191;241;281;341},1),"North","NorthEast","East","SouthEast","South","SouthWest","West","NorthWest","North")</f>
        <v>North</v>
      </c>
      <c r="AC1584" s="5">
        <f>CHOOSE(MATCH(AB1584,{"South";"SouthEast";"SouthWest";"North";"NorthEast";"East";"West";"NorthWest"},0),1,2,3,4,5,6,7,8)</f>
        <v>4</v>
      </c>
      <c r="AD1584" s="2">
        <f t="shared" si="282"/>
        <v>1</v>
      </c>
      <c r="AE1584">
        <v>1014.3</v>
      </c>
      <c r="AF1584" s="4" t="s">
        <v>2065</v>
      </c>
      <c r="AG1584" s="2">
        <f t="shared" si="283"/>
        <v>1</v>
      </c>
      <c r="AH1584" t="s">
        <v>2458</v>
      </c>
      <c r="AI1584" s="2">
        <f t="shared" si="284"/>
        <v>7</v>
      </c>
      <c r="AJ1584" s="2">
        <f t="shared" si="285"/>
        <v>1</v>
      </c>
      <c r="AK1584" s="3">
        <v>5637.0000000076834</v>
      </c>
      <c r="AM1584" s="2">
        <v>1</v>
      </c>
      <c r="AN1584">
        <v>10</v>
      </c>
      <c r="AO1584">
        <v>0</v>
      </c>
      <c r="AP1584">
        <v>0</v>
      </c>
      <c r="AQ1584" s="2">
        <f>IF((2*G1584 + M1584 -P1584 + 3*W1584 + 2*Z1584+2*AD1584 + AG1584+2*AJ1584 + 4*AM1584) &gt;=8,1,0)</f>
        <v>1</v>
      </c>
    </row>
    <row r="1585" spans="1:43" x14ac:dyDescent="0.25">
      <c r="A1585" t="s">
        <v>27</v>
      </c>
      <c r="B1585" s="1">
        <v>43669</v>
      </c>
      <c r="C1585" s="7">
        <f t="shared" si="279"/>
        <v>2019</v>
      </c>
      <c r="D1585">
        <v>93</v>
      </c>
      <c r="E1585">
        <v>78</v>
      </c>
      <c r="F1585">
        <v>85.6</v>
      </c>
      <c r="G1585" s="2">
        <f t="shared" si="276"/>
        <v>1</v>
      </c>
      <c r="H1585">
        <v>90.1</v>
      </c>
      <c r="I1585">
        <v>78</v>
      </c>
      <c r="J1585">
        <v>84.1</v>
      </c>
      <c r="K1585">
        <v>53.3</v>
      </c>
      <c r="L1585">
        <v>34.1</v>
      </c>
      <c r="M1585" s="2">
        <f t="shared" si="280"/>
        <v>1</v>
      </c>
      <c r="N1585">
        <v>0</v>
      </c>
      <c r="P1585" s="2">
        <f t="shared" si="281"/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30.1</v>
      </c>
      <c r="W1585" s="2">
        <f t="shared" si="277"/>
        <v>1</v>
      </c>
      <c r="X1585">
        <v>18.399999999999999</v>
      </c>
      <c r="Z1585" s="2">
        <f t="shared" si="278"/>
        <v>1</v>
      </c>
      <c r="AA1585">
        <v>5.2</v>
      </c>
      <c r="AB1585" s="2" t="str">
        <f>CHOOSE(MATCH(AA1585,{0;11;80;111;161;191;241;281;341},1),"North","NorthEast","East","SouthEast","South","SouthWest","West","NorthWest","North")</f>
        <v>North</v>
      </c>
      <c r="AC1585" s="5">
        <f>CHOOSE(MATCH(AB1585,{"South";"SouthEast";"SouthWest";"North";"NorthEast";"East";"West";"NorthWest"},0),1,2,3,4,5,6,7,8)</f>
        <v>4</v>
      </c>
      <c r="AD1585" s="2">
        <f t="shared" si="282"/>
        <v>1</v>
      </c>
      <c r="AE1585">
        <v>1014.3</v>
      </c>
      <c r="AF1585" s="4" t="s">
        <v>1224</v>
      </c>
      <c r="AG1585" s="2">
        <f t="shared" si="283"/>
        <v>1</v>
      </c>
      <c r="AH1585" t="s">
        <v>2459</v>
      </c>
      <c r="AI1585" s="2">
        <f t="shared" si="284"/>
        <v>7</v>
      </c>
      <c r="AJ1585" s="2">
        <f t="shared" si="285"/>
        <v>1</v>
      </c>
      <c r="AK1585" s="3">
        <v>30.00000000349246</v>
      </c>
      <c r="AM1585" s="2">
        <v>0</v>
      </c>
      <c r="AN1585">
        <v>0</v>
      </c>
      <c r="AO1585">
        <v>0.5</v>
      </c>
      <c r="AP1585">
        <v>0</v>
      </c>
      <c r="AQ1585" s="2">
        <f>IF((2*G1585 + M1585 -P1585 + 3*W1585 + 2*Z1585+2*AD1585 + AG1585+2*AJ1585 + 4*AM1585) &gt;=8,1,0)</f>
        <v>1</v>
      </c>
    </row>
    <row r="1586" spans="1:43" x14ac:dyDescent="0.25">
      <c r="A1586" t="s">
        <v>27</v>
      </c>
      <c r="B1586" s="1">
        <v>43680</v>
      </c>
      <c r="C1586" s="7">
        <f t="shared" si="279"/>
        <v>2019</v>
      </c>
      <c r="D1586">
        <v>96.9</v>
      </c>
      <c r="E1586">
        <v>76.5</v>
      </c>
      <c r="F1586">
        <v>86.4</v>
      </c>
      <c r="G1586" s="2">
        <f t="shared" si="276"/>
        <v>1</v>
      </c>
      <c r="H1586">
        <v>98.6</v>
      </c>
      <c r="I1586">
        <v>76.5</v>
      </c>
      <c r="J1586">
        <v>87.3</v>
      </c>
      <c r="K1586">
        <v>63.6</v>
      </c>
      <c r="L1586">
        <v>48.5</v>
      </c>
      <c r="M1586" s="2">
        <f t="shared" si="280"/>
        <v>1</v>
      </c>
      <c r="N1586">
        <v>0</v>
      </c>
      <c r="P1586" s="2">
        <f t="shared" si="281"/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27.3</v>
      </c>
      <c r="W1586" s="2">
        <f t="shared" si="277"/>
        <v>1</v>
      </c>
      <c r="X1586">
        <v>13.6</v>
      </c>
      <c r="Z1586" s="2">
        <f t="shared" si="278"/>
        <v>0</v>
      </c>
      <c r="AA1586">
        <v>170.2</v>
      </c>
      <c r="AB1586" s="2" t="str">
        <f>CHOOSE(MATCH(AA1586,{0;11;80;111;161;191;241;281;341},1),"North","NorthEast","East","SouthEast","South","SouthWest","West","NorthWest","North")</f>
        <v>South</v>
      </c>
      <c r="AC1586" s="5">
        <f>CHOOSE(MATCH(AB1586,{"South";"SouthEast";"SouthWest";"North";"NorthEast";"East";"West";"NorthWest"},0),1,2,3,4,5,6,7,8)</f>
        <v>1</v>
      </c>
      <c r="AD1586" s="2">
        <f t="shared" si="282"/>
        <v>0</v>
      </c>
      <c r="AE1586">
        <v>1010.1</v>
      </c>
      <c r="AF1586" s="4" t="s">
        <v>2460</v>
      </c>
      <c r="AG1586" s="2">
        <f t="shared" si="283"/>
        <v>1</v>
      </c>
      <c r="AH1586" t="s">
        <v>2461</v>
      </c>
      <c r="AI1586" s="2">
        <f t="shared" si="284"/>
        <v>8</v>
      </c>
      <c r="AJ1586" s="2">
        <f t="shared" si="285"/>
        <v>1</v>
      </c>
      <c r="AK1586" s="3">
        <v>926.00000000093132</v>
      </c>
      <c r="AM1586" s="2">
        <v>1</v>
      </c>
      <c r="AN1586">
        <v>0.15</v>
      </c>
      <c r="AO1586">
        <v>0</v>
      </c>
      <c r="AP1586">
        <v>0</v>
      </c>
      <c r="AQ1586" s="2">
        <f>IF((2*G1586 + M1586 -P1586 + 3*W1586 + 2*Z1586+2*AD1586 + AG1586+2*AJ1586 + 4*AM1586) &gt;=8,1,0)</f>
        <v>1</v>
      </c>
    </row>
    <row r="1587" spans="1:43" x14ac:dyDescent="0.25">
      <c r="A1587" t="s">
        <v>27</v>
      </c>
      <c r="B1587" s="1">
        <v>43687</v>
      </c>
      <c r="C1587" s="7">
        <f t="shared" si="279"/>
        <v>2019</v>
      </c>
      <c r="D1587">
        <v>95.8</v>
      </c>
      <c r="E1587">
        <v>81.099999999999994</v>
      </c>
      <c r="F1587">
        <v>88.5</v>
      </c>
      <c r="G1587" s="2">
        <f t="shared" si="276"/>
        <v>1</v>
      </c>
      <c r="H1587">
        <v>93.6</v>
      </c>
      <c r="I1587">
        <v>80.3</v>
      </c>
      <c r="J1587">
        <v>86.7</v>
      </c>
      <c r="K1587">
        <v>53.1</v>
      </c>
      <c r="L1587">
        <v>30.4</v>
      </c>
      <c r="M1587" s="2">
        <f t="shared" si="280"/>
        <v>1</v>
      </c>
      <c r="N1587">
        <v>0</v>
      </c>
      <c r="P1587" s="2">
        <f t="shared" si="281"/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32.299999999999997</v>
      </c>
      <c r="W1587" s="2">
        <f t="shared" si="277"/>
        <v>1</v>
      </c>
      <c r="X1587">
        <v>21.2</v>
      </c>
      <c r="Z1587" s="2">
        <f t="shared" si="278"/>
        <v>1</v>
      </c>
      <c r="AA1587">
        <v>1.7</v>
      </c>
      <c r="AB1587" s="2" t="str">
        <f>CHOOSE(MATCH(AA1587,{0;11;80;111;161;191;241;281;341},1),"North","NorthEast","East","SouthEast","South","SouthWest","West","NorthWest","North")</f>
        <v>North</v>
      </c>
      <c r="AC1587" s="5">
        <f>CHOOSE(MATCH(AB1587,{"South";"SouthEast";"SouthWest";"North";"NorthEast";"East";"West";"NorthWest"},0),1,2,3,4,5,6,7,8)</f>
        <v>4</v>
      </c>
      <c r="AD1587" s="2">
        <f t="shared" si="282"/>
        <v>1</v>
      </c>
      <c r="AE1587">
        <v>1012.3</v>
      </c>
      <c r="AF1587" s="4" t="s">
        <v>1996</v>
      </c>
      <c r="AG1587" s="2">
        <f t="shared" si="283"/>
        <v>1</v>
      </c>
      <c r="AH1587" t="s">
        <v>2462</v>
      </c>
      <c r="AI1587" s="2">
        <f t="shared" si="284"/>
        <v>8</v>
      </c>
      <c r="AJ1587" s="2">
        <f t="shared" si="285"/>
        <v>1</v>
      </c>
      <c r="AK1587" s="3">
        <v>8904.9999999941792</v>
      </c>
      <c r="AM1587" s="2">
        <v>1</v>
      </c>
      <c r="AN1587">
        <v>0</v>
      </c>
      <c r="AO1587">
        <v>300</v>
      </c>
      <c r="AP1587">
        <v>0</v>
      </c>
      <c r="AQ1587" s="2">
        <f>IF((2*G1587 + M1587 -P1587 + 3*W1587 + 2*Z1587+2*AD1587 + AG1587+2*AJ1587 + 4*AM1587) &gt;=8,1,0)</f>
        <v>1</v>
      </c>
    </row>
    <row r="1588" spans="1:43" x14ac:dyDescent="0.25">
      <c r="A1588" t="s">
        <v>27</v>
      </c>
      <c r="B1588" s="1">
        <v>43687</v>
      </c>
      <c r="C1588" s="7">
        <f t="shared" si="279"/>
        <v>2019</v>
      </c>
      <c r="D1588">
        <v>95.8</v>
      </c>
      <c r="E1588">
        <v>81.099999999999994</v>
      </c>
      <c r="F1588">
        <v>88.5</v>
      </c>
      <c r="G1588" s="2">
        <f t="shared" si="276"/>
        <v>1</v>
      </c>
      <c r="H1588">
        <v>93.6</v>
      </c>
      <c r="I1588">
        <v>80.3</v>
      </c>
      <c r="J1588">
        <v>86.7</v>
      </c>
      <c r="K1588">
        <v>53.1</v>
      </c>
      <c r="L1588">
        <v>30.4</v>
      </c>
      <c r="M1588" s="2">
        <f t="shared" si="280"/>
        <v>1</v>
      </c>
      <c r="N1588">
        <v>0</v>
      </c>
      <c r="P1588" s="2">
        <f t="shared" si="281"/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32.299999999999997</v>
      </c>
      <c r="W1588" s="2">
        <f t="shared" si="277"/>
        <v>1</v>
      </c>
      <c r="X1588">
        <v>21.2</v>
      </c>
      <c r="Z1588" s="2">
        <f t="shared" si="278"/>
        <v>1</v>
      </c>
      <c r="AA1588">
        <v>1.7</v>
      </c>
      <c r="AB1588" s="2" t="str">
        <f>CHOOSE(MATCH(AA1588,{0;11;80;111;161;191;241;281;341},1),"North","NorthEast","East","SouthEast","South","SouthWest","West","NorthWest","North")</f>
        <v>North</v>
      </c>
      <c r="AC1588" s="5">
        <f>CHOOSE(MATCH(AB1588,{"South";"SouthEast";"SouthWest";"North";"NorthEast";"East";"West";"NorthWest"},0),1,2,3,4,5,6,7,8)</f>
        <v>4</v>
      </c>
      <c r="AD1588" s="2">
        <f t="shared" si="282"/>
        <v>1</v>
      </c>
      <c r="AE1588">
        <v>1012.3</v>
      </c>
      <c r="AF1588" s="4" t="s">
        <v>2364</v>
      </c>
      <c r="AG1588" s="2">
        <f t="shared" si="283"/>
        <v>1</v>
      </c>
      <c r="AH1588" t="s">
        <v>2463</v>
      </c>
      <c r="AI1588" s="2">
        <f t="shared" si="284"/>
        <v>8</v>
      </c>
      <c r="AJ1588" s="2">
        <f t="shared" si="285"/>
        <v>1</v>
      </c>
      <c r="AK1588" s="3">
        <v>8147.9999999993024</v>
      </c>
      <c r="AM1588" s="2">
        <v>1</v>
      </c>
      <c r="AN1588">
        <v>0.2</v>
      </c>
      <c r="AO1588">
        <v>0</v>
      </c>
      <c r="AP1588">
        <v>0</v>
      </c>
      <c r="AQ1588" s="2">
        <f>IF((2*G1588 + M1588 -P1588 + 3*W1588 + 2*Z1588+2*AD1588 + AG1588+2*AJ1588 + 4*AM1588) &gt;=8,1,0)</f>
        <v>1</v>
      </c>
    </row>
    <row r="1589" spans="1:43" x14ac:dyDescent="0.25">
      <c r="A1589" t="s">
        <v>27</v>
      </c>
      <c r="B1589" s="1">
        <v>43689</v>
      </c>
      <c r="C1589" s="7">
        <f t="shared" si="279"/>
        <v>2019</v>
      </c>
      <c r="D1589">
        <v>90.8</v>
      </c>
      <c r="E1589">
        <v>78.7</v>
      </c>
      <c r="F1589">
        <v>84.4</v>
      </c>
      <c r="G1589" s="2">
        <f t="shared" si="276"/>
        <v>1</v>
      </c>
      <c r="H1589">
        <v>88.7</v>
      </c>
      <c r="I1589">
        <v>78.7</v>
      </c>
      <c r="J1589">
        <v>83.5</v>
      </c>
      <c r="K1589">
        <v>55.9</v>
      </c>
      <c r="L1589">
        <v>38.200000000000003</v>
      </c>
      <c r="M1589" s="2">
        <f t="shared" si="280"/>
        <v>1</v>
      </c>
      <c r="N1589">
        <v>0</v>
      </c>
      <c r="P1589" s="2">
        <f t="shared" si="281"/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41.4</v>
      </c>
      <c r="W1589" s="2">
        <f t="shared" si="277"/>
        <v>1</v>
      </c>
      <c r="X1589">
        <v>25.3</v>
      </c>
      <c r="Z1589" s="2">
        <f t="shared" si="278"/>
        <v>1</v>
      </c>
      <c r="AA1589">
        <v>6.1</v>
      </c>
      <c r="AB1589" s="2" t="str">
        <f>CHOOSE(MATCH(AA1589,{0;11;80;111;161;191;241;281;341},1),"North","NorthEast","East","SouthEast","South","SouthWest","West","NorthWest","North")</f>
        <v>North</v>
      </c>
      <c r="AC1589" s="5">
        <f>CHOOSE(MATCH(AB1589,{"South";"SouthEast";"SouthWest";"North";"NorthEast";"East";"West";"NorthWest"},0),1,2,3,4,5,6,7,8)</f>
        <v>4</v>
      </c>
      <c r="AD1589" s="2">
        <f t="shared" si="282"/>
        <v>1</v>
      </c>
      <c r="AE1589">
        <v>1010.8</v>
      </c>
      <c r="AF1589" s="4" t="s">
        <v>2464</v>
      </c>
      <c r="AG1589" s="2">
        <f t="shared" si="283"/>
        <v>0</v>
      </c>
      <c r="AH1589" t="s">
        <v>2465</v>
      </c>
      <c r="AI1589" s="2">
        <f t="shared" si="284"/>
        <v>8</v>
      </c>
      <c r="AJ1589" s="2">
        <f t="shared" si="285"/>
        <v>1</v>
      </c>
      <c r="AK1589" s="3">
        <v>5407.0000000018626</v>
      </c>
      <c r="AM1589" s="2">
        <v>1</v>
      </c>
      <c r="AN1589">
        <v>680</v>
      </c>
      <c r="AO1589">
        <v>0</v>
      </c>
      <c r="AP1589">
        <v>0</v>
      </c>
      <c r="AQ1589" s="2">
        <f>IF((2*G1589 + M1589 -P1589 + 3*W1589 + 2*Z1589+2*AD1589 + AG1589+2*AJ1589 + 4*AM1589) &gt;=8,1,0)</f>
        <v>1</v>
      </c>
    </row>
    <row r="1590" spans="1:43" x14ac:dyDescent="0.25">
      <c r="A1590" t="s">
        <v>27</v>
      </c>
      <c r="B1590" s="1">
        <v>43692</v>
      </c>
      <c r="C1590" s="7">
        <f t="shared" si="279"/>
        <v>2019</v>
      </c>
      <c r="D1590">
        <v>92.1</v>
      </c>
      <c r="E1590">
        <v>71.7</v>
      </c>
      <c r="F1590">
        <v>81.900000000000006</v>
      </c>
      <c r="G1590" s="2">
        <f t="shared" si="276"/>
        <v>1</v>
      </c>
      <c r="H1590">
        <v>92.9</v>
      </c>
      <c r="I1590">
        <v>71.7</v>
      </c>
      <c r="J1590">
        <v>82.5</v>
      </c>
      <c r="K1590">
        <v>62.2</v>
      </c>
      <c r="L1590">
        <v>52.8</v>
      </c>
      <c r="M1590" s="2">
        <f t="shared" si="280"/>
        <v>0</v>
      </c>
      <c r="N1590">
        <v>0</v>
      </c>
      <c r="P1590" s="2">
        <f t="shared" si="281"/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20.399999999999999</v>
      </c>
      <c r="W1590" s="2">
        <f t="shared" si="277"/>
        <v>1</v>
      </c>
      <c r="X1590">
        <v>11.4</v>
      </c>
      <c r="Z1590" s="2">
        <f t="shared" si="278"/>
        <v>0</v>
      </c>
      <c r="AA1590">
        <v>23.8</v>
      </c>
      <c r="AB1590" s="2" t="str">
        <f>CHOOSE(MATCH(AA1590,{0;11;80;111;161;191;241;281;341},1),"North","NorthEast","East","SouthEast","South","SouthWest","West","NorthWest","North")</f>
        <v>NorthEast</v>
      </c>
      <c r="AC1590" s="5">
        <f>CHOOSE(MATCH(AB1590,{"South";"SouthEast";"SouthWest";"North";"NorthEast";"East";"West";"NorthWest"},0),1,2,3,4,5,6,7,8)</f>
        <v>5</v>
      </c>
      <c r="AD1590" s="2">
        <f t="shared" si="282"/>
        <v>1</v>
      </c>
      <c r="AE1590">
        <v>1009.4</v>
      </c>
      <c r="AF1590" s="4" t="s">
        <v>1050</v>
      </c>
      <c r="AG1590" s="2">
        <f t="shared" si="283"/>
        <v>1</v>
      </c>
      <c r="AH1590" t="s">
        <v>2466</v>
      </c>
      <c r="AI1590" s="2">
        <f t="shared" si="284"/>
        <v>8</v>
      </c>
      <c r="AJ1590" s="2">
        <f t="shared" si="285"/>
        <v>1</v>
      </c>
      <c r="AK1590" s="3">
        <v>825.99999999976717</v>
      </c>
      <c r="AM1590" s="2">
        <v>1</v>
      </c>
      <c r="AN1590">
        <v>0</v>
      </c>
      <c r="AO1590">
        <v>1.5</v>
      </c>
      <c r="AP1590">
        <v>0</v>
      </c>
      <c r="AQ1590" s="2">
        <f>IF((2*G1590 + M1590 -P1590 + 3*W1590 + 2*Z1590+2*AD1590 + AG1590+2*AJ1590 + 4*AM1590) &gt;=8,1,0)</f>
        <v>1</v>
      </c>
    </row>
    <row r="1591" spans="1:43" x14ac:dyDescent="0.25">
      <c r="A1591" t="s">
        <v>27</v>
      </c>
      <c r="B1591" s="1">
        <v>43694</v>
      </c>
      <c r="C1591" s="7">
        <f t="shared" si="279"/>
        <v>2019</v>
      </c>
      <c r="D1591">
        <v>87.1</v>
      </c>
      <c r="E1591">
        <v>73.7</v>
      </c>
      <c r="F1591">
        <v>80</v>
      </c>
      <c r="G1591" s="2">
        <f t="shared" si="276"/>
        <v>1</v>
      </c>
      <c r="H1591">
        <v>86.1</v>
      </c>
      <c r="I1591">
        <v>73.7</v>
      </c>
      <c r="J1591">
        <v>79.900000000000006</v>
      </c>
      <c r="K1591">
        <v>61.1</v>
      </c>
      <c r="L1591">
        <v>54</v>
      </c>
      <c r="M1591" s="2">
        <f t="shared" si="280"/>
        <v>0</v>
      </c>
      <c r="N1591">
        <v>0</v>
      </c>
      <c r="P1591" s="2">
        <f t="shared" si="281"/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25.3</v>
      </c>
      <c r="W1591" s="2">
        <f t="shared" si="277"/>
        <v>1</v>
      </c>
      <c r="X1591">
        <v>15</v>
      </c>
      <c r="Z1591" s="2">
        <f t="shared" si="278"/>
        <v>0</v>
      </c>
      <c r="AA1591">
        <v>13.9</v>
      </c>
      <c r="AB1591" s="2" t="str">
        <f>CHOOSE(MATCH(AA1591,{0;11;80;111;161;191;241;281;341},1),"North","NorthEast","East","SouthEast","South","SouthWest","West","NorthWest","North")</f>
        <v>NorthEast</v>
      </c>
      <c r="AC1591" s="5">
        <f>CHOOSE(MATCH(AB1591,{"South";"SouthEast";"SouthWest";"North";"NorthEast";"East";"West";"NorthWest"},0),1,2,3,4,5,6,7,8)</f>
        <v>5</v>
      </c>
      <c r="AD1591" s="2">
        <f t="shared" si="282"/>
        <v>1</v>
      </c>
      <c r="AE1591">
        <v>1012.4</v>
      </c>
      <c r="AF1591" s="4" t="s">
        <v>1861</v>
      </c>
      <c r="AG1591" s="2">
        <f t="shared" si="283"/>
        <v>1</v>
      </c>
      <c r="AH1591" t="s">
        <v>2467</v>
      </c>
      <c r="AI1591" s="2">
        <f t="shared" si="284"/>
        <v>8</v>
      </c>
      <c r="AJ1591" s="2">
        <f t="shared" si="285"/>
        <v>1</v>
      </c>
      <c r="AK1591" s="3">
        <v>91.999999996041879</v>
      </c>
      <c r="AM1591" s="2">
        <v>0</v>
      </c>
      <c r="AN1591">
        <v>20</v>
      </c>
      <c r="AO1591">
        <v>0</v>
      </c>
      <c r="AP1591">
        <v>0</v>
      </c>
      <c r="AQ1591" s="2">
        <f>IF((2*G1591 + M1591 -P1591 + 3*W1591 + 2*Z1591+2*AD1591 + AG1591+2*AJ1591 + 4*AM1591) &gt;=8,1,0)</f>
        <v>1</v>
      </c>
    </row>
    <row r="1592" spans="1:43" x14ac:dyDescent="0.25">
      <c r="A1592" t="s">
        <v>27</v>
      </c>
      <c r="B1592" s="1">
        <v>43697</v>
      </c>
      <c r="C1592" s="7">
        <f t="shared" si="279"/>
        <v>2019</v>
      </c>
      <c r="D1592">
        <v>86.7</v>
      </c>
      <c r="E1592">
        <v>74.8</v>
      </c>
      <c r="F1592">
        <v>80.2</v>
      </c>
      <c r="G1592" s="2">
        <f t="shared" si="276"/>
        <v>1</v>
      </c>
      <c r="H1592">
        <v>84.3</v>
      </c>
      <c r="I1592">
        <v>74.8</v>
      </c>
      <c r="J1592">
        <v>79.400000000000006</v>
      </c>
      <c r="K1592">
        <v>51.8</v>
      </c>
      <c r="L1592">
        <v>38.200000000000003</v>
      </c>
      <c r="M1592" s="2">
        <f t="shared" si="280"/>
        <v>1</v>
      </c>
      <c r="N1592">
        <v>0</v>
      </c>
      <c r="P1592" s="2">
        <f t="shared" si="281"/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34</v>
      </c>
      <c r="W1592" s="2">
        <f t="shared" si="277"/>
        <v>1</v>
      </c>
      <c r="X1592">
        <v>26.5</v>
      </c>
      <c r="Z1592" s="2">
        <f t="shared" si="278"/>
        <v>1</v>
      </c>
      <c r="AA1592">
        <v>5.7</v>
      </c>
      <c r="AB1592" s="2" t="str">
        <f>CHOOSE(MATCH(AA1592,{0;11;80;111;161;191;241;281;341},1),"North","NorthEast","East","SouthEast","South","SouthWest","West","NorthWest","North")</f>
        <v>North</v>
      </c>
      <c r="AC1592" s="5">
        <f>CHOOSE(MATCH(AB1592,{"South";"SouthEast";"SouthWest";"North";"NorthEast";"East";"West";"NorthWest"},0),1,2,3,4,5,6,7,8)</f>
        <v>4</v>
      </c>
      <c r="AD1592" s="2">
        <f t="shared" si="282"/>
        <v>1</v>
      </c>
      <c r="AE1592">
        <v>1016.2</v>
      </c>
      <c r="AF1592" s="4" t="s">
        <v>2008</v>
      </c>
      <c r="AG1592" s="2">
        <f t="shared" si="283"/>
        <v>1</v>
      </c>
      <c r="AH1592" t="s">
        <v>2468</v>
      </c>
      <c r="AI1592" s="2">
        <f t="shared" si="284"/>
        <v>8</v>
      </c>
      <c r="AJ1592" s="2">
        <f t="shared" si="285"/>
        <v>1</v>
      </c>
      <c r="AK1592" s="3">
        <v>3328.0000000039581</v>
      </c>
      <c r="AM1592" s="2">
        <v>1</v>
      </c>
      <c r="AN1592">
        <v>10</v>
      </c>
      <c r="AO1592">
        <v>0</v>
      </c>
      <c r="AP1592">
        <v>0</v>
      </c>
      <c r="AQ1592" s="2">
        <f>IF((2*G1592 + M1592 -P1592 + 3*W1592 + 2*Z1592+2*AD1592 + AG1592+2*AJ1592 + 4*AM1592) &gt;=8,1,0)</f>
        <v>1</v>
      </c>
    </row>
    <row r="1593" spans="1:43" x14ac:dyDescent="0.25">
      <c r="A1593" t="s">
        <v>27</v>
      </c>
      <c r="B1593" s="1">
        <v>43697</v>
      </c>
      <c r="C1593" s="7">
        <f t="shared" si="279"/>
        <v>2019</v>
      </c>
      <c r="D1593">
        <v>86.7</v>
      </c>
      <c r="E1593">
        <v>74.8</v>
      </c>
      <c r="F1593">
        <v>80.2</v>
      </c>
      <c r="G1593" s="2">
        <f t="shared" si="276"/>
        <v>1</v>
      </c>
      <c r="H1593">
        <v>84.3</v>
      </c>
      <c r="I1593">
        <v>74.8</v>
      </c>
      <c r="J1593">
        <v>79.400000000000006</v>
      </c>
      <c r="K1593">
        <v>51.8</v>
      </c>
      <c r="L1593">
        <v>38.200000000000003</v>
      </c>
      <c r="M1593" s="2">
        <f t="shared" si="280"/>
        <v>1</v>
      </c>
      <c r="N1593">
        <v>0</v>
      </c>
      <c r="P1593" s="2">
        <f t="shared" si="281"/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34</v>
      </c>
      <c r="W1593" s="2">
        <f t="shared" si="277"/>
        <v>1</v>
      </c>
      <c r="X1593">
        <v>26.5</v>
      </c>
      <c r="Z1593" s="2">
        <f t="shared" si="278"/>
        <v>1</v>
      </c>
      <c r="AA1593">
        <v>5.7</v>
      </c>
      <c r="AB1593" s="2" t="str">
        <f>CHOOSE(MATCH(AA1593,{0;11;80;111;161;191;241;281;341},1),"North","NorthEast","East","SouthEast","South","SouthWest","West","NorthWest","North")</f>
        <v>North</v>
      </c>
      <c r="AC1593" s="5">
        <f>CHOOSE(MATCH(AB1593,{"South";"SouthEast";"SouthWest";"North";"NorthEast";"East";"West";"NorthWest"},0),1,2,3,4,5,6,7,8)</f>
        <v>4</v>
      </c>
      <c r="AD1593" s="2">
        <f t="shared" si="282"/>
        <v>1</v>
      </c>
      <c r="AE1593">
        <v>1016.2</v>
      </c>
      <c r="AF1593" s="4" t="s">
        <v>2469</v>
      </c>
      <c r="AG1593" s="2">
        <f t="shared" si="283"/>
        <v>0</v>
      </c>
      <c r="AH1593" t="s">
        <v>2470</v>
      </c>
      <c r="AI1593" s="2">
        <f t="shared" si="284"/>
        <v>8</v>
      </c>
      <c r="AJ1593" s="2">
        <f t="shared" si="285"/>
        <v>1</v>
      </c>
      <c r="AK1593" s="3">
        <v>1428.000000002794</v>
      </c>
      <c r="AM1593" s="2">
        <v>1</v>
      </c>
      <c r="AN1593">
        <v>0</v>
      </c>
      <c r="AO1593">
        <v>1</v>
      </c>
      <c r="AP1593">
        <v>0</v>
      </c>
      <c r="AQ1593" s="2">
        <f>IF((2*G1593 + M1593 -P1593 + 3*W1593 + 2*Z1593+2*AD1593 + AG1593+2*AJ1593 + 4*AM1593) &gt;=8,1,0)</f>
        <v>1</v>
      </c>
    </row>
    <row r="1594" spans="1:43" x14ac:dyDescent="0.25">
      <c r="A1594" t="s">
        <v>27</v>
      </c>
      <c r="B1594" s="1">
        <v>43697</v>
      </c>
      <c r="C1594" s="7">
        <f t="shared" si="279"/>
        <v>2019</v>
      </c>
      <c r="D1594">
        <v>86.7</v>
      </c>
      <c r="E1594">
        <v>74.8</v>
      </c>
      <c r="F1594">
        <v>80.2</v>
      </c>
      <c r="G1594" s="2">
        <f t="shared" si="276"/>
        <v>1</v>
      </c>
      <c r="H1594">
        <v>84.3</v>
      </c>
      <c r="I1594">
        <v>74.8</v>
      </c>
      <c r="J1594">
        <v>79.400000000000006</v>
      </c>
      <c r="K1594">
        <v>51.8</v>
      </c>
      <c r="L1594">
        <v>38.200000000000003</v>
      </c>
      <c r="M1594" s="2">
        <f t="shared" si="280"/>
        <v>1</v>
      </c>
      <c r="N1594">
        <v>0</v>
      </c>
      <c r="P1594" s="2">
        <f t="shared" si="281"/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34</v>
      </c>
      <c r="W1594" s="2">
        <f t="shared" si="277"/>
        <v>1</v>
      </c>
      <c r="X1594">
        <v>26.5</v>
      </c>
      <c r="Z1594" s="2">
        <f t="shared" si="278"/>
        <v>1</v>
      </c>
      <c r="AA1594">
        <v>5.7</v>
      </c>
      <c r="AB1594" s="2" t="str">
        <f>CHOOSE(MATCH(AA1594,{0;11;80;111;161;191;241;281;341},1),"North","NorthEast","East","SouthEast","South","SouthWest","West","NorthWest","North")</f>
        <v>North</v>
      </c>
      <c r="AC1594" s="5">
        <f>CHOOSE(MATCH(AB1594,{"South";"SouthEast";"SouthWest";"North";"NorthEast";"East";"West";"NorthWest"},0),1,2,3,4,5,6,7,8)</f>
        <v>4</v>
      </c>
      <c r="AD1594" s="2">
        <f t="shared" si="282"/>
        <v>1</v>
      </c>
      <c r="AE1594">
        <v>1016.2</v>
      </c>
      <c r="AF1594" s="4" t="s">
        <v>2471</v>
      </c>
      <c r="AG1594" s="2">
        <f t="shared" si="283"/>
        <v>1</v>
      </c>
      <c r="AH1594" t="s">
        <v>2472</v>
      </c>
      <c r="AI1594" s="2">
        <f t="shared" si="284"/>
        <v>8</v>
      </c>
      <c r="AJ1594" s="2">
        <f t="shared" si="285"/>
        <v>1</v>
      </c>
      <c r="AK1594" s="3">
        <v>82.999999998137355</v>
      </c>
      <c r="AM1594" s="2">
        <v>0</v>
      </c>
      <c r="AN1594">
        <v>0</v>
      </c>
      <c r="AO1594">
        <v>1</v>
      </c>
      <c r="AP1594">
        <v>0</v>
      </c>
      <c r="AQ1594" s="2">
        <f>IF((2*G1594 + M1594 -P1594 + 3*W1594 + 2*Z1594+2*AD1594 + AG1594+2*AJ1594 + 4*AM1594) &gt;=8,1,0)</f>
        <v>1</v>
      </c>
    </row>
    <row r="1595" spans="1:43" x14ac:dyDescent="0.25">
      <c r="A1595" t="s">
        <v>27</v>
      </c>
      <c r="B1595" s="1">
        <v>43698</v>
      </c>
      <c r="C1595" s="7">
        <f t="shared" si="279"/>
        <v>2019</v>
      </c>
      <c r="D1595">
        <v>90.3</v>
      </c>
      <c r="E1595">
        <v>75.099999999999994</v>
      </c>
      <c r="F1595">
        <v>81.7</v>
      </c>
      <c r="G1595" s="2">
        <f t="shared" si="276"/>
        <v>1</v>
      </c>
      <c r="H1595">
        <v>88.3</v>
      </c>
      <c r="I1595">
        <v>75.099999999999994</v>
      </c>
      <c r="J1595">
        <v>80.900000000000006</v>
      </c>
      <c r="K1595">
        <v>54.9</v>
      </c>
      <c r="L1595">
        <v>40.799999999999997</v>
      </c>
      <c r="M1595" s="2">
        <f t="shared" si="280"/>
        <v>1</v>
      </c>
      <c r="N1595">
        <v>0</v>
      </c>
      <c r="P1595" s="2">
        <f t="shared" si="281"/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34.4</v>
      </c>
      <c r="W1595" s="2">
        <f t="shared" si="277"/>
        <v>1</v>
      </c>
      <c r="X1595">
        <v>17.899999999999999</v>
      </c>
      <c r="Z1595" s="2">
        <f t="shared" si="278"/>
        <v>1</v>
      </c>
      <c r="AA1595">
        <v>5.2</v>
      </c>
      <c r="AB1595" s="2" t="str">
        <f>CHOOSE(MATCH(AA1595,{0;11;80;111;161;191;241;281;341},1),"North","NorthEast","East","SouthEast","South","SouthWest","West","NorthWest","North")</f>
        <v>North</v>
      </c>
      <c r="AC1595" s="5">
        <f>CHOOSE(MATCH(AB1595,{"South";"SouthEast";"SouthWest";"North";"NorthEast";"East";"West";"NorthWest"},0),1,2,3,4,5,6,7,8)</f>
        <v>4</v>
      </c>
      <c r="AD1595" s="2">
        <f t="shared" si="282"/>
        <v>1</v>
      </c>
      <c r="AE1595">
        <v>1016.2</v>
      </c>
      <c r="AF1595" s="4" t="s">
        <v>2160</v>
      </c>
      <c r="AG1595" s="2">
        <f t="shared" si="283"/>
        <v>1</v>
      </c>
      <c r="AH1595" t="s">
        <v>2473</v>
      </c>
      <c r="AI1595" s="2">
        <f t="shared" si="284"/>
        <v>8</v>
      </c>
      <c r="AJ1595" s="2">
        <f t="shared" si="285"/>
        <v>1</v>
      </c>
      <c r="AK1595" s="3">
        <v>136.0000000032596</v>
      </c>
      <c r="AM1595" s="2">
        <v>0</v>
      </c>
      <c r="AN1595">
        <v>0</v>
      </c>
      <c r="AO1595">
        <v>0.5</v>
      </c>
      <c r="AP1595">
        <v>0</v>
      </c>
      <c r="AQ1595" s="2">
        <f>IF((2*G1595 + M1595 -P1595 + 3*W1595 + 2*Z1595+2*AD1595 + AG1595+2*AJ1595 + 4*AM1595) &gt;=8,1,0)</f>
        <v>1</v>
      </c>
    </row>
    <row r="1596" spans="1:43" x14ac:dyDescent="0.25">
      <c r="A1596" t="s">
        <v>27</v>
      </c>
      <c r="B1596" s="1">
        <v>43699</v>
      </c>
      <c r="C1596" s="7">
        <f t="shared" si="279"/>
        <v>2019</v>
      </c>
      <c r="D1596">
        <v>93.5</v>
      </c>
      <c r="E1596">
        <v>77.900000000000006</v>
      </c>
      <c r="F1596">
        <v>85.9</v>
      </c>
      <c r="G1596" s="2">
        <f t="shared" si="276"/>
        <v>1</v>
      </c>
      <c r="H1596">
        <v>92.1</v>
      </c>
      <c r="I1596">
        <v>77.900000000000006</v>
      </c>
      <c r="J1596">
        <v>84.9</v>
      </c>
      <c r="K1596">
        <v>55.9</v>
      </c>
      <c r="L1596">
        <v>36.799999999999997</v>
      </c>
      <c r="M1596" s="2">
        <f t="shared" si="280"/>
        <v>1</v>
      </c>
      <c r="N1596">
        <v>0</v>
      </c>
      <c r="P1596" s="2">
        <f t="shared" si="281"/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29.8</v>
      </c>
      <c r="W1596" s="2">
        <f t="shared" si="277"/>
        <v>1</v>
      </c>
      <c r="X1596">
        <v>18.600000000000001</v>
      </c>
      <c r="Z1596" s="2">
        <f t="shared" si="278"/>
        <v>1</v>
      </c>
      <c r="AA1596">
        <v>2.8</v>
      </c>
      <c r="AB1596" s="2" t="str">
        <f>CHOOSE(MATCH(AA1596,{0;11;80;111;161;191;241;281;341},1),"North","NorthEast","East","SouthEast","South","SouthWest","West","NorthWest","North")</f>
        <v>North</v>
      </c>
      <c r="AC1596" s="5">
        <f>CHOOSE(MATCH(AB1596,{"South";"SouthEast";"SouthWest";"North";"NorthEast";"East";"West";"NorthWest"},0),1,2,3,4,5,6,7,8)</f>
        <v>4</v>
      </c>
      <c r="AD1596" s="2">
        <f t="shared" si="282"/>
        <v>1</v>
      </c>
      <c r="AE1596">
        <v>1015.8</v>
      </c>
      <c r="AF1596" s="4" t="s">
        <v>1689</v>
      </c>
      <c r="AG1596" s="2">
        <f t="shared" si="283"/>
        <v>1</v>
      </c>
      <c r="AH1596" t="s">
        <v>2474</v>
      </c>
      <c r="AI1596" s="2">
        <f t="shared" si="284"/>
        <v>8</v>
      </c>
      <c r="AJ1596" s="2">
        <f t="shared" si="285"/>
        <v>1</v>
      </c>
      <c r="AK1596" s="3">
        <v>56.999999997206032</v>
      </c>
      <c r="AM1596" s="2">
        <v>0</v>
      </c>
      <c r="AN1596">
        <v>0</v>
      </c>
      <c r="AO1596">
        <v>1</v>
      </c>
      <c r="AP1596">
        <v>0</v>
      </c>
      <c r="AQ1596" s="2">
        <f>IF((2*G1596 + M1596 -P1596 + 3*W1596 + 2*Z1596+2*AD1596 + AG1596+2*AJ1596 + 4*AM1596) &gt;=8,1,0)</f>
        <v>1</v>
      </c>
    </row>
    <row r="1597" spans="1:43" x14ac:dyDescent="0.25">
      <c r="A1597" t="s">
        <v>27</v>
      </c>
      <c r="B1597" s="1">
        <v>43703</v>
      </c>
      <c r="C1597" s="7">
        <f t="shared" si="279"/>
        <v>2019</v>
      </c>
      <c r="D1597">
        <v>94.2</v>
      </c>
      <c r="E1597">
        <v>81</v>
      </c>
      <c r="F1597">
        <v>86.8</v>
      </c>
      <c r="G1597" s="2">
        <f t="shared" si="276"/>
        <v>1</v>
      </c>
      <c r="H1597">
        <v>95.6</v>
      </c>
      <c r="I1597">
        <v>80.599999999999994</v>
      </c>
      <c r="J1597">
        <v>86.6</v>
      </c>
      <c r="K1597">
        <v>58.5</v>
      </c>
      <c r="L1597">
        <v>38.6</v>
      </c>
      <c r="M1597" s="2">
        <f t="shared" si="280"/>
        <v>1</v>
      </c>
      <c r="N1597">
        <v>0</v>
      </c>
      <c r="P1597" s="2">
        <f t="shared" si="281"/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38</v>
      </c>
      <c r="W1597" s="2">
        <f t="shared" si="277"/>
        <v>1</v>
      </c>
      <c r="X1597">
        <v>20.8</v>
      </c>
      <c r="Z1597" s="2">
        <f t="shared" si="278"/>
        <v>1</v>
      </c>
      <c r="AA1597">
        <v>358.8</v>
      </c>
      <c r="AB1597" s="2" t="str">
        <f>CHOOSE(MATCH(AA1597,{0;11;80;111;161;191;241;281;341},1),"North","NorthEast","East","SouthEast","South","SouthWest","West","NorthWest","North")</f>
        <v>North</v>
      </c>
      <c r="AC1597" s="5">
        <f>CHOOSE(MATCH(AB1597,{"South";"SouthEast";"SouthWest";"North";"NorthEast";"East";"West";"NorthWest"},0),1,2,3,4,5,6,7,8)</f>
        <v>4</v>
      </c>
      <c r="AD1597" s="2">
        <f t="shared" si="282"/>
        <v>1</v>
      </c>
      <c r="AE1597">
        <v>1014.6</v>
      </c>
      <c r="AF1597" s="4" t="s">
        <v>2475</v>
      </c>
      <c r="AG1597" s="2">
        <f t="shared" si="283"/>
        <v>1</v>
      </c>
      <c r="AH1597" t="s">
        <v>2476</v>
      </c>
      <c r="AI1597" s="2">
        <f t="shared" si="284"/>
        <v>8</v>
      </c>
      <c r="AJ1597" s="2">
        <f t="shared" si="285"/>
        <v>1</v>
      </c>
      <c r="AK1597" s="3">
        <v>4193.9999999979054</v>
      </c>
      <c r="AM1597" s="2">
        <v>1</v>
      </c>
      <c r="AN1597">
        <v>0</v>
      </c>
      <c r="AO1597">
        <v>4</v>
      </c>
      <c r="AP1597">
        <v>0</v>
      </c>
      <c r="AQ1597" s="2">
        <f>IF((2*G1597 + M1597 -P1597 + 3*W1597 + 2*Z1597+2*AD1597 + AG1597+2*AJ1597 + 4*AM1597) &gt;=8,1,0)</f>
        <v>1</v>
      </c>
    </row>
    <row r="1598" spans="1:43" x14ac:dyDescent="0.25">
      <c r="A1598" t="s">
        <v>27</v>
      </c>
      <c r="B1598" s="1">
        <v>43705</v>
      </c>
      <c r="C1598" s="7">
        <f t="shared" si="279"/>
        <v>2019</v>
      </c>
      <c r="D1598">
        <v>88.8</v>
      </c>
      <c r="E1598">
        <v>79.5</v>
      </c>
      <c r="F1598">
        <v>83.6</v>
      </c>
      <c r="G1598" s="2">
        <f t="shared" ref="G1598:G1661" si="286">IF(F1598&lt;=73.6,0,1)</f>
        <v>1</v>
      </c>
      <c r="H1598">
        <v>86.2</v>
      </c>
      <c r="I1598">
        <v>79.5</v>
      </c>
      <c r="J1598">
        <v>82.4</v>
      </c>
      <c r="K1598">
        <v>53.5</v>
      </c>
      <c r="L1598">
        <v>36.1</v>
      </c>
      <c r="M1598" s="2">
        <f t="shared" si="280"/>
        <v>1</v>
      </c>
      <c r="N1598">
        <v>0</v>
      </c>
      <c r="P1598" s="2">
        <f t="shared" si="281"/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34.200000000000003</v>
      </c>
      <c r="W1598" s="2">
        <f t="shared" si="277"/>
        <v>1</v>
      </c>
      <c r="X1598">
        <v>20.7</v>
      </c>
      <c r="Z1598" s="2">
        <f t="shared" si="278"/>
        <v>1</v>
      </c>
      <c r="AA1598">
        <v>353.6</v>
      </c>
      <c r="AB1598" s="2" t="str">
        <f>CHOOSE(MATCH(AA1598,{0;11;80;111;161;191;241;281;341},1),"North","NorthEast","East","SouthEast","South","SouthWest","West","NorthWest","North")</f>
        <v>North</v>
      </c>
      <c r="AC1598" s="5">
        <f>CHOOSE(MATCH(AB1598,{"South";"SouthEast";"SouthWest";"North";"NorthEast";"East";"West";"NorthWest"},0),1,2,3,4,5,6,7,8)</f>
        <v>4</v>
      </c>
      <c r="AD1598" s="2">
        <f t="shared" si="282"/>
        <v>1</v>
      </c>
      <c r="AE1598">
        <v>1017.4</v>
      </c>
      <c r="AF1598" s="4" t="s">
        <v>1071</v>
      </c>
      <c r="AG1598" s="2">
        <f t="shared" si="283"/>
        <v>1</v>
      </c>
      <c r="AH1598" t="s">
        <v>2477</v>
      </c>
      <c r="AI1598" s="2">
        <f t="shared" si="284"/>
        <v>8</v>
      </c>
      <c r="AJ1598" s="2">
        <f t="shared" si="285"/>
        <v>1</v>
      </c>
      <c r="AK1598" s="3">
        <v>1215</v>
      </c>
      <c r="AM1598" s="2">
        <v>1</v>
      </c>
      <c r="AN1598">
        <v>15</v>
      </c>
      <c r="AO1598">
        <v>0</v>
      </c>
      <c r="AP1598">
        <v>0</v>
      </c>
      <c r="AQ1598" s="2">
        <f>IF((2*G1598 + M1598 -P1598 + 3*W1598 + 2*Z1598+2*AD1598 + AG1598+2*AJ1598 + 4*AM1598) &gt;=8,1,0)</f>
        <v>1</v>
      </c>
    </row>
    <row r="1599" spans="1:43" x14ac:dyDescent="0.25">
      <c r="A1599" t="s">
        <v>27</v>
      </c>
      <c r="B1599" s="1">
        <v>43707</v>
      </c>
      <c r="C1599" s="7">
        <f t="shared" si="279"/>
        <v>2019</v>
      </c>
      <c r="D1599">
        <v>88.5</v>
      </c>
      <c r="E1599">
        <v>74.900000000000006</v>
      </c>
      <c r="F1599">
        <v>81.400000000000006</v>
      </c>
      <c r="G1599" s="2">
        <f t="shared" si="286"/>
        <v>1</v>
      </c>
      <c r="H1599">
        <v>85.8</v>
      </c>
      <c r="I1599">
        <v>74.900000000000006</v>
      </c>
      <c r="J1599">
        <v>80.3</v>
      </c>
      <c r="K1599">
        <v>50.5</v>
      </c>
      <c r="L1599">
        <v>34.700000000000003</v>
      </c>
      <c r="M1599" s="2">
        <f t="shared" si="280"/>
        <v>1</v>
      </c>
      <c r="N1599">
        <v>0</v>
      </c>
      <c r="P1599" s="2">
        <f t="shared" si="281"/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35.6</v>
      </c>
      <c r="W1599" s="2">
        <f t="shared" si="277"/>
        <v>1</v>
      </c>
      <c r="X1599">
        <v>20</v>
      </c>
      <c r="Z1599" s="2">
        <f t="shared" si="278"/>
        <v>1</v>
      </c>
      <c r="AA1599">
        <v>6</v>
      </c>
      <c r="AB1599" s="2" t="str">
        <f>CHOOSE(MATCH(AA1599,{0;11;80;111;161;191;241;281;341},1),"North","NorthEast","East","SouthEast","South","SouthWest","West","NorthWest","North")</f>
        <v>North</v>
      </c>
      <c r="AC1599" s="5">
        <f>CHOOSE(MATCH(AB1599,{"South";"SouthEast";"SouthWest";"North";"NorthEast";"East";"West";"NorthWest"},0),1,2,3,4,5,6,7,8)</f>
        <v>4</v>
      </c>
      <c r="AD1599" s="2">
        <f t="shared" si="282"/>
        <v>1</v>
      </c>
      <c r="AE1599">
        <v>1015.3</v>
      </c>
      <c r="AF1599" s="4" t="s">
        <v>2478</v>
      </c>
      <c r="AG1599" s="2">
        <f t="shared" si="283"/>
        <v>1</v>
      </c>
      <c r="AH1599" t="s">
        <v>2479</v>
      </c>
      <c r="AI1599" s="2">
        <f t="shared" si="284"/>
        <v>8</v>
      </c>
      <c r="AJ1599" s="2">
        <f t="shared" si="285"/>
        <v>1</v>
      </c>
      <c r="AK1599" s="3">
        <v>3096.000000002095</v>
      </c>
      <c r="AM1599" s="2">
        <v>1</v>
      </c>
      <c r="AN1599">
        <v>0</v>
      </c>
      <c r="AO1599">
        <v>32</v>
      </c>
      <c r="AP1599">
        <v>0</v>
      </c>
      <c r="AQ1599" s="2">
        <f>IF((2*G1599 + M1599 -P1599 + 3*W1599 + 2*Z1599+2*AD1599 + AG1599+2*AJ1599 + 4*AM1599) &gt;=8,1,0)</f>
        <v>1</v>
      </c>
    </row>
    <row r="1600" spans="1:43" x14ac:dyDescent="0.25">
      <c r="A1600" t="s">
        <v>27</v>
      </c>
      <c r="B1600" s="1">
        <v>43708</v>
      </c>
      <c r="C1600" s="7">
        <f t="shared" si="279"/>
        <v>2019</v>
      </c>
      <c r="D1600">
        <v>86.2</v>
      </c>
      <c r="E1600">
        <v>75.099999999999994</v>
      </c>
      <c r="F1600">
        <v>79.8</v>
      </c>
      <c r="G1600" s="2">
        <f t="shared" si="286"/>
        <v>1</v>
      </c>
      <c r="H1600">
        <v>83.6</v>
      </c>
      <c r="I1600">
        <v>75.099999999999994</v>
      </c>
      <c r="J1600">
        <v>79.099999999999994</v>
      </c>
      <c r="K1600">
        <v>51.5</v>
      </c>
      <c r="L1600">
        <v>38.1</v>
      </c>
      <c r="M1600" s="2">
        <f t="shared" si="280"/>
        <v>1</v>
      </c>
      <c r="N1600">
        <v>0</v>
      </c>
      <c r="P1600" s="2">
        <f t="shared" si="281"/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33.5</v>
      </c>
      <c r="W1600" s="2">
        <f t="shared" si="277"/>
        <v>1</v>
      </c>
      <c r="X1600">
        <v>21.5</v>
      </c>
      <c r="Z1600" s="2">
        <f t="shared" si="278"/>
        <v>1</v>
      </c>
      <c r="AA1600">
        <v>3</v>
      </c>
      <c r="AB1600" s="2" t="str">
        <f>CHOOSE(MATCH(AA1600,{0;11;80;111;161;191;241;281;341},1),"North","NorthEast","East","SouthEast","South","SouthWest","West","NorthWest","North")</f>
        <v>North</v>
      </c>
      <c r="AC1600" s="5">
        <f>CHOOSE(MATCH(AB1600,{"South";"SouthEast";"SouthWest";"North";"NorthEast";"East";"West";"NorthWest"},0),1,2,3,4,5,6,7,8)</f>
        <v>4</v>
      </c>
      <c r="AD1600" s="2">
        <f t="shared" si="282"/>
        <v>1</v>
      </c>
      <c r="AE1600">
        <v>1013.1</v>
      </c>
      <c r="AF1600" s="4" t="s">
        <v>2480</v>
      </c>
      <c r="AG1600" s="2">
        <f t="shared" si="283"/>
        <v>0</v>
      </c>
      <c r="AH1600" t="s">
        <v>2481</v>
      </c>
      <c r="AI1600" s="2">
        <f t="shared" si="284"/>
        <v>8</v>
      </c>
      <c r="AJ1600" s="2">
        <f t="shared" si="285"/>
        <v>1</v>
      </c>
      <c r="AK1600" s="3">
        <v>75.00000000349246</v>
      </c>
      <c r="AM1600" s="2">
        <v>0</v>
      </c>
      <c r="AN1600">
        <v>0</v>
      </c>
      <c r="AO1600">
        <v>5</v>
      </c>
      <c r="AP1600">
        <v>0</v>
      </c>
      <c r="AQ1600" s="2">
        <f>IF((2*G1600 + M1600 -P1600 + 3*W1600 + 2*Z1600+2*AD1600 + AG1600+2*AJ1600 + 4*AM1600) &gt;=8,1,0)</f>
        <v>1</v>
      </c>
    </row>
    <row r="1601" spans="1:43" x14ac:dyDescent="0.25">
      <c r="A1601" t="s">
        <v>27</v>
      </c>
      <c r="B1601" s="1">
        <v>43710</v>
      </c>
      <c r="C1601" s="7">
        <f t="shared" si="279"/>
        <v>2019</v>
      </c>
      <c r="D1601">
        <v>89.5</v>
      </c>
      <c r="E1601">
        <v>71.900000000000006</v>
      </c>
      <c r="F1601">
        <v>80.5</v>
      </c>
      <c r="G1601" s="2">
        <f t="shared" si="286"/>
        <v>1</v>
      </c>
      <c r="H1601">
        <v>86.3</v>
      </c>
      <c r="I1601">
        <v>71.900000000000006</v>
      </c>
      <c r="J1601">
        <v>79.5</v>
      </c>
      <c r="K1601">
        <v>48.7</v>
      </c>
      <c r="L1601">
        <v>33.4</v>
      </c>
      <c r="M1601" s="2">
        <f t="shared" si="280"/>
        <v>1</v>
      </c>
      <c r="N1601">
        <v>0</v>
      </c>
      <c r="P1601" s="2">
        <f t="shared" si="281"/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26.4</v>
      </c>
      <c r="W1601" s="2">
        <f t="shared" si="277"/>
        <v>1</v>
      </c>
      <c r="X1601">
        <v>17.100000000000001</v>
      </c>
      <c r="Z1601" s="2">
        <f t="shared" si="278"/>
        <v>1</v>
      </c>
      <c r="AA1601">
        <v>3.9</v>
      </c>
      <c r="AB1601" s="2" t="str">
        <f>CHOOSE(MATCH(AA1601,{0;11;80;111;161;191;241;281;341},1),"North","NorthEast","East","SouthEast","South","SouthWest","West","NorthWest","North")</f>
        <v>North</v>
      </c>
      <c r="AC1601" s="5">
        <f>CHOOSE(MATCH(AB1601,{"South";"SouthEast";"SouthWest";"North";"NorthEast";"East";"West";"NorthWest"},0),1,2,3,4,5,6,7,8)</f>
        <v>4</v>
      </c>
      <c r="AD1601" s="2">
        <f t="shared" si="282"/>
        <v>1</v>
      </c>
      <c r="AE1601">
        <v>1015.7</v>
      </c>
      <c r="AF1601" s="4" t="s">
        <v>1925</v>
      </c>
      <c r="AG1601" s="2">
        <f t="shared" si="283"/>
        <v>0</v>
      </c>
      <c r="AH1601" t="s">
        <v>2482</v>
      </c>
      <c r="AI1601" s="2">
        <f t="shared" si="284"/>
        <v>9</v>
      </c>
      <c r="AJ1601" s="2">
        <f t="shared" si="285"/>
        <v>0</v>
      </c>
      <c r="AK1601" s="3">
        <v>3945.9999999962752</v>
      </c>
      <c r="AM1601" s="2">
        <v>1</v>
      </c>
      <c r="AN1601">
        <v>7</v>
      </c>
      <c r="AO1601">
        <v>0</v>
      </c>
      <c r="AP1601">
        <v>0</v>
      </c>
      <c r="AQ1601" s="2">
        <f>IF((2*G1601 + M1601 -P1601 + 3*W1601 + 2*Z1601+2*AD1601 + AG1601+2*AJ1601 + 4*AM1601) &gt;=8,1,0)</f>
        <v>1</v>
      </c>
    </row>
    <row r="1602" spans="1:43" x14ac:dyDescent="0.25">
      <c r="A1602" t="s">
        <v>27</v>
      </c>
      <c r="B1602" s="1">
        <v>43712</v>
      </c>
      <c r="C1602" s="7">
        <f t="shared" si="279"/>
        <v>2019</v>
      </c>
      <c r="D1602">
        <v>87.2</v>
      </c>
      <c r="E1602">
        <v>74</v>
      </c>
      <c r="F1602">
        <v>81</v>
      </c>
      <c r="G1602" s="2">
        <f t="shared" si="286"/>
        <v>1</v>
      </c>
      <c r="H1602">
        <v>84.3</v>
      </c>
      <c r="I1602">
        <v>74</v>
      </c>
      <c r="J1602">
        <v>79.900000000000006</v>
      </c>
      <c r="K1602">
        <v>48.1</v>
      </c>
      <c r="L1602">
        <v>32.1</v>
      </c>
      <c r="M1602" s="2">
        <f t="shared" si="280"/>
        <v>1</v>
      </c>
      <c r="N1602">
        <v>0</v>
      </c>
      <c r="P1602" s="2">
        <f t="shared" si="281"/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34.6</v>
      </c>
      <c r="W1602" s="2">
        <f t="shared" si="277"/>
        <v>1</v>
      </c>
      <c r="X1602">
        <v>21.5</v>
      </c>
      <c r="Z1602" s="2">
        <f t="shared" si="278"/>
        <v>1</v>
      </c>
      <c r="AA1602">
        <v>354.8</v>
      </c>
      <c r="AB1602" s="2" t="str">
        <f>CHOOSE(MATCH(AA1602,{0;11;80;111;161;191;241;281;341},1),"North","NorthEast","East","SouthEast","South","SouthWest","West","NorthWest","North")</f>
        <v>North</v>
      </c>
      <c r="AC1602" s="5">
        <f>CHOOSE(MATCH(AB1602,{"South";"SouthEast";"SouthWest";"North";"NorthEast";"East";"West";"NorthWest"},0),1,2,3,4,5,6,7,8)</f>
        <v>4</v>
      </c>
      <c r="AD1602" s="2">
        <f t="shared" si="282"/>
        <v>1</v>
      </c>
      <c r="AE1602">
        <v>1011.9</v>
      </c>
      <c r="AF1602" s="4" t="s">
        <v>2483</v>
      </c>
      <c r="AG1602" s="2">
        <f t="shared" si="283"/>
        <v>1</v>
      </c>
      <c r="AH1602" t="s">
        <v>2484</v>
      </c>
      <c r="AI1602" s="2">
        <f t="shared" si="284"/>
        <v>9</v>
      </c>
      <c r="AJ1602" s="2">
        <f t="shared" si="285"/>
        <v>0</v>
      </c>
      <c r="AK1602" s="3">
        <v>1193.9999999944121</v>
      </c>
      <c r="AM1602" s="2">
        <v>1</v>
      </c>
      <c r="AN1602">
        <v>0</v>
      </c>
      <c r="AO1602">
        <v>1</v>
      </c>
      <c r="AP1602">
        <v>0</v>
      </c>
      <c r="AQ1602" s="2">
        <f>IF((2*G1602 + M1602 -P1602 + 3*W1602 + 2*Z1602+2*AD1602 + AG1602+2*AJ1602 + 4*AM1602) &gt;=8,1,0)</f>
        <v>1</v>
      </c>
    </row>
    <row r="1603" spans="1:43" x14ac:dyDescent="0.25">
      <c r="A1603" t="s">
        <v>27</v>
      </c>
      <c r="B1603" s="1">
        <v>43713</v>
      </c>
      <c r="C1603" s="7">
        <f t="shared" si="279"/>
        <v>2019</v>
      </c>
      <c r="D1603">
        <v>85.9</v>
      </c>
      <c r="E1603">
        <v>74</v>
      </c>
      <c r="F1603">
        <v>79.7</v>
      </c>
      <c r="G1603" s="2">
        <f t="shared" si="286"/>
        <v>1</v>
      </c>
      <c r="H1603">
        <v>85.5</v>
      </c>
      <c r="I1603">
        <v>74</v>
      </c>
      <c r="J1603">
        <v>79.7</v>
      </c>
      <c r="K1603">
        <v>58.4</v>
      </c>
      <c r="L1603">
        <v>48.7</v>
      </c>
      <c r="M1603" s="2">
        <f t="shared" si="280"/>
        <v>1</v>
      </c>
      <c r="N1603">
        <v>0</v>
      </c>
      <c r="P1603" s="2">
        <f t="shared" si="281"/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33.299999999999997</v>
      </c>
      <c r="W1603" s="2">
        <f t="shared" si="277"/>
        <v>1</v>
      </c>
      <c r="X1603">
        <v>17.8</v>
      </c>
      <c r="Z1603" s="2">
        <f t="shared" si="278"/>
        <v>1</v>
      </c>
      <c r="AA1603">
        <v>359</v>
      </c>
      <c r="AB1603" s="2" t="str">
        <f>CHOOSE(MATCH(AA1603,{0;11;80;111;161;191;241;281;341},1),"North","NorthEast","East","SouthEast","South","SouthWest","West","NorthWest","North")</f>
        <v>North</v>
      </c>
      <c r="AC1603" s="5">
        <f>CHOOSE(MATCH(AB1603,{"South";"SouthEast";"SouthWest";"North";"NorthEast";"East";"West";"NorthWest"},0),1,2,3,4,5,6,7,8)</f>
        <v>4</v>
      </c>
      <c r="AD1603" s="2">
        <f t="shared" si="282"/>
        <v>1</v>
      </c>
      <c r="AE1603">
        <v>1012.9</v>
      </c>
      <c r="AF1603" s="4" t="s">
        <v>2485</v>
      </c>
      <c r="AG1603" s="2">
        <f t="shared" si="283"/>
        <v>1</v>
      </c>
      <c r="AH1603" t="s">
        <v>2486</v>
      </c>
      <c r="AI1603" s="2">
        <f t="shared" si="284"/>
        <v>9</v>
      </c>
      <c r="AJ1603" s="2">
        <f t="shared" si="285"/>
        <v>0</v>
      </c>
      <c r="AK1603" s="3">
        <v>2647.9999999981369</v>
      </c>
      <c r="AM1603" s="2">
        <v>1</v>
      </c>
      <c r="AN1603">
        <v>2</v>
      </c>
      <c r="AO1603">
        <v>0</v>
      </c>
      <c r="AP1603">
        <v>0</v>
      </c>
      <c r="AQ1603" s="2">
        <f>IF((2*G1603 + M1603 -P1603 + 3*W1603 + 2*Z1603+2*AD1603 + AG1603+2*AJ1603 + 4*AM1603) &gt;=8,1,0)</f>
        <v>1</v>
      </c>
    </row>
    <row r="1604" spans="1:43" x14ac:dyDescent="0.25">
      <c r="A1604" t="s">
        <v>27</v>
      </c>
      <c r="B1604" s="1">
        <v>43713</v>
      </c>
      <c r="C1604" s="7">
        <f t="shared" si="279"/>
        <v>2019</v>
      </c>
      <c r="D1604">
        <v>85.9</v>
      </c>
      <c r="E1604">
        <v>74</v>
      </c>
      <c r="F1604">
        <v>79.7</v>
      </c>
      <c r="G1604" s="2">
        <f t="shared" si="286"/>
        <v>1</v>
      </c>
      <c r="H1604">
        <v>85.5</v>
      </c>
      <c r="I1604">
        <v>74</v>
      </c>
      <c r="J1604">
        <v>79.7</v>
      </c>
      <c r="K1604">
        <v>58.4</v>
      </c>
      <c r="L1604">
        <v>48.7</v>
      </c>
      <c r="M1604" s="2">
        <f t="shared" si="280"/>
        <v>1</v>
      </c>
      <c r="N1604">
        <v>0</v>
      </c>
      <c r="P1604" s="2">
        <f t="shared" si="281"/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33.299999999999997</v>
      </c>
      <c r="W1604" s="2">
        <f t="shared" si="277"/>
        <v>1</v>
      </c>
      <c r="X1604">
        <v>17.8</v>
      </c>
      <c r="Z1604" s="2">
        <f t="shared" si="278"/>
        <v>1</v>
      </c>
      <c r="AA1604">
        <v>359</v>
      </c>
      <c r="AB1604" s="2" t="str">
        <f>CHOOSE(MATCH(AA1604,{0;11;80;111;161;191;241;281;341},1),"North","NorthEast","East","SouthEast","South","SouthWest","West","NorthWest","North")</f>
        <v>North</v>
      </c>
      <c r="AC1604" s="5">
        <f>CHOOSE(MATCH(AB1604,{"South";"SouthEast";"SouthWest";"North";"NorthEast";"East";"West";"NorthWest"},0),1,2,3,4,5,6,7,8)</f>
        <v>4</v>
      </c>
      <c r="AD1604" s="2">
        <f t="shared" si="282"/>
        <v>1</v>
      </c>
      <c r="AE1604">
        <v>1012.9</v>
      </c>
      <c r="AF1604" s="4" t="s">
        <v>1710</v>
      </c>
      <c r="AG1604" s="2">
        <f t="shared" si="283"/>
        <v>0</v>
      </c>
      <c r="AH1604" t="s">
        <v>2487</v>
      </c>
      <c r="AI1604" s="2">
        <f t="shared" si="284"/>
        <v>9</v>
      </c>
      <c r="AJ1604" s="2">
        <f t="shared" si="285"/>
        <v>0</v>
      </c>
      <c r="AK1604" s="3">
        <v>11071.99999999604</v>
      </c>
      <c r="AM1604" s="2">
        <v>1</v>
      </c>
      <c r="AN1604">
        <v>0</v>
      </c>
      <c r="AO1604">
        <v>700</v>
      </c>
      <c r="AP1604">
        <v>0</v>
      </c>
      <c r="AQ1604" s="2">
        <f>IF((2*G1604 + M1604 -P1604 + 3*W1604 + 2*Z1604+2*AD1604 + AG1604+2*AJ1604 + 4*AM1604) &gt;=8,1,0)</f>
        <v>1</v>
      </c>
    </row>
    <row r="1605" spans="1:43" x14ac:dyDescent="0.25">
      <c r="A1605" t="s">
        <v>27</v>
      </c>
      <c r="B1605" s="1">
        <v>43716</v>
      </c>
      <c r="C1605" s="7">
        <f t="shared" si="279"/>
        <v>2019</v>
      </c>
      <c r="D1605">
        <v>87.6</v>
      </c>
      <c r="E1605">
        <v>67.599999999999994</v>
      </c>
      <c r="F1605">
        <v>78.2</v>
      </c>
      <c r="G1605" s="2">
        <f t="shared" si="286"/>
        <v>1</v>
      </c>
      <c r="H1605">
        <v>85.4</v>
      </c>
      <c r="I1605">
        <v>67.599999999999994</v>
      </c>
      <c r="J1605">
        <v>77.5</v>
      </c>
      <c r="K1605">
        <v>50.2</v>
      </c>
      <c r="L1605">
        <v>38.4</v>
      </c>
      <c r="M1605" s="2">
        <f t="shared" si="280"/>
        <v>1</v>
      </c>
      <c r="N1605">
        <v>0</v>
      </c>
      <c r="P1605" s="2">
        <f t="shared" si="281"/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24.1</v>
      </c>
      <c r="W1605" s="2">
        <f t="shared" si="277"/>
        <v>1</v>
      </c>
      <c r="X1605">
        <v>14.9</v>
      </c>
      <c r="Z1605" s="2">
        <f t="shared" si="278"/>
        <v>0</v>
      </c>
      <c r="AA1605">
        <v>4</v>
      </c>
      <c r="AB1605" s="2" t="str">
        <f>CHOOSE(MATCH(AA1605,{0;11;80;111;161;191;241;281;341},1),"North","NorthEast","East","SouthEast","South","SouthWest","West","NorthWest","North")</f>
        <v>North</v>
      </c>
      <c r="AC1605" s="5">
        <f>CHOOSE(MATCH(AB1605,{"South";"SouthEast";"SouthWest";"North";"NorthEast";"East";"West";"NorthWest"},0),1,2,3,4,5,6,7,8)</f>
        <v>4</v>
      </c>
      <c r="AD1605" s="2">
        <f t="shared" si="282"/>
        <v>1</v>
      </c>
      <c r="AE1605">
        <v>1017</v>
      </c>
      <c r="AF1605" s="4" t="s">
        <v>1844</v>
      </c>
      <c r="AG1605" s="2">
        <f t="shared" si="283"/>
        <v>1</v>
      </c>
      <c r="AH1605" t="s">
        <v>2488</v>
      </c>
      <c r="AI1605" s="2">
        <f t="shared" si="284"/>
        <v>9</v>
      </c>
      <c r="AJ1605" s="2">
        <f t="shared" si="285"/>
        <v>0</v>
      </c>
      <c r="AK1605" s="3">
        <v>100.0000000011642</v>
      </c>
      <c r="AM1605" s="2">
        <v>0</v>
      </c>
      <c r="AN1605">
        <v>0</v>
      </c>
      <c r="AO1605">
        <v>0.8</v>
      </c>
      <c r="AP1605">
        <v>0</v>
      </c>
      <c r="AQ1605" s="2">
        <f>IF((2*G1605 + M1605 -P1605 + 3*W1605 + 2*Z1605+2*AD1605 + AG1605+2*AJ1605 + 4*AM1605) &gt;=8,1,0)</f>
        <v>1</v>
      </c>
    </row>
    <row r="1606" spans="1:43" x14ac:dyDescent="0.25">
      <c r="A1606" t="s">
        <v>27</v>
      </c>
      <c r="B1606" s="1">
        <v>43721</v>
      </c>
      <c r="C1606" s="7">
        <f t="shared" si="279"/>
        <v>2019</v>
      </c>
      <c r="D1606">
        <v>81.900000000000006</v>
      </c>
      <c r="E1606">
        <v>69.400000000000006</v>
      </c>
      <c r="F1606">
        <v>76.5</v>
      </c>
      <c r="G1606" s="2">
        <f t="shared" si="286"/>
        <v>1</v>
      </c>
      <c r="H1606">
        <v>80.5</v>
      </c>
      <c r="I1606">
        <v>69.400000000000006</v>
      </c>
      <c r="J1606">
        <v>76.3</v>
      </c>
      <c r="K1606">
        <v>53.1</v>
      </c>
      <c r="L1606">
        <v>45.4</v>
      </c>
      <c r="M1606" s="2">
        <f t="shared" si="280"/>
        <v>1</v>
      </c>
      <c r="N1606">
        <v>7.0000000000000001E-3</v>
      </c>
      <c r="P1606" s="2">
        <f t="shared" si="281"/>
        <v>1</v>
      </c>
      <c r="Q1606">
        <v>100</v>
      </c>
      <c r="R1606">
        <v>4.17</v>
      </c>
      <c r="S1606" t="s">
        <v>87</v>
      </c>
      <c r="T1606">
        <v>0</v>
      </c>
      <c r="U1606">
        <v>0</v>
      </c>
      <c r="V1606">
        <v>45</v>
      </c>
      <c r="W1606" s="2">
        <f t="shared" si="277"/>
        <v>1</v>
      </c>
      <c r="X1606">
        <v>24.8</v>
      </c>
      <c r="Z1606" s="2">
        <f t="shared" si="278"/>
        <v>1</v>
      </c>
      <c r="AA1606">
        <v>357.4</v>
      </c>
      <c r="AB1606" s="2" t="str">
        <f>CHOOSE(MATCH(AA1606,{0;11;80;111;161;191;241;281;341},1),"North","NorthEast","East","SouthEast","South","SouthWest","West","NorthWest","North")</f>
        <v>North</v>
      </c>
      <c r="AC1606" s="5">
        <f>CHOOSE(MATCH(AB1606,{"South";"SouthEast";"SouthWest";"North";"NorthEast";"East";"West";"NorthWest"},0),1,2,3,4,5,6,7,8)</f>
        <v>4</v>
      </c>
      <c r="AD1606" s="2">
        <f t="shared" si="282"/>
        <v>1</v>
      </c>
      <c r="AE1606">
        <v>1018.8</v>
      </c>
      <c r="AF1606" s="4" t="s">
        <v>2489</v>
      </c>
      <c r="AG1606" s="2">
        <f t="shared" si="283"/>
        <v>1</v>
      </c>
      <c r="AH1606" t="s">
        <v>2490</v>
      </c>
      <c r="AI1606" s="2">
        <f t="shared" si="284"/>
        <v>9</v>
      </c>
      <c r="AJ1606" s="2">
        <f t="shared" si="285"/>
        <v>0</v>
      </c>
      <c r="AK1606" s="3">
        <v>3402.9999999969732</v>
      </c>
      <c r="AM1606" s="2">
        <v>1</v>
      </c>
      <c r="AN1606">
        <v>0</v>
      </c>
      <c r="AO1606">
        <v>40</v>
      </c>
      <c r="AP1606">
        <v>0</v>
      </c>
      <c r="AQ1606" s="2">
        <f>IF((2*G1606 + M1606 -P1606 + 3*W1606 + 2*Z1606+2*AD1606 + AG1606+2*AJ1606 + 4*AM1606) &gt;=8,1,0)</f>
        <v>1</v>
      </c>
    </row>
    <row r="1607" spans="1:43" x14ac:dyDescent="0.25">
      <c r="A1607" t="s">
        <v>27</v>
      </c>
      <c r="B1607" s="1">
        <v>43722</v>
      </c>
      <c r="C1607" s="7">
        <f t="shared" si="279"/>
        <v>2019</v>
      </c>
      <c r="D1607">
        <v>84.3</v>
      </c>
      <c r="E1607">
        <v>73.900000000000006</v>
      </c>
      <c r="F1607">
        <v>78.400000000000006</v>
      </c>
      <c r="G1607" s="2">
        <f t="shared" si="286"/>
        <v>1</v>
      </c>
      <c r="H1607">
        <v>81.599999999999994</v>
      </c>
      <c r="I1607">
        <v>73.900000000000006</v>
      </c>
      <c r="J1607">
        <v>77.599999999999994</v>
      </c>
      <c r="K1607">
        <v>43.9</v>
      </c>
      <c r="L1607">
        <v>30.2</v>
      </c>
      <c r="M1607" s="2">
        <f t="shared" si="280"/>
        <v>1</v>
      </c>
      <c r="N1607">
        <v>0</v>
      </c>
      <c r="P1607" s="2">
        <f t="shared" si="281"/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44.9</v>
      </c>
      <c r="W1607" s="2">
        <f t="shared" si="277"/>
        <v>1</v>
      </c>
      <c r="X1607">
        <v>26.5</v>
      </c>
      <c r="Z1607" s="2">
        <f t="shared" si="278"/>
        <v>1</v>
      </c>
      <c r="AA1607">
        <v>3.4</v>
      </c>
      <c r="AB1607" s="2" t="str">
        <f>CHOOSE(MATCH(AA1607,{0;11;80;111;161;191;241;281;341},1),"North","NorthEast","East","SouthEast","South","SouthWest","West","NorthWest","North")</f>
        <v>North</v>
      </c>
      <c r="AC1607" s="5">
        <f>CHOOSE(MATCH(AB1607,{"South";"SouthEast";"SouthWest";"North";"NorthEast";"East";"West";"NorthWest"},0),1,2,3,4,5,6,7,8)</f>
        <v>4</v>
      </c>
      <c r="AD1607" s="2">
        <f t="shared" si="282"/>
        <v>1</v>
      </c>
      <c r="AE1607">
        <v>1017.1</v>
      </c>
      <c r="AF1607" s="4" t="s">
        <v>2491</v>
      </c>
      <c r="AG1607" s="2">
        <f t="shared" si="283"/>
        <v>0</v>
      </c>
      <c r="AH1607" t="s">
        <v>2492</v>
      </c>
      <c r="AI1607" s="2">
        <f t="shared" si="284"/>
        <v>9</v>
      </c>
      <c r="AJ1607" s="2">
        <f t="shared" si="285"/>
        <v>0</v>
      </c>
      <c r="AK1607" s="3">
        <v>351.00000000209548</v>
      </c>
      <c r="AM1607" s="2">
        <v>0</v>
      </c>
      <c r="AN1607">
        <v>0.5</v>
      </c>
      <c r="AO1607">
        <v>0</v>
      </c>
      <c r="AP1607">
        <v>0</v>
      </c>
      <c r="AQ1607" s="2">
        <f>IF((2*G1607 + M1607 -P1607 + 3*W1607 + 2*Z1607+2*AD1607 + AG1607+2*AJ1607 + 4*AM1607) &gt;=8,1,0)</f>
        <v>1</v>
      </c>
    </row>
    <row r="1608" spans="1:43" x14ac:dyDescent="0.25">
      <c r="A1608" t="s">
        <v>27</v>
      </c>
      <c r="B1608" s="1">
        <v>43722</v>
      </c>
      <c r="C1608" s="7">
        <f t="shared" si="279"/>
        <v>2019</v>
      </c>
      <c r="D1608">
        <v>84.3</v>
      </c>
      <c r="E1608">
        <v>73.900000000000006</v>
      </c>
      <c r="F1608">
        <v>78.400000000000006</v>
      </c>
      <c r="G1608" s="2">
        <f t="shared" si="286"/>
        <v>1</v>
      </c>
      <c r="H1608">
        <v>81.599999999999994</v>
      </c>
      <c r="I1608">
        <v>73.900000000000006</v>
      </c>
      <c r="J1608">
        <v>77.599999999999994</v>
      </c>
      <c r="K1608">
        <v>43.9</v>
      </c>
      <c r="L1608">
        <v>30.2</v>
      </c>
      <c r="M1608" s="2">
        <f t="shared" si="280"/>
        <v>1</v>
      </c>
      <c r="N1608">
        <v>0</v>
      </c>
      <c r="P1608" s="2">
        <f t="shared" si="281"/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44.9</v>
      </c>
      <c r="W1608" s="2">
        <f t="shared" si="277"/>
        <v>1</v>
      </c>
      <c r="X1608">
        <v>26.5</v>
      </c>
      <c r="Z1608" s="2">
        <f t="shared" si="278"/>
        <v>1</v>
      </c>
      <c r="AA1608">
        <v>3.4</v>
      </c>
      <c r="AB1608" s="2" t="str">
        <f>CHOOSE(MATCH(AA1608,{0;11;80;111;161;191;241;281;341},1),"North","NorthEast","East","SouthEast","South","SouthWest","West","NorthWest","North")</f>
        <v>North</v>
      </c>
      <c r="AC1608" s="5">
        <f>CHOOSE(MATCH(AB1608,{"South";"SouthEast";"SouthWest";"North";"NorthEast";"East";"West";"NorthWest"},0),1,2,3,4,5,6,7,8)</f>
        <v>4</v>
      </c>
      <c r="AD1608" s="2">
        <f t="shared" si="282"/>
        <v>1</v>
      </c>
      <c r="AE1608">
        <v>1017.1</v>
      </c>
      <c r="AF1608" s="4" t="s">
        <v>2493</v>
      </c>
      <c r="AG1608" s="2">
        <f t="shared" si="283"/>
        <v>0</v>
      </c>
      <c r="AH1608" t="s">
        <v>2494</v>
      </c>
      <c r="AI1608" s="2">
        <f t="shared" si="284"/>
        <v>9</v>
      </c>
      <c r="AJ1608" s="2">
        <f t="shared" si="285"/>
        <v>0</v>
      </c>
      <c r="AK1608" s="3">
        <v>407.99999999930151</v>
      </c>
      <c r="AM1608" s="2">
        <v>1</v>
      </c>
      <c r="AN1608">
        <v>5</v>
      </c>
      <c r="AO1608">
        <v>0</v>
      </c>
      <c r="AP1608">
        <v>0</v>
      </c>
      <c r="AQ1608" s="2">
        <f>IF((2*G1608 + M1608 -P1608 + 3*W1608 + 2*Z1608+2*AD1608 + AG1608+2*AJ1608 + 4*AM1608) &gt;=8,1,0)</f>
        <v>1</v>
      </c>
    </row>
    <row r="1609" spans="1:43" x14ac:dyDescent="0.25">
      <c r="A1609" t="s">
        <v>27</v>
      </c>
      <c r="B1609" s="1">
        <v>43722</v>
      </c>
      <c r="C1609" s="7">
        <f t="shared" si="279"/>
        <v>2019</v>
      </c>
      <c r="D1609">
        <v>84.3</v>
      </c>
      <c r="E1609">
        <v>73.900000000000006</v>
      </c>
      <c r="F1609">
        <v>78.400000000000006</v>
      </c>
      <c r="G1609" s="2">
        <f t="shared" si="286"/>
        <v>1</v>
      </c>
      <c r="H1609">
        <v>81.599999999999994</v>
      </c>
      <c r="I1609">
        <v>73.900000000000006</v>
      </c>
      <c r="J1609">
        <v>77.599999999999994</v>
      </c>
      <c r="K1609">
        <v>43.9</v>
      </c>
      <c r="L1609">
        <v>30.2</v>
      </c>
      <c r="M1609" s="2">
        <f t="shared" si="280"/>
        <v>1</v>
      </c>
      <c r="N1609">
        <v>0</v>
      </c>
      <c r="P1609" s="2">
        <f t="shared" si="281"/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44.9</v>
      </c>
      <c r="W1609" s="2">
        <f t="shared" si="277"/>
        <v>1</v>
      </c>
      <c r="X1609">
        <v>26.5</v>
      </c>
      <c r="Z1609" s="2">
        <f t="shared" si="278"/>
        <v>1</v>
      </c>
      <c r="AA1609">
        <v>3.4</v>
      </c>
      <c r="AB1609" s="2" t="str">
        <f>CHOOSE(MATCH(AA1609,{0;11;80;111;161;191;241;281;341},1),"North","NorthEast","East","SouthEast","South","SouthWest","West","NorthWest","North")</f>
        <v>North</v>
      </c>
      <c r="AC1609" s="5">
        <f>CHOOSE(MATCH(AB1609,{"South";"SouthEast";"SouthWest";"North";"NorthEast";"East";"West";"NorthWest"},0),1,2,3,4,5,6,7,8)</f>
        <v>4</v>
      </c>
      <c r="AD1609" s="2">
        <f t="shared" si="282"/>
        <v>1</v>
      </c>
      <c r="AE1609">
        <v>1017.1</v>
      </c>
      <c r="AF1609" s="4" t="s">
        <v>2495</v>
      </c>
      <c r="AG1609" s="2">
        <f t="shared" si="283"/>
        <v>1</v>
      </c>
      <c r="AH1609" t="s">
        <v>2496</v>
      </c>
      <c r="AI1609" s="2">
        <f t="shared" si="284"/>
        <v>9</v>
      </c>
      <c r="AJ1609" s="2">
        <f t="shared" si="285"/>
        <v>0</v>
      </c>
      <c r="AK1609" s="3">
        <v>4324.0000000025611</v>
      </c>
      <c r="AM1609" s="2">
        <v>1</v>
      </c>
      <c r="AN1609">
        <v>0</v>
      </c>
      <c r="AO1609">
        <v>37</v>
      </c>
      <c r="AP1609">
        <v>0</v>
      </c>
      <c r="AQ1609" s="2">
        <f>IF((2*G1609 + M1609 -P1609 + 3*W1609 + 2*Z1609+2*AD1609 + AG1609+2*AJ1609 + 4*AM1609) &gt;=8,1,0)</f>
        <v>1</v>
      </c>
    </row>
    <row r="1610" spans="1:43" x14ac:dyDescent="0.25">
      <c r="A1610" t="s">
        <v>27</v>
      </c>
      <c r="B1610" s="1">
        <v>43735</v>
      </c>
      <c r="C1610" s="7">
        <f t="shared" si="279"/>
        <v>2019</v>
      </c>
      <c r="D1610">
        <v>83.8</v>
      </c>
      <c r="E1610">
        <v>66.599999999999994</v>
      </c>
      <c r="F1610">
        <v>73.900000000000006</v>
      </c>
      <c r="G1610" s="2">
        <f t="shared" si="286"/>
        <v>1</v>
      </c>
      <c r="H1610">
        <v>84.1</v>
      </c>
      <c r="I1610">
        <v>66.599999999999994</v>
      </c>
      <c r="J1610">
        <v>74.099999999999994</v>
      </c>
      <c r="K1610">
        <v>62.2</v>
      </c>
      <c r="L1610">
        <v>68.5</v>
      </c>
      <c r="M1610" s="2">
        <f t="shared" si="280"/>
        <v>0</v>
      </c>
      <c r="N1610">
        <v>3.5000000000000003E-2</v>
      </c>
      <c r="P1610" s="2">
        <f t="shared" si="281"/>
        <v>0</v>
      </c>
      <c r="Q1610">
        <v>100</v>
      </c>
      <c r="R1610">
        <v>4.17</v>
      </c>
      <c r="S1610" t="s">
        <v>87</v>
      </c>
      <c r="T1610">
        <v>0</v>
      </c>
      <c r="U1610">
        <v>0</v>
      </c>
      <c r="V1610">
        <v>19.3</v>
      </c>
      <c r="W1610" s="2">
        <f t="shared" si="277"/>
        <v>1</v>
      </c>
      <c r="X1610">
        <v>12.2</v>
      </c>
      <c r="Z1610" s="2">
        <f t="shared" si="278"/>
        <v>0</v>
      </c>
      <c r="AA1610">
        <v>37.5</v>
      </c>
      <c r="AB1610" s="2" t="str">
        <f>CHOOSE(MATCH(AA1610,{0;11;80;111;161;191;241;281;341},1),"North","NorthEast","East","SouthEast","South","SouthWest","West","NorthWest","North")</f>
        <v>NorthEast</v>
      </c>
      <c r="AC1610" s="5">
        <f>CHOOSE(MATCH(AB1610,{"South";"SouthEast";"SouthWest";"North";"NorthEast";"East";"West";"NorthWest"},0),1,2,3,4,5,6,7,8)</f>
        <v>5</v>
      </c>
      <c r="AD1610" s="2">
        <f t="shared" si="282"/>
        <v>1</v>
      </c>
      <c r="AE1610">
        <v>1013.3</v>
      </c>
      <c r="AF1610" s="4" t="s">
        <v>1169</v>
      </c>
      <c r="AG1610" s="2">
        <f t="shared" si="283"/>
        <v>0</v>
      </c>
      <c r="AH1610" t="s">
        <v>2497</v>
      </c>
      <c r="AI1610" s="2">
        <f t="shared" si="284"/>
        <v>9</v>
      </c>
      <c r="AJ1610" s="2">
        <f t="shared" si="285"/>
        <v>0</v>
      </c>
      <c r="AK1610" s="3">
        <v>339.99999999767169</v>
      </c>
      <c r="AM1610" s="2">
        <v>0</v>
      </c>
      <c r="AN1610">
        <v>2</v>
      </c>
      <c r="AO1610">
        <v>0</v>
      </c>
      <c r="AP1610">
        <v>0</v>
      </c>
      <c r="AQ1610" s="2">
        <f>IF((2*G1610 + M1610 -P1610 + 3*W1610 + 2*Z1610+2*AD1610 + AG1610+2*AJ1610 + 4*AM1610) &gt;=8,1,0)</f>
        <v>0</v>
      </c>
    </row>
    <row r="1611" spans="1:43" x14ac:dyDescent="0.25">
      <c r="A1611" t="s">
        <v>27</v>
      </c>
      <c r="B1611" s="1">
        <v>43736</v>
      </c>
      <c r="C1611" s="7">
        <f t="shared" si="279"/>
        <v>2019</v>
      </c>
      <c r="D1611">
        <v>82.6</v>
      </c>
      <c r="E1611">
        <v>64.099999999999994</v>
      </c>
      <c r="F1611">
        <v>72.900000000000006</v>
      </c>
      <c r="G1611" s="2">
        <f t="shared" si="286"/>
        <v>0</v>
      </c>
      <c r="H1611">
        <v>81.900000000000006</v>
      </c>
      <c r="I1611">
        <v>64.099999999999994</v>
      </c>
      <c r="J1611">
        <v>72.7</v>
      </c>
      <c r="K1611">
        <v>55.9</v>
      </c>
      <c r="L1611">
        <v>57.5</v>
      </c>
      <c r="M1611" s="2">
        <f t="shared" si="280"/>
        <v>0</v>
      </c>
      <c r="N1611">
        <v>0</v>
      </c>
      <c r="P1611" s="2">
        <f t="shared" si="281"/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25.3</v>
      </c>
      <c r="W1611" s="2">
        <f t="shared" si="277"/>
        <v>1</v>
      </c>
      <c r="X1611">
        <v>10</v>
      </c>
      <c r="Z1611" s="2">
        <f t="shared" si="278"/>
        <v>0</v>
      </c>
      <c r="AA1611">
        <v>74.5</v>
      </c>
      <c r="AB1611" s="2" t="str">
        <f>CHOOSE(MATCH(AA1611,{0;11;80;111;161;191;241;281;341},1),"North","NorthEast","East","SouthEast","South","SouthWest","West","NorthWest","North")</f>
        <v>NorthEast</v>
      </c>
      <c r="AC1611" s="5">
        <f>CHOOSE(MATCH(AB1611,{"South";"SouthEast";"SouthWest";"North";"NorthEast";"East";"West";"NorthWest"},0),1,2,3,4,5,6,7,8)</f>
        <v>5</v>
      </c>
      <c r="AD1611" s="2">
        <f t="shared" si="282"/>
        <v>1</v>
      </c>
      <c r="AE1611">
        <v>1016.9</v>
      </c>
      <c r="AF1611" s="4" t="s">
        <v>2498</v>
      </c>
      <c r="AG1611" s="2">
        <f t="shared" si="283"/>
        <v>0</v>
      </c>
      <c r="AH1611" t="s">
        <v>2499</v>
      </c>
      <c r="AI1611" s="2">
        <f t="shared" si="284"/>
        <v>9</v>
      </c>
      <c r="AJ1611" s="2">
        <f t="shared" si="285"/>
        <v>0</v>
      </c>
      <c r="AK1611" s="3">
        <v>289.99999999185093</v>
      </c>
      <c r="AM1611" s="2">
        <v>0</v>
      </c>
      <c r="AN1611">
        <v>0</v>
      </c>
      <c r="AO1611">
        <v>10</v>
      </c>
      <c r="AP1611">
        <v>0</v>
      </c>
      <c r="AQ1611" s="2">
        <f>IF((2*G1611 + M1611 -P1611 + 3*W1611 + 2*Z1611+2*AD1611 + AG1611+2*AJ1611 + 4*AM1611) &gt;=8,1,0)</f>
        <v>0</v>
      </c>
    </row>
    <row r="1612" spans="1:43" x14ac:dyDescent="0.25">
      <c r="A1612" t="s">
        <v>27</v>
      </c>
      <c r="B1612" s="1">
        <v>43739</v>
      </c>
      <c r="C1612" s="7">
        <f t="shared" si="279"/>
        <v>2019</v>
      </c>
      <c r="D1612">
        <v>84.6</v>
      </c>
      <c r="E1612">
        <v>64.8</v>
      </c>
      <c r="F1612">
        <v>74.400000000000006</v>
      </c>
      <c r="G1612" s="2">
        <f t="shared" si="286"/>
        <v>1</v>
      </c>
      <c r="H1612">
        <v>85.1</v>
      </c>
      <c r="I1612">
        <v>64.8</v>
      </c>
      <c r="J1612">
        <v>74.599999999999994</v>
      </c>
      <c r="K1612">
        <v>60.7</v>
      </c>
      <c r="L1612">
        <v>63.8</v>
      </c>
      <c r="M1612" s="2">
        <f t="shared" si="280"/>
        <v>0</v>
      </c>
      <c r="N1612">
        <v>0</v>
      </c>
      <c r="P1612" s="2">
        <f t="shared" si="281"/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14.3</v>
      </c>
      <c r="W1612" s="2">
        <f t="shared" si="277"/>
        <v>1</v>
      </c>
      <c r="X1612">
        <v>10.4</v>
      </c>
      <c r="Z1612" s="2">
        <f t="shared" si="278"/>
        <v>0</v>
      </c>
      <c r="AA1612">
        <v>97.9</v>
      </c>
      <c r="AB1612" s="2" t="str">
        <f>CHOOSE(MATCH(AA1612,{0;11;80;111;161;191;241;281;341},1),"North","NorthEast","East","SouthEast","South","SouthWest","West","NorthWest","North")</f>
        <v>East</v>
      </c>
      <c r="AC1612" s="5">
        <f>CHOOSE(MATCH(AB1612,{"South";"SouthEast";"SouthWest";"North";"NorthEast";"East";"West";"NorthWest"},0),1,2,3,4,5,6,7,8)</f>
        <v>6</v>
      </c>
      <c r="AD1612" s="2">
        <f t="shared" si="282"/>
        <v>0</v>
      </c>
      <c r="AE1612">
        <v>1012.6</v>
      </c>
      <c r="AF1612" s="4" t="s">
        <v>2500</v>
      </c>
      <c r="AG1612" s="2">
        <f t="shared" si="283"/>
        <v>1</v>
      </c>
      <c r="AH1612" t="s">
        <v>2501</v>
      </c>
      <c r="AI1612" s="2">
        <f t="shared" si="284"/>
        <v>10</v>
      </c>
      <c r="AJ1612" s="2">
        <f t="shared" si="285"/>
        <v>0</v>
      </c>
      <c r="AK1612" s="3">
        <v>76.000000006752089</v>
      </c>
      <c r="AM1612" s="2">
        <v>0</v>
      </c>
      <c r="AN1612">
        <v>0</v>
      </c>
      <c r="AO1612">
        <v>0.05</v>
      </c>
      <c r="AP1612">
        <v>0</v>
      </c>
      <c r="AQ1612" s="2">
        <f>IF((2*G1612 + M1612 -P1612 + 3*W1612 + 2*Z1612+2*AD1612 + AG1612+2*AJ1612 + 4*AM1612) &gt;=8,1,0)</f>
        <v>0</v>
      </c>
    </row>
    <row r="1613" spans="1:43" x14ac:dyDescent="0.25">
      <c r="A1613" t="s">
        <v>27</v>
      </c>
      <c r="B1613" s="1">
        <v>43741</v>
      </c>
      <c r="C1613" s="7">
        <f t="shared" si="279"/>
        <v>2019</v>
      </c>
      <c r="D1613">
        <v>81.7</v>
      </c>
      <c r="E1613">
        <v>63.3</v>
      </c>
      <c r="F1613">
        <v>71.400000000000006</v>
      </c>
      <c r="G1613" s="2">
        <f t="shared" si="286"/>
        <v>0</v>
      </c>
      <c r="H1613">
        <v>83.5</v>
      </c>
      <c r="I1613">
        <v>63.3</v>
      </c>
      <c r="J1613">
        <v>71.5</v>
      </c>
      <c r="K1613">
        <v>62</v>
      </c>
      <c r="L1613">
        <v>73.8</v>
      </c>
      <c r="M1613" s="2">
        <f t="shared" si="280"/>
        <v>0</v>
      </c>
      <c r="N1613">
        <v>0.16900000000000001</v>
      </c>
      <c r="P1613" s="2">
        <f t="shared" si="281"/>
        <v>0</v>
      </c>
      <c r="Q1613">
        <v>100</v>
      </c>
      <c r="R1613">
        <v>4.17</v>
      </c>
      <c r="S1613" t="s">
        <v>87</v>
      </c>
      <c r="T1613">
        <v>0</v>
      </c>
      <c r="U1613">
        <v>0</v>
      </c>
      <c r="V1613">
        <v>39.1</v>
      </c>
      <c r="W1613" s="2">
        <f t="shared" si="277"/>
        <v>1</v>
      </c>
      <c r="X1613">
        <v>14.8</v>
      </c>
      <c r="Z1613" s="2">
        <f t="shared" si="278"/>
        <v>0</v>
      </c>
      <c r="AA1613">
        <v>209.5</v>
      </c>
      <c r="AB1613" s="2" t="str">
        <f>CHOOSE(MATCH(AA1613,{0;11;80;111;161;191;241;281;341},1),"North","NorthEast","East","SouthEast","South","SouthWest","West","NorthWest","North")</f>
        <v>SouthWest</v>
      </c>
      <c r="AC1613" s="5">
        <f>CHOOSE(MATCH(AB1613,{"South";"SouthEast";"SouthWest";"North";"NorthEast";"East";"West";"NorthWest"},0),1,2,3,4,5,6,7,8)</f>
        <v>3</v>
      </c>
      <c r="AD1613" s="2">
        <f t="shared" si="282"/>
        <v>1</v>
      </c>
      <c r="AE1613">
        <v>1010.6</v>
      </c>
      <c r="AF1613" s="4" t="s">
        <v>1999</v>
      </c>
      <c r="AG1613" s="2">
        <f t="shared" si="283"/>
        <v>1</v>
      </c>
      <c r="AH1613" t="s">
        <v>2502</v>
      </c>
      <c r="AI1613" s="2">
        <f t="shared" si="284"/>
        <v>10</v>
      </c>
      <c r="AJ1613" s="2">
        <f t="shared" si="285"/>
        <v>0</v>
      </c>
      <c r="AK1613" s="3">
        <v>1853.999999997905</v>
      </c>
      <c r="AM1613" s="2">
        <v>1</v>
      </c>
      <c r="AN1613">
        <v>10</v>
      </c>
      <c r="AO1613">
        <v>0</v>
      </c>
      <c r="AP1613">
        <v>0</v>
      </c>
      <c r="AQ1613" s="2">
        <f>IF((2*G1613 + M1613 -P1613 + 3*W1613 + 2*Z1613+2*AD1613 + AG1613+2*AJ1613 + 4*AM1613) &gt;=8,1,0)</f>
        <v>1</v>
      </c>
    </row>
    <row r="1614" spans="1:43" x14ac:dyDescent="0.25">
      <c r="A1614" t="s">
        <v>27</v>
      </c>
      <c r="B1614" s="1">
        <v>43742</v>
      </c>
      <c r="C1614" s="7">
        <f t="shared" si="279"/>
        <v>2019</v>
      </c>
      <c r="D1614">
        <v>82.9</v>
      </c>
      <c r="E1614">
        <v>67.3</v>
      </c>
      <c r="F1614">
        <v>73.400000000000006</v>
      </c>
      <c r="G1614" s="2">
        <f t="shared" si="286"/>
        <v>0</v>
      </c>
      <c r="H1614">
        <v>85.1</v>
      </c>
      <c r="I1614">
        <v>67.3</v>
      </c>
      <c r="J1614">
        <v>73.599999999999994</v>
      </c>
      <c r="K1614">
        <v>63.8</v>
      </c>
      <c r="L1614">
        <v>72.599999999999994</v>
      </c>
      <c r="M1614" s="2">
        <f t="shared" si="280"/>
        <v>0</v>
      </c>
      <c r="N1614">
        <v>1.2E-2</v>
      </c>
      <c r="P1614" s="2">
        <f t="shared" si="281"/>
        <v>0</v>
      </c>
      <c r="Q1614">
        <v>100</v>
      </c>
      <c r="R1614">
        <v>4.17</v>
      </c>
      <c r="S1614" t="s">
        <v>87</v>
      </c>
      <c r="T1614">
        <v>0</v>
      </c>
      <c r="U1614">
        <v>0</v>
      </c>
      <c r="V1614">
        <v>45.4</v>
      </c>
      <c r="W1614" s="2">
        <f t="shared" si="277"/>
        <v>1</v>
      </c>
      <c r="X1614">
        <v>21.1</v>
      </c>
      <c r="Z1614" s="2">
        <f t="shared" si="278"/>
        <v>1</v>
      </c>
      <c r="AA1614">
        <v>232.3</v>
      </c>
      <c r="AB1614" s="2" t="str">
        <f>CHOOSE(MATCH(AA1614,{0;11;80;111;161;191;241;281;341},1),"North","NorthEast","East","SouthEast","South","SouthWest","West","NorthWest","North")</f>
        <v>SouthWest</v>
      </c>
      <c r="AC1614" s="5">
        <f>CHOOSE(MATCH(AB1614,{"South";"SouthEast";"SouthWest";"North";"NorthEast";"East";"West";"NorthWest"},0),1,2,3,4,5,6,7,8)</f>
        <v>3</v>
      </c>
      <c r="AD1614" s="2">
        <f t="shared" si="282"/>
        <v>1</v>
      </c>
      <c r="AE1614">
        <v>1009.8</v>
      </c>
      <c r="AF1614" s="4" t="s">
        <v>2126</v>
      </c>
      <c r="AG1614" s="2">
        <f t="shared" si="283"/>
        <v>0</v>
      </c>
      <c r="AH1614" t="s">
        <v>2503</v>
      </c>
      <c r="AI1614" s="2">
        <f t="shared" si="284"/>
        <v>10</v>
      </c>
      <c r="AJ1614" s="2">
        <f t="shared" si="285"/>
        <v>0</v>
      </c>
      <c r="AK1614" s="3">
        <v>165.00000000349249</v>
      </c>
      <c r="AM1614" s="2">
        <v>0</v>
      </c>
      <c r="AN1614">
        <v>30</v>
      </c>
      <c r="AO1614">
        <v>0</v>
      </c>
      <c r="AP1614">
        <v>0</v>
      </c>
      <c r="AQ1614" s="2">
        <f>IF((2*G1614 + M1614 -P1614 + 3*W1614 + 2*Z1614+2*AD1614 + AG1614+2*AJ1614 + 4*AM1614) &gt;=8,1,0)</f>
        <v>0</v>
      </c>
    </row>
    <row r="1615" spans="1:43" x14ac:dyDescent="0.25">
      <c r="A1615" t="s">
        <v>27</v>
      </c>
      <c r="B1615" s="1">
        <v>43760</v>
      </c>
      <c r="C1615" s="7">
        <f t="shared" si="279"/>
        <v>2019</v>
      </c>
      <c r="D1615">
        <v>77.900000000000006</v>
      </c>
      <c r="E1615">
        <v>67.5</v>
      </c>
      <c r="F1615">
        <v>71.599999999999994</v>
      </c>
      <c r="G1615" s="2">
        <f t="shared" si="286"/>
        <v>0</v>
      </c>
      <c r="H1615">
        <v>77.900000000000006</v>
      </c>
      <c r="I1615">
        <v>67.5</v>
      </c>
      <c r="J1615">
        <v>71.599999999999994</v>
      </c>
      <c r="K1615">
        <v>51.6</v>
      </c>
      <c r="L1615">
        <v>49.9</v>
      </c>
      <c r="M1615" s="2">
        <f t="shared" si="280"/>
        <v>0</v>
      </c>
      <c r="N1615">
        <v>0</v>
      </c>
      <c r="P1615" s="2">
        <f t="shared" si="281"/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32.700000000000003</v>
      </c>
      <c r="W1615" s="2">
        <f t="shared" si="277"/>
        <v>1</v>
      </c>
      <c r="X1615">
        <v>20.6</v>
      </c>
      <c r="Z1615" s="2">
        <f t="shared" si="278"/>
        <v>1</v>
      </c>
      <c r="AA1615">
        <v>0.2</v>
      </c>
      <c r="AB1615" s="2" t="str">
        <f>CHOOSE(MATCH(AA1615,{0;11;80;111;161;191;241;281;341},1),"North","NorthEast","East","SouthEast","South","SouthWest","West","NorthWest","North")</f>
        <v>North</v>
      </c>
      <c r="AC1615" s="5">
        <f>CHOOSE(MATCH(AB1615,{"South";"SouthEast";"SouthWest";"North";"NorthEast";"East";"West";"NorthWest"},0),1,2,3,4,5,6,7,8)</f>
        <v>4</v>
      </c>
      <c r="AD1615" s="2">
        <f t="shared" si="282"/>
        <v>1</v>
      </c>
      <c r="AE1615">
        <v>1019.6</v>
      </c>
      <c r="AF1615" s="4" t="s">
        <v>2504</v>
      </c>
      <c r="AG1615" s="2">
        <f t="shared" si="283"/>
        <v>1</v>
      </c>
      <c r="AH1615" t="s">
        <v>2505</v>
      </c>
      <c r="AI1615" s="2">
        <f t="shared" si="284"/>
        <v>10</v>
      </c>
      <c r="AJ1615" s="2">
        <f t="shared" si="285"/>
        <v>0</v>
      </c>
      <c r="AK1615" s="3">
        <v>2721.9999999983702</v>
      </c>
      <c r="AM1615" s="2">
        <v>1</v>
      </c>
      <c r="AN1615">
        <v>0</v>
      </c>
      <c r="AO1615">
        <v>10</v>
      </c>
      <c r="AP1615">
        <v>0</v>
      </c>
      <c r="AQ1615" s="2">
        <f>IF((2*G1615 + M1615 -P1615 + 3*W1615 + 2*Z1615+2*AD1615 + AG1615+2*AJ1615 + 4*AM1615) &gt;=8,1,0)</f>
        <v>1</v>
      </c>
    </row>
    <row r="1616" spans="1:43" x14ac:dyDescent="0.25">
      <c r="A1616" t="s">
        <v>27</v>
      </c>
      <c r="B1616" s="1">
        <v>43772</v>
      </c>
      <c r="C1616" s="7">
        <f t="shared" si="279"/>
        <v>2019</v>
      </c>
      <c r="D1616">
        <v>71.3</v>
      </c>
      <c r="E1616">
        <v>49.2</v>
      </c>
      <c r="F1616">
        <v>61.5</v>
      </c>
      <c r="G1616" s="2">
        <f t="shared" si="286"/>
        <v>0</v>
      </c>
      <c r="H1616">
        <v>71.3</v>
      </c>
      <c r="I1616">
        <v>49.2</v>
      </c>
      <c r="J1616">
        <v>61.5</v>
      </c>
      <c r="K1616">
        <v>50.5</v>
      </c>
      <c r="L1616">
        <v>68.2</v>
      </c>
      <c r="M1616" s="2">
        <f t="shared" si="280"/>
        <v>0</v>
      </c>
      <c r="N1616">
        <v>0</v>
      </c>
      <c r="P1616" s="2">
        <f t="shared" si="281"/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20.399999999999999</v>
      </c>
      <c r="W1616" s="2">
        <f t="shared" si="277"/>
        <v>1</v>
      </c>
      <c r="X1616">
        <v>14</v>
      </c>
      <c r="Z1616" s="2">
        <f t="shared" si="278"/>
        <v>0</v>
      </c>
      <c r="AA1616">
        <v>208.3</v>
      </c>
      <c r="AB1616" s="2" t="str">
        <f>CHOOSE(MATCH(AA1616,{0;11;80;111;161;191;241;281;341},1),"North","NorthEast","East","SouthEast","South","SouthWest","West","NorthWest","North")</f>
        <v>SouthWest</v>
      </c>
      <c r="AC1616" s="5">
        <f>CHOOSE(MATCH(AB1616,{"South";"SouthEast";"SouthWest";"North";"NorthEast";"East";"West";"NorthWest"},0),1,2,3,4,5,6,7,8)</f>
        <v>3</v>
      </c>
      <c r="AD1616" s="2">
        <f t="shared" si="282"/>
        <v>1</v>
      </c>
      <c r="AE1616">
        <v>1017.2</v>
      </c>
      <c r="AF1616" s="4" t="s">
        <v>2123</v>
      </c>
      <c r="AG1616" s="2">
        <f t="shared" si="283"/>
        <v>1</v>
      </c>
      <c r="AH1616" t="s">
        <v>2506</v>
      </c>
      <c r="AI1616" s="2">
        <f t="shared" si="284"/>
        <v>11</v>
      </c>
      <c r="AJ1616" s="2">
        <f t="shared" si="285"/>
        <v>0</v>
      </c>
      <c r="AK1616" s="3">
        <v>203.00000000162979</v>
      </c>
      <c r="AM1616" s="2">
        <v>0</v>
      </c>
      <c r="AN1616">
        <v>0</v>
      </c>
      <c r="AO1616">
        <v>4</v>
      </c>
      <c r="AP1616">
        <v>0</v>
      </c>
      <c r="AQ1616" s="2">
        <f>IF((2*G1616 + M1616 -P1616 + 3*W1616 + 2*Z1616+2*AD1616 + AG1616+2*AJ1616 + 4*AM1616) &gt;=8,1,0)</f>
        <v>0</v>
      </c>
    </row>
    <row r="1617" spans="1:43" x14ac:dyDescent="0.25">
      <c r="A1617" t="s">
        <v>27</v>
      </c>
      <c r="B1617" s="1">
        <v>43807</v>
      </c>
      <c r="C1617" s="7">
        <f t="shared" si="279"/>
        <v>2019</v>
      </c>
      <c r="D1617">
        <v>65.099999999999994</v>
      </c>
      <c r="E1617">
        <v>47.8</v>
      </c>
      <c r="F1617">
        <v>55.5</v>
      </c>
      <c r="G1617" s="2">
        <f t="shared" si="286"/>
        <v>0</v>
      </c>
      <c r="H1617">
        <v>65.099999999999994</v>
      </c>
      <c r="I1617">
        <v>47.8</v>
      </c>
      <c r="J1617">
        <v>55.5</v>
      </c>
      <c r="K1617">
        <v>44.4</v>
      </c>
      <c r="L1617">
        <v>68.7</v>
      </c>
      <c r="M1617" s="2">
        <f t="shared" si="280"/>
        <v>0</v>
      </c>
      <c r="N1617">
        <v>0</v>
      </c>
      <c r="P1617" s="2">
        <f t="shared" si="281"/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18</v>
      </c>
      <c r="W1617" s="2">
        <f t="shared" si="277"/>
        <v>1</v>
      </c>
      <c r="X1617">
        <v>10.3</v>
      </c>
      <c r="Z1617" s="2">
        <f t="shared" si="278"/>
        <v>0</v>
      </c>
      <c r="AA1617">
        <v>328.2</v>
      </c>
      <c r="AB1617" s="2" t="str">
        <f>CHOOSE(MATCH(AA1617,{0;11;80;111;161;191;241;281;341},1),"North","NorthEast","East","SouthEast","South","SouthWest","West","NorthWest","North")</f>
        <v>NorthWest</v>
      </c>
      <c r="AC1617" s="5">
        <f>CHOOSE(MATCH(AB1617,{"South";"SouthEast";"SouthWest";"North";"NorthEast";"East";"West";"NorthWest"},0),1,2,3,4,5,6,7,8)</f>
        <v>8</v>
      </c>
      <c r="AD1617" s="2">
        <f t="shared" si="282"/>
        <v>1</v>
      </c>
      <c r="AE1617">
        <v>1019.5</v>
      </c>
      <c r="AF1617" s="4" t="s">
        <v>2507</v>
      </c>
      <c r="AG1617" s="2">
        <f t="shared" si="283"/>
        <v>0</v>
      </c>
      <c r="AH1617" t="s">
        <v>2508</v>
      </c>
      <c r="AI1617" s="2">
        <f t="shared" si="284"/>
        <v>12</v>
      </c>
      <c r="AJ1617" s="2">
        <f t="shared" si="285"/>
        <v>0</v>
      </c>
      <c r="AK1617" s="3">
        <v>87.000000000698492</v>
      </c>
      <c r="AM1617" s="2">
        <v>0</v>
      </c>
      <c r="AN1617">
        <v>0</v>
      </c>
      <c r="AO1617">
        <v>0.05</v>
      </c>
      <c r="AP1617">
        <v>0</v>
      </c>
      <c r="AQ1617" s="2">
        <f>IF((2*G1617 + M1617 -P1617 + 3*W1617 + 2*Z1617+2*AD1617 + AG1617+2*AJ1617 + 4*AM1617) &gt;=8,1,0)</f>
        <v>0</v>
      </c>
    </row>
    <row r="1618" spans="1:43" x14ac:dyDescent="0.25">
      <c r="A1618" t="s">
        <v>27</v>
      </c>
      <c r="B1618" s="1">
        <v>43853</v>
      </c>
      <c r="C1618" s="7">
        <f t="shared" si="279"/>
        <v>2020</v>
      </c>
      <c r="D1618">
        <v>60.3</v>
      </c>
      <c r="E1618">
        <v>33.200000000000003</v>
      </c>
      <c r="F1618">
        <v>46.3</v>
      </c>
      <c r="G1618" s="2">
        <f t="shared" si="286"/>
        <v>0</v>
      </c>
      <c r="H1618">
        <v>60.3</v>
      </c>
      <c r="I1618">
        <v>33.200000000000003</v>
      </c>
      <c r="J1618">
        <v>45.3</v>
      </c>
      <c r="K1618">
        <v>33.799999999999997</v>
      </c>
      <c r="L1618">
        <v>64.400000000000006</v>
      </c>
      <c r="M1618" s="2">
        <f t="shared" si="280"/>
        <v>0</v>
      </c>
      <c r="N1618">
        <v>0</v>
      </c>
      <c r="O1618">
        <f>AVERAGE(N1618:N1660)</f>
        <v>1.9697674418604649E-2</v>
      </c>
      <c r="P1618" s="2">
        <f t="shared" si="281"/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41.4</v>
      </c>
      <c r="W1618" s="2">
        <f t="shared" si="277"/>
        <v>1</v>
      </c>
      <c r="X1618">
        <v>19.7</v>
      </c>
      <c r="Y1618">
        <f>AVERAGE(X1618:X1660)</f>
        <v>15.713953488372091</v>
      </c>
      <c r="Z1618" s="2">
        <f t="shared" si="278"/>
        <v>1</v>
      </c>
      <c r="AA1618">
        <v>6.6</v>
      </c>
      <c r="AB1618" s="2" t="str">
        <f>CHOOSE(MATCH(AA1618,{0;11;80;111;161;191;241;281;341},1),"North","NorthEast","East","SouthEast","South","SouthWest","West","NorthWest","North")</f>
        <v>North</v>
      </c>
      <c r="AC1618" s="5">
        <f>CHOOSE(MATCH(AB1618,{"South";"SouthEast";"SouthWest";"North";"NorthEast";"East";"West";"NorthWest"},0),1,2,3,4,5,6,7,8)</f>
        <v>4</v>
      </c>
      <c r="AD1618" s="2">
        <f t="shared" si="282"/>
        <v>1</v>
      </c>
      <c r="AE1618">
        <v>1025.3</v>
      </c>
      <c r="AF1618" s="4" t="s">
        <v>2509</v>
      </c>
      <c r="AG1618" s="2">
        <f t="shared" si="283"/>
        <v>0</v>
      </c>
      <c r="AH1618" t="s">
        <v>2510</v>
      </c>
      <c r="AI1618" s="2">
        <f t="shared" si="284"/>
        <v>1</v>
      </c>
      <c r="AJ1618" s="2">
        <f t="shared" si="285"/>
        <v>0</v>
      </c>
      <c r="AK1618" s="3">
        <v>288.99999999906868</v>
      </c>
      <c r="AL1618" s="3">
        <f>AVERAGE(AK1618:AK1660)</f>
        <v>1427.8837209311855</v>
      </c>
      <c r="AM1618" s="2">
        <v>0</v>
      </c>
      <c r="AN1618">
        <v>1</v>
      </c>
      <c r="AO1618">
        <v>1</v>
      </c>
      <c r="AP1618">
        <v>0</v>
      </c>
      <c r="AQ1618" s="2">
        <f>IF((2*G1618 + M1618 -P1618 + 3*W1618 + 2*Z1618+2*AD1618 + AG1618+2*AJ1618 + 4*AM1618) &gt;=8,1,0)</f>
        <v>0</v>
      </c>
    </row>
    <row r="1619" spans="1:43" x14ac:dyDescent="0.25">
      <c r="A1619" t="s">
        <v>27</v>
      </c>
      <c r="B1619" s="1">
        <v>43854</v>
      </c>
      <c r="C1619" s="7">
        <f t="shared" si="279"/>
        <v>2020</v>
      </c>
      <c r="D1619">
        <v>53.5</v>
      </c>
      <c r="E1619">
        <v>38.5</v>
      </c>
      <c r="F1619">
        <v>45.6</v>
      </c>
      <c r="G1619" s="2">
        <f t="shared" si="286"/>
        <v>0</v>
      </c>
      <c r="H1619">
        <v>53.5</v>
      </c>
      <c r="I1619">
        <v>38.5</v>
      </c>
      <c r="J1619">
        <v>44.6</v>
      </c>
      <c r="K1619">
        <v>33.5</v>
      </c>
      <c r="L1619">
        <v>63.5</v>
      </c>
      <c r="M1619" s="2">
        <f t="shared" si="280"/>
        <v>0</v>
      </c>
      <c r="N1619">
        <v>0</v>
      </c>
      <c r="P1619" s="2">
        <f t="shared" si="281"/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16.399999999999999</v>
      </c>
      <c r="W1619" s="2">
        <f t="shared" si="277"/>
        <v>1</v>
      </c>
      <c r="X1619">
        <v>7.7</v>
      </c>
      <c r="Z1619" s="2">
        <f t="shared" si="278"/>
        <v>0</v>
      </c>
      <c r="AA1619">
        <v>28</v>
      </c>
      <c r="AB1619" s="2" t="str">
        <f>CHOOSE(MATCH(AA1619,{0;11;80;111;161;191;241;281;341},1),"North","NorthEast","East","SouthEast","South","SouthWest","West","NorthWest","North")</f>
        <v>NorthEast</v>
      </c>
      <c r="AC1619" s="5">
        <f>CHOOSE(MATCH(AB1619,{"South";"SouthEast";"SouthWest";"North";"NorthEast";"East";"West";"NorthWest"},0),1,2,3,4,5,6,7,8)</f>
        <v>5</v>
      </c>
      <c r="AD1619" s="2">
        <f t="shared" si="282"/>
        <v>1</v>
      </c>
      <c r="AE1619">
        <v>1032</v>
      </c>
      <c r="AF1619" s="4" t="s">
        <v>2339</v>
      </c>
      <c r="AG1619" s="2">
        <f t="shared" si="283"/>
        <v>1</v>
      </c>
      <c r="AH1619" t="s">
        <v>2511</v>
      </c>
      <c r="AI1619" s="2">
        <f t="shared" si="284"/>
        <v>1</v>
      </c>
      <c r="AJ1619" s="2">
        <f t="shared" si="285"/>
        <v>0</v>
      </c>
      <c r="AK1619" s="3">
        <v>169.99999999883579</v>
      </c>
      <c r="AM1619" s="2">
        <v>0</v>
      </c>
      <c r="AN1619">
        <v>0</v>
      </c>
      <c r="AO1619">
        <v>1</v>
      </c>
      <c r="AP1619">
        <v>0</v>
      </c>
      <c r="AQ1619" s="2">
        <f>IF((2*G1619 + M1619 -P1619 + 3*W1619 + 2*Z1619+2*AD1619 + AG1619+2*AJ1619 + 4*AM1619) &gt;=8,1,0)</f>
        <v>0</v>
      </c>
    </row>
    <row r="1620" spans="1:43" x14ac:dyDescent="0.25">
      <c r="A1620" t="s">
        <v>27</v>
      </c>
      <c r="B1620" s="1">
        <v>43859</v>
      </c>
      <c r="C1620" s="7">
        <f t="shared" si="279"/>
        <v>2020</v>
      </c>
      <c r="D1620">
        <v>64.400000000000006</v>
      </c>
      <c r="E1620">
        <v>48.4</v>
      </c>
      <c r="F1620">
        <v>56</v>
      </c>
      <c r="G1620" s="2">
        <f t="shared" si="286"/>
        <v>0</v>
      </c>
      <c r="H1620">
        <v>64.400000000000006</v>
      </c>
      <c r="I1620">
        <v>46.4</v>
      </c>
      <c r="J1620">
        <v>55.8</v>
      </c>
      <c r="K1620">
        <v>44.4</v>
      </c>
      <c r="L1620">
        <v>65.900000000000006</v>
      </c>
      <c r="M1620" s="2">
        <f t="shared" si="280"/>
        <v>0</v>
      </c>
      <c r="N1620">
        <v>0</v>
      </c>
      <c r="P1620" s="2">
        <f t="shared" si="281"/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25.1</v>
      </c>
      <c r="W1620" s="2">
        <f t="shared" si="277"/>
        <v>1</v>
      </c>
      <c r="X1620">
        <v>14.1</v>
      </c>
      <c r="Z1620" s="2">
        <f t="shared" si="278"/>
        <v>0</v>
      </c>
      <c r="AA1620">
        <v>233.6</v>
      </c>
      <c r="AB1620" s="2" t="str">
        <f>CHOOSE(MATCH(AA1620,{0;11;80;111;161;191;241;281;341},1),"North","NorthEast","East","SouthEast","South","SouthWest","West","NorthWest","North")</f>
        <v>SouthWest</v>
      </c>
      <c r="AC1620" s="5">
        <f>CHOOSE(MATCH(AB1620,{"South";"SouthEast";"SouthWest";"North";"NorthEast";"East";"West";"NorthWest"},0),1,2,3,4,5,6,7,8)</f>
        <v>3</v>
      </c>
      <c r="AD1620" s="2">
        <f t="shared" si="282"/>
        <v>1</v>
      </c>
      <c r="AE1620">
        <v>1013.6</v>
      </c>
      <c r="AF1620" s="4" t="s">
        <v>1932</v>
      </c>
      <c r="AG1620" s="2">
        <f t="shared" si="283"/>
        <v>1</v>
      </c>
      <c r="AH1620" t="s">
        <v>2512</v>
      </c>
      <c r="AI1620" s="2">
        <f t="shared" si="284"/>
        <v>1</v>
      </c>
      <c r="AJ1620" s="2">
        <f t="shared" si="285"/>
        <v>0</v>
      </c>
      <c r="AK1620" s="3">
        <v>188.9999999979045</v>
      </c>
      <c r="AM1620" s="2">
        <v>0</v>
      </c>
      <c r="AN1620">
        <v>0</v>
      </c>
      <c r="AO1620">
        <v>5</v>
      </c>
      <c r="AP1620">
        <v>0</v>
      </c>
      <c r="AQ1620" s="2">
        <f>IF((2*G1620 + M1620 -P1620 + 3*W1620 + 2*Z1620+2*AD1620 + AG1620+2*AJ1620 + 4*AM1620) &gt;=8,1,0)</f>
        <v>0</v>
      </c>
    </row>
    <row r="1621" spans="1:43" x14ac:dyDescent="0.25">
      <c r="A1621" t="s">
        <v>27</v>
      </c>
      <c r="B1621" s="1">
        <v>43871</v>
      </c>
      <c r="C1621" s="7">
        <f t="shared" si="279"/>
        <v>2020</v>
      </c>
      <c r="D1621">
        <v>61.7</v>
      </c>
      <c r="E1621">
        <v>34.9</v>
      </c>
      <c r="F1621">
        <v>49.2</v>
      </c>
      <c r="G1621" s="2">
        <f t="shared" si="286"/>
        <v>0</v>
      </c>
      <c r="H1621">
        <v>61.7</v>
      </c>
      <c r="I1621">
        <v>31.7</v>
      </c>
      <c r="J1621">
        <v>49</v>
      </c>
      <c r="K1621">
        <v>37.799999999999997</v>
      </c>
      <c r="L1621">
        <v>67.7</v>
      </c>
      <c r="M1621" s="2">
        <f t="shared" si="280"/>
        <v>0</v>
      </c>
      <c r="N1621">
        <v>0</v>
      </c>
      <c r="P1621" s="2">
        <f t="shared" si="281"/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28.9</v>
      </c>
      <c r="W1621" s="2">
        <f t="shared" si="277"/>
        <v>1</v>
      </c>
      <c r="X1621">
        <v>12.3</v>
      </c>
      <c r="Z1621" s="2">
        <f t="shared" si="278"/>
        <v>0</v>
      </c>
      <c r="AA1621">
        <v>266.60000000000002</v>
      </c>
      <c r="AB1621" s="2" t="str">
        <f>CHOOSE(MATCH(AA1621,{0;11;80;111;161;191;241;281;341},1),"North","NorthEast","East","SouthEast","South","SouthWest","West","NorthWest","North")</f>
        <v>West</v>
      </c>
      <c r="AC1621" s="5">
        <f>CHOOSE(MATCH(AB1621,{"South";"SouthEast";"SouthWest";"North";"NorthEast";"East";"West";"NorthWest"},0),1,2,3,4,5,6,7,8)</f>
        <v>7</v>
      </c>
      <c r="AD1621" s="2">
        <f t="shared" si="282"/>
        <v>0</v>
      </c>
      <c r="AE1621">
        <v>1024.8</v>
      </c>
      <c r="AF1621" s="4" t="s">
        <v>1194</v>
      </c>
      <c r="AG1621" s="2">
        <f t="shared" si="283"/>
        <v>1</v>
      </c>
      <c r="AH1621" t="s">
        <v>2513</v>
      </c>
      <c r="AI1621" s="2">
        <f t="shared" si="284"/>
        <v>2</v>
      </c>
      <c r="AJ1621" s="2">
        <f t="shared" si="285"/>
        <v>0</v>
      </c>
      <c r="AK1621" s="3">
        <v>55.000000001164153</v>
      </c>
      <c r="AM1621" s="2">
        <v>0</v>
      </c>
      <c r="AN1621">
        <v>0</v>
      </c>
      <c r="AO1621">
        <v>0.01</v>
      </c>
      <c r="AP1621">
        <v>0</v>
      </c>
      <c r="AQ1621" s="2">
        <f>IF((2*G1621 + M1621 -P1621 + 3*W1621 + 2*Z1621+2*AD1621 + AG1621+2*AJ1621 + 4*AM1621) &gt;=8,1,0)</f>
        <v>0</v>
      </c>
    </row>
    <row r="1622" spans="1:43" x14ac:dyDescent="0.25">
      <c r="A1622" t="s">
        <v>27</v>
      </c>
      <c r="B1622" s="1">
        <v>43915</v>
      </c>
      <c r="C1622" s="7">
        <f t="shared" ref="C1622:C1673" si="287">YEAR(B1622)</f>
        <v>2020</v>
      </c>
      <c r="D1622">
        <v>56</v>
      </c>
      <c r="E1622">
        <v>48.3</v>
      </c>
      <c r="F1622">
        <v>52.1</v>
      </c>
      <c r="G1622" s="2">
        <f t="shared" si="286"/>
        <v>0</v>
      </c>
      <c r="H1622">
        <v>56</v>
      </c>
      <c r="I1622">
        <v>43.8</v>
      </c>
      <c r="J1622">
        <v>51.5</v>
      </c>
      <c r="K1622">
        <v>43.6</v>
      </c>
      <c r="L1622">
        <v>73.099999999999994</v>
      </c>
      <c r="M1622" s="2">
        <f t="shared" ref="M1622:M1673" si="288">IF(L1622&lt;=49.3,1,0)</f>
        <v>0</v>
      </c>
      <c r="N1622">
        <v>0</v>
      </c>
      <c r="P1622" s="2">
        <f t="shared" ref="P1622:P1673" si="289">IF(N1622&lt;=0.01,1,0)</f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31.1</v>
      </c>
      <c r="W1622" s="2">
        <f t="shared" ref="W1622:W1672" si="290">IF(V1622&lt;=10,0,1)</f>
        <v>1</v>
      </c>
      <c r="X1622">
        <v>18.399999999999999</v>
      </c>
      <c r="Z1622" s="2">
        <f t="shared" ref="Z1622:Z1672" si="291">IF(X1622&gt;=16,1,0)</f>
        <v>1</v>
      </c>
      <c r="AA1622">
        <v>7.4</v>
      </c>
      <c r="AB1622" s="2" t="str">
        <f>CHOOSE(MATCH(AA1622,{0;11;80;111;161;191;241;281;341},1),"North","NorthEast","East","SouthEast","South","SouthWest","West","NorthWest","North")</f>
        <v>North</v>
      </c>
      <c r="AC1622" s="5">
        <f>CHOOSE(MATCH(AB1622,{"South";"SouthEast";"SouthWest";"North";"NorthEast";"East";"West";"NorthWest"},0),1,2,3,4,5,6,7,8)</f>
        <v>4</v>
      </c>
      <c r="AD1622" s="2">
        <f t="shared" ref="AD1622:AD1673" si="292">IF(OR(AC1622=3,AC1622=4,AC1622=5,AC1622=8),1,0)</f>
        <v>1</v>
      </c>
      <c r="AE1622">
        <v>1015.9</v>
      </c>
      <c r="AF1622" s="4" t="s">
        <v>2124</v>
      </c>
      <c r="AG1622" s="2">
        <f t="shared" ref="AG1622:AG1673" si="293">IF(TIMEVALUE(AF1622)&lt;=TIME(12,30,0),0,1)</f>
        <v>1</v>
      </c>
      <c r="AH1622" t="s">
        <v>2515</v>
      </c>
      <c r="AI1622" s="2">
        <f t="shared" ref="AI1622:AI1673" si="294">MONTH(AH1622)</f>
        <v>3</v>
      </c>
      <c r="AJ1622" s="2">
        <f t="shared" ref="AJ1622:AJ1673" si="295">IF(OR(AI1622=6,AI1622=7,AI1622=8),1,0)</f>
        <v>0</v>
      </c>
      <c r="AK1622" s="3">
        <v>49.999999995343387</v>
      </c>
      <c r="AM1622" s="2">
        <v>0</v>
      </c>
      <c r="AN1622">
        <v>1</v>
      </c>
      <c r="AO1622">
        <v>1</v>
      </c>
      <c r="AP1622">
        <v>0</v>
      </c>
      <c r="AQ1622" s="2">
        <f>IF((2*G1622 + M1622 -P1622 + 3*W1622 + 2*Z1622+2*AD1622 + AG1622+2*AJ1622 + 4*AM1622) &gt;=8,1,0)</f>
        <v>0</v>
      </c>
    </row>
    <row r="1623" spans="1:43" x14ac:dyDescent="0.25">
      <c r="A1623" t="s">
        <v>27</v>
      </c>
      <c r="B1623" s="1">
        <v>43946</v>
      </c>
      <c r="C1623" s="7">
        <f t="shared" si="287"/>
        <v>2020</v>
      </c>
      <c r="D1623">
        <v>72.900000000000006</v>
      </c>
      <c r="E1623">
        <v>42</v>
      </c>
      <c r="F1623">
        <v>57.8</v>
      </c>
      <c r="G1623" s="2">
        <f t="shared" si="286"/>
        <v>0</v>
      </c>
      <c r="H1623">
        <v>72.900000000000006</v>
      </c>
      <c r="I1623">
        <v>42</v>
      </c>
      <c r="J1623">
        <v>57.6</v>
      </c>
      <c r="K1623">
        <v>38.299999999999997</v>
      </c>
      <c r="L1623">
        <v>50.1</v>
      </c>
      <c r="M1623" s="2">
        <f t="shared" si="288"/>
        <v>0</v>
      </c>
      <c r="N1623">
        <v>0</v>
      </c>
      <c r="P1623" s="2">
        <f t="shared" si="289"/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18.8</v>
      </c>
      <c r="W1623" s="2">
        <f t="shared" si="290"/>
        <v>1</v>
      </c>
      <c r="X1623">
        <v>9.4</v>
      </c>
      <c r="Z1623" s="2">
        <f t="shared" si="291"/>
        <v>0</v>
      </c>
      <c r="AA1623">
        <v>195.2</v>
      </c>
      <c r="AB1623" s="2" t="str">
        <f>CHOOSE(MATCH(AA1623,{0;11;80;111;161;191;241;281;341},1),"North","NorthEast","East","SouthEast","South","SouthWest","West","NorthWest","North")</f>
        <v>SouthWest</v>
      </c>
      <c r="AC1623" s="5">
        <f>CHOOSE(MATCH(AB1623,{"South";"SouthEast";"SouthWest";"North";"NorthEast";"East";"West";"NorthWest"},0),1,2,3,4,5,6,7,8)</f>
        <v>3</v>
      </c>
      <c r="AD1623" s="2">
        <f t="shared" si="292"/>
        <v>1</v>
      </c>
      <c r="AE1623">
        <v>1010</v>
      </c>
      <c r="AF1623" s="4" t="s">
        <v>1034</v>
      </c>
      <c r="AG1623" s="2">
        <f t="shared" si="293"/>
        <v>1</v>
      </c>
      <c r="AH1623" t="s">
        <v>2516</v>
      </c>
      <c r="AI1623" s="2">
        <f t="shared" si="294"/>
        <v>4</v>
      </c>
      <c r="AJ1623" s="2">
        <f t="shared" si="295"/>
        <v>0</v>
      </c>
      <c r="AK1623" s="3">
        <v>135</v>
      </c>
      <c r="AM1623" s="2">
        <v>0</v>
      </c>
      <c r="AN1623">
        <v>1</v>
      </c>
      <c r="AO1623">
        <v>0</v>
      </c>
      <c r="AP1623">
        <v>0</v>
      </c>
      <c r="AQ1623" s="2">
        <f>IF((2*G1623 + M1623 -P1623 + 3*W1623 + 2*Z1623+2*AD1623 + AG1623+2*AJ1623 + 4*AM1623) &gt;=8,1,0)</f>
        <v>0</v>
      </c>
    </row>
    <row r="1624" spans="1:43" x14ac:dyDescent="0.25">
      <c r="A1624" t="s">
        <v>27</v>
      </c>
      <c r="B1624" s="1">
        <v>43966</v>
      </c>
      <c r="C1624" s="7">
        <f t="shared" si="287"/>
        <v>2020</v>
      </c>
      <c r="D1624">
        <v>90.5</v>
      </c>
      <c r="E1624">
        <v>62.8</v>
      </c>
      <c r="F1624">
        <v>77.2</v>
      </c>
      <c r="G1624" s="2">
        <f t="shared" si="286"/>
        <v>1</v>
      </c>
      <c r="H1624">
        <v>87.8</v>
      </c>
      <c r="I1624">
        <v>62.8</v>
      </c>
      <c r="J1624">
        <v>76.2</v>
      </c>
      <c r="K1624">
        <v>51.3</v>
      </c>
      <c r="L1624">
        <v>43.2</v>
      </c>
      <c r="M1624" s="2">
        <f t="shared" si="288"/>
        <v>1</v>
      </c>
      <c r="N1624">
        <v>0</v>
      </c>
      <c r="P1624" s="2">
        <f t="shared" si="289"/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21</v>
      </c>
      <c r="W1624" s="2">
        <f t="shared" si="290"/>
        <v>1</v>
      </c>
      <c r="X1624">
        <v>7.8</v>
      </c>
      <c r="Z1624" s="2">
        <f t="shared" si="291"/>
        <v>0</v>
      </c>
      <c r="AA1624">
        <v>342.7</v>
      </c>
      <c r="AB1624" s="2" t="str">
        <f>CHOOSE(MATCH(AA1624,{0;11;80;111;161;191;241;281;341},1),"North","NorthEast","East","SouthEast","South","SouthWest","West","NorthWest","North")</f>
        <v>North</v>
      </c>
      <c r="AC1624" s="5">
        <f>CHOOSE(MATCH(AB1624,{"South";"SouthEast";"SouthWest";"North";"NorthEast";"East";"West";"NorthWest"},0),1,2,3,4,5,6,7,8)</f>
        <v>4</v>
      </c>
      <c r="AD1624" s="2">
        <f t="shared" si="292"/>
        <v>1</v>
      </c>
      <c r="AE1624">
        <v>1015</v>
      </c>
      <c r="AF1624" s="4" t="s">
        <v>1137</v>
      </c>
      <c r="AG1624" s="2">
        <f t="shared" si="293"/>
        <v>0</v>
      </c>
      <c r="AH1624" t="s">
        <v>2517</v>
      </c>
      <c r="AI1624" s="2">
        <f t="shared" si="294"/>
        <v>5</v>
      </c>
      <c r="AJ1624" s="2">
        <f t="shared" si="295"/>
        <v>0</v>
      </c>
      <c r="AK1624" s="3">
        <v>20.00000000232831</v>
      </c>
      <c r="AM1624" s="2">
        <v>0</v>
      </c>
      <c r="AN1624">
        <v>0.1</v>
      </c>
      <c r="AO1624">
        <v>0</v>
      </c>
      <c r="AP1624">
        <v>0</v>
      </c>
      <c r="AQ1624" s="2">
        <f>IF((2*G1624 + M1624 -P1624 + 3*W1624 + 2*Z1624+2*AD1624 + AG1624+2*AJ1624 + 4*AM1624) &gt;=8,1,0)</f>
        <v>0</v>
      </c>
    </row>
    <row r="1625" spans="1:43" x14ac:dyDescent="0.25">
      <c r="A1625" t="s">
        <v>27</v>
      </c>
      <c r="B1625" s="1">
        <v>43971</v>
      </c>
      <c r="C1625" s="7">
        <f t="shared" si="287"/>
        <v>2020</v>
      </c>
      <c r="D1625">
        <v>85.1</v>
      </c>
      <c r="E1625">
        <v>63.8</v>
      </c>
      <c r="F1625">
        <v>75.2</v>
      </c>
      <c r="G1625" s="2">
        <f t="shared" si="286"/>
        <v>1</v>
      </c>
      <c r="H1625">
        <v>85.2</v>
      </c>
      <c r="I1625">
        <v>63.8</v>
      </c>
      <c r="J1625">
        <v>75.2</v>
      </c>
      <c r="K1625">
        <v>59.1</v>
      </c>
      <c r="L1625">
        <v>59.2</v>
      </c>
      <c r="M1625" s="2">
        <f t="shared" si="288"/>
        <v>0</v>
      </c>
      <c r="N1625">
        <v>0</v>
      </c>
      <c r="P1625" s="2">
        <f t="shared" si="289"/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25.7</v>
      </c>
      <c r="W1625" s="2">
        <f t="shared" si="290"/>
        <v>1</v>
      </c>
      <c r="X1625">
        <v>11.6</v>
      </c>
      <c r="Z1625" s="2">
        <f t="shared" si="291"/>
        <v>0</v>
      </c>
      <c r="AA1625">
        <v>160.19999999999999</v>
      </c>
      <c r="AB1625" s="2" t="str">
        <f>CHOOSE(MATCH(AA1625,{0;11;80;111;161;191;241;281;341},1),"North","NorthEast","East","SouthEast","South","SouthWest","West","NorthWest","North")</f>
        <v>SouthEast</v>
      </c>
      <c r="AC1625" s="5">
        <f>CHOOSE(MATCH(AB1625,{"South";"SouthEast";"SouthWest";"North";"NorthEast";"East";"West";"NorthWest"},0),1,2,3,4,5,6,7,8)</f>
        <v>2</v>
      </c>
      <c r="AD1625" s="2">
        <f t="shared" si="292"/>
        <v>0</v>
      </c>
      <c r="AE1625">
        <v>1008</v>
      </c>
      <c r="AF1625" s="4" t="s">
        <v>1058</v>
      </c>
      <c r="AG1625" s="2">
        <f t="shared" si="293"/>
        <v>1</v>
      </c>
      <c r="AH1625" t="s">
        <v>2518</v>
      </c>
      <c r="AI1625" s="2">
        <f t="shared" si="294"/>
        <v>5</v>
      </c>
      <c r="AJ1625" s="2">
        <f t="shared" si="295"/>
        <v>0</v>
      </c>
      <c r="AK1625" s="3">
        <v>85.000000004656613</v>
      </c>
      <c r="AM1625" s="2">
        <v>0</v>
      </c>
      <c r="AN1625">
        <v>0</v>
      </c>
      <c r="AO1625">
        <v>1</v>
      </c>
      <c r="AP1625">
        <v>0</v>
      </c>
      <c r="AQ1625" s="2">
        <f>IF((2*G1625 + M1625 -P1625 + 3*W1625 + 2*Z1625+2*AD1625 + AG1625+2*AJ1625 + 4*AM1625) &gt;=8,1,0)</f>
        <v>0</v>
      </c>
    </row>
    <row r="1626" spans="1:43" x14ac:dyDescent="0.25">
      <c r="A1626" t="s">
        <v>27</v>
      </c>
      <c r="B1626" s="1">
        <v>43972</v>
      </c>
      <c r="C1626" s="7">
        <f t="shared" si="287"/>
        <v>2020</v>
      </c>
      <c r="D1626">
        <v>82.5</v>
      </c>
      <c r="E1626">
        <v>66.5</v>
      </c>
      <c r="F1626">
        <v>74.099999999999994</v>
      </c>
      <c r="G1626" s="2">
        <f t="shared" si="286"/>
        <v>1</v>
      </c>
      <c r="H1626">
        <v>81.7</v>
      </c>
      <c r="I1626">
        <v>66.5</v>
      </c>
      <c r="J1626">
        <v>73.900000000000006</v>
      </c>
      <c r="K1626">
        <v>53.8</v>
      </c>
      <c r="L1626">
        <v>51</v>
      </c>
      <c r="M1626" s="2">
        <f t="shared" si="288"/>
        <v>0</v>
      </c>
      <c r="N1626">
        <v>0</v>
      </c>
      <c r="P1626" s="2">
        <f t="shared" si="289"/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27.5</v>
      </c>
      <c r="W1626" s="2">
        <f t="shared" si="290"/>
        <v>1</v>
      </c>
      <c r="X1626">
        <v>17</v>
      </c>
      <c r="Z1626" s="2">
        <f t="shared" si="291"/>
        <v>1</v>
      </c>
      <c r="AA1626">
        <v>258.5</v>
      </c>
      <c r="AB1626" s="2" t="str">
        <f>CHOOSE(MATCH(AA1626,{0;11;80;111;161;191;241;281;341},1),"North","NorthEast","East","SouthEast","South","SouthWest","West","NorthWest","North")</f>
        <v>West</v>
      </c>
      <c r="AC1626" s="5">
        <f>CHOOSE(MATCH(AB1626,{"South";"SouthEast";"SouthWest";"North";"NorthEast";"East";"West";"NorthWest"},0),1,2,3,4,5,6,7,8)</f>
        <v>7</v>
      </c>
      <c r="AD1626" s="2">
        <f t="shared" si="292"/>
        <v>0</v>
      </c>
      <c r="AE1626">
        <v>1005.3</v>
      </c>
      <c r="AF1626" s="4" t="s">
        <v>2519</v>
      </c>
      <c r="AG1626" s="2">
        <f t="shared" si="293"/>
        <v>0</v>
      </c>
      <c r="AH1626" t="s">
        <v>2520</v>
      </c>
      <c r="AI1626" s="2">
        <f t="shared" si="294"/>
        <v>5</v>
      </c>
      <c r="AJ1626" s="2">
        <f t="shared" si="295"/>
        <v>0</v>
      </c>
      <c r="AK1626" s="3">
        <v>1184.999999996508</v>
      </c>
      <c r="AM1626" s="2">
        <v>1</v>
      </c>
      <c r="AN1626">
        <v>0</v>
      </c>
      <c r="AO1626">
        <v>1</v>
      </c>
      <c r="AP1626">
        <v>0</v>
      </c>
      <c r="AQ1626" s="2">
        <f>IF((2*G1626 + M1626 -P1626 + 3*W1626 + 2*Z1626+2*AD1626 + AG1626+2*AJ1626 + 4*AM1626) &gt;=8,1,0)</f>
        <v>1</v>
      </c>
    </row>
    <row r="1627" spans="1:43" x14ac:dyDescent="0.25">
      <c r="A1627" t="s">
        <v>27</v>
      </c>
      <c r="B1627" s="1">
        <v>43983</v>
      </c>
      <c r="C1627" s="7">
        <f t="shared" si="287"/>
        <v>2020</v>
      </c>
      <c r="D1627">
        <v>73.900000000000006</v>
      </c>
      <c r="E1627">
        <v>59.4</v>
      </c>
      <c r="F1627">
        <v>65.099999999999994</v>
      </c>
      <c r="G1627" s="2">
        <f t="shared" si="286"/>
        <v>0</v>
      </c>
      <c r="H1627">
        <v>73.900000000000006</v>
      </c>
      <c r="I1627">
        <v>59.4</v>
      </c>
      <c r="J1627">
        <v>65.099999999999994</v>
      </c>
      <c r="K1627">
        <v>53.2</v>
      </c>
      <c r="L1627">
        <v>66.7</v>
      </c>
      <c r="M1627" s="2">
        <f t="shared" si="288"/>
        <v>0</v>
      </c>
      <c r="N1627">
        <v>0.14099999999999999</v>
      </c>
      <c r="P1627" s="2">
        <f t="shared" si="289"/>
        <v>0</v>
      </c>
      <c r="Q1627">
        <v>100</v>
      </c>
      <c r="R1627">
        <v>8.33</v>
      </c>
      <c r="S1627" t="s">
        <v>87</v>
      </c>
      <c r="T1627">
        <v>0</v>
      </c>
      <c r="U1627">
        <v>0</v>
      </c>
      <c r="V1627">
        <v>18</v>
      </c>
      <c r="W1627" s="2">
        <f t="shared" si="290"/>
        <v>1</v>
      </c>
      <c r="X1627">
        <v>10.3</v>
      </c>
      <c r="Z1627" s="2">
        <f t="shared" si="291"/>
        <v>0</v>
      </c>
      <c r="AA1627">
        <v>31</v>
      </c>
      <c r="AB1627" s="2" t="str">
        <f>CHOOSE(MATCH(AA1627,{0;11;80;111;161;191;241;281;341},1),"North","NorthEast","East","SouthEast","South","SouthWest","West","NorthWest","North")</f>
        <v>NorthEast</v>
      </c>
      <c r="AC1627" s="5">
        <f>CHOOSE(MATCH(AB1627,{"South";"SouthEast";"SouthWest";"North";"NorthEast";"East";"West";"NorthWest"},0),1,2,3,4,5,6,7,8)</f>
        <v>5</v>
      </c>
      <c r="AD1627" s="2">
        <f t="shared" si="292"/>
        <v>1</v>
      </c>
      <c r="AE1627">
        <v>1010.4</v>
      </c>
      <c r="AF1627" s="4" t="s">
        <v>1902</v>
      </c>
      <c r="AG1627" s="2">
        <f t="shared" si="293"/>
        <v>1</v>
      </c>
      <c r="AH1627" t="s">
        <v>2521</v>
      </c>
      <c r="AI1627" s="2">
        <f t="shared" si="294"/>
        <v>6</v>
      </c>
      <c r="AJ1627" s="2">
        <f t="shared" si="295"/>
        <v>1</v>
      </c>
      <c r="AK1627" s="3">
        <v>40.000000004656613</v>
      </c>
      <c r="AM1627" s="2">
        <v>0</v>
      </c>
      <c r="AN1627">
        <v>0</v>
      </c>
      <c r="AO1627">
        <v>0.01</v>
      </c>
      <c r="AP1627">
        <v>0</v>
      </c>
      <c r="AQ1627" s="2">
        <f>IF((2*G1627 + M1627 -P1627 + 3*W1627 + 2*Z1627+2*AD1627 + AG1627+2*AJ1627 + 4*AM1627) &gt;=8,1,0)</f>
        <v>1</v>
      </c>
    </row>
    <row r="1628" spans="1:43" x14ac:dyDescent="0.25">
      <c r="A1628" t="s">
        <v>27</v>
      </c>
      <c r="B1628" s="1">
        <v>43991</v>
      </c>
      <c r="C1628" s="7">
        <f t="shared" si="287"/>
        <v>2020</v>
      </c>
      <c r="D1628">
        <v>83.3</v>
      </c>
      <c r="E1628">
        <v>66.2</v>
      </c>
      <c r="F1628">
        <v>75</v>
      </c>
      <c r="G1628" s="2">
        <f t="shared" si="286"/>
        <v>1</v>
      </c>
      <c r="H1628">
        <v>83.4</v>
      </c>
      <c r="I1628">
        <v>66.2</v>
      </c>
      <c r="J1628">
        <v>74.900000000000006</v>
      </c>
      <c r="K1628">
        <v>58.7</v>
      </c>
      <c r="L1628">
        <v>58.4</v>
      </c>
      <c r="M1628" s="2">
        <f t="shared" si="288"/>
        <v>0</v>
      </c>
      <c r="N1628">
        <v>1E-3</v>
      </c>
      <c r="P1628" s="2">
        <f t="shared" si="289"/>
        <v>1</v>
      </c>
      <c r="Q1628">
        <v>100</v>
      </c>
      <c r="R1628">
        <v>4.17</v>
      </c>
      <c r="S1628" t="s">
        <v>87</v>
      </c>
      <c r="T1628">
        <v>0</v>
      </c>
      <c r="U1628">
        <v>0</v>
      </c>
      <c r="V1628">
        <v>24.6</v>
      </c>
      <c r="W1628" s="2">
        <f t="shared" si="290"/>
        <v>1</v>
      </c>
      <c r="X1628">
        <v>13.2</v>
      </c>
      <c r="Z1628" s="2">
        <f t="shared" si="291"/>
        <v>0</v>
      </c>
      <c r="AA1628">
        <v>177.5</v>
      </c>
      <c r="AB1628" s="2" t="str">
        <f>CHOOSE(MATCH(AA1628,{0;11;80;111;161;191;241;281;341},1),"North","NorthEast","East","SouthEast","South","SouthWest","West","NorthWest","North")</f>
        <v>South</v>
      </c>
      <c r="AC1628" s="5">
        <f>CHOOSE(MATCH(AB1628,{"South";"SouthEast";"SouthWest";"North";"NorthEast";"East";"West";"NorthWest"},0),1,2,3,4,5,6,7,8)</f>
        <v>1</v>
      </c>
      <c r="AD1628" s="2">
        <f t="shared" si="292"/>
        <v>0</v>
      </c>
      <c r="AE1628">
        <v>1007.7</v>
      </c>
      <c r="AF1628" s="4" t="s">
        <v>2065</v>
      </c>
      <c r="AG1628" s="2">
        <f t="shared" si="293"/>
        <v>1</v>
      </c>
      <c r="AH1628" t="s">
        <v>2522</v>
      </c>
      <c r="AI1628" s="2">
        <f t="shared" si="294"/>
        <v>6</v>
      </c>
      <c r="AJ1628" s="2">
        <f t="shared" si="295"/>
        <v>1</v>
      </c>
      <c r="AK1628" s="3">
        <v>189.0000000083819</v>
      </c>
      <c r="AM1628" s="2">
        <v>0</v>
      </c>
      <c r="AN1628">
        <v>0</v>
      </c>
      <c r="AO1628">
        <v>1.5</v>
      </c>
      <c r="AP1628">
        <v>0</v>
      </c>
      <c r="AQ1628" s="2">
        <f>IF((2*G1628 + M1628 -P1628 + 3*W1628 + 2*Z1628+2*AD1628 + AG1628+2*AJ1628 + 4*AM1628) &gt;=8,1,0)</f>
        <v>0</v>
      </c>
    </row>
    <row r="1629" spans="1:43" x14ac:dyDescent="0.25">
      <c r="A1629" t="s">
        <v>27</v>
      </c>
      <c r="B1629" s="1">
        <v>44004</v>
      </c>
      <c r="C1629" s="7">
        <f t="shared" si="287"/>
        <v>2020</v>
      </c>
      <c r="D1629">
        <v>82.8</v>
      </c>
      <c r="E1629">
        <v>65.7</v>
      </c>
      <c r="F1629">
        <v>72.8</v>
      </c>
      <c r="G1629" s="2">
        <f t="shared" si="286"/>
        <v>0</v>
      </c>
      <c r="H1629">
        <v>82</v>
      </c>
      <c r="I1629">
        <v>65.7</v>
      </c>
      <c r="J1629">
        <v>72.8</v>
      </c>
      <c r="K1629">
        <v>59.8</v>
      </c>
      <c r="L1629">
        <v>65.599999999999994</v>
      </c>
      <c r="M1629" s="2">
        <f t="shared" si="288"/>
        <v>0</v>
      </c>
      <c r="N1629">
        <v>0.17199999999999999</v>
      </c>
      <c r="P1629" s="2">
        <f t="shared" si="289"/>
        <v>0</v>
      </c>
      <c r="Q1629">
        <v>100</v>
      </c>
      <c r="R1629">
        <v>8.33</v>
      </c>
      <c r="S1629" t="s">
        <v>87</v>
      </c>
      <c r="T1629">
        <v>0</v>
      </c>
      <c r="U1629">
        <v>0</v>
      </c>
      <c r="V1629">
        <v>24.5</v>
      </c>
      <c r="W1629" s="2">
        <f t="shared" si="290"/>
        <v>1</v>
      </c>
      <c r="X1629">
        <v>20.399999999999999</v>
      </c>
      <c r="Z1629" s="2">
        <f t="shared" si="291"/>
        <v>1</v>
      </c>
      <c r="AA1629">
        <v>51.1</v>
      </c>
      <c r="AB1629" s="2" t="str">
        <f>CHOOSE(MATCH(AA1629,{0;11;80;111;161;191;241;281;341},1),"North","NorthEast","East","SouthEast","South","SouthWest","West","NorthWest","North")</f>
        <v>NorthEast</v>
      </c>
      <c r="AC1629" s="5">
        <f>CHOOSE(MATCH(AB1629,{"South";"SouthEast";"SouthWest";"North";"NorthEast";"East";"West";"NorthWest"},0),1,2,3,4,5,6,7,8)</f>
        <v>5</v>
      </c>
      <c r="AD1629" s="2">
        <f t="shared" si="292"/>
        <v>1</v>
      </c>
      <c r="AE1629">
        <v>1007.3</v>
      </c>
      <c r="AF1629" s="4" t="s">
        <v>2523</v>
      </c>
      <c r="AG1629" s="2">
        <f t="shared" si="293"/>
        <v>1</v>
      </c>
      <c r="AH1629" t="s">
        <v>2524</v>
      </c>
      <c r="AI1629" s="2">
        <f t="shared" si="294"/>
        <v>6</v>
      </c>
      <c r="AJ1629" s="2">
        <f t="shared" si="295"/>
        <v>1</v>
      </c>
      <c r="AK1629" s="3">
        <v>1516.9999999995341</v>
      </c>
      <c r="AM1629" s="2">
        <v>1</v>
      </c>
      <c r="AN1629">
        <v>2.5</v>
      </c>
      <c r="AO1629">
        <v>0</v>
      </c>
      <c r="AP1629">
        <v>0</v>
      </c>
      <c r="AQ1629" s="2">
        <f>IF((2*G1629 + M1629 -P1629 + 3*W1629 + 2*Z1629+2*AD1629 + AG1629+2*AJ1629 + 4*AM1629) &gt;=8,1,0)</f>
        <v>1</v>
      </c>
    </row>
    <row r="1630" spans="1:43" x14ac:dyDescent="0.25">
      <c r="A1630" t="s">
        <v>27</v>
      </c>
      <c r="B1630" s="1">
        <v>44004</v>
      </c>
      <c r="C1630" s="7">
        <f t="shared" si="287"/>
        <v>2020</v>
      </c>
      <c r="D1630">
        <v>82.8</v>
      </c>
      <c r="E1630">
        <v>65.7</v>
      </c>
      <c r="F1630">
        <v>72.8</v>
      </c>
      <c r="G1630" s="2">
        <f t="shared" si="286"/>
        <v>0</v>
      </c>
      <c r="H1630">
        <v>82</v>
      </c>
      <c r="I1630">
        <v>65.7</v>
      </c>
      <c r="J1630">
        <v>72.8</v>
      </c>
      <c r="K1630">
        <v>59.8</v>
      </c>
      <c r="L1630">
        <v>65.599999999999994</v>
      </c>
      <c r="M1630" s="2">
        <f t="shared" si="288"/>
        <v>0</v>
      </c>
      <c r="N1630">
        <v>0.17199999999999999</v>
      </c>
      <c r="P1630" s="2">
        <f t="shared" si="289"/>
        <v>0</v>
      </c>
      <c r="Q1630">
        <v>100</v>
      </c>
      <c r="R1630">
        <v>8.33</v>
      </c>
      <c r="S1630" t="s">
        <v>87</v>
      </c>
      <c r="T1630">
        <v>0</v>
      </c>
      <c r="U1630">
        <v>0</v>
      </c>
      <c r="V1630">
        <v>24.5</v>
      </c>
      <c r="W1630" s="2">
        <f t="shared" si="290"/>
        <v>1</v>
      </c>
      <c r="X1630">
        <v>20.399999999999999</v>
      </c>
      <c r="Z1630" s="2">
        <f t="shared" si="291"/>
        <v>1</v>
      </c>
      <c r="AA1630">
        <v>51.1</v>
      </c>
      <c r="AB1630" s="2" t="str">
        <f>CHOOSE(MATCH(AA1630,{0;11;80;111;161;191;241;281;341},1),"North","NorthEast","East","SouthEast","South","SouthWest","West","NorthWest","North")</f>
        <v>NorthEast</v>
      </c>
      <c r="AC1630" s="5">
        <f>CHOOSE(MATCH(AB1630,{"South";"SouthEast";"SouthWest";"North";"NorthEast";"East";"West";"NorthWest"},0),1,2,3,4,5,6,7,8)</f>
        <v>5</v>
      </c>
      <c r="AD1630" s="2">
        <f t="shared" si="292"/>
        <v>1</v>
      </c>
      <c r="AE1630">
        <v>1007.3</v>
      </c>
      <c r="AF1630" s="4" t="s">
        <v>2514</v>
      </c>
      <c r="AG1630" s="2">
        <f t="shared" si="293"/>
        <v>1</v>
      </c>
      <c r="AH1630" t="s">
        <v>2525</v>
      </c>
      <c r="AI1630" s="2">
        <f t="shared" si="294"/>
        <v>6</v>
      </c>
      <c r="AJ1630" s="2">
        <f t="shared" si="295"/>
        <v>1</v>
      </c>
      <c r="AK1630" s="3">
        <v>31.000000006752089</v>
      </c>
      <c r="AM1630" s="2">
        <v>0</v>
      </c>
      <c r="AN1630">
        <v>0.05</v>
      </c>
      <c r="AO1630">
        <v>0</v>
      </c>
      <c r="AP1630">
        <v>0</v>
      </c>
      <c r="AQ1630" s="2">
        <f>IF((2*G1630 + M1630 -P1630 + 3*W1630 + 2*Z1630+2*AD1630 + AG1630+2*AJ1630 + 4*AM1630) &gt;=8,1,0)</f>
        <v>1</v>
      </c>
    </row>
    <row r="1631" spans="1:43" x14ac:dyDescent="0.25">
      <c r="A1631" t="s">
        <v>27</v>
      </c>
      <c r="B1631" s="1">
        <v>44005</v>
      </c>
      <c r="C1631" s="7">
        <f t="shared" si="287"/>
        <v>2020</v>
      </c>
      <c r="D1631">
        <v>81.7</v>
      </c>
      <c r="E1631">
        <v>64.7</v>
      </c>
      <c r="F1631">
        <v>73</v>
      </c>
      <c r="G1631" s="2">
        <f t="shared" si="286"/>
        <v>0</v>
      </c>
      <c r="H1631">
        <v>82.1</v>
      </c>
      <c r="I1631">
        <v>64.7</v>
      </c>
      <c r="J1631">
        <v>73.099999999999994</v>
      </c>
      <c r="K1631">
        <v>61.2</v>
      </c>
      <c r="L1631">
        <v>68.7</v>
      </c>
      <c r="M1631" s="2">
        <f t="shared" si="288"/>
        <v>0</v>
      </c>
      <c r="N1631">
        <v>0.14799999999999999</v>
      </c>
      <c r="P1631" s="2">
        <f t="shared" si="289"/>
        <v>0</v>
      </c>
      <c r="Q1631">
        <v>100</v>
      </c>
      <c r="R1631">
        <v>8.33</v>
      </c>
      <c r="S1631" t="s">
        <v>87</v>
      </c>
      <c r="T1631">
        <v>0</v>
      </c>
      <c r="U1631">
        <v>0</v>
      </c>
      <c r="V1631">
        <v>21.5</v>
      </c>
      <c r="W1631" s="2">
        <f t="shared" si="290"/>
        <v>1</v>
      </c>
      <c r="X1631">
        <v>12.9</v>
      </c>
      <c r="Z1631" s="2">
        <f t="shared" si="291"/>
        <v>0</v>
      </c>
      <c r="AA1631">
        <v>190.1</v>
      </c>
      <c r="AB1631" s="2" t="str">
        <f>CHOOSE(MATCH(AA1631,{0;11;80;111;161;191;241;281;341},1),"North","NorthEast","East","SouthEast","South","SouthWest","West","NorthWest","North")</f>
        <v>South</v>
      </c>
      <c r="AC1631" s="5">
        <f>CHOOSE(MATCH(AB1631,{"South";"SouthEast";"SouthWest";"North";"NorthEast";"East";"West";"NorthWest"},0),1,2,3,4,5,6,7,8)</f>
        <v>1</v>
      </c>
      <c r="AD1631" s="2">
        <f t="shared" si="292"/>
        <v>0</v>
      </c>
      <c r="AE1631">
        <v>1009.7</v>
      </c>
      <c r="AF1631" s="4" t="s">
        <v>2526</v>
      </c>
      <c r="AG1631" s="2">
        <f t="shared" si="293"/>
        <v>1</v>
      </c>
      <c r="AH1631" t="s">
        <v>2527</v>
      </c>
      <c r="AI1631" s="2">
        <f t="shared" si="294"/>
        <v>6</v>
      </c>
      <c r="AJ1631" s="2">
        <f t="shared" si="295"/>
        <v>1</v>
      </c>
      <c r="AK1631" s="3">
        <v>1184.0000000037251</v>
      </c>
      <c r="AM1631" s="2">
        <v>1</v>
      </c>
      <c r="AN1631">
        <v>0.02</v>
      </c>
      <c r="AO1631">
        <v>0</v>
      </c>
      <c r="AP1631">
        <v>0</v>
      </c>
      <c r="AQ1631" s="2">
        <f>IF((2*G1631 + M1631 -P1631 + 3*W1631 + 2*Z1631+2*AD1631 + AG1631+2*AJ1631 + 4*AM1631) &gt;=8,1,0)</f>
        <v>1</v>
      </c>
    </row>
    <row r="1632" spans="1:43" x14ac:dyDescent="0.25">
      <c r="A1632" t="s">
        <v>27</v>
      </c>
      <c r="B1632" s="1">
        <v>44009</v>
      </c>
      <c r="C1632" s="7">
        <f t="shared" si="287"/>
        <v>2020</v>
      </c>
      <c r="D1632">
        <v>86.6</v>
      </c>
      <c r="E1632">
        <v>74.8</v>
      </c>
      <c r="F1632">
        <v>80.400000000000006</v>
      </c>
      <c r="G1632" s="2">
        <f t="shared" si="286"/>
        <v>1</v>
      </c>
      <c r="H1632">
        <v>84.3</v>
      </c>
      <c r="I1632">
        <v>74.8</v>
      </c>
      <c r="J1632">
        <v>79.5</v>
      </c>
      <c r="K1632">
        <v>54.3</v>
      </c>
      <c r="L1632">
        <v>42.3</v>
      </c>
      <c r="M1632" s="2">
        <f t="shared" si="288"/>
        <v>1</v>
      </c>
      <c r="N1632">
        <v>0</v>
      </c>
      <c r="P1632" s="2">
        <f t="shared" si="289"/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36.9</v>
      </c>
      <c r="W1632" s="2">
        <f t="shared" si="290"/>
        <v>1</v>
      </c>
      <c r="X1632">
        <v>23.9</v>
      </c>
      <c r="Z1632" s="2">
        <f t="shared" si="291"/>
        <v>1</v>
      </c>
      <c r="AA1632">
        <v>0.6</v>
      </c>
      <c r="AB1632" s="2" t="str">
        <f>CHOOSE(MATCH(AA1632,{0;11;80;111;161;191;241;281;341},1),"North","NorthEast","East","SouthEast","South","SouthWest","West","NorthWest","North")</f>
        <v>North</v>
      </c>
      <c r="AC1632" s="5">
        <f>CHOOSE(MATCH(AB1632,{"South";"SouthEast";"SouthWest";"North";"NorthEast";"East";"West";"NorthWest"},0),1,2,3,4,5,6,7,8)</f>
        <v>4</v>
      </c>
      <c r="AD1632" s="2">
        <f t="shared" si="292"/>
        <v>1</v>
      </c>
      <c r="AE1632">
        <v>1013.9</v>
      </c>
      <c r="AF1632" s="4" t="s">
        <v>2528</v>
      </c>
      <c r="AG1632" s="2">
        <f t="shared" si="293"/>
        <v>0</v>
      </c>
      <c r="AH1632" t="s">
        <v>2529</v>
      </c>
      <c r="AI1632" s="2">
        <f t="shared" si="294"/>
        <v>6</v>
      </c>
      <c r="AJ1632" s="2">
        <f t="shared" si="295"/>
        <v>1</v>
      </c>
      <c r="AK1632" s="3">
        <v>54.000000008381903</v>
      </c>
      <c r="AM1632" s="2">
        <v>0</v>
      </c>
      <c r="AN1632">
        <v>2</v>
      </c>
      <c r="AO1632">
        <v>0</v>
      </c>
      <c r="AP1632">
        <v>0</v>
      </c>
      <c r="AQ1632" s="2">
        <f>IF((2*G1632 + M1632 -P1632 + 3*W1632 + 2*Z1632+2*AD1632 + AG1632+2*AJ1632 + 4*AM1632) &gt;=8,1,0)</f>
        <v>1</v>
      </c>
    </row>
    <row r="1633" spans="1:43" x14ac:dyDescent="0.25">
      <c r="A1633" t="s">
        <v>27</v>
      </c>
      <c r="B1633" s="1">
        <v>44009</v>
      </c>
      <c r="C1633" s="7">
        <f t="shared" si="287"/>
        <v>2020</v>
      </c>
      <c r="D1633">
        <v>86.6</v>
      </c>
      <c r="E1633">
        <v>74.8</v>
      </c>
      <c r="F1633">
        <v>80.400000000000006</v>
      </c>
      <c r="G1633" s="2">
        <f t="shared" si="286"/>
        <v>1</v>
      </c>
      <c r="H1633">
        <v>84.3</v>
      </c>
      <c r="I1633">
        <v>74.8</v>
      </c>
      <c r="J1633">
        <v>79.5</v>
      </c>
      <c r="K1633">
        <v>54.3</v>
      </c>
      <c r="L1633">
        <v>42.3</v>
      </c>
      <c r="M1633" s="2">
        <f t="shared" si="288"/>
        <v>1</v>
      </c>
      <c r="N1633">
        <v>0</v>
      </c>
      <c r="P1633" s="2">
        <f t="shared" si="289"/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36.9</v>
      </c>
      <c r="W1633" s="2">
        <f t="shared" si="290"/>
        <v>1</v>
      </c>
      <c r="X1633">
        <v>23.9</v>
      </c>
      <c r="Z1633" s="2">
        <f t="shared" si="291"/>
        <v>1</v>
      </c>
      <c r="AA1633">
        <v>0.6</v>
      </c>
      <c r="AB1633" s="2" t="str">
        <f>CHOOSE(MATCH(AA1633,{0;11;80;111;161;191;241;281;341},1),"North","NorthEast","East","SouthEast","South","SouthWest","West","NorthWest","North")</f>
        <v>North</v>
      </c>
      <c r="AC1633" s="5">
        <f>CHOOSE(MATCH(AB1633,{"South";"SouthEast";"SouthWest";"North";"NorthEast";"East";"West";"NorthWest"},0),1,2,3,4,5,6,7,8)</f>
        <v>4</v>
      </c>
      <c r="AD1633" s="2">
        <f t="shared" si="292"/>
        <v>1</v>
      </c>
      <c r="AE1633">
        <v>1013.9</v>
      </c>
      <c r="AF1633" s="4" t="s">
        <v>2196</v>
      </c>
      <c r="AG1633" s="2">
        <f t="shared" si="293"/>
        <v>1</v>
      </c>
      <c r="AH1633" t="s">
        <v>2530</v>
      </c>
      <c r="AI1633" s="2">
        <f t="shared" si="294"/>
        <v>6</v>
      </c>
      <c r="AJ1633" s="2">
        <f t="shared" si="295"/>
        <v>1</v>
      </c>
      <c r="AK1633" s="3">
        <v>94.999999995343387</v>
      </c>
      <c r="AM1633" s="2">
        <v>0</v>
      </c>
      <c r="AN1633">
        <v>0</v>
      </c>
      <c r="AO1633">
        <v>1</v>
      </c>
      <c r="AP1633">
        <v>0</v>
      </c>
      <c r="AQ1633" s="2">
        <f>IF((2*G1633 + M1633 -P1633 + 3*W1633 + 2*Z1633+2*AD1633 + AG1633+2*AJ1633 + 4*AM1633) &gt;=8,1,0)</f>
        <v>1</v>
      </c>
    </row>
    <row r="1634" spans="1:43" x14ac:dyDescent="0.25">
      <c r="A1634" t="s">
        <v>27</v>
      </c>
      <c r="B1634" s="1">
        <v>44009</v>
      </c>
      <c r="C1634" s="7">
        <f t="shared" si="287"/>
        <v>2020</v>
      </c>
      <c r="D1634">
        <v>86.6</v>
      </c>
      <c r="E1634">
        <v>74.8</v>
      </c>
      <c r="F1634">
        <v>80.400000000000006</v>
      </c>
      <c r="G1634" s="2">
        <f t="shared" si="286"/>
        <v>1</v>
      </c>
      <c r="H1634">
        <v>84.3</v>
      </c>
      <c r="I1634">
        <v>74.8</v>
      </c>
      <c r="J1634">
        <v>79.5</v>
      </c>
      <c r="K1634">
        <v>54.3</v>
      </c>
      <c r="L1634">
        <v>42.3</v>
      </c>
      <c r="M1634" s="2">
        <f t="shared" si="288"/>
        <v>1</v>
      </c>
      <c r="N1634">
        <v>0</v>
      </c>
      <c r="P1634" s="2">
        <f t="shared" si="289"/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36.9</v>
      </c>
      <c r="W1634" s="2">
        <f t="shared" si="290"/>
        <v>1</v>
      </c>
      <c r="X1634">
        <v>23.9</v>
      </c>
      <c r="Z1634" s="2">
        <f t="shared" si="291"/>
        <v>1</v>
      </c>
      <c r="AA1634">
        <v>0.6</v>
      </c>
      <c r="AB1634" s="2" t="str">
        <f>CHOOSE(MATCH(AA1634,{0;11;80;111;161;191;241;281;341},1),"North","NorthEast","East","SouthEast","South","SouthWest","West","NorthWest","North")</f>
        <v>North</v>
      </c>
      <c r="AC1634" s="5">
        <f>CHOOSE(MATCH(AB1634,{"South";"SouthEast";"SouthWest";"North";"NorthEast";"East";"West";"NorthWest"},0),1,2,3,4,5,6,7,8)</f>
        <v>4</v>
      </c>
      <c r="AD1634" s="2">
        <f t="shared" si="292"/>
        <v>1</v>
      </c>
      <c r="AE1634">
        <v>1013.9</v>
      </c>
      <c r="AF1634" s="4" t="s">
        <v>2531</v>
      </c>
      <c r="AG1634" s="2">
        <f t="shared" si="293"/>
        <v>1</v>
      </c>
      <c r="AH1634" t="s">
        <v>2532</v>
      </c>
      <c r="AI1634" s="2">
        <f t="shared" si="294"/>
        <v>6</v>
      </c>
      <c r="AJ1634" s="2">
        <f t="shared" si="295"/>
        <v>1</v>
      </c>
      <c r="AK1634" s="3">
        <v>22.999999991152439</v>
      </c>
      <c r="AM1634" s="2">
        <v>0</v>
      </c>
      <c r="AN1634">
        <v>0</v>
      </c>
      <c r="AO1634">
        <v>1</v>
      </c>
      <c r="AP1634">
        <v>0</v>
      </c>
      <c r="AQ1634" s="2">
        <f>IF((2*G1634 + M1634 -P1634 + 3*W1634 + 2*Z1634+2*AD1634 + AG1634+2*AJ1634 + 4*AM1634) &gt;=8,1,0)</f>
        <v>1</v>
      </c>
    </row>
    <row r="1635" spans="1:43" x14ac:dyDescent="0.25">
      <c r="A1635" t="s">
        <v>27</v>
      </c>
      <c r="B1635" s="1">
        <v>44028</v>
      </c>
      <c r="C1635" s="7">
        <f t="shared" si="287"/>
        <v>2020</v>
      </c>
      <c r="D1635">
        <v>85.9</v>
      </c>
      <c r="E1635">
        <v>65.599999999999994</v>
      </c>
      <c r="F1635">
        <v>76.7</v>
      </c>
      <c r="G1635" s="2">
        <f t="shared" si="286"/>
        <v>1</v>
      </c>
      <c r="H1635">
        <v>84.2</v>
      </c>
      <c r="I1635">
        <v>65.599999999999994</v>
      </c>
      <c r="J1635">
        <v>76.3</v>
      </c>
      <c r="K1635">
        <v>56.3</v>
      </c>
      <c r="L1635">
        <v>51.3</v>
      </c>
      <c r="M1635" s="2">
        <f t="shared" si="288"/>
        <v>0</v>
      </c>
      <c r="N1635">
        <v>0</v>
      </c>
      <c r="P1635" s="2">
        <f t="shared" si="289"/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17.399999999999999</v>
      </c>
      <c r="W1635" s="2">
        <f t="shared" si="290"/>
        <v>1</v>
      </c>
      <c r="X1635">
        <v>12.6</v>
      </c>
      <c r="Z1635" s="2">
        <f t="shared" si="291"/>
        <v>0</v>
      </c>
      <c r="AA1635">
        <v>78.8</v>
      </c>
      <c r="AB1635" s="2" t="str">
        <f>CHOOSE(MATCH(AA1635,{0;11;80;111;161;191;241;281;341},1),"North","NorthEast","East","SouthEast","South","SouthWest","West","NorthWest","North")</f>
        <v>NorthEast</v>
      </c>
      <c r="AC1635" s="5">
        <f>CHOOSE(MATCH(AB1635,{"South";"SouthEast";"SouthWest";"North";"NorthEast";"East";"West";"NorthWest"},0),1,2,3,4,5,6,7,8)</f>
        <v>5</v>
      </c>
      <c r="AD1635" s="2">
        <f t="shared" si="292"/>
        <v>1</v>
      </c>
      <c r="AE1635">
        <v>1011.4</v>
      </c>
      <c r="AF1635" s="4" t="s">
        <v>1082</v>
      </c>
      <c r="AG1635" s="2">
        <f t="shared" si="293"/>
        <v>1</v>
      </c>
      <c r="AH1635" t="s">
        <v>2533</v>
      </c>
      <c r="AI1635" s="2">
        <f t="shared" si="294"/>
        <v>7</v>
      </c>
      <c r="AJ1635" s="2">
        <f t="shared" si="295"/>
        <v>1</v>
      </c>
      <c r="AK1635" s="3">
        <v>10680.999999999771</v>
      </c>
      <c r="AM1635" s="2">
        <v>1</v>
      </c>
      <c r="AN1635">
        <v>550</v>
      </c>
      <c r="AO1635">
        <v>0</v>
      </c>
      <c r="AP1635">
        <v>0</v>
      </c>
      <c r="AQ1635" s="2">
        <f>IF((2*G1635 + M1635 -P1635 + 3*W1635 + 2*Z1635+2*AD1635 + AG1635+2*AJ1635 + 4*AM1635) &gt;=8,1,0)</f>
        <v>1</v>
      </c>
    </row>
    <row r="1636" spans="1:43" x14ac:dyDescent="0.25">
      <c r="A1636" t="s">
        <v>27</v>
      </c>
      <c r="B1636" s="1">
        <v>44056</v>
      </c>
      <c r="C1636" s="7">
        <f t="shared" si="287"/>
        <v>2020</v>
      </c>
      <c r="D1636">
        <v>93</v>
      </c>
      <c r="E1636">
        <v>76.599999999999994</v>
      </c>
      <c r="F1636">
        <v>84.6</v>
      </c>
      <c r="G1636" s="2">
        <f t="shared" si="286"/>
        <v>1</v>
      </c>
      <c r="H1636">
        <v>91.1</v>
      </c>
      <c r="I1636">
        <v>76.599999999999994</v>
      </c>
      <c r="J1636">
        <v>83.7</v>
      </c>
      <c r="K1636">
        <v>55.1</v>
      </c>
      <c r="L1636">
        <v>37.1</v>
      </c>
      <c r="M1636" s="2">
        <f t="shared" si="288"/>
        <v>1</v>
      </c>
      <c r="N1636">
        <v>0</v>
      </c>
      <c r="P1636" s="2">
        <f t="shared" si="289"/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27.1</v>
      </c>
      <c r="W1636" s="2">
        <f t="shared" si="290"/>
        <v>1</v>
      </c>
      <c r="X1636">
        <v>14.8</v>
      </c>
      <c r="Z1636" s="2">
        <f t="shared" si="291"/>
        <v>0</v>
      </c>
      <c r="AA1636">
        <v>7.1</v>
      </c>
      <c r="AB1636" s="2" t="str">
        <f>CHOOSE(MATCH(AA1636,{0;11;80;111;161;191;241;281;341},1),"North","NorthEast","East","SouthEast","South","SouthWest","West","NorthWest","North")</f>
        <v>North</v>
      </c>
      <c r="AC1636" s="5">
        <f>CHOOSE(MATCH(AB1636,{"South";"SouthEast";"SouthWest";"North";"NorthEast";"East";"West";"NorthWest"},0),1,2,3,4,5,6,7,8)</f>
        <v>4</v>
      </c>
      <c r="AD1636" s="2">
        <f t="shared" si="292"/>
        <v>1</v>
      </c>
      <c r="AE1636">
        <v>1012.7</v>
      </c>
      <c r="AF1636" s="4" t="s">
        <v>2436</v>
      </c>
      <c r="AG1636" s="2">
        <f t="shared" si="293"/>
        <v>1</v>
      </c>
      <c r="AH1636" t="s">
        <v>2534</v>
      </c>
      <c r="AI1636" s="2">
        <f t="shared" si="294"/>
        <v>8</v>
      </c>
      <c r="AJ1636" s="2">
        <f t="shared" si="295"/>
        <v>1</v>
      </c>
      <c r="AK1636" s="3">
        <v>117.9999999969732</v>
      </c>
      <c r="AM1636" s="2">
        <v>0</v>
      </c>
      <c r="AN1636">
        <v>0</v>
      </c>
      <c r="AO1636">
        <v>5</v>
      </c>
      <c r="AP1636">
        <v>0</v>
      </c>
      <c r="AQ1636" s="2">
        <f>IF((2*G1636 + M1636 -P1636 + 3*W1636 + 2*Z1636+2*AD1636 + AG1636+2*AJ1636 + 4*AM1636) &gt;=8,1,0)</f>
        <v>1</v>
      </c>
    </row>
    <row r="1637" spans="1:43" x14ac:dyDescent="0.25">
      <c r="A1637" t="s">
        <v>27</v>
      </c>
      <c r="B1637" s="1">
        <v>44061</v>
      </c>
      <c r="C1637" s="7">
        <f t="shared" si="287"/>
        <v>2020</v>
      </c>
      <c r="D1637">
        <v>87.1</v>
      </c>
      <c r="E1637">
        <v>69.8</v>
      </c>
      <c r="F1637">
        <v>78.900000000000006</v>
      </c>
      <c r="G1637" s="2">
        <f t="shared" si="286"/>
        <v>1</v>
      </c>
      <c r="H1637">
        <v>87.5</v>
      </c>
      <c r="I1637">
        <v>69.8</v>
      </c>
      <c r="J1637">
        <v>79.099999999999994</v>
      </c>
      <c r="K1637">
        <v>58.8</v>
      </c>
      <c r="L1637">
        <v>50.9</v>
      </c>
      <c r="M1637" s="2">
        <f t="shared" si="288"/>
        <v>0</v>
      </c>
      <c r="N1637">
        <v>0</v>
      </c>
      <c r="P1637" s="2">
        <f t="shared" si="289"/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17.2</v>
      </c>
      <c r="W1637" s="2">
        <f t="shared" si="290"/>
        <v>1</v>
      </c>
      <c r="X1637">
        <v>10.9</v>
      </c>
      <c r="Z1637" s="2">
        <f t="shared" si="291"/>
        <v>0</v>
      </c>
      <c r="AA1637">
        <v>83.8</v>
      </c>
      <c r="AB1637" s="2" t="str">
        <f>CHOOSE(MATCH(AA1637,{0;11;80;111;161;191;241;281;341},1),"North","NorthEast","East","SouthEast","South","SouthWest","West","NorthWest","North")</f>
        <v>East</v>
      </c>
      <c r="AC1637" s="5">
        <f>CHOOSE(MATCH(AB1637,{"South";"SouthEast";"SouthWest";"North";"NorthEast";"East";"West";"NorthWest"},0),1,2,3,4,5,6,7,8)</f>
        <v>6</v>
      </c>
      <c r="AD1637" s="2">
        <f t="shared" si="292"/>
        <v>0</v>
      </c>
      <c r="AE1637">
        <v>1009.7</v>
      </c>
      <c r="AF1637" s="4" t="s">
        <v>1181</v>
      </c>
      <c r="AG1637" s="2">
        <f t="shared" si="293"/>
        <v>0</v>
      </c>
      <c r="AH1637" t="s">
        <v>2535</v>
      </c>
      <c r="AI1637" s="2">
        <f t="shared" si="294"/>
        <v>8</v>
      </c>
      <c r="AJ1637" s="2">
        <f t="shared" si="295"/>
        <v>1</v>
      </c>
      <c r="AK1637" s="3">
        <v>1509.9999999976719</v>
      </c>
      <c r="AM1637" s="2">
        <v>1</v>
      </c>
      <c r="AN1637">
        <v>0</v>
      </c>
      <c r="AO1637">
        <v>6</v>
      </c>
      <c r="AP1637">
        <v>0</v>
      </c>
      <c r="AQ1637" s="2">
        <f>IF((2*G1637 + M1637 -P1637 + 3*W1637 + 2*Z1637+2*AD1637 + AG1637+2*AJ1637 + 4*AM1637) &gt;=8,1,0)</f>
        <v>1</v>
      </c>
    </row>
    <row r="1638" spans="1:43" x14ac:dyDescent="0.25">
      <c r="A1638" t="s">
        <v>27</v>
      </c>
      <c r="B1638" s="1">
        <v>44073</v>
      </c>
      <c r="C1638" s="7">
        <f t="shared" si="287"/>
        <v>2020</v>
      </c>
      <c r="D1638">
        <v>92.5</v>
      </c>
      <c r="E1638">
        <v>67.8</v>
      </c>
      <c r="F1638">
        <v>80.2</v>
      </c>
      <c r="G1638" s="2">
        <f t="shared" si="286"/>
        <v>1</v>
      </c>
      <c r="H1638">
        <v>90.7</v>
      </c>
      <c r="I1638">
        <v>67.8</v>
      </c>
      <c r="J1638">
        <v>79.7</v>
      </c>
      <c r="K1638">
        <v>57.5</v>
      </c>
      <c r="L1638">
        <v>48.6</v>
      </c>
      <c r="M1638" s="2">
        <f t="shared" si="288"/>
        <v>1</v>
      </c>
      <c r="N1638">
        <v>0</v>
      </c>
      <c r="P1638" s="2">
        <f t="shared" si="289"/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16.100000000000001</v>
      </c>
      <c r="W1638" s="2">
        <f t="shared" si="290"/>
        <v>1</v>
      </c>
      <c r="X1638">
        <v>9.1999999999999993</v>
      </c>
      <c r="Z1638" s="2">
        <f t="shared" si="291"/>
        <v>0</v>
      </c>
      <c r="AA1638">
        <v>36.200000000000003</v>
      </c>
      <c r="AB1638" s="2" t="str">
        <f>CHOOSE(MATCH(AA1638,{0;11;80;111;161;191;241;281;341},1),"North","NorthEast","East","SouthEast","South","SouthWest","West","NorthWest","North")</f>
        <v>NorthEast</v>
      </c>
      <c r="AC1638" s="5">
        <f>CHOOSE(MATCH(AB1638,{"South";"SouthEast";"SouthWest";"North";"NorthEast";"East";"West";"NorthWest"},0),1,2,3,4,5,6,7,8)</f>
        <v>5</v>
      </c>
      <c r="AD1638" s="2">
        <f t="shared" si="292"/>
        <v>1</v>
      </c>
      <c r="AE1638">
        <v>1011.1</v>
      </c>
      <c r="AF1638" s="4" t="s">
        <v>1032</v>
      </c>
      <c r="AG1638" s="2">
        <f t="shared" si="293"/>
        <v>1</v>
      </c>
      <c r="AH1638" t="s">
        <v>2536</v>
      </c>
      <c r="AI1638" s="2">
        <f t="shared" si="294"/>
        <v>8</v>
      </c>
      <c r="AJ1638" s="2">
        <f t="shared" si="295"/>
        <v>1</v>
      </c>
      <c r="AK1638" s="3">
        <v>130.00000000465661</v>
      </c>
      <c r="AM1638" s="2">
        <v>0</v>
      </c>
      <c r="AN1638">
        <v>0</v>
      </c>
      <c r="AO1638">
        <v>3</v>
      </c>
      <c r="AP1638">
        <v>0</v>
      </c>
      <c r="AQ1638" s="2">
        <f>IF((2*G1638 + M1638 -P1638 + 3*W1638 + 2*Z1638+2*AD1638 + AG1638+2*AJ1638 + 4*AM1638) &gt;=8,1,0)</f>
        <v>1</v>
      </c>
    </row>
    <row r="1639" spans="1:43" x14ac:dyDescent="0.25">
      <c r="A1639" t="s">
        <v>27</v>
      </c>
      <c r="B1639" s="1">
        <v>44075</v>
      </c>
      <c r="C1639" s="7">
        <f t="shared" si="287"/>
        <v>2020</v>
      </c>
      <c r="D1639">
        <v>95.4</v>
      </c>
      <c r="E1639">
        <v>71.400000000000006</v>
      </c>
      <c r="F1639">
        <v>83.8</v>
      </c>
      <c r="G1639" s="2">
        <f t="shared" si="286"/>
        <v>1</v>
      </c>
      <c r="H1639">
        <v>95.2</v>
      </c>
      <c r="I1639">
        <v>71.400000000000006</v>
      </c>
      <c r="J1639">
        <v>83.4</v>
      </c>
      <c r="K1639">
        <v>56.4</v>
      </c>
      <c r="L1639">
        <v>40.1</v>
      </c>
      <c r="M1639" s="2">
        <f t="shared" si="288"/>
        <v>1</v>
      </c>
      <c r="N1639">
        <v>0</v>
      </c>
      <c r="P1639" s="2">
        <f t="shared" si="289"/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24.2</v>
      </c>
      <c r="W1639" s="2">
        <f t="shared" si="290"/>
        <v>1</v>
      </c>
      <c r="X1639">
        <v>10.5</v>
      </c>
      <c r="Z1639" s="2">
        <f t="shared" si="291"/>
        <v>0</v>
      </c>
      <c r="AA1639">
        <v>159.6</v>
      </c>
      <c r="AB1639" s="2" t="str">
        <f>CHOOSE(MATCH(AA1639,{0;11;80;111;161;191;241;281;341},1),"North","NorthEast","East","SouthEast","South","SouthWest","West","NorthWest","North")</f>
        <v>SouthEast</v>
      </c>
      <c r="AC1639" s="5">
        <f>CHOOSE(MATCH(AB1639,{"South";"SouthEast";"SouthWest";"North";"NorthEast";"East";"West";"NorthWest"},0),1,2,3,4,5,6,7,8)</f>
        <v>2</v>
      </c>
      <c r="AD1639" s="2">
        <f t="shared" si="292"/>
        <v>0</v>
      </c>
      <c r="AE1639">
        <v>1006.1</v>
      </c>
      <c r="AF1639" s="4" t="s">
        <v>1181</v>
      </c>
      <c r="AG1639" s="2">
        <f t="shared" si="293"/>
        <v>0</v>
      </c>
      <c r="AH1639" t="s">
        <v>2537</v>
      </c>
      <c r="AI1639" s="2">
        <f t="shared" si="294"/>
        <v>9</v>
      </c>
      <c r="AJ1639" s="2">
        <f t="shared" si="295"/>
        <v>0</v>
      </c>
      <c r="AK1639" s="3">
        <v>220.00000000465661</v>
      </c>
      <c r="AM1639" s="2">
        <v>0</v>
      </c>
      <c r="AN1639">
        <v>0</v>
      </c>
      <c r="AO1639">
        <v>1.5</v>
      </c>
      <c r="AP1639">
        <v>0</v>
      </c>
      <c r="AQ1639" s="2">
        <f>IF((2*G1639 + M1639 -P1639 + 3*W1639 + 2*Z1639+2*AD1639 + AG1639+2*AJ1639 + 4*AM1639) &gt;=8,1,0)</f>
        <v>0</v>
      </c>
    </row>
    <row r="1640" spans="1:43" x14ac:dyDescent="0.25">
      <c r="A1640" t="s">
        <v>27</v>
      </c>
      <c r="B1640" s="1">
        <v>44083</v>
      </c>
      <c r="C1640" s="7">
        <f t="shared" si="287"/>
        <v>2020</v>
      </c>
      <c r="D1640">
        <v>87.9</v>
      </c>
      <c r="E1640">
        <v>79.400000000000006</v>
      </c>
      <c r="F1640">
        <v>82.7</v>
      </c>
      <c r="G1640" s="2">
        <f t="shared" si="286"/>
        <v>1</v>
      </c>
      <c r="H1640">
        <v>86</v>
      </c>
      <c r="I1640">
        <v>79.400000000000006</v>
      </c>
      <c r="J1640">
        <v>82.1</v>
      </c>
      <c r="K1640">
        <v>55.4</v>
      </c>
      <c r="L1640">
        <v>39.5</v>
      </c>
      <c r="M1640" s="2">
        <f t="shared" si="288"/>
        <v>1</v>
      </c>
      <c r="N1640">
        <v>0</v>
      </c>
      <c r="P1640" s="2">
        <f t="shared" si="289"/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37.700000000000003</v>
      </c>
      <c r="W1640" s="2">
        <f t="shared" si="290"/>
        <v>1</v>
      </c>
      <c r="X1640">
        <v>19.899999999999999</v>
      </c>
      <c r="Z1640" s="2">
        <f t="shared" si="291"/>
        <v>1</v>
      </c>
      <c r="AA1640">
        <v>347.9</v>
      </c>
      <c r="AB1640" s="2" t="str">
        <f>CHOOSE(MATCH(AA1640,{0;11;80;111;161;191;241;281;341},1),"North","NorthEast","East","SouthEast","South","SouthWest","West","NorthWest","North")</f>
        <v>North</v>
      </c>
      <c r="AC1640" s="5">
        <f>CHOOSE(MATCH(AB1640,{"South";"SouthEast";"SouthWest";"North";"NorthEast";"East";"West";"NorthWest"},0),1,2,3,4,5,6,7,8)</f>
        <v>4</v>
      </c>
      <c r="AD1640" s="2">
        <f t="shared" si="292"/>
        <v>1</v>
      </c>
      <c r="AE1640">
        <v>1017.1</v>
      </c>
      <c r="AF1640" s="4" t="s">
        <v>2538</v>
      </c>
      <c r="AG1640" s="2">
        <f t="shared" si="293"/>
        <v>0</v>
      </c>
      <c r="AH1640" t="s">
        <v>2539</v>
      </c>
      <c r="AI1640" s="2">
        <f t="shared" si="294"/>
        <v>9</v>
      </c>
      <c r="AJ1640" s="2">
        <f t="shared" si="295"/>
        <v>0</v>
      </c>
      <c r="AK1640" s="3">
        <v>7802.0000000030268</v>
      </c>
      <c r="AM1640" s="2">
        <v>1</v>
      </c>
      <c r="AN1640">
        <v>0</v>
      </c>
      <c r="AO1640">
        <v>350</v>
      </c>
      <c r="AP1640">
        <v>0</v>
      </c>
      <c r="AQ1640" s="2">
        <f>IF((2*G1640 + M1640 -P1640 + 3*W1640 + 2*Z1640+2*AD1640 + AG1640+2*AJ1640 + 4*AM1640) &gt;=8,1,0)</f>
        <v>1</v>
      </c>
    </row>
    <row r="1641" spans="1:43" x14ac:dyDescent="0.25">
      <c r="A1641" t="s">
        <v>27</v>
      </c>
      <c r="B1641" s="1">
        <v>44083</v>
      </c>
      <c r="C1641" s="7">
        <f t="shared" si="287"/>
        <v>2020</v>
      </c>
      <c r="D1641">
        <v>87.9</v>
      </c>
      <c r="E1641">
        <v>79.400000000000006</v>
      </c>
      <c r="F1641">
        <v>82.7</v>
      </c>
      <c r="G1641" s="2">
        <f t="shared" si="286"/>
        <v>1</v>
      </c>
      <c r="H1641">
        <v>86</v>
      </c>
      <c r="I1641">
        <v>79.400000000000006</v>
      </c>
      <c r="J1641">
        <v>82.1</v>
      </c>
      <c r="K1641">
        <v>55.4</v>
      </c>
      <c r="L1641">
        <v>39.5</v>
      </c>
      <c r="M1641" s="2">
        <f t="shared" si="288"/>
        <v>1</v>
      </c>
      <c r="N1641">
        <v>0</v>
      </c>
      <c r="P1641" s="2">
        <f t="shared" si="289"/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37.700000000000003</v>
      </c>
      <c r="W1641" s="2">
        <f t="shared" si="290"/>
        <v>1</v>
      </c>
      <c r="X1641">
        <v>19.899999999999999</v>
      </c>
      <c r="Z1641" s="2">
        <f t="shared" si="291"/>
        <v>1</v>
      </c>
      <c r="AA1641">
        <v>347.9</v>
      </c>
      <c r="AB1641" s="2" t="str">
        <f>CHOOSE(MATCH(AA1641,{0;11;80;111;161;191;241;281;341},1),"North","NorthEast","East","SouthEast","South","SouthWest","West","NorthWest","North")</f>
        <v>North</v>
      </c>
      <c r="AC1641" s="5">
        <f>CHOOSE(MATCH(AB1641,{"South";"SouthEast";"SouthWest";"North";"NorthEast";"East";"West";"NorthWest"},0),1,2,3,4,5,6,7,8)</f>
        <v>4</v>
      </c>
      <c r="AD1641" s="2">
        <f t="shared" si="292"/>
        <v>1</v>
      </c>
      <c r="AE1641">
        <v>1017.1</v>
      </c>
      <c r="AF1641" s="4" t="s">
        <v>2540</v>
      </c>
      <c r="AG1641" s="2">
        <f t="shared" si="293"/>
        <v>0</v>
      </c>
      <c r="AH1641" t="s">
        <v>2541</v>
      </c>
      <c r="AI1641" s="2">
        <f t="shared" si="294"/>
        <v>9</v>
      </c>
      <c r="AJ1641" s="2">
        <f t="shared" si="295"/>
        <v>0</v>
      </c>
      <c r="AK1641" s="3">
        <v>14292.99999999697</v>
      </c>
      <c r="AM1641" s="2">
        <v>1</v>
      </c>
      <c r="AN1641">
        <v>0</v>
      </c>
      <c r="AO1641">
        <v>4000</v>
      </c>
      <c r="AP1641">
        <v>0</v>
      </c>
      <c r="AQ1641" s="2">
        <f>IF((2*G1641 + M1641 -P1641 + 3*W1641 + 2*Z1641+2*AD1641 + AG1641+2*AJ1641 + 4*AM1641) &gt;=8,1,0)</f>
        <v>1</v>
      </c>
    </row>
    <row r="1642" spans="1:43" x14ac:dyDescent="0.25">
      <c r="A1642" t="s">
        <v>27</v>
      </c>
      <c r="B1642" s="1">
        <v>44083</v>
      </c>
      <c r="C1642" s="7">
        <f t="shared" si="287"/>
        <v>2020</v>
      </c>
      <c r="D1642">
        <v>87.9</v>
      </c>
      <c r="E1642">
        <v>79.400000000000006</v>
      </c>
      <c r="F1642">
        <v>82.7</v>
      </c>
      <c r="G1642" s="2">
        <f t="shared" si="286"/>
        <v>1</v>
      </c>
      <c r="H1642">
        <v>86</v>
      </c>
      <c r="I1642">
        <v>79.400000000000006</v>
      </c>
      <c r="J1642">
        <v>82.1</v>
      </c>
      <c r="K1642">
        <v>55.4</v>
      </c>
      <c r="L1642">
        <v>39.5</v>
      </c>
      <c r="M1642" s="2">
        <f t="shared" si="288"/>
        <v>1</v>
      </c>
      <c r="N1642">
        <v>0</v>
      </c>
      <c r="P1642" s="2">
        <f t="shared" si="289"/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37.700000000000003</v>
      </c>
      <c r="W1642" s="2">
        <f t="shared" si="290"/>
        <v>1</v>
      </c>
      <c r="X1642">
        <v>19.899999999999999</v>
      </c>
      <c r="Z1642" s="2">
        <f t="shared" si="291"/>
        <v>1</v>
      </c>
      <c r="AA1642">
        <v>347.9</v>
      </c>
      <c r="AB1642" s="2" t="str">
        <f>CHOOSE(MATCH(AA1642,{0;11;80;111;161;191;241;281;341},1),"North","NorthEast","East","SouthEast","South","SouthWest","West","NorthWest","North")</f>
        <v>North</v>
      </c>
      <c r="AC1642" s="5">
        <f>CHOOSE(MATCH(AB1642,{"South";"SouthEast";"SouthWest";"North";"NorthEast";"East";"West";"NorthWest"},0),1,2,3,4,5,6,7,8)</f>
        <v>4</v>
      </c>
      <c r="AD1642" s="2">
        <f t="shared" si="292"/>
        <v>1</v>
      </c>
      <c r="AE1642">
        <v>1017.1</v>
      </c>
      <c r="AF1642" s="4" t="s">
        <v>2542</v>
      </c>
      <c r="AG1642" s="2">
        <f t="shared" si="293"/>
        <v>1</v>
      </c>
      <c r="AH1642" t="s">
        <v>2543</v>
      </c>
      <c r="AI1642" s="2">
        <f t="shared" si="294"/>
        <v>9</v>
      </c>
      <c r="AJ1642" s="2">
        <f t="shared" si="295"/>
        <v>0</v>
      </c>
      <c r="AK1642" s="3">
        <v>8010</v>
      </c>
      <c r="AM1642" s="2">
        <v>1</v>
      </c>
      <c r="AN1642">
        <v>0</v>
      </c>
      <c r="AO1642">
        <v>17.5</v>
      </c>
      <c r="AP1642">
        <v>0</v>
      </c>
      <c r="AQ1642" s="2">
        <f>IF((2*G1642 + M1642 -P1642 + 3*W1642 + 2*Z1642+2*AD1642 + AG1642+2*AJ1642 + 4*AM1642) &gt;=8,1,0)</f>
        <v>1</v>
      </c>
    </row>
    <row r="1643" spans="1:43" x14ac:dyDescent="0.25">
      <c r="A1643" t="s">
        <v>27</v>
      </c>
      <c r="B1643" s="1">
        <v>44084</v>
      </c>
      <c r="C1643" s="7">
        <f t="shared" si="287"/>
        <v>2020</v>
      </c>
      <c r="D1643">
        <v>88.2</v>
      </c>
      <c r="E1643">
        <v>75.599999999999994</v>
      </c>
      <c r="F1643">
        <v>81.8</v>
      </c>
      <c r="G1643" s="2">
        <f t="shared" si="286"/>
        <v>1</v>
      </c>
      <c r="H1643">
        <v>85.9</v>
      </c>
      <c r="I1643">
        <v>75.599999999999994</v>
      </c>
      <c r="J1643">
        <v>81.099999999999994</v>
      </c>
      <c r="K1643">
        <v>53.9</v>
      </c>
      <c r="L1643">
        <v>38.700000000000003</v>
      </c>
      <c r="M1643" s="2">
        <f t="shared" si="288"/>
        <v>1</v>
      </c>
      <c r="N1643">
        <v>0</v>
      </c>
      <c r="P1643" s="2">
        <f t="shared" si="289"/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33.9</v>
      </c>
      <c r="W1643" s="2">
        <f t="shared" si="290"/>
        <v>1</v>
      </c>
      <c r="X1643">
        <v>20.2</v>
      </c>
      <c r="Z1643" s="2">
        <f t="shared" si="291"/>
        <v>1</v>
      </c>
      <c r="AA1643">
        <v>352.8</v>
      </c>
      <c r="AB1643" s="2" t="str">
        <f>CHOOSE(MATCH(AA1643,{0;11;80;111;161;191;241;281;341},1),"North","NorthEast","East","SouthEast","South","SouthWest","West","NorthWest","North")</f>
        <v>North</v>
      </c>
      <c r="AC1643" s="5">
        <f>CHOOSE(MATCH(AB1643,{"South";"SouthEast";"SouthWest";"North";"NorthEast";"East";"West";"NorthWest"},0),1,2,3,4,5,6,7,8)</f>
        <v>4</v>
      </c>
      <c r="AD1643" s="2">
        <f t="shared" si="292"/>
        <v>1</v>
      </c>
      <c r="AE1643">
        <v>1012</v>
      </c>
      <c r="AF1643" s="4" t="s">
        <v>1743</v>
      </c>
      <c r="AG1643" s="2">
        <f t="shared" si="293"/>
        <v>0</v>
      </c>
      <c r="AH1643" t="s">
        <v>2544</v>
      </c>
      <c r="AI1643" s="2">
        <f t="shared" si="294"/>
        <v>9</v>
      </c>
      <c r="AJ1643" s="2">
        <f t="shared" si="295"/>
        <v>0</v>
      </c>
      <c r="AK1643" s="3">
        <v>3393.9999999990691</v>
      </c>
      <c r="AM1643" s="2">
        <v>1</v>
      </c>
      <c r="AN1643">
        <v>0</v>
      </c>
      <c r="AO1643">
        <v>30</v>
      </c>
      <c r="AP1643">
        <v>0</v>
      </c>
      <c r="AQ1643" s="2">
        <f>IF((2*G1643 + M1643 -P1643 + 3*W1643 + 2*Z1643+2*AD1643 + AG1643+2*AJ1643 + 4*AM1643) &gt;=8,1,0)</f>
        <v>1</v>
      </c>
    </row>
    <row r="1644" spans="1:43" x14ac:dyDescent="0.25">
      <c r="A1644" t="s">
        <v>27</v>
      </c>
      <c r="B1644" s="1">
        <v>44088</v>
      </c>
      <c r="C1644" s="7">
        <f t="shared" si="287"/>
        <v>2020</v>
      </c>
      <c r="D1644">
        <v>86.4</v>
      </c>
      <c r="E1644">
        <v>75.7</v>
      </c>
      <c r="F1644">
        <v>80.599999999999994</v>
      </c>
      <c r="G1644" s="2">
        <f t="shared" si="286"/>
        <v>1</v>
      </c>
      <c r="H1644">
        <v>83.7</v>
      </c>
      <c r="I1644">
        <v>75.7</v>
      </c>
      <c r="J1644">
        <v>79.7</v>
      </c>
      <c r="K1644">
        <v>51.9</v>
      </c>
      <c r="L1644">
        <v>38</v>
      </c>
      <c r="M1644" s="2">
        <f t="shared" si="288"/>
        <v>1</v>
      </c>
      <c r="N1644">
        <v>0</v>
      </c>
      <c r="P1644" s="2">
        <f t="shared" si="289"/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31.5</v>
      </c>
      <c r="W1644" s="2">
        <f t="shared" si="290"/>
        <v>1</v>
      </c>
      <c r="X1644">
        <v>21.4</v>
      </c>
      <c r="Z1644" s="2">
        <f t="shared" si="291"/>
        <v>1</v>
      </c>
      <c r="AA1644">
        <v>351.4</v>
      </c>
      <c r="AB1644" s="2" t="str">
        <f>CHOOSE(MATCH(AA1644,{0;11;80;111;161;191;241;281;341},1),"North","NorthEast","East","SouthEast","South","SouthWest","West","NorthWest","North")</f>
        <v>North</v>
      </c>
      <c r="AC1644" s="5">
        <f>CHOOSE(MATCH(AB1644,{"South";"SouthEast";"SouthWest";"North";"NorthEast";"East";"West";"NorthWest"},0),1,2,3,4,5,6,7,8)</f>
        <v>4</v>
      </c>
      <c r="AD1644" s="2">
        <f t="shared" si="292"/>
        <v>1</v>
      </c>
      <c r="AE1644">
        <v>1018.6</v>
      </c>
      <c r="AF1644" s="4" t="s">
        <v>2545</v>
      </c>
      <c r="AG1644" s="2">
        <f t="shared" si="293"/>
        <v>1</v>
      </c>
      <c r="AH1644" t="s">
        <v>2546</v>
      </c>
      <c r="AI1644" s="2">
        <f t="shared" si="294"/>
        <v>9</v>
      </c>
      <c r="AJ1644" s="2">
        <f t="shared" si="295"/>
        <v>0</v>
      </c>
      <c r="AK1644" s="3">
        <v>3687.000000000698</v>
      </c>
      <c r="AM1644" s="2">
        <v>1</v>
      </c>
      <c r="AN1644">
        <v>0</v>
      </c>
      <c r="AO1644">
        <v>0.05</v>
      </c>
      <c r="AP1644">
        <v>0</v>
      </c>
      <c r="AQ1644" s="2">
        <f>IF((2*G1644 + M1644 -P1644 + 3*W1644 + 2*Z1644+2*AD1644 + AG1644+2*AJ1644 + 4*AM1644) &gt;=8,1,0)</f>
        <v>1</v>
      </c>
    </row>
    <row r="1645" spans="1:43" x14ac:dyDescent="0.25">
      <c r="A1645" t="s">
        <v>27</v>
      </c>
      <c r="B1645" s="1">
        <v>44090</v>
      </c>
      <c r="C1645" s="7">
        <f t="shared" si="287"/>
        <v>2020</v>
      </c>
      <c r="D1645">
        <v>85.9</v>
      </c>
      <c r="E1645">
        <v>74.7</v>
      </c>
      <c r="F1645">
        <v>78.5</v>
      </c>
      <c r="G1645" s="2">
        <f t="shared" si="286"/>
        <v>1</v>
      </c>
      <c r="H1645">
        <v>84.8</v>
      </c>
      <c r="I1645">
        <v>74.7</v>
      </c>
      <c r="J1645">
        <v>78.400000000000006</v>
      </c>
      <c r="K1645">
        <v>57.9</v>
      </c>
      <c r="L1645">
        <v>49.6</v>
      </c>
      <c r="M1645" s="2">
        <f t="shared" si="288"/>
        <v>0</v>
      </c>
      <c r="N1645">
        <v>0</v>
      </c>
      <c r="P1645" s="2">
        <f t="shared" si="289"/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36.9</v>
      </c>
      <c r="W1645" s="2">
        <f t="shared" si="290"/>
        <v>1</v>
      </c>
      <c r="X1645">
        <v>21.3</v>
      </c>
      <c r="Z1645" s="2">
        <f t="shared" si="291"/>
        <v>1</v>
      </c>
      <c r="AA1645">
        <v>4.2</v>
      </c>
      <c r="AB1645" s="2" t="str">
        <f>CHOOSE(MATCH(AA1645,{0;11;80;111;161;191;241;281;341},1),"North","NorthEast","East","SouthEast","South","SouthWest","West","NorthWest","North")</f>
        <v>North</v>
      </c>
      <c r="AC1645" s="5">
        <f>CHOOSE(MATCH(AB1645,{"South";"SouthEast";"SouthWest";"North";"NorthEast";"East";"West";"NorthWest"},0),1,2,3,4,5,6,7,8)</f>
        <v>4</v>
      </c>
      <c r="AD1645" s="2">
        <f t="shared" si="292"/>
        <v>1</v>
      </c>
      <c r="AE1645">
        <v>1015.2</v>
      </c>
      <c r="AF1645" s="4" t="s">
        <v>2547</v>
      </c>
      <c r="AG1645" s="2">
        <f t="shared" si="293"/>
        <v>0</v>
      </c>
      <c r="AH1645" t="s">
        <v>2548</v>
      </c>
      <c r="AI1645" s="2">
        <f t="shared" si="294"/>
        <v>9</v>
      </c>
      <c r="AJ1645" s="2">
        <f t="shared" si="295"/>
        <v>0</v>
      </c>
      <c r="AK1645" s="3">
        <v>198.0000000062864</v>
      </c>
      <c r="AM1645" s="2">
        <v>0</v>
      </c>
      <c r="AN1645">
        <v>0</v>
      </c>
      <c r="AO1645">
        <v>2</v>
      </c>
      <c r="AP1645">
        <v>0</v>
      </c>
      <c r="AQ1645" s="2">
        <f>IF((2*G1645 + M1645 -P1645 + 3*W1645 + 2*Z1645+2*AD1645 + AG1645+2*AJ1645 + 4*AM1645) &gt;=8,1,0)</f>
        <v>1</v>
      </c>
    </row>
    <row r="1646" spans="1:43" x14ac:dyDescent="0.25">
      <c r="A1646" t="s">
        <v>27</v>
      </c>
      <c r="B1646" s="1">
        <v>44092</v>
      </c>
      <c r="C1646" s="7">
        <f t="shared" si="287"/>
        <v>2020</v>
      </c>
      <c r="D1646">
        <v>84.1</v>
      </c>
      <c r="E1646">
        <v>72.8</v>
      </c>
      <c r="F1646">
        <v>78.2</v>
      </c>
      <c r="G1646" s="2">
        <f t="shared" si="286"/>
        <v>1</v>
      </c>
      <c r="H1646">
        <v>86.8</v>
      </c>
      <c r="I1646">
        <v>72.8</v>
      </c>
      <c r="J1646">
        <v>79.099999999999994</v>
      </c>
      <c r="K1646">
        <v>67</v>
      </c>
      <c r="L1646">
        <v>69.400000000000006</v>
      </c>
      <c r="M1646" s="2">
        <f t="shared" si="288"/>
        <v>0</v>
      </c>
      <c r="N1646">
        <v>6.0000000000000001E-3</v>
      </c>
      <c r="P1646" s="2">
        <f t="shared" si="289"/>
        <v>1</v>
      </c>
      <c r="Q1646">
        <v>100</v>
      </c>
      <c r="R1646">
        <v>4.17</v>
      </c>
      <c r="S1646" t="s">
        <v>87</v>
      </c>
      <c r="T1646">
        <v>0</v>
      </c>
      <c r="U1646">
        <v>0</v>
      </c>
      <c r="V1646">
        <v>31.1</v>
      </c>
      <c r="W1646" s="2">
        <f t="shared" si="290"/>
        <v>1</v>
      </c>
      <c r="X1646">
        <v>17.5</v>
      </c>
      <c r="Z1646" s="2">
        <f t="shared" si="291"/>
        <v>1</v>
      </c>
      <c r="AA1646">
        <v>144.6</v>
      </c>
      <c r="AB1646" s="2" t="str">
        <f>CHOOSE(MATCH(AA1646,{0;11;80;111;161;191;241;281;341},1),"North","NorthEast","East","SouthEast","South","SouthWest","West","NorthWest","North")</f>
        <v>SouthEast</v>
      </c>
      <c r="AC1646" s="5">
        <f>CHOOSE(MATCH(AB1646,{"South";"SouthEast";"SouthWest";"North";"NorthEast";"East";"West";"NorthWest"},0),1,2,3,4,5,6,7,8)</f>
        <v>2</v>
      </c>
      <c r="AD1646" s="2">
        <f t="shared" si="292"/>
        <v>0</v>
      </c>
      <c r="AE1646">
        <v>1010.3</v>
      </c>
      <c r="AF1646" s="4" t="s">
        <v>1776</v>
      </c>
      <c r="AG1646" s="2">
        <f t="shared" si="293"/>
        <v>0</v>
      </c>
      <c r="AH1646" t="s">
        <v>2549</v>
      </c>
      <c r="AI1646" s="2">
        <f t="shared" si="294"/>
        <v>9</v>
      </c>
      <c r="AJ1646" s="2">
        <f t="shared" si="295"/>
        <v>0</v>
      </c>
      <c r="AK1646" s="3">
        <v>250.0000000081491</v>
      </c>
      <c r="AM1646" s="2">
        <v>0</v>
      </c>
      <c r="AN1646">
        <v>2</v>
      </c>
      <c r="AO1646">
        <v>0</v>
      </c>
      <c r="AP1646">
        <v>0</v>
      </c>
      <c r="AQ1646" s="2">
        <f>IF((2*G1646 + M1646 -P1646 + 3*W1646 + 2*Z1646+2*AD1646 + AG1646+2*AJ1646 + 4*AM1646) &gt;=8,1,0)</f>
        <v>0</v>
      </c>
    </row>
    <row r="1647" spans="1:43" x14ac:dyDescent="0.25">
      <c r="A1647" t="s">
        <v>27</v>
      </c>
      <c r="B1647" s="1">
        <v>44095</v>
      </c>
      <c r="C1647" s="7">
        <f t="shared" si="287"/>
        <v>2020</v>
      </c>
      <c r="D1647">
        <v>79.2</v>
      </c>
      <c r="E1647">
        <v>66.7</v>
      </c>
      <c r="F1647">
        <v>72.400000000000006</v>
      </c>
      <c r="G1647" s="2">
        <f t="shared" si="286"/>
        <v>0</v>
      </c>
      <c r="H1647">
        <v>79.2</v>
      </c>
      <c r="I1647">
        <v>66.7</v>
      </c>
      <c r="J1647">
        <v>72.400000000000006</v>
      </c>
      <c r="K1647">
        <v>55.4</v>
      </c>
      <c r="L1647">
        <v>55.5</v>
      </c>
      <c r="M1647" s="2">
        <f t="shared" si="288"/>
        <v>0</v>
      </c>
      <c r="N1647">
        <v>0</v>
      </c>
      <c r="P1647" s="2">
        <f t="shared" si="289"/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31.1</v>
      </c>
      <c r="W1647" s="2">
        <f t="shared" si="290"/>
        <v>1</v>
      </c>
      <c r="X1647">
        <v>17.600000000000001</v>
      </c>
      <c r="Z1647" s="2">
        <f t="shared" si="291"/>
        <v>1</v>
      </c>
      <c r="AA1647">
        <v>347.7</v>
      </c>
      <c r="AB1647" s="2" t="str">
        <f>CHOOSE(MATCH(AA1647,{0;11;80;111;161;191;241;281;341},1),"North","NorthEast","East","SouthEast","South","SouthWest","West","NorthWest","North")</f>
        <v>North</v>
      </c>
      <c r="AC1647" s="5">
        <f>CHOOSE(MATCH(AB1647,{"South";"SouthEast";"SouthWest";"North";"NorthEast";"East";"West";"NorthWest"},0),1,2,3,4,5,6,7,8)</f>
        <v>4</v>
      </c>
      <c r="AD1647" s="2">
        <f t="shared" si="292"/>
        <v>1</v>
      </c>
      <c r="AE1647">
        <v>1016.3</v>
      </c>
      <c r="AF1647" s="4" t="s">
        <v>2550</v>
      </c>
      <c r="AG1647" s="2">
        <f t="shared" si="293"/>
        <v>1</v>
      </c>
      <c r="AH1647" t="s">
        <v>2551</v>
      </c>
      <c r="AI1647" s="2">
        <f t="shared" si="294"/>
        <v>9</v>
      </c>
      <c r="AJ1647" s="2">
        <f t="shared" si="295"/>
        <v>0</v>
      </c>
      <c r="AK1647" s="3">
        <v>191.999999997206</v>
      </c>
      <c r="AM1647" s="2">
        <v>0</v>
      </c>
      <c r="AN1647">
        <v>1</v>
      </c>
      <c r="AO1647">
        <v>0</v>
      </c>
      <c r="AP1647">
        <v>0</v>
      </c>
      <c r="AQ1647" s="2">
        <f>IF((2*G1647 + M1647 -P1647 + 3*W1647 + 2*Z1647+2*AD1647 + AG1647+2*AJ1647 + 4*AM1647) &gt;=8,1,0)</f>
        <v>0</v>
      </c>
    </row>
    <row r="1648" spans="1:43" x14ac:dyDescent="0.25">
      <c r="A1648" t="s">
        <v>27</v>
      </c>
      <c r="B1648" s="1">
        <v>44100</v>
      </c>
      <c r="C1648" s="7">
        <f t="shared" si="287"/>
        <v>2020</v>
      </c>
      <c r="D1648">
        <v>84.8</v>
      </c>
      <c r="E1648">
        <v>68.8</v>
      </c>
      <c r="F1648">
        <v>76.5</v>
      </c>
      <c r="G1648" s="2">
        <f t="shared" si="286"/>
        <v>1</v>
      </c>
      <c r="H1648">
        <v>87.3</v>
      </c>
      <c r="I1648">
        <v>68.8</v>
      </c>
      <c r="J1648">
        <v>77.2</v>
      </c>
      <c r="K1648">
        <v>62.2</v>
      </c>
      <c r="L1648">
        <v>62.3</v>
      </c>
      <c r="M1648" s="2">
        <f t="shared" si="288"/>
        <v>0</v>
      </c>
      <c r="N1648">
        <v>0</v>
      </c>
      <c r="P1648" s="2">
        <f t="shared" si="289"/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40.5</v>
      </c>
      <c r="W1648" s="2">
        <f t="shared" si="290"/>
        <v>1</v>
      </c>
      <c r="X1648">
        <v>24</v>
      </c>
      <c r="Z1648" s="2">
        <f t="shared" si="291"/>
        <v>1</v>
      </c>
      <c r="AA1648">
        <v>213.3</v>
      </c>
      <c r="AB1648" s="2" t="str">
        <f>CHOOSE(MATCH(AA1648,{0;11;80;111;161;191;241;281;341},1),"North","NorthEast","East","SouthEast","South","SouthWest","West","NorthWest","North")</f>
        <v>SouthWest</v>
      </c>
      <c r="AC1648" s="5">
        <f>CHOOSE(MATCH(AB1648,{"South";"SouthEast";"SouthWest";"North";"NorthEast";"East";"West";"NorthWest"},0),1,2,3,4,5,6,7,8)</f>
        <v>3</v>
      </c>
      <c r="AD1648" s="2">
        <f t="shared" si="292"/>
        <v>1</v>
      </c>
      <c r="AE1648">
        <v>1003</v>
      </c>
      <c r="AF1648" s="4" t="s">
        <v>1884</v>
      </c>
      <c r="AG1648" s="2">
        <f t="shared" si="293"/>
        <v>0</v>
      </c>
      <c r="AH1648" t="s">
        <v>2552</v>
      </c>
      <c r="AI1648" s="2">
        <f t="shared" si="294"/>
        <v>9</v>
      </c>
      <c r="AJ1648" s="2">
        <f t="shared" si="295"/>
        <v>0</v>
      </c>
      <c r="AK1648" s="3">
        <v>415.00000000116421</v>
      </c>
      <c r="AM1648" s="2">
        <v>1</v>
      </c>
      <c r="AN1648">
        <v>0</v>
      </c>
      <c r="AO1648">
        <v>4</v>
      </c>
      <c r="AP1648">
        <v>0</v>
      </c>
      <c r="AQ1648" s="2">
        <f>IF((2*G1648 + M1648 -P1648 + 3*W1648 + 2*Z1648+2*AD1648 + AG1648+2*AJ1648 + 4*AM1648) &gt;=8,1,0)</f>
        <v>1</v>
      </c>
    </row>
    <row r="1649" spans="1:43" x14ac:dyDescent="0.25">
      <c r="A1649" t="s">
        <v>27</v>
      </c>
      <c r="B1649" s="1">
        <v>44116</v>
      </c>
      <c r="C1649" s="7">
        <f t="shared" si="287"/>
        <v>2020</v>
      </c>
      <c r="D1649">
        <v>80</v>
      </c>
      <c r="E1649">
        <v>60</v>
      </c>
      <c r="F1649">
        <v>70.900000000000006</v>
      </c>
      <c r="G1649" s="2">
        <f t="shared" si="286"/>
        <v>0</v>
      </c>
      <c r="H1649">
        <v>80.5</v>
      </c>
      <c r="I1649">
        <v>60</v>
      </c>
      <c r="J1649">
        <v>70.900000000000006</v>
      </c>
      <c r="K1649">
        <v>60.8</v>
      </c>
      <c r="L1649">
        <v>72.599999999999994</v>
      </c>
      <c r="M1649" s="2">
        <f t="shared" si="288"/>
        <v>0</v>
      </c>
      <c r="N1649">
        <v>0</v>
      </c>
      <c r="P1649" s="2">
        <f t="shared" si="289"/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28.9</v>
      </c>
      <c r="W1649" s="2">
        <f t="shared" si="290"/>
        <v>1</v>
      </c>
      <c r="X1649">
        <v>15.5</v>
      </c>
      <c r="Z1649" s="2">
        <f t="shared" si="291"/>
        <v>0</v>
      </c>
      <c r="AA1649">
        <v>165.3</v>
      </c>
      <c r="AB1649" s="2" t="str">
        <f>CHOOSE(MATCH(AA1649,{0;11;80;111;161;191;241;281;341},1),"North","NorthEast","East","SouthEast","South","SouthWest","West","NorthWest","North")</f>
        <v>South</v>
      </c>
      <c r="AC1649" s="5">
        <f>CHOOSE(MATCH(AB1649,{"South";"SouthEast";"SouthWest";"North";"NorthEast";"East";"West";"NorthWest"},0),1,2,3,4,5,6,7,8)</f>
        <v>1</v>
      </c>
      <c r="AD1649" s="2">
        <f t="shared" si="292"/>
        <v>0</v>
      </c>
      <c r="AE1649">
        <v>1012</v>
      </c>
      <c r="AF1649" s="4" t="s">
        <v>1217</v>
      </c>
      <c r="AG1649" s="2">
        <f t="shared" si="293"/>
        <v>0</v>
      </c>
      <c r="AH1649" t="s">
        <v>2553</v>
      </c>
      <c r="AI1649" s="2">
        <f t="shared" si="294"/>
        <v>10</v>
      </c>
      <c r="AJ1649" s="2">
        <f t="shared" si="295"/>
        <v>0</v>
      </c>
      <c r="AK1649" s="3">
        <v>120.0000000034925</v>
      </c>
      <c r="AM1649" s="2">
        <v>0</v>
      </c>
      <c r="AN1649">
        <v>0.3</v>
      </c>
      <c r="AO1649">
        <v>0</v>
      </c>
      <c r="AP1649">
        <v>0</v>
      </c>
      <c r="AQ1649" s="2">
        <f>IF((2*G1649 + M1649 -P1649 + 3*W1649 + 2*Z1649+2*AD1649 + AG1649+2*AJ1649 + 4*AM1649) &gt;=8,1,0)</f>
        <v>0</v>
      </c>
    </row>
    <row r="1650" spans="1:43" x14ac:dyDescent="0.25">
      <c r="A1650" t="s">
        <v>27</v>
      </c>
      <c r="B1650" s="1">
        <v>44117</v>
      </c>
      <c r="C1650" s="7">
        <f t="shared" si="287"/>
        <v>2020</v>
      </c>
      <c r="D1650">
        <v>76.900000000000006</v>
      </c>
      <c r="E1650">
        <v>66.5</v>
      </c>
      <c r="F1650">
        <v>72.2</v>
      </c>
      <c r="G1650" s="2">
        <f t="shared" si="286"/>
        <v>0</v>
      </c>
      <c r="H1650">
        <v>76.900000000000006</v>
      </c>
      <c r="I1650">
        <v>66.5</v>
      </c>
      <c r="J1650">
        <v>72.2</v>
      </c>
      <c r="K1650">
        <v>57.2</v>
      </c>
      <c r="L1650">
        <v>61.4</v>
      </c>
      <c r="M1650" s="2">
        <f t="shared" si="288"/>
        <v>0</v>
      </c>
      <c r="N1650">
        <v>0.159</v>
      </c>
      <c r="P1650" s="2">
        <f t="shared" si="289"/>
        <v>0</v>
      </c>
      <c r="Q1650">
        <v>100</v>
      </c>
      <c r="R1650">
        <v>4.17</v>
      </c>
      <c r="S1650" t="s">
        <v>87</v>
      </c>
      <c r="T1650">
        <v>0</v>
      </c>
      <c r="U1650">
        <v>0</v>
      </c>
      <c r="V1650">
        <v>44.5</v>
      </c>
      <c r="W1650" s="2">
        <f t="shared" si="290"/>
        <v>1</v>
      </c>
      <c r="X1650">
        <v>14.6</v>
      </c>
      <c r="Z1650" s="2">
        <f t="shared" si="291"/>
        <v>0</v>
      </c>
      <c r="AA1650">
        <v>198.3</v>
      </c>
      <c r="AB1650" s="2" t="str">
        <f>CHOOSE(MATCH(AA1650,{0;11;80;111;161;191;241;281;341},1),"North","NorthEast","East","SouthEast","South","SouthWest","West","NorthWest","North")</f>
        <v>SouthWest</v>
      </c>
      <c r="AC1650" s="5">
        <f>CHOOSE(MATCH(AB1650,{"South";"SouthEast";"SouthWest";"North";"NorthEast";"East";"West";"NorthWest"},0),1,2,3,4,5,6,7,8)</f>
        <v>3</v>
      </c>
      <c r="AD1650" s="2">
        <f t="shared" si="292"/>
        <v>1</v>
      </c>
      <c r="AE1650">
        <v>1008.4</v>
      </c>
      <c r="AF1650" s="4" t="s">
        <v>2554</v>
      </c>
      <c r="AG1650" s="2">
        <f t="shared" si="293"/>
        <v>0</v>
      </c>
      <c r="AH1650" t="s">
        <v>2555</v>
      </c>
      <c r="AI1650" s="2">
        <f t="shared" si="294"/>
        <v>10</v>
      </c>
      <c r="AJ1650" s="2">
        <f t="shared" si="295"/>
        <v>0</v>
      </c>
      <c r="AK1650" s="3">
        <v>217.0000000053551</v>
      </c>
      <c r="AM1650" s="2">
        <v>0</v>
      </c>
      <c r="AN1650">
        <v>0.5</v>
      </c>
      <c r="AO1650">
        <v>0</v>
      </c>
      <c r="AP1650">
        <v>0</v>
      </c>
      <c r="AQ1650" s="2">
        <f>IF((2*G1650 + M1650 -P1650 + 3*W1650 + 2*Z1650+2*AD1650 + AG1650+2*AJ1650 + 4*AM1650) &gt;=8,1,0)</f>
        <v>0</v>
      </c>
    </row>
    <row r="1651" spans="1:43" x14ac:dyDescent="0.25">
      <c r="A1651" t="s">
        <v>27</v>
      </c>
      <c r="B1651" s="1">
        <v>44139</v>
      </c>
      <c r="C1651" s="7">
        <f t="shared" si="287"/>
        <v>2020</v>
      </c>
      <c r="D1651">
        <v>71.7</v>
      </c>
      <c r="E1651">
        <v>57.6</v>
      </c>
      <c r="F1651">
        <v>63.9</v>
      </c>
      <c r="G1651" s="2">
        <f t="shared" si="286"/>
        <v>0</v>
      </c>
      <c r="H1651">
        <v>71.7</v>
      </c>
      <c r="I1651">
        <v>57.6</v>
      </c>
      <c r="J1651">
        <v>63.9</v>
      </c>
      <c r="K1651">
        <v>53.6</v>
      </c>
      <c r="L1651">
        <v>69.7</v>
      </c>
      <c r="M1651" s="2">
        <f t="shared" si="288"/>
        <v>0</v>
      </c>
      <c r="N1651">
        <v>0</v>
      </c>
      <c r="P1651" s="2">
        <f t="shared" si="289"/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19</v>
      </c>
      <c r="W1651" s="2">
        <f t="shared" si="290"/>
        <v>1</v>
      </c>
      <c r="X1651">
        <v>12.2</v>
      </c>
      <c r="Z1651" s="2">
        <f t="shared" si="291"/>
        <v>0</v>
      </c>
      <c r="AA1651">
        <v>9.6</v>
      </c>
      <c r="AB1651" s="2" t="str">
        <f>CHOOSE(MATCH(AA1651,{0;11;80;111;161;191;241;281;341},1),"North","NorthEast","East","SouthEast","South","SouthWest","West","NorthWest","North")</f>
        <v>North</v>
      </c>
      <c r="AC1651" s="5">
        <f>CHOOSE(MATCH(AB1651,{"South";"SouthEast";"SouthWest";"North";"NorthEast";"East";"West";"NorthWest"},0),1,2,3,4,5,6,7,8)</f>
        <v>4</v>
      </c>
      <c r="AD1651" s="2">
        <f t="shared" si="292"/>
        <v>1</v>
      </c>
      <c r="AE1651">
        <v>1019.7</v>
      </c>
      <c r="AF1651" s="4" t="s">
        <v>1887</v>
      </c>
      <c r="AG1651" s="2">
        <f t="shared" si="293"/>
        <v>1</v>
      </c>
      <c r="AH1651" t="s">
        <v>2556</v>
      </c>
      <c r="AI1651" s="2">
        <f t="shared" si="294"/>
        <v>11</v>
      </c>
      <c r="AJ1651" s="2">
        <f t="shared" si="295"/>
        <v>0</v>
      </c>
      <c r="AK1651" s="3">
        <v>1577.999999999302</v>
      </c>
      <c r="AM1651" s="2">
        <v>1</v>
      </c>
      <c r="AN1651">
        <v>0</v>
      </c>
      <c r="AO1651">
        <v>25</v>
      </c>
      <c r="AP1651">
        <v>0</v>
      </c>
      <c r="AQ1651" s="2">
        <f>IF((2*G1651 + M1651 -P1651 + 3*W1651 + 2*Z1651+2*AD1651 + AG1651+2*AJ1651 + 4*AM1651) &gt;=8,1,0)</f>
        <v>1</v>
      </c>
    </row>
    <row r="1652" spans="1:43" x14ac:dyDescent="0.25">
      <c r="A1652" t="s">
        <v>27</v>
      </c>
      <c r="B1652" s="1">
        <v>44140</v>
      </c>
      <c r="C1652" s="7">
        <f t="shared" si="287"/>
        <v>2020</v>
      </c>
      <c r="D1652">
        <v>68.7</v>
      </c>
      <c r="E1652">
        <v>59.7</v>
      </c>
      <c r="F1652">
        <v>63.2</v>
      </c>
      <c r="G1652" s="2">
        <f t="shared" si="286"/>
        <v>0</v>
      </c>
      <c r="H1652">
        <v>68.7</v>
      </c>
      <c r="I1652">
        <v>59.7</v>
      </c>
      <c r="J1652">
        <v>63.2</v>
      </c>
      <c r="K1652">
        <v>47.6</v>
      </c>
      <c r="L1652">
        <v>57.2</v>
      </c>
      <c r="M1652" s="2">
        <f t="shared" si="288"/>
        <v>0</v>
      </c>
      <c r="N1652">
        <v>0</v>
      </c>
      <c r="P1652" s="2">
        <f t="shared" si="289"/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30.4</v>
      </c>
      <c r="W1652" s="2">
        <f t="shared" si="290"/>
        <v>1</v>
      </c>
      <c r="X1652">
        <v>17.100000000000001</v>
      </c>
      <c r="Z1652" s="2">
        <f t="shared" si="291"/>
        <v>1</v>
      </c>
      <c r="AA1652">
        <v>356.1</v>
      </c>
      <c r="AB1652" s="2" t="str">
        <f>CHOOSE(MATCH(AA1652,{0;11;80;111;161;191;241;281;341},1),"North","NorthEast","East","SouthEast","South","SouthWest","West","NorthWest","North")</f>
        <v>North</v>
      </c>
      <c r="AC1652" s="5">
        <f>CHOOSE(MATCH(AB1652,{"South";"SouthEast";"SouthWest";"North";"NorthEast";"East";"West";"NorthWest"},0),1,2,3,4,5,6,7,8)</f>
        <v>4</v>
      </c>
      <c r="AD1652" s="2">
        <f t="shared" si="292"/>
        <v>1</v>
      </c>
      <c r="AE1652">
        <v>1023.2</v>
      </c>
      <c r="AF1652" s="4" t="s">
        <v>2557</v>
      </c>
      <c r="AG1652" s="2">
        <f t="shared" si="293"/>
        <v>0</v>
      </c>
      <c r="AH1652" t="s">
        <v>2558</v>
      </c>
      <c r="AI1652" s="2">
        <f t="shared" si="294"/>
        <v>11</v>
      </c>
      <c r="AJ1652" s="2">
        <f t="shared" si="295"/>
        <v>0</v>
      </c>
      <c r="AK1652" s="3">
        <v>789.99999999767169</v>
      </c>
      <c r="AM1652" s="2">
        <v>1</v>
      </c>
      <c r="AN1652">
        <v>0</v>
      </c>
      <c r="AO1652">
        <v>30</v>
      </c>
      <c r="AP1652">
        <v>0</v>
      </c>
      <c r="AQ1652" s="2">
        <f>IF((2*G1652 + M1652 -P1652 + 3*W1652 + 2*Z1652+2*AD1652 + AG1652+2*AJ1652 + 4*AM1652) &gt;=8,1,0)</f>
        <v>1</v>
      </c>
    </row>
    <row r="1653" spans="1:43" x14ac:dyDescent="0.25">
      <c r="A1653" t="s">
        <v>27</v>
      </c>
      <c r="B1653" s="1">
        <v>44142</v>
      </c>
      <c r="C1653" s="7">
        <f t="shared" si="287"/>
        <v>2020</v>
      </c>
      <c r="D1653">
        <v>66.099999999999994</v>
      </c>
      <c r="E1653">
        <v>59.1</v>
      </c>
      <c r="F1653">
        <v>61.8</v>
      </c>
      <c r="G1653" s="2">
        <f t="shared" si="286"/>
        <v>0</v>
      </c>
      <c r="H1653">
        <v>66.099999999999994</v>
      </c>
      <c r="I1653">
        <v>59.1</v>
      </c>
      <c r="J1653">
        <v>61.8</v>
      </c>
      <c r="K1653">
        <v>45.1</v>
      </c>
      <c r="L1653">
        <v>54.8</v>
      </c>
      <c r="M1653" s="2">
        <f t="shared" si="288"/>
        <v>0</v>
      </c>
      <c r="N1653">
        <v>0</v>
      </c>
      <c r="P1653" s="2">
        <f t="shared" si="289"/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35.9</v>
      </c>
      <c r="W1653" s="2">
        <f t="shared" si="290"/>
        <v>1</v>
      </c>
      <c r="X1653">
        <v>20</v>
      </c>
      <c r="Z1653" s="2">
        <f t="shared" si="291"/>
        <v>1</v>
      </c>
      <c r="AA1653">
        <v>353.7</v>
      </c>
      <c r="AB1653" s="2" t="str">
        <f>CHOOSE(MATCH(AA1653,{0;11;80;111;161;191;241;281;341},1),"North","NorthEast","East","SouthEast","South","SouthWest","West","NorthWest","North")</f>
        <v>North</v>
      </c>
      <c r="AC1653" s="5">
        <f>CHOOSE(MATCH(AB1653,{"South";"SouthEast";"SouthWest";"North";"NorthEast";"East";"West";"NorthWest"},0),1,2,3,4,5,6,7,8)</f>
        <v>4</v>
      </c>
      <c r="AD1653" s="2">
        <f t="shared" si="292"/>
        <v>1</v>
      </c>
      <c r="AE1653">
        <v>1025.2</v>
      </c>
      <c r="AF1653" s="4" t="s">
        <v>2264</v>
      </c>
      <c r="AG1653" s="2">
        <f t="shared" si="293"/>
        <v>0</v>
      </c>
      <c r="AH1653" t="s">
        <v>2559</v>
      </c>
      <c r="AI1653" s="2">
        <f t="shared" si="294"/>
        <v>11</v>
      </c>
      <c r="AJ1653" s="2">
        <f t="shared" si="295"/>
        <v>0</v>
      </c>
      <c r="AK1653" s="3">
        <v>58.999999993247911</v>
      </c>
      <c r="AM1653" s="2">
        <v>0</v>
      </c>
      <c r="AN1653">
        <v>0</v>
      </c>
      <c r="AO1653">
        <v>3</v>
      </c>
      <c r="AP1653">
        <v>0</v>
      </c>
      <c r="AQ1653" s="2">
        <f>IF((2*G1653 + M1653 -P1653 + 3*W1653 + 2*Z1653+2*AD1653 + AG1653+2*AJ1653 + 4*AM1653) &gt;=8,1,0)</f>
        <v>0</v>
      </c>
    </row>
    <row r="1654" spans="1:43" x14ac:dyDescent="0.25">
      <c r="A1654" t="s">
        <v>27</v>
      </c>
      <c r="B1654" s="1">
        <v>44144</v>
      </c>
      <c r="C1654" s="7">
        <f t="shared" si="287"/>
        <v>2020</v>
      </c>
      <c r="D1654">
        <v>67.900000000000006</v>
      </c>
      <c r="E1654">
        <v>58.8</v>
      </c>
      <c r="F1654">
        <v>62.5</v>
      </c>
      <c r="G1654" s="2">
        <f t="shared" si="286"/>
        <v>0</v>
      </c>
      <c r="H1654">
        <v>67.900000000000006</v>
      </c>
      <c r="I1654">
        <v>58.8</v>
      </c>
      <c r="J1654">
        <v>62.5</v>
      </c>
      <c r="K1654">
        <v>51.3</v>
      </c>
      <c r="L1654">
        <v>66.900000000000006</v>
      </c>
      <c r="M1654" s="2">
        <f t="shared" si="288"/>
        <v>0</v>
      </c>
      <c r="N1654">
        <v>0</v>
      </c>
      <c r="P1654" s="2">
        <f t="shared" si="289"/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26.4</v>
      </c>
      <c r="W1654" s="2">
        <f t="shared" si="290"/>
        <v>1</v>
      </c>
      <c r="X1654">
        <v>14.9</v>
      </c>
      <c r="Z1654" s="2">
        <f t="shared" si="291"/>
        <v>0</v>
      </c>
      <c r="AA1654">
        <v>354.4</v>
      </c>
      <c r="AB1654" s="2" t="str">
        <f>CHOOSE(MATCH(AA1654,{0;11;80;111;161;191;241;281;341},1),"North","NorthEast","East","SouthEast","South","SouthWest","West","NorthWest","North")</f>
        <v>North</v>
      </c>
      <c r="AC1654" s="5">
        <f>CHOOSE(MATCH(AB1654,{"South";"SouthEast";"SouthWest";"North";"NorthEast";"East";"West";"NorthWest"},0),1,2,3,4,5,6,7,8)</f>
        <v>4</v>
      </c>
      <c r="AD1654" s="2">
        <f t="shared" si="292"/>
        <v>1</v>
      </c>
      <c r="AE1654">
        <v>1020.8</v>
      </c>
      <c r="AF1654" s="4" t="s">
        <v>2056</v>
      </c>
      <c r="AG1654" s="2">
        <f t="shared" si="293"/>
        <v>1</v>
      </c>
      <c r="AH1654" t="s">
        <v>2560</v>
      </c>
      <c r="AI1654" s="2">
        <f t="shared" si="294"/>
        <v>11</v>
      </c>
      <c r="AJ1654" s="2">
        <f t="shared" si="295"/>
        <v>0</v>
      </c>
      <c r="AK1654" s="3">
        <v>148.00000000046569</v>
      </c>
      <c r="AM1654" s="2">
        <v>0</v>
      </c>
      <c r="AN1654">
        <v>2</v>
      </c>
      <c r="AO1654">
        <v>0</v>
      </c>
      <c r="AP1654">
        <v>0</v>
      </c>
      <c r="AQ1654" s="2">
        <f>IF((2*G1654 + M1654 -P1654 + 3*W1654 + 2*Z1654+2*AD1654 + AG1654+2*AJ1654 + 4*AM1654) &gt;=8,1,0)</f>
        <v>0</v>
      </c>
    </row>
    <row r="1655" spans="1:43" x14ac:dyDescent="0.25">
      <c r="A1655" t="s">
        <v>27</v>
      </c>
      <c r="B1655" s="1">
        <v>44146</v>
      </c>
      <c r="C1655" s="7">
        <f t="shared" si="287"/>
        <v>2020</v>
      </c>
      <c r="D1655">
        <v>66.900000000000006</v>
      </c>
      <c r="E1655">
        <v>58.2</v>
      </c>
      <c r="F1655">
        <v>62</v>
      </c>
      <c r="G1655" s="2">
        <f t="shared" si="286"/>
        <v>0</v>
      </c>
      <c r="H1655">
        <v>66.900000000000006</v>
      </c>
      <c r="I1655">
        <v>58.2</v>
      </c>
      <c r="J1655">
        <v>62</v>
      </c>
      <c r="K1655">
        <v>48.5</v>
      </c>
      <c r="L1655">
        <v>61.5</v>
      </c>
      <c r="M1655" s="2">
        <f t="shared" si="288"/>
        <v>0</v>
      </c>
      <c r="N1655">
        <v>0</v>
      </c>
      <c r="P1655" s="2">
        <f t="shared" si="289"/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33.299999999999997</v>
      </c>
      <c r="W1655" s="2">
        <f t="shared" si="290"/>
        <v>1</v>
      </c>
      <c r="X1655">
        <v>19.5</v>
      </c>
      <c r="Z1655" s="2">
        <f t="shared" si="291"/>
        <v>1</v>
      </c>
      <c r="AA1655">
        <v>2.5</v>
      </c>
      <c r="AB1655" s="2" t="str">
        <f>CHOOSE(MATCH(AA1655,{0;11;80;111;161;191;241;281;341},1),"North","NorthEast","East","SouthEast","South","SouthWest","West","NorthWest","North")</f>
        <v>North</v>
      </c>
      <c r="AC1655" s="5">
        <f>CHOOSE(MATCH(AB1655,{"South";"SouthEast";"SouthWest";"North";"NorthEast";"East";"West";"NorthWest"},0),1,2,3,4,5,6,7,8)</f>
        <v>4</v>
      </c>
      <c r="AD1655" s="2">
        <f t="shared" si="292"/>
        <v>1</v>
      </c>
      <c r="AE1655">
        <v>1022.9</v>
      </c>
      <c r="AF1655" s="4" t="s">
        <v>2561</v>
      </c>
      <c r="AG1655" s="2">
        <f t="shared" si="293"/>
        <v>1</v>
      </c>
      <c r="AH1655" t="s">
        <v>2562</v>
      </c>
      <c r="AI1655" s="2">
        <f t="shared" si="294"/>
        <v>11</v>
      </c>
      <c r="AJ1655" s="2">
        <f t="shared" si="295"/>
        <v>0</v>
      </c>
      <c r="AK1655" s="3">
        <v>1382.999999992317</v>
      </c>
      <c r="AM1655" s="2">
        <v>1</v>
      </c>
      <c r="AN1655">
        <v>0</v>
      </c>
      <c r="AO1655">
        <v>10</v>
      </c>
      <c r="AP1655">
        <v>0</v>
      </c>
      <c r="AQ1655" s="2">
        <f>IF((2*G1655 + M1655 -P1655 + 3*W1655 + 2*Z1655+2*AD1655 + AG1655+2*AJ1655 + 4*AM1655) &gt;=8,1,0)</f>
        <v>1</v>
      </c>
    </row>
    <row r="1656" spans="1:43" x14ac:dyDescent="0.25">
      <c r="A1656" t="s">
        <v>27</v>
      </c>
      <c r="B1656" s="1">
        <v>44148</v>
      </c>
      <c r="C1656" s="7">
        <f t="shared" si="287"/>
        <v>2020</v>
      </c>
      <c r="D1656">
        <v>66.599999999999994</v>
      </c>
      <c r="E1656">
        <v>51.3</v>
      </c>
      <c r="F1656">
        <v>59</v>
      </c>
      <c r="G1656" s="2">
        <f t="shared" si="286"/>
        <v>0</v>
      </c>
      <c r="H1656">
        <v>66.599999999999994</v>
      </c>
      <c r="I1656">
        <v>51.3</v>
      </c>
      <c r="J1656">
        <v>59</v>
      </c>
      <c r="K1656">
        <v>48.8</v>
      </c>
      <c r="L1656">
        <v>69.599999999999994</v>
      </c>
      <c r="M1656" s="2">
        <f t="shared" si="288"/>
        <v>0</v>
      </c>
      <c r="N1656">
        <v>0</v>
      </c>
      <c r="P1656" s="2">
        <f t="shared" si="289"/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13</v>
      </c>
      <c r="W1656" s="2">
        <f t="shared" si="290"/>
        <v>1</v>
      </c>
      <c r="X1656">
        <v>5.9</v>
      </c>
      <c r="Z1656" s="2">
        <f t="shared" si="291"/>
        <v>0</v>
      </c>
      <c r="AA1656">
        <v>113.8</v>
      </c>
      <c r="AB1656" s="2" t="str">
        <f>CHOOSE(MATCH(AA1656,{0;11;80;111;161;191;241;281;341},1),"North","NorthEast","East","SouthEast","South","SouthWest","West","NorthWest","North")</f>
        <v>SouthEast</v>
      </c>
      <c r="AC1656" s="5">
        <f>CHOOSE(MATCH(AB1656,{"South";"SouthEast";"SouthWest";"North";"NorthEast";"East";"West";"NorthWest"},0),1,2,3,4,5,6,7,8)</f>
        <v>2</v>
      </c>
      <c r="AD1656" s="2">
        <f t="shared" si="292"/>
        <v>0</v>
      </c>
      <c r="AE1656">
        <v>1024</v>
      </c>
      <c r="AF1656" s="4" t="s">
        <v>2563</v>
      </c>
      <c r="AG1656" s="2">
        <f t="shared" si="293"/>
        <v>0</v>
      </c>
      <c r="AH1656" t="s">
        <v>2564</v>
      </c>
      <c r="AI1656" s="2">
        <f t="shared" si="294"/>
        <v>11</v>
      </c>
      <c r="AJ1656" s="2">
        <f t="shared" si="295"/>
        <v>0</v>
      </c>
      <c r="AK1656" s="3">
        <v>70.000000008149073</v>
      </c>
      <c r="AM1656" s="2">
        <v>0</v>
      </c>
      <c r="AN1656">
        <v>0</v>
      </c>
      <c r="AO1656">
        <v>0.02</v>
      </c>
      <c r="AP1656">
        <v>0</v>
      </c>
      <c r="AQ1656" s="2">
        <f>IF((2*G1656 + M1656 -P1656 + 3*W1656 + 2*Z1656+2*AD1656 + AG1656+2*AJ1656 + 4*AM1656) &gt;=8,1,0)</f>
        <v>0</v>
      </c>
    </row>
    <row r="1657" spans="1:43" x14ac:dyDescent="0.25">
      <c r="A1657" t="s">
        <v>27</v>
      </c>
      <c r="B1657" s="1">
        <v>44151</v>
      </c>
      <c r="C1657" s="7">
        <f t="shared" si="287"/>
        <v>2020</v>
      </c>
      <c r="D1657">
        <v>66.8</v>
      </c>
      <c r="E1657">
        <v>46.3</v>
      </c>
      <c r="F1657">
        <v>56.1</v>
      </c>
      <c r="G1657" s="2">
        <f t="shared" si="286"/>
        <v>0</v>
      </c>
      <c r="H1657">
        <v>66.8</v>
      </c>
      <c r="I1657">
        <v>46.3</v>
      </c>
      <c r="J1657">
        <v>56.1</v>
      </c>
      <c r="K1657">
        <v>46.3</v>
      </c>
      <c r="L1657">
        <v>71.2</v>
      </c>
      <c r="M1657" s="2">
        <f t="shared" si="288"/>
        <v>0</v>
      </c>
      <c r="N1657">
        <v>0</v>
      </c>
      <c r="P1657" s="2">
        <f t="shared" si="289"/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11.2</v>
      </c>
      <c r="W1657" s="2">
        <f t="shared" si="290"/>
        <v>1</v>
      </c>
      <c r="X1657">
        <v>6.6</v>
      </c>
      <c r="Z1657" s="2">
        <f t="shared" si="291"/>
        <v>0</v>
      </c>
      <c r="AA1657">
        <v>26.5</v>
      </c>
      <c r="AB1657" s="2" t="str">
        <f>CHOOSE(MATCH(AA1657,{0;11;80;111;161;191;241;281;341},1),"North","NorthEast","East","SouthEast","South","SouthWest","West","NorthWest","North")</f>
        <v>NorthEast</v>
      </c>
      <c r="AC1657" s="5">
        <f>CHOOSE(MATCH(AB1657,{"South";"SouthEast";"SouthWest";"North";"NorthEast";"East";"West";"NorthWest"},0),1,2,3,4,5,6,7,8)</f>
        <v>5</v>
      </c>
      <c r="AD1657" s="2">
        <f t="shared" si="292"/>
        <v>1</v>
      </c>
      <c r="AE1657">
        <v>1021.6</v>
      </c>
      <c r="AF1657" s="4" t="s">
        <v>1958</v>
      </c>
      <c r="AG1657" s="2">
        <f t="shared" si="293"/>
        <v>0</v>
      </c>
      <c r="AH1657" t="s">
        <v>2565</v>
      </c>
      <c r="AI1657" s="2">
        <f t="shared" si="294"/>
        <v>11</v>
      </c>
      <c r="AJ1657" s="2">
        <f t="shared" si="295"/>
        <v>0</v>
      </c>
      <c r="AK1657" s="3">
        <v>53.000000005122267</v>
      </c>
      <c r="AM1657" s="2">
        <v>0</v>
      </c>
      <c r="AN1657">
        <v>0</v>
      </c>
      <c r="AO1657">
        <v>5</v>
      </c>
      <c r="AP1657">
        <v>0</v>
      </c>
      <c r="AQ1657" s="2">
        <f>IF((2*G1657 + M1657 -P1657 + 3*W1657 + 2*Z1657+2*AD1657 + AG1657+2*AJ1657 + 4*AM1657) &gt;=8,1,0)</f>
        <v>0</v>
      </c>
    </row>
    <row r="1658" spans="1:43" x14ac:dyDescent="0.25">
      <c r="A1658" t="s">
        <v>27</v>
      </c>
      <c r="B1658" s="1">
        <v>44155</v>
      </c>
      <c r="C1658" s="7">
        <f t="shared" si="287"/>
        <v>2020</v>
      </c>
      <c r="D1658">
        <v>59.7</v>
      </c>
      <c r="E1658">
        <v>49.8</v>
      </c>
      <c r="F1658">
        <v>54.8</v>
      </c>
      <c r="G1658" s="2">
        <f t="shared" si="286"/>
        <v>0</v>
      </c>
      <c r="H1658">
        <v>59.7</v>
      </c>
      <c r="I1658">
        <v>45.8</v>
      </c>
      <c r="J1658">
        <v>54.7</v>
      </c>
      <c r="K1658">
        <v>41.5</v>
      </c>
      <c r="L1658">
        <v>61.4</v>
      </c>
      <c r="M1658" s="2">
        <f t="shared" si="288"/>
        <v>0</v>
      </c>
      <c r="N1658">
        <v>4.8000000000000001E-2</v>
      </c>
      <c r="P1658" s="2">
        <f t="shared" si="289"/>
        <v>0</v>
      </c>
      <c r="Q1658">
        <v>100</v>
      </c>
      <c r="R1658">
        <v>12.5</v>
      </c>
      <c r="S1658" t="s">
        <v>87</v>
      </c>
      <c r="T1658">
        <v>0</v>
      </c>
      <c r="U1658">
        <v>0</v>
      </c>
      <c r="V1658">
        <v>45</v>
      </c>
      <c r="W1658" s="2">
        <f t="shared" si="290"/>
        <v>1</v>
      </c>
      <c r="X1658">
        <v>21.5</v>
      </c>
      <c r="Z1658" s="2">
        <f t="shared" si="291"/>
        <v>1</v>
      </c>
      <c r="AA1658">
        <v>357.6</v>
      </c>
      <c r="AB1658" s="2" t="str">
        <f>CHOOSE(MATCH(AA1658,{0;11;80;111;161;191;241;281;341},1),"North","NorthEast","East","SouthEast","South","SouthWest","West","NorthWest","North")</f>
        <v>North</v>
      </c>
      <c r="AC1658" s="5">
        <f>CHOOSE(MATCH(AB1658,{"South";"SouthEast";"SouthWest";"North";"NorthEast";"East";"West";"NorthWest"},0),1,2,3,4,5,6,7,8)</f>
        <v>4</v>
      </c>
      <c r="AD1658" s="2">
        <f t="shared" si="292"/>
        <v>1</v>
      </c>
      <c r="AE1658">
        <v>1014.9</v>
      </c>
      <c r="AF1658" s="4" t="s">
        <v>2067</v>
      </c>
      <c r="AG1658" s="2">
        <f t="shared" si="293"/>
        <v>0</v>
      </c>
      <c r="AH1658" t="s">
        <v>2566</v>
      </c>
      <c r="AI1658" s="2">
        <f t="shared" si="294"/>
        <v>11</v>
      </c>
      <c r="AJ1658" s="2">
        <f t="shared" si="295"/>
        <v>0</v>
      </c>
      <c r="AK1658" s="3">
        <v>40.999999997438863</v>
      </c>
      <c r="AM1658" s="2">
        <v>0</v>
      </c>
      <c r="AN1658">
        <v>0</v>
      </c>
      <c r="AO1658">
        <v>0.5</v>
      </c>
      <c r="AP1658">
        <v>0</v>
      </c>
      <c r="AQ1658" s="2">
        <f>IF((2*G1658 + M1658 -P1658 + 3*W1658 + 2*Z1658+2*AD1658 + AG1658+2*AJ1658 + 4*AM1658) &gt;=8,1,0)</f>
        <v>0</v>
      </c>
    </row>
    <row r="1659" spans="1:43" x14ac:dyDescent="0.25">
      <c r="A1659" t="s">
        <v>27</v>
      </c>
      <c r="B1659" s="1">
        <v>44162</v>
      </c>
      <c r="C1659" s="7">
        <f t="shared" si="287"/>
        <v>2020</v>
      </c>
      <c r="D1659">
        <v>64.3</v>
      </c>
      <c r="E1659">
        <v>46.8</v>
      </c>
      <c r="F1659">
        <v>55.7</v>
      </c>
      <c r="G1659" s="2">
        <f t="shared" si="286"/>
        <v>0</v>
      </c>
      <c r="H1659">
        <v>64.3</v>
      </c>
      <c r="I1659">
        <v>46.8</v>
      </c>
      <c r="J1659">
        <v>55.7</v>
      </c>
      <c r="K1659">
        <v>39.9</v>
      </c>
      <c r="L1659">
        <v>56.1</v>
      </c>
      <c r="M1659" s="2">
        <f t="shared" si="288"/>
        <v>0</v>
      </c>
      <c r="N1659">
        <v>0</v>
      </c>
      <c r="P1659" s="2">
        <f t="shared" si="289"/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25.1</v>
      </c>
      <c r="W1659" s="2">
        <f t="shared" si="290"/>
        <v>1</v>
      </c>
      <c r="X1659">
        <v>12.5</v>
      </c>
      <c r="Z1659" s="2">
        <f t="shared" si="291"/>
        <v>0</v>
      </c>
      <c r="AA1659">
        <v>350</v>
      </c>
      <c r="AB1659" s="2" t="str">
        <f>CHOOSE(MATCH(AA1659,{0;11;80;111;161;191;241;281;341},1),"North","NorthEast","East","SouthEast","South","SouthWest","West","NorthWest","North")</f>
        <v>North</v>
      </c>
      <c r="AC1659" s="5">
        <f>CHOOSE(MATCH(AB1659,{"South";"SouthEast";"SouthWest";"North";"NorthEast";"East";"West";"NorthWest"},0),1,2,3,4,5,6,7,8)</f>
        <v>4</v>
      </c>
      <c r="AD1659" s="2">
        <f t="shared" si="292"/>
        <v>1</v>
      </c>
      <c r="AE1659">
        <v>1020.9</v>
      </c>
      <c r="AF1659" s="4" t="s">
        <v>2567</v>
      </c>
      <c r="AG1659" s="2">
        <f t="shared" si="293"/>
        <v>0</v>
      </c>
      <c r="AH1659" t="s">
        <v>2568</v>
      </c>
      <c r="AI1659" s="2">
        <f t="shared" si="294"/>
        <v>11</v>
      </c>
      <c r="AJ1659" s="2">
        <f t="shared" si="295"/>
        <v>0</v>
      </c>
      <c r="AK1659" s="3">
        <v>264.00000000139698</v>
      </c>
      <c r="AM1659" s="2">
        <v>0</v>
      </c>
      <c r="AN1659">
        <v>0</v>
      </c>
      <c r="AO1659">
        <v>1.3</v>
      </c>
      <c r="AP1659">
        <v>0</v>
      </c>
      <c r="AQ1659" s="2">
        <f>IF((2*G1659 + M1659 -P1659 + 3*W1659 + 2*Z1659+2*AD1659 + AG1659+2*AJ1659 + 4*AM1659) &gt;=8,1,0)</f>
        <v>0</v>
      </c>
    </row>
    <row r="1660" spans="1:43" x14ac:dyDescent="0.25">
      <c r="A1660" t="s">
        <v>27</v>
      </c>
      <c r="B1660" s="1">
        <v>44163</v>
      </c>
      <c r="C1660" s="7">
        <f t="shared" si="287"/>
        <v>2020</v>
      </c>
      <c r="D1660">
        <v>64.400000000000006</v>
      </c>
      <c r="E1660">
        <v>40.200000000000003</v>
      </c>
      <c r="F1660">
        <v>52</v>
      </c>
      <c r="G1660" s="2">
        <f t="shared" si="286"/>
        <v>0</v>
      </c>
      <c r="H1660">
        <v>64.400000000000006</v>
      </c>
      <c r="I1660">
        <v>38.5</v>
      </c>
      <c r="J1660">
        <v>51.7</v>
      </c>
      <c r="K1660">
        <v>40.700000000000003</v>
      </c>
      <c r="L1660">
        <v>66.8</v>
      </c>
      <c r="M1660" s="2">
        <f t="shared" si="288"/>
        <v>0</v>
      </c>
      <c r="N1660">
        <v>0</v>
      </c>
      <c r="P1660" s="2">
        <f t="shared" si="289"/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14.1</v>
      </c>
      <c r="W1660" s="2">
        <f t="shared" si="290"/>
        <v>1</v>
      </c>
      <c r="X1660">
        <v>8.8000000000000007</v>
      </c>
      <c r="Z1660" s="2">
        <f t="shared" si="291"/>
        <v>0</v>
      </c>
      <c r="AA1660">
        <v>266.3</v>
      </c>
      <c r="AB1660" s="2" t="str">
        <f>CHOOSE(MATCH(AA1660,{0;11;80;111;161;191;241;281;341},1),"North","NorthEast","East","SouthEast","South","SouthWest","West","NorthWest","North")</f>
        <v>West</v>
      </c>
      <c r="AC1660" s="5">
        <f>CHOOSE(MATCH(AB1660,{"South";"SouthEast";"SouthWest";"North";"NorthEast";"East";"West";"NorthWest"},0),1,2,3,4,5,6,7,8)</f>
        <v>7</v>
      </c>
      <c r="AD1660" s="2">
        <f t="shared" si="292"/>
        <v>0</v>
      </c>
      <c r="AE1660">
        <v>1019.9</v>
      </c>
      <c r="AF1660" s="4" t="s">
        <v>1728</v>
      </c>
      <c r="AG1660" s="2">
        <f t="shared" si="293"/>
        <v>0</v>
      </c>
      <c r="AH1660" t="s">
        <v>2569</v>
      </c>
      <c r="AI1660" s="2">
        <f t="shared" si="294"/>
        <v>11</v>
      </c>
      <c r="AJ1660" s="2">
        <f t="shared" si="295"/>
        <v>0</v>
      </c>
      <c r="AK1660" s="3">
        <v>465.00000000698492</v>
      </c>
      <c r="AM1660" s="2">
        <v>1</v>
      </c>
      <c r="AN1660">
        <v>0</v>
      </c>
      <c r="AO1660">
        <v>25</v>
      </c>
      <c r="AP1660">
        <v>0</v>
      </c>
      <c r="AQ1660" s="2">
        <f>IF((2*G1660 + M1660 -P1660 + 3*W1660 + 2*Z1660+2*AD1660 + AG1660+2*AJ1660 + 4*AM1660) &gt;=8,1,0)</f>
        <v>0</v>
      </c>
    </row>
    <row r="1661" spans="1:43" x14ac:dyDescent="0.25">
      <c r="A1661" t="s">
        <v>27</v>
      </c>
      <c r="B1661" s="1">
        <v>44253</v>
      </c>
      <c r="C1661" s="7">
        <f t="shared" si="287"/>
        <v>2021</v>
      </c>
      <c r="D1661">
        <v>64.3</v>
      </c>
      <c r="E1661">
        <v>50.8</v>
      </c>
      <c r="F1661">
        <v>57.2</v>
      </c>
      <c r="G1661" s="2">
        <f t="shared" si="286"/>
        <v>0</v>
      </c>
      <c r="H1661">
        <v>64.3</v>
      </c>
      <c r="I1661">
        <v>50.8</v>
      </c>
      <c r="J1661">
        <v>57.2</v>
      </c>
      <c r="K1661">
        <v>42.9</v>
      </c>
      <c r="L1661">
        <v>59.2</v>
      </c>
      <c r="M1661" s="2">
        <f t="shared" si="288"/>
        <v>0</v>
      </c>
      <c r="N1661">
        <v>0</v>
      </c>
      <c r="O1661">
        <f>AVERAGE(N1661:N1728)</f>
        <v>8.0735294117647051E-3</v>
      </c>
      <c r="P1661" s="2">
        <f t="shared" si="289"/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30</v>
      </c>
      <c r="W1661" s="2">
        <f t="shared" si="290"/>
        <v>1</v>
      </c>
      <c r="X1661">
        <v>16.100000000000001</v>
      </c>
      <c r="Y1661">
        <f>AVERAGE(X1661:X1728)</f>
        <v>13.850000000000003</v>
      </c>
      <c r="Z1661" s="2">
        <f t="shared" si="291"/>
        <v>1</v>
      </c>
      <c r="AA1661">
        <v>0.8</v>
      </c>
      <c r="AB1661" s="2" t="str">
        <f>CHOOSE(MATCH(AA1661,{0;11;80;111;161;191;241;281;341},1),"North","NorthEast","East","SouthEast","South","SouthWest","West","NorthWest","North")</f>
        <v>North</v>
      </c>
      <c r="AC1661" s="5">
        <f>CHOOSE(MATCH(AB1661,{"South";"SouthEast";"SouthWest";"North";"NorthEast";"East";"West";"NorthWest"},0),1,2,3,4,5,6,7,8)</f>
        <v>4</v>
      </c>
      <c r="AD1661" s="2">
        <f t="shared" si="292"/>
        <v>1</v>
      </c>
      <c r="AE1661">
        <v>1026</v>
      </c>
      <c r="AF1661" s="4" t="s">
        <v>2570</v>
      </c>
      <c r="AG1661" s="2">
        <f t="shared" si="293"/>
        <v>1</v>
      </c>
      <c r="AH1661" t="s">
        <v>2571</v>
      </c>
      <c r="AI1661" s="2">
        <f t="shared" si="294"/>
        <v>2</v>
      </c>
      <c r="AJ1661" s="2">
        <f t="shared" si="295"/>
        <v>0</v>
      </c>
      <c r="AK1661" s="3">
        <v>407.99999999930151</v>
      </c>
      <c r="AL1661" s="3">
        <f>AVERAGE(AK1661:AK1728)</f>
        <v>2705.1176470591727</v>
      </c>
      <c r="AM1661" s="2">
        <v>1</v>
      </c>
      <c r="AN1661">
        <v>0</v>
      </c>
      <c r="AO1661">
        <v>0.5</v>
      </c>
      <c r="AP1661">
        <v>0</v>
      </c>
      <c r="AQ1661" s="2">
        <f>IF((2*G1661 + M1661 -P1661 + 3*W1661 + 2*Z1661+2*AD1661 + AG1661+2*AJ1661 + 4*AM1661) &gt;=8,1,0)</f>
        <v>1</v>
      </c>
    </row>
    <row r="1662" spans="1:43" x14ac:dyDescent="0.25">
      <c r="A1662" t="s">
        <v>27</v>
      </c>
      <c r="B1662" s="1">
        <v>44261</v>
      </c>
      <c r="C1662" s="7">
        <f t="shared" si="287"/>
        <v>2021</v>
      </c>
      <c r="D1662">
        <v>66.599999999999994</v>
      </c>
      <c r="E1662">
        <v>50.1</v>
      </c>
      <c r="F1662">
        <v>58</v>
      </c>
      <c r="G1662" s="2">
        <f t="shared" ref="G1662:G1725" si="296">IF(F1662&lt;=73.6,0,1)</f>
        <v>0</v>
      </c>
      <c r="H1662">
        <v>66.599999999999994</v>
      </c>
      <c r="I1662">
        <v>50.1</v>
      </c>
      <c r="J1662">
        <v>58</v>
      </c>
      <c r="K1662">
        <v>44.1</v>
      </c>
      <c r="L1662">
        <v>61.4</v>
      </c>
      <c r="M1662" s="2">
        <f t="shared" si="288"/>
        <v>0</v>
      </c>
      <c r="N1662">
        <v>0</v>
      </c>
      <c r="P1662" s="2">
        <f t="shared" si="289"/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19.7</v>
      </c>
      <c r="W1662" s="2">
        <f t="shared" si="290"/>
        <v>1</v>
      </c>
      <c r="X1662">
        <v>9.3000000000000007</v>
      </c>
      <c r="Z1662" s="2">
        <f t="shared" si="291"/>
        <v>0</v>
      </c>
      <c r="AA1662">
        <v>54.5</v>
      </c>
      <c r="AB1662" s="2" t="str">
        <f>CHOOSE(MATCH(AA1662,{0;11;80;111;161;191;241;281;341},1),"North","NorthEast","East","SouthEast","South","SouthWest","West","NorthWest","North")</f>
        <v>NorthEast</v>
      </c>
      <c r="AC1662" s="5">
        <f>CHOOSE(MATCH(AB1662,{"South";"SouthEast";"SouthWest";"North";"NorthEast";"East";"West";"NorthWest"},0),1,2,3,4,5,6,7,8)</f>
        <v>5</v>
      </c>
      <c r="AD1662" s="2">
        <f t="shared" si="292"/>
        <v>1</v>
      </c>
      <c r="AE1662">
        <v>1019.4</v>
      </c>
      <c r="AF1662" s="4" t="s">
        <v>2572</v>
      </c>
      <c r="AG1662" s="2">
        <f t="shared" si="293"/>
        <v>1</v>
      </c>
      <c r="AH1662" t="s">
        <v>2573</v>
      </c>
      <c r="AI1662" s="2">
        <f t="shared" si="294"/>
        <v>3</v>
      </c>
      <c r="AJ1662" s="2">
        <f t="shared" si="295"/>
        <v>0</v>
      </c>
      <c r="AK1662" s="3">
        <v>3051.000000002095</v>
      </c>
      <c r="AM1662" s="2">
        <v>1</v>
      </c>
      <c r="AN1662">
        <v>0</v>
      </c>
      <c r="AO1662">
        <v>40</v>
      </c>
      <c r="AP1662">
        <v>0</v>
      </c>
      <c r="AQ1662" s="2">
        <f>IF((2*G1662 + M1662 -P1662 + 3*W1662 + 2*Z1662+2*AD1662 + AG1662+2*AJ1662 + 4*AM1662) &gt;=8,1,0)</f>
        <v>1</v>
      </c>
    </row>
    <row r="1663" spans="1:43" x14ac:dyDescent="0.25">
      <c r="A1663" t="s">
        <v>27</v>
      </c>
      <c r="B1663" s="1">
        <v>44263</v>
      </c>
      <c r="C1663" s="7">
        <f t="shared" si="287"/>
        <v>2021</v>
      </c>
      <c r="D1663">
        <v>60.7</v>
      </c>
      <c r="E1663">
        <v>44.6</v>
      </c>
      <c r="F1663">
        <v>53.1</v>
      </c>
      <c r="G1663" s="2">
        <f t="shared" si="296"/>
        <v>0</v>
      </c>
      <c r="H1663">
        <v>60.7</v>
      </c>
      <c r="I1663">
        <v>44.6</v>
      </c>
      <c r="J1663">
        <v>53.1</v>
      </c>
      <c r="K1663">
        <v>43.9</v>
      </c>
      <c r="L1663">
        <v>71.5</v>
      </c>
      <c r="M1663" s="2">
        <f t="shared" si="288"/>
        <v>0</v>
      </c>
      <c r="N1663">
        <v>0</v>
      </c>
      <c r="P1663" s="2">
        <f t="shared" si="289"/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17.7</v>
      </c>
      <c r="W1663" s="2">
        <f t="shared" si="290"/>
        <v>1</v>
      </c>
      <c r="X1663">
        <v>8.6999999999999993</v>
      </c>
      <c r="Z1663" s="2">
        <f t="shared" si="291"/>
        <v>0</v>
      </c>
      <c r="AA1663">
        <v>203.4</v>
      </c>
      <c r="AB1663" s="2" t="str">
        <f>CHOOSE(MATCH(AA1663,{0;11;80;111;161;191;241;281;341},1),"North","NorthEast","East","SouthEast","South","SouthWest","West","NorthWest","North")</f>
        <v>SouthWest</v>
      </c>
      <c r="AC1663" s="5">
        <f>CHOOSE(MATCH(AB1663,{"South";"SouthEast";"SouthWest";"North";"NorthEast";"East";"West";"NorthWest"},0),1,2,3,4,5,6,7,8)</f>
        <v>3</v>
      </c>
      <c r="AD1663" s="2">
        <f t="shared" si="292"/>
        <v>1</v>
      </c>
      <c r="AE1663">
        <v>1017.7</v>
      </c>
      <c r="AF1663" s="4" t="s">
        <v>2188</v>
      </c>
      <c r="AG1663" s="2">
        <f t="shared" si="293"/>
        <v>1</v>
      </c>
      <c r="AH1663" t="s">
        <v>2574</v>
      </c>
      <c r="AI1663" s="2">
        <f t="shared" si="294"/>
        <v>3</v>
      </c>
      <c r="AJ1663" s="2">
        <f t="shared" si="295"/>
        <v>0</v>
      </c>
      <c r="AK1663" s="3">
        <v>216.9999999948777</v>
      </c>
      <c r="AM1663" s="2">
        <v>0</v>
      </c>
      <c r="AN1663">
        <v>0</v>
      </c>
      <c r="AO1663">
        <v>0.1</v>
      </c>
      <c r="AP1663">
        <v>0</v>
      </c>
      <c r="AQ1663" s="2">
        <f>IF((2*G1663 + M1663 -P1663 + 3*W1663 + 2*Z1663+2*AD1663 + AG1663+2*AJ1663 + 4*AM1663) &gt;=8,1,0)</f>
        <v>0</v>
      </c>
    </row>
    <row r="1664" spans="1:43" x14ac:dyDescent="0.25">
      <c r="A1664" t="s">
        <v>27</v>
      </c>
      <c r="B1664" s="1">
        <v>44273</v>
      </c>
      <c r="C1664" s="7">
        <f t="shared" si="287"/>
        <v>2021</v>
      </c>
      <c r="D1664">
        <v>60.4</v>
      </c>
      <c r="E1664">
        <v>41.6</v>
      </c>
      <c r="F1664">
        <v>52</v>
      </c>
      <c r="G1664" s="2">
        <f t="shared" si="296"/>
        <v>0</v>
      </c>
      <c r="H1664">
        <v>60.4</v>
      </c>
      <c r="I1664">
        <v>38.200000000000003</v>
      </c>
      <c r="J1664">
        <v>51.1</v>
      </c>
      <c r="K1664">
        <v>30.7</v>
      </c>
      <c r="L1664">
        <v>45.7</v>
      </c>
      <c r="M1664" s="2">
        <f t="shared" si="288"/>
        <v>1</v>
      </c>
      <c r="N1664">
        <v>0</v>
      </c>
      <c r="P1664" s="2">
        <f t="shared" si="289"/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24.2</v>
      </c>
      <c r="W1664" s="2">
        <f t="shared" si="290"/>
        <v>1</v>
      </c>
      <c r="X1664">
        <v>13.1</v>
      </c>
      <c r="Z1664" s="2">
        <f t="shared" si="291"/>
        <v>0</v>
      </c>
      <c r="AA1664">
        <v>271.60000000000002</v>
      </c>
      <c r="AB1664" s="2" t="str">
        <f>CHOOSE(MATCH(AA1664,{0;11;80;111;161;191;241;281;341},1),"North","NorthEast","East","SouthEast","South","SouthWest","West","NorthWest","North")</f>
        <v>West</v>
      </c>
      <c r="AC1664" s="5">
        <f>CHOOSE(MATCH(AB1664,{"South";"SouthEast";"SouthWest";"North";"NorthEast";"East";"West";"NorthWest"},0),1,2,3,4,5,6,7,8)</f>
        <v>7</v>
      </c>
      <c r="AD1664" s="2">
        <f t="shared" si="292"/>
        <v>0</v>
      </c>
      <c r="AE1664">
        <v>1012.8</v>
      </c>
      <c r="AF1664" s="4" t="s">
        <v>2575</v>
      </c>
      <c r="AG1664" s="2">
        <f t="shared" si="293"/>
        <v>0</v>
      </c>
      <c r="AH1664" t="s">
        <v>2576</v>
      </c>
      <c r="AI1664" s="2">
        <f t="shared" si="294"/>
        <v>3</v>
      </c>
      <c r="AJ1664" s="2">
        <f t="shared" si="295"/>
        <v>0</v>
      </c>
      <c r="AK1664" s="3">
        <v>159.99999999767169</v>
      </c>
      <c r="AM1664" s="2">
        <v>0</v>
      </c>
      <c r="AN1664">
        <v>0</v>
      </c>
      <c r="AO1664">
        <v>0.5</v>
      </c>
      <c r="AP1664">
        <v>0</v>
      </c>
      <c r="AQ1664" s="2">
        <f>IF((2*G1664 + M1664 -P1664 + 3*W1664 + 2*Z1664+2*AD1664 + AG1664+2*AJ1664 + 4*AM1664) &gt;=8,1,0)</f>
        <v>0</v>
      </c>
    </row>
    <row r="1665" spans="1:43" x14ac:dyDescent="0.25">
      <c r="A1665" t="s">
        <v>27</v>
      </c>
      <c r="B1665" s="1">
        <v>44277</v>
      </c>
      <c r="C1665" s="7">
        <f t="shared" si="287"/>
        <v>2021</v>
      </c>
      <c r="D1665">
        <v>67.8</v>
      </c>
      <c r="E1665">
        <v>54.1</v>
      </c>
      <c r="F1665">
        <v>59.5</v>
      </c>
      <c r="G1665" s="2">
        <f t="shared" si="296"/>
        <v>0</v>
      </c>
      <c r="H1665">
        <v>67.8</v>
      </c>
      <c r="I1665">
        <v>54.1</v>
      </c>
      <c r="J1665">
        <v>59.5</v>
      </c>
      <c r="K1665">
        <v>46.6</v>
      </c>
      <c r="L1665">
        <v>64.900000000000006</v>
      </c>
      <c r="M1665" s="2">
        <f t="shared" si="288"/>
        <v>0</v>
      </c>
      <c r="N1665">
        <v>0</v>
      </c>
      <c r="P1665" s="2">
        <f t="shared" si="289"/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36.700000000000003</v>
      </c>
      <c r="W1665" s="2">
        <f t="shared" si="290"/>
        <v>1</v>
      </c>
      <c r="X1665">
        <v>18.600000000000001</v>
      </c>
      <c r="Z1665" s="2">
        <f t="shared" si="291"/>
        <v>1</v>
      </c>
      <c r="AA1665">
        <v>241.7</v>
      </c>
      <c r="AB1665" s="2" t="str">
        <f>CHOOSE(MATCH(AA1665,{0;11;80;111;161;191;241;281;341},1),"North","NorthEast","East","SouthEast","South","SouthWest","West","NorthWest","North")</f>
        <v>West</v>
      </c>
      <c r="AC1665" s="5">
        <f>CHOOSE(MATCH(AB1665,{"South";"SouthEast";"SouthWest";"North";"NorthEast";"East";"West";"NorthWest"},0),1,2,3,4,5,6,7,8)</f>
        <v>7</v>
      </c>
      <c r="AD1665" s="2">
        <f t="shared" si="292"/>
        <v>0</v>
      </c>
      <c r="AE1665">
        <v>999.7</v>
      </c>
      <c r="AF1665" s="4" t="s">
        <v>2577</v>
      </c>
      <c r="AG1665" s="2">
        <f t="shared" si="293"/>
        <v>1</v>
      </c>
      <c r="AH1665" t="s">
        <v>2578</v>
      </c>
      <c r="AI1665" s="2">
        <f t="shared" si="294"/>
        <v>3</v>
      </c>
      <c r="AJ1665" s="2">
        <f t="shared" si="295"/>
        <v>0</v>
      </c>
      <c r="AK1665" s="3">
        <v>143.9999999979045</v>
      </c>
      <c r="AM1665" s="2">
        <v>0</v>
      </c>
      <c r="AN1665">
        <v>0</v>
      </c>
      <c r="AO1665">
        <v>1</v>
      </c>
      <c r="AP1665">
        <v>0</v>
      </c>
      <c r="AQ1665" s="2">
        <f>IF((2*G1665 + M1665 -P1665 + 3*W1665 + 2*Z1665+2*AD1665 + AG1665+2*AJ1665 + 4*AM1665) &gt;=8,1,0)</f>
        <v>0</v>
      </c>
    </row>
    <row r="1666" spans="1:43" x14ac:dyDescent="0.25">
      <c r="A1666" t="s">
        <v>27</v>
      </c>
      <c r="B1666" s="1">
        <v>44281</v>
      </c>
      <c r="C1666" s="7">
        <f t="shared" si="287"/>
        <v>2021</v>
      </c>
      <c r="D1666">
        <v>56.9</v>
      </c>
      <c r="E1666">
        <v>35</v>
      </c>
      <c r="F1666">
        <v>46.5</v>
      </c>
      <c r="G1666" s="2">
        <f t="shared" si="296"/>
        <v>0</v>
      </c>
      <c r="H1666">
        <v>56.9</v>
      </c>
      <c r="I1666">
        <v>31.5</v>
      </c>
      <c r="J1666">
        <v>46.1</v>
      </c>
      <c r="K1666">
        <v>25.5</v>
      </c>
      <c r="L1666">
        <v>46.4</v>
      </c>
      <c r="M1666" s="2">
        <f t="shared" si="288"/>
        <v>1</v>
      </c>
      <c r="N1666">
        <v>0</v>
      </c>
      <c r="P1666" s="2">
        <f t="shared" si="289"/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18.3</v>
      </c>
      <c r="W1666" s="2">
        <f t="shared" si="290"/>
        <v>1</v>
      </c>
      <c r="X1666">
        <v>7.9</v>
      </c>
      <c r="Z1666" s="2">
        <f t="shared" si="291"/>
        <v>0</v>
      </c>
      <c r="AA1666">
        <v>239.6</v>
      </c>
      <c r="AB1666" s="2" t="str">
        <f>CHOOSE(MATCH(AA1666,{0;11;80;111;161;191;241;281;341},1),"North","NorthEast","East","SouthEast","South","SouthWest","West","NorthWest","North")</f>
        <v>SouthWest</v>
      </c>
      <c r="AC1666" s="5">
        <f>CHOOSE(MATCH(AB1666,{"South";"SouthEast";"SouthWest";"North";"NorthEast";"East";"West";"NorthWest"},0),1,2,3,4,5,6,7,8)</f>
        <v>3</v>
      </c>
      <c r="AD1666" s="2">
        <f t="shared" si="292"/>
        <v>1</v>
      </c>
      <c r="AE1666">
        <v>1025</v>
      </c>
      <c r="AF1666" s="4" t="s">
        <v>1071</v>
      </c>
      <c r="AG1666" s="2">
        <f t="shared" si="293"/>
        <v>1</v>
      </c>
      <c r="AH1666" t="s">
        <v>2579</v>
      </c>
      <c r="AI1666" s="2">
        <f t="shared" si="294"/>
        <v>3</v>
      </c>
      <c r="AJ1666" s="2">
        <f t="shared" si="295"/>
        <v>0</v>
      </c>
      <c r="AK1666" s="3">
        <v>75.00000000349246</v>
      </c>
      <c r="AM1666" s="2">
        <v>0</v>
      </c>
      <c r="AN1666">
        <v>15</v>
      </c>
      <c r="AO1666">
        <v>0</v>
      </c>
      <c r="AP1666">
        <v>0</v>
      </c>
      <c r="AQ1666" s="2">
        <f>IF((2*G1666 + M1666 -P1666 + 3*W1666 + 2*Z1666+2*AD1666 + AG1666+2*AJ1666 + 4*AM1666) &gt;=8,1,0)</f>
        <v>0</v>
      </c>
    </row>
    <row r="1667" spans="1:43" x14ac:dyDescent="0.25">
      <c r="A1667" t="s">
        <v>27</v>
      </c>
      <c r="B1667" s="1">
        <v>44298</v>
      </c>
      <c r="C1667" s="7">
        <f t="shared" si="287"/>
        <v>2021</v>
      </c>
      <c r="D1667">
        <v>67.5</v>
      </c>
      <c r="E1667">
        <v>39.200000000000003</v>
      </c>
      <c r="F1667">
        <v>54.8</v>
      </c>
      <c r="G1667" s="2">
        <f t="shared" si="296"/>
        <v>0</v>
      </c>
      <c r="H1667">
        <v>67.5</v>
      </c>
      <c r="I1667">
        <v>39.200000000000003</v>
      </c>
      <c r="J1667">
        <v>54.6</v>
      </c>
      <c r="K1667">
        <v>38.4</v>
      </c>
      <c r="L1667">
        <v>57.4</v>
      </c>
      <c r="M1667" s="2">
        <f t="shared" si="288"/>
        <v>0</v>
      </c>
      <c r="N1667">
        <v>0</v>
      </c>
      <c r="P1667" s="2">
        <f t="shared" si="289"/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19</v>
      </c>
      <c r="W1667" s="2">
        <f t="shared" si="290"/>
        <v>1</v>
      </c>
      <c r="X1667">
        <v>8.9</v>
      </c>
      <c r="Z1667" s="2">
        <f t="shared" si="291"/>
        <v>0</v>
      </c>
      <c r="AA1667">
        <v>194.9</v>
      </c>
      <c r="AB1667" s="2" t="str">
        <f>CHOOSE(MATCH(AA1667,{0;11;80;111;161;191;241;281;341},1),"North","NorthEast","East","SouthEast","South","SouthWest","West","NorthWest","North")</f>
        <v>SouthWest</v>
      </c>
      <c r="AC1667" s="5">
        <f>CHOOSE(MATCH(AB1667,{"South";"SouthEast";"SouthWest";"North";"NorthEast";"East";"West";"NorthWest"},0),1,2,3,4,5,6,7,8)</f>
        <v>3</v>
      </c>
      <c r="AD1667" s="2">
        <f t="shared" si="292"/>
        <v>1</v>
      </c>
      <c r="AE1667">
        <v>1022.8</v>
      </c>
      <c r="AF1667" s="4" t="s">
        <v>2580</v>
      </c>
      <c r="AG1667" s="2">
        <f t="shared" si="293"/>
        <v>0</v>
      </c>
      <c r="AH1667" t="s">
        <v>2581</v>
      </c>
      <c r="AI1667" s="2">
        <f t="shared" si="294"/>
        <v>4</v>
      </c>
      <c r="AJ1667" s="2">
        <f t="shared" si="295"/>
        <v>0</v>
      </c>
      <c r="AK1667" s="3">
        <v>101.999999997206</v>
      </c>
      <c r="AM1667" s="2">
        <v>0</v>
      </c>
      <c r="AN1667">
        <v>0</v>
      </c>
      <c r="AO1667">
        <v>0.5</v>
      </c>
      <c r="AP1667">
        <v>0</v>
      </c>
      <c r="AQ1667" s="2">
        <f>IF((2*G1667 + M1667 -P1667 + 3*W1667 + 2*Z1667+2*AD1667 + AG1667+2*AJ1667 + 4*AM1667) &gt;=8,1,0)</f>
        <v>0</v>
      </c>
    </row>
    <row r="1668" spans="1:43" x14ac:dyDescent="0.25">
      <c r="A1668" t="s">
        <v>27</v>
      </c>
      <c r="B1668" s="1">
        <v>44300</v>
      </c>
      <c r="C1668" s="7">
        <f t="shared" si="287"/>
        <v>2021</v>
      </c>
      <c r="D1668">
        <v>70.2</v>
      </c>
      <c r="E1668">
        <v>46.3</v>
      </c>
      <c r="F1668">
        <v>59.2</v>
      </c>
      <c r="G1668" s="2">
        <f t="shared" si="296"/>
        <v>0</v>
      </c>
      <c r="H1668">
        <v>70.2</v>
      </c>
      <c r="I1668">
        <v>46.3</v>
      </c>
      <c r="J1668">
        <v>59.2</v>
      </c>
      <c r="K1668">
        <v>43</v>
      </c>
      <c r="L1668">
        <v>58.3</v>
      </c>
      <c r="M1668" s="2">
        <f t="shared" si="288"/>
        <v>0</v>
      </c>
      <c r="N1668">
        <v>0</v>
      </c>
      <c r="P1668" s="2">
        <f t="shared" si="289"/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22.6</v>
      </c>
      <c r="W1668" s="2">
        <f t="shared" si="290"/>
        <v>1</v>
      </c>
      <c r="X1668">
        <v>13.6</v>
      </c>
      <c r="Z1668" s="2">
        <f t="shared" si="291"/>
        <v>0</v>
      </c>
      <c r="AA1668">
        <v>200.6</v>
      </c>
      <c r="AB1668" s="2" t="str">
        <f>CHOOSE(MATCH(AA1668,{0;11;80;111;161;191;241;281;341},1),"North","NorthEast","East","SouthEast","South","SouthWest","West","NorthWest","North")</f>
        <v>SouthWest</v>
      </c>
      <c r="AC1668" s="5">
        <f>CHOOSE(MATCH(AB1668,{"South";"SouthEast";"SouthWest";"North";"NorthEast";"East";"West";"NorthWest"},0),1,2,3,4,5,6,7,8)</f>
        <v>3</v>
      </c>
      <c r="AD1668" s="2">
        <f t="shared" si="292"/>
        <v>1</v>
      </c>
      <c r="AE1668">
        <v>1014.9</v>
      </c>
      <c r="AF1668" s="4" t="s">
        <v>2125</v>
      </c>
      <c r="AG1668" s="2">
        <f t="shared" si="293"/>
        <v>1</v>
      </c>
      <c r="AH1668" t="s">
        <v>2582</v>
      </c>
      <c r="AI1668" s="2">
        <f t="shared" si="294"/>
        <v>4</v>
      </c>
      <c r="AJ1668" s="2">
        <f t="shared" si="295"/>
        <v>0</v>
      </c>
      <c r="AK1668" s="3">
        <v>103.0000000004657</v>
      </c>
      <c r="AM1668" s="2">
        <v>0</v>
      </c>
      <c r="AN1668">
        <v>0</v>
      </c>
      <c r="AO1668">
        <v>0.1</v>
      </c>
      <c r="AP1668">
        <v>0</v>
      </c>
      <c r="AQ1668" s="2">
        <f>IF((2*G1668 + M1668 -P1668 + 3*W1668 + 2*Z1668+2*AD1668 + AG1668+2*AJ1668 + 4*AM1668) &gt;=8,1,0)</f>
        <v>0</v>
      </c>
    </row>
    <row r="1669" spans="1:43" x14ac:dyDescent="0.25">
      <c r="A1669" t="s">
        <v>27</v>
      </c>
      <c r="B1669" s="1">
        <v>44302</v>
      </c>
      <c r="C1669" s="7">
        <f t="shared" si="287"/>
        <v>2021</v>
      </c>
      <c r="D1669">
        <v>65</v>
      </c>
      <c r="E1669">
        <v>55.4</v>
      </c>
      <c r="F1669">
        <v>59.4</v>
      </c>
      <c r="G1669" s="2">
        <f t="shared" si="296"/>
        <v>0</v>
      </c>
      <c r="H1669">
        <v>65</v>
      </c>
      <c r="I1669">
        <v>55.4</v>
      </c>
      <c r="J1669">
        <v>59.4</v>
      </c>
      <c r="K1669">
        <v>47.7</v>
      </c>
      <c r="L1669">
        <v>65.5</v>
      </c>
      <c r="M1669" s="2">
        <f t="shared" si="288"/>
        <v>0</v>
      </c>
      <c r="N1669">
        <v>0</v>
      </c>
      <c r="P1669" s="2">
        <f t="shared" si="289"/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22.8</v>
      </c>
      <c r="W1669" s="2">
        <f t="shared" si="290"/>
        <v>1</v>
      </c>
      <c r="X1669">
        <v>12.8</v>
      </c>
      <c r="Z1669" s="2">
        <f t="shared" si="291"/>
        <v>0</v>
      </c>
      <c r="AA1669">
        <v>40.799999999999997</v>
      </c>
      <c r="AB1669" s="2" t="str">
        <f>CHOOSE(MATCH(AA1669,{0;11;80;111;161;191;241;281;341},1),"North","NorthEast","East","SouthEast","South","SouthWest","West","NorthWest","North")</f>
        <v>NorthEast</v>
      </c>
      <c r="AC1669" s="5">
        <f>CHOOSE(MATCH(AB1669,{"South";"SouthEast";"SouthWest";"North";"NorthEast";"East";"West";"NorthWest"},0),1,2,3,4,5,6,7,8)</f>
        <v>5</v>
      </c>
      <c r="AD1669" s="2">
        <f t="shared" si="292"/>
        <v>1</v>
      </c>
      <c r="AE1669">
        <v>1015.4</v>
      </c>
      <c r="AF1669" s="4" t="s">
        <v>2583</v>
      </c>
      <c r="AG1669" s="2">
        <f t="shared" si="293"/>
        <v>1</v>
      </c>
      <c r="AH1669" t="s">
        <v>2584</v>
      </c>
      <c r="AI1669" s="2">
        <f t="shared" si="294"/>
        <v>4</v>
      </c>
      <c r="AJ1669" s="2">
        <f t="shared" si="295"/>
        <v>0</v>
      </c>
      <c r="AK1669" s="3">
        <v>88.000000003958121</v>
      </c>
      <c r="AM1669" s="2">
        <v>0</v>
      </c>
      <c r="AN1669">
        <v>0</v>
      </c>
      <c r="AO1669">
        <v>0.5</v>
      </c>
      <c r="AP1669">
        <v>0</v>
      </c>
      <c r="AQ1669" s="2">
        <f>IF((2*G1669 + M1669 -P1669 + 3*W1669 + 2*Z1669+2*AD1669 + AG1669+2*AJ1669 + 4*AM1669) &gt;=8,1,0)</f>
        <v>0</v>
      </c>
    </row>
    <row r="1670" spans="1:43" x14ac:dyDescent="0.25">
      <c r="A1670" t="s">
        <v>27</v>
      </c>
      <c r="B1670" s="1">
        <v>44302</v>
      </c>
      <c r="C1670" s="7">
        <f t="shared" si="287"/>
        <v>2021</v>
      </c>
      <c r="D1670">
        <v>65</v>
      </c>
      <c r="E1670">
        <v>55.4</v>
      </c>
      <c r="F1670">
        <v>59.4</v>
      </c>
      <c r="G1670" s="2">
        <f t="shared" si="296"/>
        <v>0</v>
      </c>
      <c r="H1670">
        <v>65</v>
      </c>
      <c r="I1670">
        <v>55.4</v>
      </c>
      <c r="J1670">
        <v>59.4</v>
      </c>
      <c r="K1670">
        <v>47.7</v>
      </c>
      <c r="L1670">
        <v>65.5</v>
      </c>
      <c r="M1670" s="2">
        <f t="shared" si="288"/>
        <v>0</v>
      </c>
      <c r="N1670">
        <v>0</v>
      </c>
      <c r="P1670" s="2">
        <f t="shared" si="289"/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22.8</v>
      </c>
      <c r="W1670" s="2">
        <f t="shared" si="290"/>
        <v>1</v>
      </c>
      <c r="X1670">
        <v>12.8</v>
      </c>
      <c r="Z1670" s="2">
        <f t="shared" si="291"/>
        <v>0</v>
      </c>
      <c r="AA1670">
        <v>40.799999999999997</v>
      </c>
      <c r="AB1670" s="2" t="str">
        <f>CHOOSE(MATCH(AA1670,{0;11;80;111;161;191;241;281;341},1),"North","NorthEast","East","SouthEast","South","SouthWest","West","NorthWest","North")</f>
        <v>NorthEast</v>
      </c>
      <c r="AC1670" s="5">
        <f>CHOOSE(MATCH(AB1670,{"South";"SouthEast";"SouthWest";"North";"NorthEast";"East";"West";"NorthWest"},0),1,2,3,4,5,6,7,8)</f>
        <v>5</v>
      </c>
      <c r="AD1670" s="2">
        <f t="shared" si="292"/>
        <v>1</v>
      </c>
      <c r="AE1670">
        <v>1015.4</v>
      </c>
      <c r="AF1670" s="4" t="s">
        <v>1989</v>
      </c>
      <c r="AG1670" s="2">
        <f t="shared" si="293"/>
        <v>1</v>
      </c>
      <c r="AH1670" t="s">
        <v>2585</v>
      </c>
      <c r="AI1670" s="2">
        <f t="shared" si="294"/>
        <v>4</v>
      </c>
      <c r="AJ1670" s="2">
        <f t="shared" si="295"/>
        <v>0</v>
      </c>
      <c r="AK1670" s="3">
        <v>76.000000006752089</v>
      </c>
      <c r="AM1670" s="2">
        <v>0</v>
      </c>
      <c r="AN1670">
        <v>0</v>
      </c>
      <c r="AO1670">
        <v>2</v>
      </c>
      <c r="AP1670">
        <v>0</v>
      </c>
      <c r="AQ1670" s="2">
        <f>IF((2*G1670 + M1670 -P1670 + 3*W1670 + 2*Z1670+2*AD1670 + AG1670+2*AJ1670 + 4*AM1670) &gt;=8,1,0)</f>
        <v>0</v>
      </c>
    </row>
    <row r="1671" spans="1:43" x14ac:dyDescent="0.25">
      <c r="A1671" t="s">
        <v>27</v>
      </c>
      <c r="B1671" s="1">
        <v>44316</v>
      </c>
      <c r="C1671" s="7">
        <f t="shared" si="287"/>
        <v>2021</v>
      </c>
      <c r="D1671">
        <v>80.5</v>
      </c>
      <c r="E1671">
        <v>55.9</v>
      </c>
      <c r="F1671">
        <v>69.099999999999994</v>
      </c>
      <c r="G1671" s="2">
        <f t="shared" si="296"/>
        <v>0</v>
      </c>
      <c r="H1671">
        <v>80.400000000000006</v>
      </c>
      <c r="I1671">
        <v>55.9</v>
      </c>
      <c r="J1671">
        <v>69.099999999999994</v>
      </c>
      <c r="K1671">
        <v>53.1</v>
      </c>
      <c r="L1671">
        <v>59.9</v>
      </c>
      <c r="M1671" s="2">
        <f t="shared" si="288"/>
        <v>0</v>
      </c>
      <c r="N1671">
        <v>0</v>
      </c>
      <c r="P1671" s="2">
        <f t="shared" si="289"/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19.2</v>
      </c>
      <c r="W1671" s="2">
        <f t="shared" si="290"/>
        <v>1</v>
      </c>
      <c r="X1671">
        <v>6.9</v>
      </c>
      <c r="Z1671" s="2">
        <f t="shared" si="291"/>
        <v>0</v>
      </c>
      <c r="AA1671">
        <v>177.4</v>
      </c>
      <c r="AB1671" s="2" t="str">
        <f>CHOOSE(MATCH(AA1671,{0;11;80;111;161;191;241;281;341},1),"North","NorthEast","East","SouthEast","South","SouthWest","West","NorthWest","North")</f>
        <v>South</v>
      </c>
      <c r="AC1671" s="5">
        <f>CHOOSE(MATCH(AB1671,{"South";"SouthEast";"SouthWest";"North";"NorthEast";"East";"West";"NorthWest"},0),1,2,3,4,5,6,7,8)</f>
        <v>1</v>
      </c>
      <c r="AD1671" s="2">
        <f t="shared" si="292"/>
        <v>0</v>
      </c>
      <c r="AE1671">
        <v>1015.2</v>
      </c>
      <c r="AF1671" s="4" t="s">
        <v>2586</v>
      </c>
      <c r="AG1671" s="2">
        <f t="shared" si="293"/>
        <v>1</v>
      </c>
      <c r="AH1671" t="s">
        <v>2587</v>
      </c>
      <c r="AI1671" s="2">
        <f t="shared" si="294"/>
        <v>4</v>
      </c>
      <c r="AJ1671" s="2">
        <f t="shared" si="295"/>
        <v>0</v>
      </c>
      <c r="AK1671" s="3">
        <v>1587.000000007683</v>
      </c>
      <c r="AM1671" s="2">
        <v>1</v>
      </c>
      <c r="AN1671">
        <v>12</v>
      </c>
      <c r="AO1671">
        <v>0</v>
      </c>
      <c r="AP1671">
        <v>0</v>
      </c>
      <c r="AQ1671" s="2">
        <f>IF((2*G1671 + M1671 -P1671 + 3*W1671 + 2*Z1671+2*AD1671 + AG1671+2*AJ1671 + 4*AM1671) &gt;=8,1,0)</f>
        <v>0</v>
      </c>
    </row>
    <row r="1672" spans="1:43" x14ac:dyDescent="0.25">
      <c r="A1672" t="s">
        <v>27</v>
      </c>
      <c r="B1672" s="1">
        <v>44317</v>
      </c>
      <c r="C1672" s="7">
        <f t="shared" si="287"/>
        <v>2021</v>
      </c>
      <c r="D1672">
        <v>83.7</v>
      </c>
      <c r="E1672">
        <v>60.2</v>
      </c>
      <c r="F1672">
        <v>69.3</v>
      </c>
      <c r="G1672" s="2">
        <f t="shared" si="296"/>
        <v>0</v>
      </c>
      <c r="H1672">
        <v>82</v>
      </c>
      <c r="I1672">
        <v>60.2</v>
      </c>
      <c r="J1672">
        <v>69.2</v>
      </c>
      <c r="K1672">
        <v>51.4</v>
      </c>
      <c r="L1672">
        <v>54.2</v>
      </c>
      <c r="M1672" s="2">
        <f t="shared" si="288"/>
        <v>0</v>
      </c>
      <c r="N1672">
        <v>0</v>
      </c>
      <c r="P1672" s="2">
        <f t="shared" si="289"/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20.8</v>
      </c>
      <c r="W1672" s="2">
        <f t="shared" si="290"/>
        <v>1</v>
      </c>
      <c r="X1672">
        <v>5.2</v>
      </c>
      <c r="Z1672" s="2">
        <f t="shared" si="291"/>
        <v>0</v>
      </c>
      <c r="AA1672">
        <v>336.8</v>
      </c>
      <c r="AB1672" s="2" t="str">
        <f>CHOOSE(MATCH(AA1672,{0;11;80;111;161;191;241;281;341},1),"North","NorthEast","East","SouthEast","South","SouthWest","West","NorthWest","North")</f>
        <v>NorthWest</v>
      </c>
      <c r="AC1672" s="5">
        <f>CHOOSE(MATCH(AB1672,{"South";"SouthEast";"SouthWest";"North";"NorthEast";"East";"West";"NorthWest"},0),1,2,3,4,5,6,7,8)</f>
        <v>8</v>
      </c>
      <c r="AD1672" s="2">
        <f t="shared" si="292"/>
        <v>1</v>
      </c>
      <c r="AE1672">
        <v>1014.8</v>
      </c>
      <c r="AF1672" s="4" t="s">
        <v>2588</v>
      </c>
      <c r="AG1672" s="2">
        <f t="shared" si="293"/>
        <v>1</v>
      </c>
      <c r="AH1672" t="s">
        <v>2589</v>
      </c>
      <c r="AI1672" s="2">
        <f t="shared" si="294"/>
        <v>5</v>
      </c>
      <c r="AJ1672" s="2">
        <f t="shared" si="295"/>
        <v>0</v>
      </c>
      <c r="AK1672" s="3">
        <v>76.999999999534339</v>
      </c>
      <c r="AM1672" s="2">
        <v>0</v>
      </c>
      <c r="AN1672">
        <v>0</v>
      </c>
      <c r="AO1672">
        <v>0.3</v>
      </c>
      <c r="AP1672">
        <v>0</v>
      </c>
      <c r="AQ1672" s="2">
        <f>IF((2*G1672 + M1672 -P1672 + 3*W1672 + 2*Z1672+2*AD1672 + AG1672+2*AJ1672 + 4*AM1672) &gt;=8,1,0)</f>
        <v>0</v>
      </c>
    </row>
    <row r="1673" spans="1:43" x14ac:dyDescent="0.25">
      <c r="A1673" t="s">
        <v>27</v>
      </c>
      <c r="B1673" s="1">
        <v>44326</v>
      </c>
      <c r="C1673" s="7">
        <f t="shared" si="287"/>
        <v>2021</v>
      </c>
      <c r="D1673">
        <v>74</v>
      </c>
      <c r="E1673">
        <v>58.3</v>
      </c>
      <c r="F1673">
        <v>66</v>
      </c>
      <c r="G1673" s="2">
        <f t="shared" si="296"/>
        <v>0</v>
      </c>
      <c r="H1673">
        <v>74</v>
      </c>
      <c r="I1673">
        <v>58.3</v>
      </c>
      <c r="J1673">
        <v>66</v>
      </c>
      <c r="K1673">
        <v>38</v>
      </c>
      <c r="L1673">
        <v>36.6</v>
      </c>
      <c r="M1673" s="2">
        <f t="shared" si="288"/>
        <v>1</v>
      </c>
      <c r="N1673">
        <v>0</v>
      </c>
      <c r="P1673" s="2">
        <f t="shared" si="289"/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38.5</v>
      </c>
      <c r="W1673" s="2">
        <f t="shared" ref="W1673:W1731" si="297">IF(V1673&lt;=10,0,1)</f>
        <v>1</v>
      </c>
      <c r="X1673">
        <v>22.1</v>
      </c>
      <c r="Z1673" s="2">
        <f t="shared" ref="Z1673:Z1731" si="298">IF(X1673&gt;=16,1,0)</f>
        <v>1</v>
      </c>
      <c r="AA1673">
        <v>8.5</v>
      </c>
      <c r="AB1673" s="2" t="str">
        <f>CHOOSE(MATCH(AA1673,{0;11;80;111;161;191;241;281;341},1),"North","NorthEast","East","SouthEast","South","SouthWest","West","NorthWest","North")</f>
        <v>North</v>
      </c>
      <c r="AC1673" s="5">
        <f>CHOOSE(MATCH(AB1673,{"South";"SouthEast";"SouthWest";"North";"NorthEast";"East";"West";"NorthWest"},0),1,2,3,4,5,6,7,8)</f>
        <v>4</v>
      </c>
      <c r="AD1673" s="2">
        <f t="shared" si="292"/>
        <v>1</v>
      </c>
      <c r="AE1673">
        <v>1019.2</v>
      </c>
      <c r="AF1673" s="4" t="s">
        <v>2590</v>
      </c>
      <c r="AG1673" s="2">
        <f t="shared" si="293"/>
        <v>1</v>
      </c>
      <c r="AH1673" t="s">
        <v>2591</v>
      </c>
      <c r="AI1673" s="2">
        <f t="shared" si="294"/>
        <v>5</v>
      </c>
      <c r="AJ1673" s="2">
        <f t="shared" si="295"/>
        <v>0</v>
      </c>
      <c r="AK1673" s="3">
        <v>2522.0000000065188</v>
      </c>
      <c r="AM1673" s="2">
        <v>1</v>
      </c>
      <c r="AN1673">
        <v>100</v>
      </c>
      <c r="AO1673">
        <v>0</v>
      </c>
      <c r="AP1673">
        <v>0</v>
      </c>
      <c r="AQ1673" s="2">
        <f>IF((2*G1673 + M1673 -P1673 + 3*W1673 + 2*Z1673+2*AD1673 + AG1673+2*AJ1673 + 4*AM1673) &gt;=8,1,0)</f>
        <v>1</v>
      </c>
    </row>
    <row r="1674" spans="1:43" x14ac:dyDescent="0.25">
      <c r="A1674" t="s">
        <v>27</v>
      </c>
      <c r="B1674" s="1">
        <v>44328</v>
      </c>
      <c r="C1674" s="7">
        <f t="shared" ref="C1674:C1731" si="299">YEAR(B1674)</f>
        <v>2021</v>
      </c>
      <c r="D1674">
        <v>76.599999999999994</v>
      </c>
      <c r="E1674">
        <v>53.7</v>
      </c>
      <c r="F1674">
        <v>66</v>
      </c>
      <c r="G1674" s="2">
        <f t="shared" si="296"/>
        <v>0</v>
      </c>
      <c r="H1674">
        <v>76.599999999999994</v>
      </c>
      <c r="I1674">
        <v>53.7</v>
      </c>
      <c r="J1674">
        <v>66</v>
      </c>
      <c r="K1674">
        <v>37.799999999999997</v>
      </c>
      <c r="L1674">
        <v>36.1</v>
      </c>
      <c r="M1674" s="2">
        <f t="shared" ref="M1674:M1731" si="300">IF(L1674&lt;=49.3,1,0)</f>
        <v>1</v>
      </c>
      <c r="N1674">
        <v>0</v>
      </c>
      <c r="P1674" s="2">
        <f t="shared" ref="P1674:P1731" si="301">IF(N1674&lt;=0.01,1,0)</f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24.4</v>
      </c>
      <c r="W1674" s="2">
        <f t="shared" si="297"/>
        <v>1</v>
      </c>
      <c r="X1674">
        <v>11.2</v>
      </c>
      <c r="Z1674" s="2">
        <f t="shared" si="298"/>
        <v>0</v>
      </c>
      <c r="AA1674">
        <v>186.2</v>
      </c>
      <c r="AB1674" s="2" t="str">
        <f>CHOOSE(MATCH(AA1674,{0;11;80;111;161;191;241;281;341},1),"North","NorthEast","East","SouthEast","South","SouthWest","West","NorthWest","North")</f>
        <v>South</v>
      </c>
      <c r="AC1674" s="5">
        <f>CHOOSE(MATCH(AB1674,{"South";"SouthEast";"SouthWest";"North";"NorthEast";"East";"West";"NorthWest"},0),1,2,3,4,5,6,7,8)</f>
        <v>1</v>
      </c>
      <c r="AD1674" s="2">
        <f t="shared" ref="AD1674:AD1731" si="302">IF(OR(AC1674=3,AC1674=4,AC1674=5,AC1674=8),1,0)</f>
        <v>0</v>
      </c>
      <c r="AE1674">
        <v>1010.1</v>
      </c>
      <c r="AF1674" s="4" t="s">
        <v>2592</v>
      </c>
      <c r="AG1674" s="2">
        <f t="shared" ref="AG1674:AG1731" si="303">IF(TIMEVALUE(AF1674)&lt;=TIME(12,30,0),0,1)</f>
        <v>0</v>
      </c>
      <c r="AH1674" t="s">
        <v>2593</v>
      </c>
      <c r="AI1674" s="2">
        <f t="shared" ref="AI1674:AI1731" si="304">MONTH(AH1674)</f>
        <v>5</v>
      </c>
      <c r="AJ1674" s="2">
        <f t="shared" ref="AJ1674:AJ1731" si="305">IF(OR(AI1674=6,AI1674=7,AI1674=8),1,0)</f>
        <v>0</v>
      </c>
      <c r="AK1674" s="3">
        <v>322.00000000186259</v>
      </c>
      <c r="AM1674" s="2">
        <v>0</v>
      </c>
      <c r="AN1674">
        <v>0</v>
      </c>
      <c r="AO1674">
        <v>0.3</v>
      </c>
      <c r="AP1674">
        <v>0</v>
      </c>
      <c r="AQ1674" s="2">
        <f>IF((2*G1674 + M1674 -P1674 + 3*W1674 + 2*Z1674+2*AD1674 + AG1674+2*AJ1674 + 4*AM1674) &gt;=8,1,0)</f>
        <v>0</v>
      </c>
    </row>
    <row r="1675" spans="1:43" x14ac:dyDescent="0.25">
      <c r="A1675" t="s">
        <v>27</v>
      </c>
      <c r="B1675" s="1">
        <v>44332</v>
      </c>
      <c r="C1675" s="7">
        <f t="shared" si="299"/>
        <v>2021</v>
      </c>
      <c r="D1675">
        <v>78.599999999999994</v>
      </c>
      <c r="E1675">
        <v>54.5</v>
      </c>
      <c r="F1675">
        <v>67.599999999999994</v>
      </c>
      <c r="G1675" s="2">
        <f t="shared" si="296"/>
        <v>0</v>
      </c>
      <c r="H1675">
        <v>78.599999999999994</v>
      </c>
      <c r="I1675">
        <v>54.5</v>
      </c>
      <c r="J1675">
        <v>67.599999999999994</v>
      </c>
      <c r="K1675">
        <v>49.2</v>
      </c>
      <c r="L1675">
        <v>54.7</v>
      </c>
      <c r="M1675" s="2">
        <f t="shared" si="300"/>
        <v>0</v>
      </c>
      <c r="N1675">
        <v>0</v>
      </c>
      <c r="P1675" s="2">
        <f t="shared" si="301"/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30.4</v>
      </c>
      <c r="W1675" s="2">
        <f t="shared" si="297"/>
        <v>1</v>
      </c>
      <c r="X1675">
        <v>12.2</v>
      </c>
      <c r="Z1675" s="2">
        <f t="shared" si="298"/>
        <v>0</v>
      </c>
      <c r="AA1675">
        <v>265.89999999999998</v>
      </c>
      <c r="AB1675" s="2" t="str">
        <f>CHOOSE(MATCH(AA1675,{0;11;80;111;161;191;241;281;341},1),"North","NorthEast","East","SouthEast","South","SouthWest","West","NorthWest","North")</f>
        <v>West</v>
      </c>
      <c r="AC1675" s="5">
        <f>CHOOSE(MATCH(AB1675,{"South";"SouthEast";"SouthWest";"North";"NorthEast";"East";"West";"NorthWest"},0),1,2,3,4,5,6,7,8)</f>
        <v>7</v>
      </c>
      <c r="AD1675" s="2">
        <f t="shared" si="302"/>
        <v>0</v>
      </c>
      <c r="AE1675">
        <v>1008.9</v>
      </c>
      <c r="AF1675" s="4" t="s">
        <v>1717</v>
      </c>
      <c r="AG1675" s="2">
        <f t="shared" si="303"/>
        <v>1</v>
      </c>
      <c r="AH1675" t="s">
        <v>2594</v>
      </c>
      <c r="AI1675" s="2">
        <f t="shared" si="304"/>
        <v>5</v>
      </c>
      <c r="AJ1675" s="2">
        <f t="shared" si="305"/>
        <v>0</v>
      </c>
      <c r="AK1675" s="3">
        <v>1608.999999995576</v>
      </c>
      <c r="AM1675" s="2">
        <v>1</v>
      </c>
      <c r="AN1675">
        <v>0</v>
      </c>
      <c r="AO1675">
        <v>15</v>
      </c>
      <c r="AP1675">
        <v>0</v>
      </c>
      <c r="AQ1675" s="2">
        <f>IF((2*G1675 + M1675 -P1675 + 3*W1675 + 2*Z1675+2*AD1675 + AG1675+2*AJ1675 + 4*AM1675) &gt;=8,1,0)</f>
        <v>0</v>
      </c>
    </row>
    <row r="1676" spans="1:43" x14ac:dyDescent="0.25">
      <c r="A1676" t="s">
        <v>27</v>
      </c>
      <c r="B1676" s="1">
        <v>44340</v>
      </c>
      <c r="C1676" s="7">
        <f t="shared" si="299"/>
        <v>2021</v>
      </c>
      <c r="D1676">
        <v>86.1</v>
      </c>
      <c r="E1676">
        <v>60.3</v>
      </c>
      <c r="F1676">
        <v>74.3</v>
      </c>
      <c r="G1676" s="2">
        <f t="shared" si="296"/>
        <v>1</v>
      </c>
      <c r="H1676">
        <v>83.5</v>
      </c>
      <c r="I1676">
        <v>60.3</v>
      </c>
      <c r="J1676">
        <v>73.599999999999994</v>
      </c>
      <c r="K1676">
        <v>50.2</v>
      </c>
      <c r="L1676">
        <v>45.2</v>
      </c>
      <c r="M1676" s="2">
        <f t="shared" si="300"/>
        <v>1</v>
      </c>
      <c r="N1676">
        <v>0</v>
      </c>
      <c r="P1676" s="2">
        <f t="shared" si="301"/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16.899999999999999</v>
      </c>
      <c r="W1676" s="2">
        <f t="shared" si="297"/>
        <v>1</v>
      </c>
      <c r="X1676">
        <v>11</v>
      </c>
      <c r="Z1676" s="2">
        <f t="shared" si="298"/>
        <v>0</v>
      </c>
      <c r="AA1676">
        <v>101.2</v>
      </c>
      <c r="AB1676" s="2" t="str">
        <f>CHOOSE(MATCH(AA1676,{0;11;80;111;161;191;241;281;341},1),"North","NorthEast","East","SouthEast","South","SouthWest","West","NorthWest","North")</f>
        <v>East</v>
      </c>
      <c r="AC1676" s="5">
        <f>CHOOSE(MATCH(AB1676,{"South";"SouthEast";"SouthWest";"North";"NorthEast";"East";"West";"NorthWest"},0),1,2,3,4,5,6,7,8)</f>
        <v>6</v>
      </c>
      <c r="AD1676" s="2">
        <f t="shared" si="302"/>
        <v>0</v>
      </c>
      <c r="AE1676">
        <v>1017.9</v>
      </c>
      <c r="AF1676" s="4" t="s">
        <v>2595</v>
      </c>
      <c r="AG1676" s="2">
        <f t="shared" si="303"/>
        <v>1</v>
      </c>
      <c r="AH1676" t="s">
        <v>2596</v>
      </c>
      <c r="AI1676" s="2">
        <f t="shared" si="304"/>
        <v>5</v>
      </c>
      <c r="AJ1676" s="2">
        <f t="shared" si="305"/>
        <v>0</v>
      </c>
      <c r="AK1676" s="3">
        <v>66.999999998370185</v>
      </c>
      <c r="AM1676" s="2">
        <v>0</v>
      </c>
      <c r="AN1676">
        <v>0.5</v>
      </c>
      <c r="AO1676">
        <v>0</v>
      </c>
      <c r="AP1676">
        <v>0</v>
      </c>
      <c r="AQ1676" s="2">
        <f>IF((2*G1676 + M1676 -P1676 + 3*W1676 + 2*Z1676+2*AD1676 + AG1676+2*AJ1676 + 4*AM1676) &gt;=8,1,0)</f>
        <v>0</v>
      </c>
    </row>
    <row r="1677" spans="1:43" x14ac:dyDescent="0.25">
      <c r="A1677" t="s">
        <v>27</v>
      </c>
      <c r="B1677" s="1">
        <v>44340</v>
      </c>
      <c r="C1677" s="7">
        <f t="shared" si="299"/>
        <v>2021</v>
      </c>
      <c r="D1677">
        <v>86.1</v>
      </c>
      <c r="E1677">
        <v>60.3</v>
      </c>
      <c r="F1677">
        <v>74.3</v>
      </c>
      <c r="G1677" s="2">
        <f t="shared" si="296"/>
        <v>1</v>
      </c>
      <c r="H1677">
        <v>83.5</v>
      </c>
      <c r="I1677">
        <v>60.3</v>
      </c>
      <c r="J1677">
        <v>73.599999999999994</v>
      </c>
      <c r="K1677">
        <v>50.2</v>
      </c>
      <c r="L1677">
        <v>45.2</v>
      </c>
      <c r="M1677" s="2">
        <f t="shared" si="300"/>
        <v>1</v>
      </c>
      <c r="N1677">
        <v>0</v>
      </c>
      <c r="P1677" s="2">
        <f t="shared" si="301"/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16.899999999999999</v>
      </c>
      <c r="W1677" s="2">
        <f t="shared" si="297"/>
        <v>1</v>
      </c>
      <c r="X1677">
        <v>11</v>
      </c>
      <c r="Z1677" s="2">
        <f t="shared" si="298"/>
        <v>0</v>
      </c>
      <c r="AA1677">
        <v>101.2</v>
      </c>
      <c r="AB1677" s="2" t="str">
        <f>CHOOSE(MATCH(AA1677,{0;11;80;111;161;191;241;281;341},1),"North","NorthEast","East","SouthEast","South","SouthWest","West","NorthWest","North")</f>
        <v>East</v>
      </c>
      <c r="AC1677" s="5">
        <f>CHOOSE(MATCH(AB1677,{"South";"SouthEast";"SouthWest";"North";"NorthEast";"East";"West";"NorthWest"},0),1,2,3,4,5,6,7,8)</f>
        <v>6</v>
      </c>
      <c r="AD1677" s="2">
        <f t="shared" si="302"/>
        <v>0</v>
      </c>
      <c r="AE1677">
        <v>1017.9</v>
      </c>
      <c r="AF1677" s="4" t="s">
        <v>1171</v>
      </c>
      <c r="AG1677" s="2">
        <f t="shared" si="303"/>
        <v>1</v>
      </c>
      <c r="AH1677" t="s">
        <v>2597</v>
      </c>
      <c r="AI1677" s="2">
        <f t="shared" si="304"/>
        <v>5</v>
      </c>
      <c r="AJ1677" s="2">
        <f t="shared" si="305"/>
        <v>0</v>
      </c>
      <c r="AK1677" s="3">
        <v>34.999999998835847</v>
      </c>
      <c r="AM1677" s="2">
        <v>0</v>
      </c>
      <c r="AN1677">
        <v>0</v>
      </c>
      <c r="AO1677">
        <v>0.1</v>
      </c>
      <c r="AP1677">
        <v>0</v>
      </c>
      <c r="AQ1677" s="2">
        <f>IF((2*G1677 + M1677 -P1677 + 3*W1677 + 2*Z1677+2*AD1677 + AG1677+2*AJ1677 + 4*AM1677) &gt;=8,1,0)</f>
        <v>0</v>
      </c>
    </row>
    <row r="1678" spans="1:43" x14ac:dyDescent="0.25">
      <c r="A1678" t="s">
        <v>27</v>
      </c>
      <c r="B1678" s="1">
        <v>44344</v>
      </c>
      <c r="C1678" s="7">
        <f t="shared" si="299"/>
        <v>2021</v>
      </c>
      <c r="D1678">
        <v>83.7</v>
      </c>
      <c r="E1678">
        <v>59.1</v>
      </c>
      <c r="F1678">
        <v>73.099999999999994</v>
      </c>
      <c r="G1678" s="2">
        <f t="shared" si="296"/>
        <v>0</v>
      </c>
      <c r="H1678">
        <v>81.8</v>
      </c>
      <c r="I1678">
        <v>59.1</v>
      </c>
      <c r="J1678">
        <v>72.8</v>
      </c>
      <c r="K1678">
        <v>52.9</v>
      </c>
      <c r="L1678">
        <v>51.1</v>
      </c>
      <c r="M1678" s="2">
        <f t="shared" si="300"/>
        <v>0</v>
      </c>
      <c r="N1678">
        <v>0</v>
      </c>
      <c r="P1678" s="2">
        <f t="shared" si="301"/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28</v>
      </c>
      <c r="W1678" s="2">
        <f t="shared" si="297"/>
        <v>1</v>
      </c>
      <c r="X1678">
        <v>14.6</v>
      </c>
      <c r="Z1678" s="2">
        <f t="shared" si="298"/>
        <v>0</v>
      </c>
      <c r="AA1678">
        <v>156.9</v>
      </c>
      <c r="AB1678" s="2" t="str">
        <f>CHOOSE(MATCH(AA1678,{0;11;80;111;161;191;241;281;341},1),"North","NorthEast","East","SouthEast","South","SouthWest","West","NorthWest","North")</f>
        <v>SouthEast</v>
      </c>
      <c r="AC1678" s="5">
        <f>CHOOSE(MATCH(AB1678,{"South";"SouthEast";"SouthWest";"North";"NorthEast";"East";"West";"NorthWest"},0),1,2,3,4,5,6,7,8)</f>
        <v>2</v>
      </c>
      <c r="AD1678" s="2">
        <f t="shared" si="302"/>
        <v>0</v>
      </c>
      <c r="AE1678">
        <v>1010.4</v>
      </c>
      <c r="AF1678" s="4" t="s">
        <v>2583</v>
      </c>
      <c r="AG1678" s="2">
        <f t="shared" si="303"/>
        <v>1</v>
      </c>
      <c r="AH1678" t="s">
        <v>2598</v>
      </c>
      <c r="AI1678" s="2">
        <f t="shared" si="304"/>
        <v>5</v>
      </c>
      <c r="AJ1678" s="2">
        <f t="shared" si="305"/>
        <v>0</v>
      </c>
      <c r="AK1678" s="3">
        <v>45</v>
      </c>
      <c r="AM1678" s="2">
        <v>0</v>
      </c>
      <c r="AN1678">
        <v>0</v>
      </c>
      <c r="AO1678">
        <v>0.15</v>
      </c>
      <c r="AP1678">
        <v>0</v>
      </c>
      <c r="AQ1678" s="2">
        <f>IF((2*G1678 + M1678 -P1678 + 3*W1678 + 2*Z1678+2*AD1678 + AG1678+2*AJ1678 + 4*AM1678) &gt;=8,1,0)</f>
        <v>0</v>
      </c>
    </row>
    <row r="1679" spans="1:43" x14ac:dyDescent="0.25">
      <c r="A1679" t="s">
        <v>27</v>
      </c>
      <c r="B1679" s="1">
        <v>44346</v>
      </c>
      <c r="C1679" s="7">
        <f t="shared" si="299"/>
        <v>2021</v>
      </c>
      <c r="D1679">
        <v>77.8</v>
      </c>
      <c r="E1679">
        <v>63.3</v>
      </c>
      <c r="F1679">
        <v>69.900000000000006</v>
      </c>
      <c r="G1679" s="2">
        <f t="shared" si="296"/>
        <v>0</v>
      </c>
      <c r="H1679">
        <v>77.8</v>
      </c>
      <c r="I1679">
        <v>63.3</v>
      </c>
      <c r="J1679">
        <v>69.900000000000006</v>
      </c>
      <c r="K1679">
        <v>54.7</v>
      </c>
      <c r="L1679">
        <v>59.2</v>
      </c>
      <c r="M1679" s="2">
        <f t="shared" si="300"/>
        <v>0</v>
      </c>
      <c r="N1679">
        <v>4.0000000000000001E-3</v>
      </c>
      <c r="P1679" s="2">
        <f t="shared" si="301"/>
        <v>1</v>
      </c>
      <c r="Q1679">
        <v>100</v>
      </c>
      <c r="R1679">
        <v>4.17</v>
      </c>
      <c r="S1679" t="s">
        <v>87</v>
      </c>
      <c r="T1679">
        <v>0</v>
      </c>
      <c r="U1679">
        <v>0</v>
      </c>
      <c r="V1679">
        <v>18.100000000000001</v>
      </c>
      <c r="W1679" s="2">
        <f t="shared" si="297"/>
        <v>1</v>
      </c>
      <c r="X1679">
        <v>9</v>
      </c>
      <c r="Z1679" s="2">
        <f t="shared" si="298"/>
        <v>0</v>
      </c>
      <c r="AA1679">
        <v>87.4</v>
      </c>
      <c r="AB1679" s="2" t="str">
        <f>CHOOSE(MATCH(AA1679,{0;11;80;111;161;191;241;281;341},1),"North","NorthEast","East","SouthEast","South","SouthWest","West","NorthWest","North")</f>
        <v>East</v>
      </c>
      <c r="AC1679" s="5">
        <f>CHOOSE(MATCH(AB1679,{"South";"SouthEast";"SouthWest";"North";"NorthEast";"East";"West";"NorthWest"},0),1,2,3,4,5,6,7,8)</f>
        <v>6</v>
      </c>
      <c r="AD1679" s="2">
        <f t="shared" si="302"/>
        <v>0</v>
      </c>
      <c r="AE1679">
        <v>1013.1</v>
      </c>
      <c r="AF1679" s="4" t="s">
        <v>2599</v>
      </c>
      <c r="AG1679" s="2">
        <f t="shared" si="303"/>
        <v>1</v>
      </c>
      <c r="AH1679" t="s">
        <v>2600</v>
      </c>
      <c r="AI1679" s="2">
        <f t="shared" si="304"/>
        <v>5</v>
      </c>
      <c r="AJ1679" s="2">
        <f t="shared" si="305"/>
        <v>0</v>
      </c>
      <c r="AK1679" s="3">
        <v>148.00000000046569</v>
      </c>
      <c r="AM1679" s="2">
        <v>0</v>
      </c>
      <c r="AN1679">
        <v>0</v>
      </c>
      <c r="AO1679">
        <v>0</v>
      </c>
      <c r="AP1679">
        <v>1.5</v>
      </c>
      <c r="AQ1679" s="2">
        <f>IF((2*G1679 + M1679 -P1679 + 3*W1679 + 2*Z1679+2*AD1679 + AG1679+2*AJ1679 + 4*AM1679) &gt;=8,1,0)</f>
        <v>0</v>
      </c>
    </row>
    <row r="1680" spans="1:43" x14ac:dyDescent="0.25">
      <c r="A1680" t="s">
        <v>27</v>
      </c>
      <c r="B1680" s="1">
        <v>44346</v>
      </c>
      <c r="C1680" s="7">
        <f t="shared" si="299"/>
        <v>2021</v>
      </c>
      <c r="D1680">
        <v>77.8</v>
      </c>
      <c r="E1680">
        <v>63.3</v>
      </c>
      <c r="F1680">
        <v>69.900000000000006</v>
      </c>
      <c r="G1680" s="2">
        <f t="shared" si="296"/>
        <v>0</v>
      </c>
      <c r="H1680">
        <v>77.8</v>
      </c>
      <c r="I1680">
        <v>63.3</v>
      </c>
      <c r="J1680">
        <v>69.900000000000006</v>
      </c>
      <c r="K1680">
        <v>54.7</v>
      </c>
      <c r="L1680">
        <v>59.2</v>
      </c>
      <c r="M1680" s="2">
        <f t="shared" si="300"/>
        <v>0</v>
      </c>
      <c r="N1680">
        <v>4.0000000000000001E-3</v>
      </c>
      <c r="P1680" s="2">
        <f t="shared" si="301"/>
        <v>1</v>
      </c>
      <c r="Q1680">
        <v>100</v>
      </c>
      <c r="R1680">
        <v>4.17</v>
      </c>
      <c r="S1680" t="s">
        <v>87</v>
      </c>
      <c r="T1680">
        <v>0</v>
      </c>
      <c r="U1680">
        <v>0</v>
      </c>
      <c r="V1680">
        <v>18.100000000000001</v>
      </c>
      <c r="W1680" s="2">
        <f t="shared" si="297"/>
        <v>1</v>
      </c>
      <c r="X1680">
        <v>9</v>
      </c>
      <c r="Z1680" s="2">
        <f t="shared" si="298"/>
        <v>0</v>
      </c>
      <c r="AA1680">
        <v>87.4</v>
      </c>
      <c r="AB1680" s="2" t="str">
        <f>CHOOSE(MATCH(AA1680,{0;11;80;111;161;191;241;281;341},1),"North","NorthEast","East","SouthEast","South","SouthWest","West","NorthWest","North")</f>
        <v>East</v>
      </c>
      <c r="AC1680" s="5">
        <f>CHOOSE(MATCH(AB1680,{"South";"SouthEast";"SouthWest";"North";"NorthEast";"East";"West";"NorthWest"},0),1,2,3,4,5,6,7,8)</f>
        <v>6</v>
      </c>
      <c r="AD1680" s="2">
        <f t="shared" si="302"/>
        <v>0</v>
      </c>
      <c r="AE1680">
        <v>1013.1</v>
      </c>
      <c r="AF1680" s="4" t="s">
        <v>2601</v>
      </c>
      <c r="AG1680" s="2">
        <f t="shared" si="303"/>
        <v>1</v>
      </c>
      <c r="AH1680" t="s">
        <v>2602</v>
      </c>
      <c r="AI1680" s="2">
        <f t="shared" si="304"/>
        <v>5</v>
      </c>
      <c r="AJ1680" s="2">
        <f t="shared" si="305"/>
        <v>0</v>
      </c>
      <c r="AK1680" s="3">
        <v>849.99999999417923</v>
      </c>
      <c r="AM1680" s="2">
        <v>1</v>
      </c>
      <c r="AN1680">
        <v>0</v>
      </c>
      <c r="AO1680">
        <v>15</v>
      </c>
      <c r="AP1680">
        <v>0</v>
      </c>
      <c r="AQ1680" s="2">
        <f>IF((2*G1680 + M1680 -P1680 + 3*W1680 + 2*Z1680+2*AD1680 + AG1680+2*AJ1680 + 4*AM1680) &gt;=8,1,0)</f>
        <v>0</v>
      </c>
    </row>
    <row r="1681" spans="1:43" x14ac:dyDescent="0.25">
      <c r="A1681" t="s">
        <v>27</v>
      </c>
      <c r="B1681" s="1">
        <v>44348</v>
      </c>
      <c r="C1681" s="7">
        <f t="shared" si="299"/>
        <v>2021</v>
      </c>
      <c r="D1681">
        <v>76.7</v>
      </c>
      <c r="E1681">
        <v>60.6</v>
      </c>
      <c r="F1681">
        <v>68.8</v>
      </c>
      <c r="G1681" s="2">
        <f t="shared" si="296"/>
        <v>0</v>
      </c>
      <c r="H1681">
        <v>76.7</v>
      </c>
      <c r="I1681">
        <v>60.6</v>
      </c>
      <c r="J1681">
        <v>68.8</v>
      </c>
      <c r="K1681">
        <v>50.1</v>
      </c>
      <c r="L1681">
        <v>53.3</v>
      </c>
      <c r="M1681" s="2">
        <f t="shared" si="300"/>
        <v>0</v>
      </c>
      <c r="N1681">
        <v>2E-3</v>
      </c>
      <c r="P1681" s="2">
        <f t="shared" si="301"/>
        <v>1</v>
      </c>
      <c r="Q1681">
        <v>100</v>
      </c>
      <c r="R1681">
        <v>4.17</v>
      </c>
      <c r="S1681" t="s">
        <v>87</v>
      </c>
      <c r="T1681">
        <v>0</v>
      </c>
      <c r="U1681">
        <v>0</v>
      </c>
      <c r="V1681">
        <v>24.3</v>
      </c>
      <c r="W1681" s="2">
        <f t="shared" si="297"/>
        <v>1</v>
      </c>
      <c r="X1681">
        <v>17.899999999999999</v>
      </c>
      <c r="Z1681" s="2">
        <f t="shared" si="298"/>
        <v>1</v>
      </c>
      <c r="AA1681">
        <v>35.4</v>
      </c>
      <c r="AB1681" s="2" t="str">
        <f>CHOOSE(MATCH(AA1681,{0;11;80;111;161;191;241;281;341},1),"North","NorthEast","East","SouthEast","South","SouthWest","West","NorthWest","North")</f>
        <v>NorthEast</v>
      </c>
      <c r="AC1681" s="5">
        <f>CHOOSE(MATCH(AB1681,{"South";"SouthEast";"SouthWest";"North";"NorthEast";"East";"West";"NorthWest"},0),1,2,3,4,5,6,7,8)</f>
        <v>5</v>
      </c>
      <c r="AD1681" s="2">
        <f t="shared" si="302"/>
        <v>1</v>
      </c>
      <c r="AE1681">
        <v>1011.4</v>
      </c>
      <c r="AF1681" s="4" t="s">
        <v>1064</v>
      </c>
      <c r="AG1681" s="2">
        <f t="shared" si="303"/>
        <v>1</v>
      </c>
      <c r="AH1681" t="s">
        <v>2603</v>
      </c>
      <c r="AI1681" s="2">
        <f t="shared" si="304"/>
        <v>6</v>
      </c>
      <c r="AJ1681" s="2">
        <f t="shared" si="305"/>
        <v>1</v>
      </c>
      <c r="AK1681" s="3">
        <v>1650.000000003492</v>
      </c>
      <c r="AM1681" s="2">
        <v>1</v>
      </c>
      <c r="AN1681">
        <v>0</v>
      </c>
      <c r="AO1681">
        <v>5</v>
      </c>
      <c r="AP1681">
        <v>0</v>
      </c>
      <c r="AQ1681" s="2">
        <f>IF((2*G1681 + M1681 -P1681 + 3*W1681 + 2*Z1681+2*AD1681 + AG1681+2*AJ1681 + 4*AM1681) &gt;=8,1,0)</f>
        <v>1</v>
      </c>
    </row>
    <row r="1682" spans="1:43" x14ac:dyDescent="0.25">
      <c r="A1682" t="s">
        <v>27</v>
      </c>
      <c r="B1682" s="1">
        <v>44349</v>
      </c>
      <c r="C1682" s="7">
        <f t="shared" si="299"/>
        <v>2021</v>
      </c>
      <c r="D1682">
        <v>76.2</v>
      </c>
      <c r="E1682">
        <v>55.8</v>
      </c>
      <c r="F1682">
        <v>66.7</v>
      </c>
      <c r="G1682" s="2">
        <f t="shared" si="296"/>
        <v>0</v>
      </c>
      <c r="H1682">
        <v>76.2</v>
      </c>
      <c r="I1682">
        <v>55.8</v>
      </c>
      <c r="J1682">
        <v>66.7</v>
      </c>
      <c r="K1682">
        <v>49</v>
      </c>
      <c r="L1682">
        <v>55.1</v>
      </c>
      <c r="M1682" s="2">
        <f t="shared" si="300"/>
        <v>0</v>
      </c>
      <c r="N1682">
        <v>0</v>
      </c>
      <c r="P1682" s="2">
        <f t="shared" si="301"/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28.7</v>
      </c>
      <c r="W1682" s="2">
        <f t="shared" si="297"/>
        <v>1</v>
      </c>
      <c r="X1682">
        <v>13.3</v>
      </c>
      <c r="Z1682" s="2">
        <f t="shared" si="298"/>
        <v>0</v>
      </c>
      <c r="AA1682">
        <v>45.2</v>
      </c>
      <c r="AB1682" s="2" t="str">
        <f>CHOOSE(MATCH(AA1682,{0;11;80;111;161;191;241;281;341},1),"North","NorthEast","East","SouthEast","South","SouthWest","West","NorthWest","North")</f>
        <v>NorthEast</v>
      </c>
      <c r="AC1682" s="5">
        <f>CHOOSE(MATCH(AB1682,{"South";"SouthEast";"SouthWest";"North";"NorthEast";"East";"West";"NorthWest"},0),1,2,3,4,5,6,7,8)</f>
        <v>5</v>
      </c>
      <c r="AD1682" s="2">
        <f t="shared" si="302"/>
        <v>1</v>
      </c>
      <c r="AE1682">
        <v>1017.4</v>
      </c>
      <c r="AF1682" s="4" t="s">
        <v>1241</v>
      </c>
      <c r="AG1682" s="2">
        <f t="shared" si="303"/>
        <v>1</v>
      </c>
      <c r="AH1682" t="s">
        <v>2604</v>
      </c>
      <c r="AI1682" s="2">
        <f t="shared" si="304"/>
        <v>6</v>
      </c>
      <c r="AJ1682" s="2">
        <f t="shared" si="305"/>
        <v>1</v>
      </c>
      <c r="AK1682" s="3">
        <v>1816.999999992549</v>
      </c>
      <c r="AM1682" s="2">
        <v>1</v>
      </c>
      <c r="AN1682">
        <v>40</v>
      </c>
      <c r="AO1682">
        <v>0</v>
      </c>
      <c r="AP1682">
        <v>0</v>
      </c>
      <c r="AQ1682" s="2">
        <f>IF((2*G1682 + M1682 -P1682 + 3*W1682 + 2*Z1682+2*AD1682 + AG1682+2*AJ1682 + 4*AM1682) &gt;=8,1,0)</f>
        <v>1</v>
      </c>
    </row>
    <row r="1683" spans="1:43" x14ac:dyDescent="0.25">
      <c r="A1683" t="s">
        <v>27</v>
      </c>
      <c r="B1683" s="1">
        <v>44352</v>
      </c>
      <c r="C1683" s="7">
        <f t="shared" si="299"/>
        <v>2021</v>
      </c>
      <c r="D1683">
        <v>78.599999999999994</v>
      </c>
      <c r="E1683">
        <v>60.2</v>
      </c>
      <c r="F1683">
        <v>70.400000000000006</v>
      </c>
      <c r="G1683" s="2">
        <f t="shared" si="296"/>
        <v>0</v>
      </c>
      <c r="H1683">
        <v>78.599999999999994</v>
      </c>
      <c r="I1683">
        <v>60.2</v>
      </c>
      <c r="J1683">
        <v>70.400000000000006</v>
      </c>
      <c r="K1683">
        <v>50.6</v>
      </c>
      <c r="L1683">
        <v>50.5</v>
      </c>
      <c r="M1683" s="2">
        <f t="shared" si="300"/>
        <v>0</v>
      </c>
      <c r="N1683">
        <v>0</v>
      </c>
      <c r="P1683" s="2">
        <f t="shared" si="301"/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20.100000000000001</v>
      </c>
      <c r="W1683" s="2">
        <f t="shared" si="297"/>
        <v>1</v>
      </c>
      <c r="X1683">
        <v>10.6</v>
      </c>
      <c r="Z1683" s="2">
        <f t="shared" si="298"/>
        <v>0</v>
      </c>
      <c r="AA1683">
        <v>104.5</v>
      </c>
      <c r="AB1683" s="2" t="str">
        <f>CHOOSE(MATCH(AA1683,{0;11;80;111;161;191;241;281;341},1),"North","NorthEast","East","SouthEast","South","SouthWest","West","NorthWest","North")</f>
        <v>East</v>
      </c>
      <c r="AC1683" s="5">
        <f>CHOOSE(MATCH(AB1683,{"South";"SouthEast";"SouthWest";"North";"NorthEast";"East";"West";"NorthWest"},0),1,2,3,4,5,6,7,8)</f>
        <v>6</v>
      </c>
      <c r="AD1683" s="2">
        <f t="shared" si="302"/>
        <v>0</v>
      </c>
      <c r="AE1683">
        <v>1020.6</v>
      </c>
      <c r="AF1683" s="4" t="s">
        <v>1749</v>
      </c>
      <c r="AG1683" s="2">
        <f t="shared" si="303"/>
        <v>1</v>
      </c>
      <c r="AH1683" t="s">
        <v>2605</v>
      </c>
      <c r="AI1683" s="2">
        <f t="shared" si="304"/>
        <v>6</v>
      </c>
      <c r="AJ1683" s="2">
        <f t="shared" si="305"/>
        <v>1</v>
      </c>
      <c r="AK1683" s="3">
        <v>426.99999999837019</v>
      </c>
      <c r="AM1683" s="2">
        <v>1</v>
      </c>
      <c r="AN1683">
        <v>0</v>
      </c>
      <c r="AO1683">
        <v>1</v>
      </c>
      <c r="AP1683">
        <v>0</v>
      </c>
      <c r="AQ1683" s="2">
        <f>IF((2*G1683 + M1683 -P1683 + 3*W1683 + 2*Z1683+2*AD1683 + AG1683+2*AJ1683 + 4*AM1683) &gt;=8,1,0)</f>
        <v>1</v>
      </c>
    </row>
    <row r="1684" spans="1:43" x14ac:dyDescent="0.25">
      <c r="A1684" t="s">
        <v>27</v>
      </c>
      <c r="B1684" s="1">
        <v>44354</v>
      </c>
      <c r="C1684" s="7">
        <f t="shared" si="299"/>
        <v>2021</v>
      </c>
      <c r="D1684">
        <v>85.3</v>
      </c>
      <c r="E1684">
        <v>65.900000000000006</v>
      </c>
      <c r="F1684">
        <v>76.400000000000006</v>
      </c>
      <c r="G1684" s="2">
        <f t="shared" si="296"/>
        <v>1</v>
      </c>
      <c r="H1684">
        <v>84.6</v>
      </c>
      <c r="I1684">
        <v>65.900000000000006</v>
      </c>
      <c r="J1684">
        <v>76</v>
      </c>
      <c r="K1684">
        <v>55.7</v>
      </c>
      <c r="L1684">
        <v>50.4</v>
      </c>
      <c r="M1684" s="2">
        <f t="shared" si="300"/>
        <v>0</v>
      </c>
      <c r="N1684">
        <v>0</v>
      </c>
      <c r="P1684" s="2">
        <f t="shared" si="301"/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30.4</v>
      </c>
      <c r="W1684" s="2">
        <f t="shared" si="297"/>
        <v>1</v>
      </c>
      <c r="X1684">
        <v>12.7</v>
      </c>
      <c r="Z1684" s="2">
        <f t="shared" si="298"/>
        <v>0</v>
      </c>
      <c r="AA1684">
        <v>138.6</v>
      </c>
      <c r="AB1684" s="2" t="str">
        <f>CHOOSE(MATCH(AA1684,{0;11;80;111;161;191;241;281;341},1),"North","NorthEast","East","SouthEast","South","SouthWest","West","NorthWest","North")</f>
        <v>SouthEast</v>
      </c>
      <c r="AC1684" s="5">
        <f>CHOOSE(MATCH(AB1684,{"South";"SouthEast";"SouthWest";"North";"NorthEast";"East";"West";"NorthWest"},0),1,2,3,4,5,6,7,8)</f>
        <v>2</v>
      </c>
      <c r="AD1684" s="2">
        <f t="shared" si="302"/>
        <v>0</v>
      </c>
      <c r="AE1684">
        <v>1014.7</v>
      </c>
      <c r="AF1684" s="4" t="s">
        <v>2471</v>
      </c>
      <c r="AG1684" s="2">
        <f t="shared" si="303"/>
        <v>1</v>
      </c>
      <c r="AH1684" t="s">
        <v>2606</v>
      </c>
      <c r="AI1684" s="2">
        <f t="shared" si="304"/>
        <v>6</v>
      </c>
      <c r="AJ1684" s="2">
        <f t="shared" si="305"/>
        <v>1</v>
      </c>
      <c r="AK1684" s="3">
        <v>81.000000002095476</v>
      </c>
      <c r="AM1684" s="2">
        <v>0</v>
      </c>
      <c r="AN1684">
        <v>0</v>
      </c>
      <c r="AO1684">
        <v>0.02</v>
      </c>
      <c r="AP1684">
        <v>0</v>
      </c>
      <c r="AQ1684" s="2">
        <f>IF((2*G1684 + M1684 -P1684 + 3*W1684 + 2*Z1684+2*AD1684 + AG1684+2*AJ1684 + 4*AM1684) &gt;=8,1,0)</f>
        <v>0</v>
      </c>
    </row>
    <row r="1685" spans="1:43" x14ac:dyDescent="0.25">
      <c r="A1685" t="s">
        <v>27</v>
      </c>
      <c r="B1685" s="1">
        <v>44357</v>
      </c>
      <c r="C1685" s="7">
        <f t="shared" si="299"/>
        <v>2021</v>
      </c>
      <c r="D1685">
        <v>82.5</v>
      </c>
      <c r="E1685">
        <v>67</v>
      </c>
      <c r="F1685">
        <v>74.8</v>
      </c>
      <c r="G1685" s="2">
        <f t="shared" si="296"/>
        <v>1</v>
      </c>
      <c r="H1685">
        <v>81.7</v>
      </c>
      <c r="I1685">
        <v>67</v>
      </c>
      <c r="J1685">
        <v>74.7</v>
      </c>
      <c r="K1685">
        <v>55.8</v>
      </c>
      <c r="L1685">
        <v>53.7</v>
      </c>
      <c r="M1685" s="2">
        <f t="shared" si="300"/>
        <v>0</v>
      </c>
      <c r="N1685">
        <v>0.03</v>
      </c>
      <c r="P1685" s="2">
        <f t="shared" si="301"/>
        <v>0</v>
      </c>
      <c r="Q1685">
        <v>100</v>
      </c>
      <c r="R1685">
        <v>4.17</v>
      </c>
      <c r="S1685" t="s">
        <v>87</v>
      </c>
      <c r="T1685">
        <v>0</v>
      </c>
      <c r="U1685">
        <v>0</v>
      </c>
      <c r="V1685">
        <v>28.9</v>
      </c>
      <c r="W1685" s="2">
        <f t="shared" si="297"/>
        <v>1</v>
      </c>
      <c r="X1685">
        <v>13.1</v>
      </c>
      <c r="Z1685" s="2">
        <f t="shared" si="298"/>
        <v>0</v>
      </c>
      <c r="AA1685">
        <v>352.5</v>
      </c>
      <c r="AB1685" s="2" t="str">
        <f>CHOOSE(MATCH(AA1685,{0;11;80;111;161;191;241;281;341},1),"North","NorthEast","East","SouthEast","South","SouthWest","West","NorthWest","North")</f>
        <v>North</v>
      </c>
      <c r="AC1685" s="5">
        <f>CHOOSE(MATCH(AB1685,{"South";"SouthEast";"SouthWest";"North";"NorthEast";"East";"West";"NorthWest"},0),1,2,3,4,5,6,7,8)</f>
        <v>4</v>
      </c>
      <c r="AD1685" s="2">
        <f t="shared" si="302"/>
        <v>1</v>
      </c>
      <c r="AE1685">
        <v>1010.7</v>
      </c>
      <c r="AF1685" s="4" t="s">
        <v>1884</v>
      </c>
      <c r="AG1685" s="2">
        <f t="shared" si="303"/>
        <v>0</v>
      </c>
      <c r="AH1685" t="s">
        <v>2607</v>
      </c>
      <c r="AI1685" s="2">
        <f t="shared" si="304"/>
        <v>6</v>
      </c>
      <c r="AJ1685" s="2">
        <f t="shared" si="305"/>
        <v>1</v>
      </c>
      <c r="AK1685" s="3">
        <v>81.000000002095476</v>
      </c>
      <c r="AM1685" s="2">
        <v>0</v>
      </c>
      <c r="AN1685">
        <v>0</v>
      </c>
      <c r="AO1685">
        <v>0.5</v>
      </c>
      <c r="AP1685">
        <v>0</v>
      </c>
      <c r="AQ1685" s="2">
        <f>IF((2*G1685 + M1685 -P1685 + 3*W1685 + 2*Z1685+2*AD1685 + AG1685+2*AJ1685 + 4*AM1685) &gt;=8,1,0)</f>
        <v>1</v>
      </c>
    </row>
    <row r="1686" spans="1:43" x14ac:dyDescent="0.25">
      <c r="A1686" t="s">
        <v>27</v>
      </c>
      <c r="B1686" s="1">
        <v>44358</v>
      </c>
      <c r="C1686" s="7">
        <f t="shared" si="299"/>
        <v>2021</v>
      </c>
      <c r="D1686">
        <v>82</v>
      </c>
      <c r="E1686">
        <v>62.6</v>
      </c>
      <c r="F1686">
        <v>71.599999999999994</v>
      </c>
      <c r="G1686" s="2">
        <f t="shared" si="296"/>
        <v>0</v>
      </c>
      <c r="H1686">
        <v>81.2</v>
      </c>
      <c r="I1686">
        <v>62.6</v>
      </c>
      <c r="J1686">
        <v>71.5</v>
      </c>
      <c r="K1686">
        <v>55.9</v>
      </c>
      <c r="L1686">
        <v>59.2</v>
      </c>
      <c r="M1686" s="2">
        <f t="shared" si="300"/>
        <v>0</v>
      </c>
      <c r="N1686">
        <v>8.2000000000000003E-2</v>
      </c>
      <c r="P1686" s="2">
        <f t="shared" si="301"/>
        <v>0</v>
      </c>
      <c r="Q1686">
        <v>100</v>
      </c>
      <c r="R1686">
        <v>8.33</v>
      </c>
      <c r="S1686" t="s">
        <v>87</v>
      </c>
      <c r="T1686">
        <v>0</v>
      </c>
      <c r="U1686">
        <v>0</v>
      </c>
      <c r="V1686">
        <v>21.9</v>
      </c>
      <c r="W1686" s="2">
        <f t="shared" si="297"/>
        <v>1</v>
      </c>
      <c r="X1686">
        <v>11.2</v>
      </c>
      <c r="Z1686" s="2">
        <f t="shared" si="298"/>
        <v>0</v>
      </c>
      <c r="AA1686">
        <v>355.5</v>
      </c>
      <c r="AB1686" s="2" t="str">
        <f>CHOOSE(MATCH(AA1686,{0;11;80;111;161;191;241;281;341},1),"North","NorthEast","East","SouthEast","South","SouthWest","West","NorthWest","North")</f>
        <v>North</v>
      </c>
      <c r="AC1686" s="5">
        <f>CHOOSE(MATCH(AB1686,{"South";"SouthEast";"SouthWest";"North";"NorthEast";"East";"West";"NorthWest"},0),1,2,3,4,5,6,7,8)</f>
        <v>4</v>
      </c>
      <c r="AD1686" s="2">
        <f t="shared" si="302"/>
        <v>1</v>
      </c>
      <c r="AE1686">
        <v>1012</v>
      </c>
      <c r="AF1686" s="4" t="s">
        <v>1116</v>
      </c>
      <c r="AG1686" s="2">
        <f t="shared" si="303"/>
        <v>1</v>
      </c>
      <c r="AH1686" t="s">
        <v>2608</v>
      </c>
      <c r="AI1686" s="2">
        <f t="shared" si="304"/>
        <v>6</v>
      </c>
      <c r="AJ1686" s="2">
        <f t="shared" si="305"/>
        <v>1</v>
      </c>
      <c r="AK1686" s="3">
        <v>90</v>
      </c>
      <c r="AM1686" s="2">
        <v>0</v>
      </c>
      <c r="AN1686">
        <v>0</v>
      </c>
      <c r="AO1686">
        <v>0.02</v>
      </c>
      <c r="AP1686">
        <v>0</v>
      </c>
      <c r="AQ1686" s="2">
        <f>IF((2*G1686 + M1686 -P1686 + 3*W1686 + 2*Z1686+2*AD1686 + AG1686+2*AJ1686 + 4*AM1686) &gt;=8,1,0)</f>
        <v>1</v>
      </c>
    </row>
    <row r="1687" spans="1:43" x14ac:dyDescent="0.25">
      <c r="A1687" t="s">
        <v>27</v>
      </c>
      <c r="B1687" s="1">
        <v>44359</v>
      </c>
      <c r="C1687" s="7">
        <f t="shared" si="299"/>
        <v>2021</v>
      </c>
      <c r="D1687">
        <v>79.099999999999994</v>
      </c>
      <c r="E1687">
        <v>62.6</v>
      </c>
      <c r="F1687">
        <v>70.599999999999994</v>
      </c>
      <c r="G1687" s="2">
        <f t="shared" si="296"/>
        <v>0</v>
      </c>
      <c r="H1687">
        <v>79.099999999999994</v>
      </c>
      <c r="I1687">
        <v>62.6</v>
      </c>
      <c r="J1687">
        <v>70.599999999999994</v>
      </c>
      <c r="K1687">
        <v>58.8</v>
      </c>
      <c r="L1687">
        <v>67.3</v>
      </c>
      <c r="M1687" s="2">
        <f t="shared" si="300"/>
        <v>0</v>
      </c>
      <c r="N1687">
        <v>0.21299999999999999</v>
      </c>
      <c r="P1687" s="2">
        <f t="shared" si="301"/>
        <v>0</v>
      </c>
      <c r="Q1687">
        <v>100</v>
      </c>
      <c r="R1687">
        <v>8.33</v>
      </c>
      <c r="S1687" t="s">
        <v>87</v>
      </c>
      <c r="T1687">
        <v>0</v>
      </c>
      <c r="U1687">
        <v>0</v>
      </c>
      <c r="V1687">
        <v>20.5</v>
      </c>
      <c r="W1687" s="2">
        <f t="shared" si="297"/>
        <v>1</v>
      </c>
      <c r="X1687">
        <v>10</v>
      </c>
      <c r="Z1687" s="2">
        <f t="shared" si="298"/>
        <v>0</v>
      </c>
      <c r="AA1687">
        <v>5.9</v>
      </c>
      <c r="AB1687" s="2" t="str">
        <f>CHOOSE(MATCH(AA1687,{0;11;80;111;161;191;241;281;341},1),"North","NorthEast","East","SouthEast","South","SouthWest","West","NorthWest","North")</f>
        <v>North</v>
      </c>
      <c r="AC1687" s="5">
        <f>CHOOSE(MATCH(AB1687,{"South";"SouthEast";"SouthWest";"North";"NorthEast";"East";"West";"NorthWest"},0),1,2,3,4,5,6,7,8)</f>
        <v>4</v>
      </c>
      <c r="AD1687" s="2">
        <f t="shared" si="302"/>
        <v>1</v>
      </c>
      <c r="AE1687">
        <v>1013.7</v>
      </c>
      <c r="AF1687" s="4" t="s">
        <v>1774</v>
      </c>
      <c r="AG1687" s="2">
        <f t="shared" si="303"/>
        <v>1</v>
      </c>
      <c r="AH1687" t="s">
        <v>2609</v>
      </c>
      <c r="AI1687" s="2">
        <f t="shared" si="304"/>
        <v>6</v>
      </c>
      <c r="AJ1687" s="2">
        <f t="shared" si="305"/>
        <v>1</v>
      </c>
      <c r="AK1687" s="3">
        <v>85.999999997438863</v>
      </c>
      <c r="AM1687" s="2">
        <v>0</v>
      </c>
      <c r="AN1687">
        <v>0</v>
      </c>
      <c r="AO1687">
        <v>7.0000000000000007E-2</v>
      </c>
      <c r="AP1687">
        <v>0</v>
      </c>
      <c r="AQ1687" s="2">
        <f>IF((2*G1687 + M1687 -P1687 + 3*W1687 + 2*Z1687+2*AD1687 + AG1687+2*AJ1687 + 4*AM1687) &gt;=8,1,0)</f>
        <v>1</v>
      </c>
    </row>
    <row r="1688" spans="1:43" x14ac:dyDescent="0.25">
      <c r="A1688" t="s">
        <v>27</v>
      </c>
      <c r="B1688" s="1">
        <v>44359</v>
      </c>
      <c r="C1688" s="7">
        <f t="shared" si="299"/>
        <v>2021</v>
      </c>
      <c r="D1688">
        <v>79.099999999999994</v>
      </c>
      <c r="E1688">
        <v>62.6</v>
      </c>
      <c r="F1688">
        <v>70.599999999999994</v>
      </c>
      <c r="G1688" s="2">
        <f t="shared" si="296"/>
        <v>0</v>
      </c>
      <c r="H1688">
        <v>79.099999999999994</v>
      </c>
      <c r="I1688">
        <v>62.6</v>
      </c>
      <c r="J1688">
        <v>70.599999999999994</v>
      </c>
      <c r="K1688">
        <v>58.8</v>
      </c>
      <c r="L1688">
        <v>67.3</v>
      </c>
      <c r="M1688" s="2">
        <f t="shared" si="300"/>
        <v>0</v>
      </c>
      <c r="N1688">
        <v>0.21299999999999999</v>
      </c>
      <c r="P1688" s="2">
        <f t="shared" si="301"/>
        <v>0</v>
      </c>
      <c r="Q1688">
        <v>100</v>
      </c>
      <c r="R1688">
        <v>8.33</v>
      </c>
      <c r="S1688" t="s">
        <v>87</v>
      </c>
      <c r="T1688">
        <v>0</v>
      </c>
      <c r="U1688">
        <v>0</v>
      </c>
      <c r="V1688">
        <v>20.5</v>
      </c>
      <c r="W1688" s="2">
        <f t="shared" si="297"/>
        <v>1</v>
      </c>
      <c r="X1688">
        <v>10</v>
      </c>
      <c r="Z1688" s="2">
        <f t="shared" si="298"/>
        <v>0</v>
      </c>
      <c r="AA1688">
        <v>5.9</v>
      </c>
      <c r="AB1688" s="2" t="str">
        <f>CHOOSE(MATCH(AA1688,{0;11;80;111;161;191;241;281;341},1),"North","NorthEast","East","SouthEast","South","SouthWest","West","NorthWest","North")</f>
        <v>North</v>
      </c>
      <c r="AC1688" s="5">
        <f>CHOOSE(MATCH(AB1688,{"South";"SouthEast";"SouthWest";"North";"NorthEast";"East";"West";"NorthWest"},0),1,2,3,4,5,6,7,8)</f>
        <v>4</v>
      </c>
      <c r="AD1688" s="2">
        <f t="shared" si="302"/>
        <v>1</v>
      </c>
      <c r="AE1688">
        <v>1013.7</v>
      </c>
      <c r="AF1688" s="4" t="s">
        <v>2610</v>
      </c>
      <c r="AG1688" s="2">
        <f t="shared" si="303"/>
        <v>1</v>
      </c>
      <c r="AH1688" t="s">
        <v>2611</v>
      </c>
      <c r="AI1688" s="2">
        <f t="shared" si="304"/>
        <v>6</v>
      </c>
      <c r="AJ1688" s="2">
        <f t="shared" si="305"/>
        <v>1</v>
      </c>
      <c r="AK1688" s="3">
        <v>185.99999999860299</v>
      </c>
      <c r="AM1688" s="2">
        <v>0</v>
      </c>
      <c r="AN1688">
        <v>0</v>
      </c>
      <c r="AO1688">
        <v>0.1</v>
      </c>
      <c r="AP1688">
        <v>0</v>
      </c>
      <c r="AQ1688" s="2">
        <f>IF((2*G1688 + M1688 -P1688 + 3*W1688 + 2*Z1688+2*AD1688 + AG1688+2*AJ1688 + 4*AM1688) &gt;=8,1,0)</f>
        <v>1</v>
      </c>
    </row>
    <row r="1689" spans="1:43" x14ac:dyDescent="0.25">
      <c r="A1689" t="s">
        <v>27</v>
      </c>
      <c r="B1689" s="1">
        <v>44374</v>
      </c>
      <c r="C1689" s="7">
        <f t="shared" si="299"/>
        <v>2021</v>
      </c>
      <c r="D1689">
        <v>94</v>
      </c>
      <c r="E1689">
        <v>77.3</v>
      </c>
      <c r="F1689">
        <v>86.2</v>
      </c>
      <c r="G1689" s="2">
        <f t="shared" si="296"/>
        <v>1</v>
      </c>
      <c r="H1689">
        <v>96.5</v>
      </c>
      <c r="I1689">
        <v>77.3</v>
      </c>
      <c r="J1689">
        <v>87.2</v>
      </c>
      <c r="K1689">
        <v>63.7</v>
      </c>
      <c r="L1689">
        <v>48.5</v>
      </c>
      <c r="M1689" s="2">
        <f t="shared" si="300"/>
        <v>1</v>
      </c>
      <c r="N1689">
        <v>0</v>
      </c>
      <c r="P1689" s="2">
        <f t="shared" si="301"/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22.4</v>
      </c>
      <c r="W1689" s="2">
        <f t="shared" si="297"/>
        <v>1</v>
      </c>
      <c r="X1689">
        <v>13.6</v>
      </c>
      <c r="Z1689" s="2">
        <f t="shared" si="298"/>
        <v>0</v>
      </c>
      <c r="AA1689">
        <v>70.7</v>
      </c>
      <c r="AB1689" s="2" t="str">
        <f>CHOOSE(MATCH(AA1689,{0;11;80;111;161;191;241;281;341},1),"North","NorthEast","East","SouthEast","South","SouthWest","West","NorthWest","North")</f>
        <v>NorthEast</v>
      </c>
      <c r="AC1689" s="5">
        <f>CHOOSE(MATCH(AB1689,{"South";"SouthEast";"SouthWest";"North";"NorthEast";"East";"West";"NorthWest"},0),1,2,3,4,5,6,7,8)</f>
        <v>5</v>
      </c>
      <c r="AD1689" s="2">
        <f t="shared" si="302"/>
        <v>1</v>
      </c>
      <c r="AE1689">
        <v>1011.2</v>
      </c>
      <c r="AF1689" s="4" t="s">
        <v>2612</v>
      </c>
      <c r="AG1689" s="2">
        <f t="shared" si="303"/>
        <v>1</v>
      </c>
      <c r="AH1689" t="s">
        <v>2613</v>
      </c>
      <c r="AI1689" s="2">
        <f t="shared" si="304"/>
        <v>6</v>
      </c>
      <c r="AJ1689" s="2">
        <f t="shared" si="305"/>
        <v>1</v>
      </c>
      <c r="AK1689" s="3">
        <v>415.00000000116421</v>
      </c>
      <c r="AM1689" s="2">
        <v>1</v>
      </c>
      <c r="AN1689">
        <v>18</v>
      </c>
      <c r="AO1689">
        <v>0</v>
      </c>
      <c r="AP1689">
        <v>0</v>
      </c>
      <c r="AQ1689" s="2">
        <f>IF((2*G1689 + M1689 -P1689 + 3*W1689 + 2*Z1689+2*AD1689 + AG1689+2*AJ1689 + 4*AM1689) &gt;=8,1,0)</f>
        <v>1</v>
      </c>
    </row>
    <row r="1690" spans="1:43" x14ac:dyDescent="0.25">
      <c r="A1690" t="s">
        <v>27</v>
      </c>
      <c r="B1690" s="1">
        <v>44376</v>
      </c>
      <c r="C1690" s="7">
        <f t="shared" si="299"/>
        <v>2021</v>
      </c>
      <c r="D1690">
        <v>94.8</v>
      </c>
      <c r="E1690">
        <v>74.2</v>
      </c>
      <c r="F1690">
        <v>85.2</v>
      </c>
      <c r="G1690" s="2">
        <f t="shared" si="296"/>
        <v>1</v>
      </c>
      <c r="H1690">
        <v>94.8</v>
      </c>
      <c r="I1690">
        <v>74.2</v>
      </c>
      <c r="J1690">
        <v>85.1</v>
      </c>
      <c r="K1690">
        <v>60.9</v>
      </c>
      <c r="L1690">
        <v>45.8</v>
      </c>
      <c r="M1690" s="2">
        <f t="shared" si="300"/>
        <v>1</v>
      </c>
      <c r="N1690">
        <v>0</v>
      </c>
      <c r="P1690" s="2">
        <f t="shared" si="301"/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18.2</v>
      </c>
      <c r="W1690" s="2">
        <f t="shared" si="297"/>
        <v>1</v>
      </c>
      <c r="X1690">
        <v>13</v>
      </c>
      <c r="Z1690" s="2">
        <f t="shared" si="298"/>
        <v>0</v>
      </c>
      <c r="AA1690">
        <v>102.9</v>
      </c>
      <c r="AB1690" s="2" t="str">
        <f>CHOOSE(MATCH(AA1690,{0;11;80;111;161;191;241;281;341},1),"North","NorthEast","East","SouthEast","South","SouthWest","West","NorthWest","North")</f>
        <v>East</v>
      </c>
      <c r="AC1690" s="5">
        <f>CHOOSE(MATCH(AB1690,{"South";"SouthEast";"SouthWest";"North";"NorthEast";"East";"West";"NorthWest"},0),1,2,3,4,5,6,7,8)</f>
        <v>6</v>
      </c>
      <c r="AD1690" s="2">
        <f t="shared" si="302"/>
        <v>0</v>
      </c>
      <c r="AE1690">
        <v>1013.8</v>
      </c>
      <c r="AF1690" s="4" t="s">
        <v>2614</v>
      </c>
      <c r="AG1690" s="2">
        <f t="shared" si="303"/>
        <v>1</v>
      </c>
      <c r="AH1690" t="s">
        <v>2615</v>
      </c>
      <c r="AI1690" s="2">
        <f t="shared" si="304"/>
        <v>6</v>
      </c>
      <c r="AJ1690" s="2">
        <f t="shared" si="305"/>
        <v>1</v>
      </c>
      <c r="AK1690" s="3">
        <v>94.999999995343387</v>
      </c>
      <c r="AM1690" s="2">
        <v>0</v>
      </c>
      <c r="AN1690">
        <v>0</v>
      </c>
      <c r="AO1690">
        <v>0.2</v>
      </c>
      <c r="AP1690">
        <v>0</v>
      </c>
      <c r="AQ1690" s="2">
        <f>IF((2*G1690 + M1690 -P1690 + 3*W1690 + 2*Z1690+2*AD1690 + AG1690+2*AJ1690 + 4*AM1690) &gt;=8,1,0)</f>
        <v>1</v>
      </c>
    </row>
    <row r="1691" spans="1:43" x14ac:dyDescent="0.25">
      <c r="A1691" t="s">
        <v>27</v>
      </c>
      <c r="B1691" s="1">
        <v>44377</v>
      </c>
      <c r="C1691" s="7">
        <f t="shared" si="299"/>
        <v>2021</v>
      </c>
      <c r="D1691">
        <v>95.9</v>
      </c>
      <c r="E1691">
        <v>76.099999999999994</v>
      </c>
      <c r="F1691">
        <v>86.1</v>
      </c>
      <c r="G1691" s="2">
        <f t="shared" si="296"/>
        <v>1</v>
      </c>
      <c r="H1691">
        <v>95.5</v>
      </c>
      <c r="I1691">
        <v>76.099999999999994</v>
      </c>
      <c r="J1691">
        <v>86</v>
      </c>
      <c r="K1691">
        <v>60.7</v>
      </c>
      <c r="L1691">
        <v>44.5</v>
      </c>
      <c r="M1691" s="2">
        <f t="shared" si="300"/>
        <v>1</v>
      </c>
      <c r="N1691">
        <v>0</v>
      </c>
      <c r="P1691" s="2">
        <f t="shared" si="301"/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23</v>
      </c>
      <c r="W1691" s="2">
        <f t="shared" si="297"/>
        <v>1</v>
      </c>
      <c r="X1691">
        <v>12.2</v>
      </c>
      <c r="Z1691" s="2">
        <f t="shared" si="298"/>
        <v>0</v>
      </c>
      <c r="AA1691">
        <v>109.6</v>
      </c>
      <c r="AB1691" s="2" t="str">
        <f>CHOOSE(MATCH(AA1691,{0;11;80;111;161;191;241;281;341},1),"North","NorthEast","East","SouthEast","South","SouthWest","West","NorthWest","North")</f>
        <v>East</v>
      </c>
      <c r="AC1691" s="5">
        <f>CHOOSE(MATCH(AB1691,{"South";"SouthEast";"SouthWest";"North";"NorthEast";"East";"West";"NorthWest"},0),1,2,3,4,5,6,7,8)</f>
        <v>6</v>
      </c>
      <c r="AD1691" s="2">
        <f t="shared" si="302"/>
        <v>0</v>
      </c>
      <c r="AE1691">
        <v>1012.5</v>
      </c>
      <c r="AF1691" s="4" t="s">
        <v>1243</v>
      </c>
      <c r="AG1691" s="2">
        <f t="shared" si="303"/>
        <v>0</v>
      </c>
      <c r="AH1691" t="s">
        <v>2616</v>
      </c>
      <c r="AI1691" s="2">
        <f t="shared" si="304"/>
        <v>6</v>
      </c>
      <c r="AJ1691" s="2">
        <f t="shared" si="305"/>
        <v>1</v>
      </c>
      <c r="AK1691" s="3">
        <v>84.999999994179234</v>
      </c>
      <c r="AM1691" s="2">
        <v>0</v>
      </c>
      <c r="AN1691">
        <v>0</v>
      </c>
      <c r="AO1691">
        <v>5</v>
      </c>
      <c r="AP1691">
        <v>0</v>
      </c>
      <c r="AQ1691" s="2">
        <f>IF((2*G1691 + M1691 -P1691 + 3*W1691 + 2*Z1691+2*AD1691 + AG1691+2*AJ1691 + 4*AM1691) &gt;=8,1,0)</f>
        <v>0</v>
      </c>
    </row>
    <row r="1692" spans="1:43" x14ac:dyDescent="0.25">
      <c r="A1692" t="s">
        <v>27</v>
      </c>
      <c r="B1692" s="1">
        <v>44382</v>
      </c>
      <c r="C1692" s="7">
        <f t="shared" si="299"/>
        <v>2021</v>
      </c>
      <c r="D1692">
        <v>90.1</v>
      </c>
      <c r="E1692">
        <v>71.8</v>
      </c>
      <c r="F1692">
        <v>81.599999999999994</v>
      </c>
      <c r="G1692" s="2">
        <f t="shared" si="296"/>
        <v>1</v>
      </c>
      <c r="H1692">
        <v>91.6</v>
      </c>
      <c r="I1692">
        <v>71.8</v>
      </c>
      <c r="J1692">
        <v>81.900000000000006</v>
      </c>
      <c r="K1692">
        <v>62.5</v>
      </c>
      <c r="L1692">
        <v>54.2</v>
      </c>
      <c r="M1692" s="2">
        <f t="shared" si="300"/>
        <v>0</v>
      </c>
      <c r="N1692">
        <v>0</v>
      </c>
      <c r="P1692" s="2">
        <f t="shared" si="301"/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26.4</v>
      </c>
      <c r="W1692" s="2">
        <f t="shared" si="297"/>
        <v>1</v>
      </c>
      <c r="X1692">
        <v>13.1</v>
      </c>
      <c r="Z1692" s="2">
        <f t="shared" si="298"/>
        <v>0</v>
      </c>
      <c r="AA1692">
        <v>160.4</v>
      </c>
      <c r="AB1692" s="2" t="str">
        <f>CHOOSE(MATCH(AA1692,{0;11;80;111;161;191;241;281;341},1),"North","NorthEast","East","SouthEast","South","SouthWest","West","NorthWest","North")</f>
        <v>SouthEast</v>
      </c>
      <c r="AC1692" s="5">
        <f>CHOOSE(MATCH(AB1692,{"South";"SouthEast";"SouthWest";"North";"NorthEast";"East";"West";"NorthWest"},0),1,2,3,4,5,6,7,8)</f>
        <v>2</v>
      </c>
      <c r="AD1692" s="2">
        <f t="shared" si="302"/>
        <v>0</v>
      </c>
      <c r="AE1692">
        <v>1007.8</v>
      </c>
      <c r="AF1692" s="4" t="s">
        <v>1237</v>
      </c>
      <c r="AG1692" s="2">
        <f t="shared" si="303"/>
        <v>1</v>
      </c>
      <c r="AH1692" t="s">
        <v>2617</v>
      </c>
      <c r="AI1692" s="2">
        <f t="shared" si="304"/>
        <v>7</v>
      </c>
      <c r="AJ1692" s="2">
        <f t="shared" si="305"/>
        <v>1</v>
      </c>
      <c r="AK1692" s="3">
        <v>420.00000000698492</v>
      </c>
      <c r="AM1692" s="2">
        <v>1</v>
      </c>
      <c r="AN1692">
        <v>0.01</v>
      </c>
      <c r="AO1692">
        <v>0</v>
      </c>
      <c r="AP1692">
        <v>0</v>
      </c>
      <c r="AQ1692" s="2">
        <f>IF((2*G1692 + M1692 -P1692 + 3*W1692 + 2*Z1692+2*AD1692 + AG1692+2*AJ1692 + 4*AM1692) &gt;=8,1,0)</f>
        <v>1</v>
      </c>
    </row>
    <row r="1693" spans="1:43" x14ac:dyDescent="0.25">
      <c r="A1693" t="s">
        <v>27</v>
      </c>
      <c r="B1693" s="1">
        <v>44382</v>
      </c>
      <c r="C1693" s="7">
        <f t="shared" si="299"/>
        <v>2021</v>
      </c>
      <c r="D1693">
        <v>90.1</v>
      </c>
      <c r="E1693">
        <v>71.8</v>
      </c>
      <c r="F1693">
        <v>81.599999999999994</v>
      </c>
      <c r="G1693" s="2">
        <f t="shared" si="296"/>
        <v>1</v>
      </c>
      <c r="H1693">
        <v>91.6</v>
      </c>
      <c r="I1693">
        <v>71.8</v>
      </c>
      <c r="J1693">
        <v>81.900000000000006</v>
      </c>
      <c r="K1693">
        <v>62.5</v>
      </c>
      <c r="L1693">
        <v>54.2</v>
      </c>
      <c r="M1693" s="2">
        <f t="shared" si="300"/>
        <v>0</v>
      </c>
      <c r="N1693">
        <v>0</v>
      </c>
      <c r="P1693" s="2">
        <f t="shared" si="301"/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26.4</v>
      </c>
      <c r="W1693" s="2">
        <f t="shared" si="297"/>
        <v>1</v>
      </c>
      <c r="X1693">
        <v>13.1</v>
      </c>
      <c r="Z1693" s="2">
        <f t="shared" si="298"/>
        <v>0</v>
      </c>
      <c r="AA1693">
        <v>160.4</v>
      </c>
      <c r="AB1693" s="2" t="str">
        <f>CHOOSE(MATCH(AA1693,{0;11;80;111;161;191;241;281;341},1),"North","NorthEast","East","SouthEast","South","SouthWest","West","NorthWest","North")</f>
        <v>SouthEast</v>
      </c>
      <c r="AC1693" s="5">
        <f>CHOOSE(MATCH(AB1693,{"South";"SouthEast";"SouthWest";"North";"NorthEast";"East";"West";"NorthWest"},0),1,2,3,4,5,6,7,8)</f>
        <v>2</v>
      </c>
      <c r="AD1693" s="2">
        <f t="shared" si="302"/>
        <v>0</v>
      </c>
      <c r="AE1693">
        <v>1007.8</v>
      </c>
      <c r="AF1693" s="4" t="s">
        <v>1281</v>
      </c>
      <c r="AG1693" s="2">
        <f t="shared" si="303"/>
        <v>1</v>
      </c>
      <c r="AH1693" t="s">
        <v>2618</v>
      </c>
      <c r="AI1693" s="2">
        <f t="shared" si="304"/>
        <v>7</v>
      </c>
      <c r="AJ1693" s="2">
        <f t="shared" si="305"/>
        <v>1</v>
      </c>
      <c r="AK1693" s="3">
        <v>95.999999998603016</v>
      </c>
      <c r="AM1693" s="2">
        <v>0</v>
      </c>
      <c r="AN1693">
        <v>0.03</v>
      </c>
      <c r="AO1693">
        <v>0</v>
      </c>
      <c r="AP1693">
        <v>0</v>
      </c>
      <c r="AQ1693" s="2">
        <f>IF((2*G1693 + M1693 -P1693 + 3*W1693 + 2*Z1693+2*AD1693 + AG1693+2*AJ1693 + 4*AM1693) &gt;=8,1,0)</f>
        <v>0</v>
      </c>
    </row>
    <row r="1694" spans="1:43" x14ac:dyDescent="0.25">
      <c r="A1694" t="s">
        <v>27</v>
      </c>
      <c r="B1694" s="1">
        <v>44382</v>
      </c>
      <c r="C1694" s="7">
        <f t="shared" si="299"/>
        <v>2021</v>
      </c>
      <c r="D1694">
        <v>90.1</v>
      </c>
      <c r="E1694">
        <v>71.8</v>
      </c>
      <c r="F1694">
        <v>81.599999999999994</v>
      </c>
      <c r="G1694" s="2">
        <f t="shared" si="296"/>
        <v>1</v>
      </c>
      <c r="H1694">
        <v>91.6</v>
      </c>
      <c r="I1694">
        <v>71.8</v>
      </c>
      <c r="J1694">
        <v>81.900000000000006</v>
      </c>
      <c r="K1694">
        <v>62.5</v>
      </c>
      <c r="L1694">
        <v>54.2</v>
      </c>
      <c r="M1694" s="2">
        <f t="shared" si="300"/>
        <v>0</v>
      </c>
      <c r="N1694">
        <v>0</v>
      </c>
      <c r="P1694" s="2">
        <f t="shared" si="301"/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26.4</v>
      </c>
      <c r="W1694" s="2">
        <f t="shared" si="297"/>
        <v>1</v>
      </c>
      <c r="X1694">
        <v>13.1</v>
      </c>
      <c r="Z1694" s="2">
        <f t="shared" si="298"/>
        <v>0</v>
      </c>
      <c r="AA1694">
        <v>160.4</v>
      </c>
      <c r="AB1694" s="2" t="str">
        <f>CHOOSE(MATCH(AA1694,{0;11;80;111;161;191;241;281;341},1),"North","NorthEast","East","SouthEast","South","SouthWest","West","NorthWest","North")</f>
        <v>SouthEast</v>
      </c>
      <c r="AC1694" s="5">
        <f>CHOOSE(MATCH(AB1694,{"South";"SouthEast";"SouthWest";"North";"NorthEast";"East";"West";"NorthWest"},0),1,2,3,4,5,6,7,8)</f>
        <v>2</v>
      </c>
      <c r="AD1694" s="2">
        <f t="shared" si="302"/>
        <v>0</v>
      </c>
      <c r="AE1694">
        <v>1007.8</v>
      </c>
      <c r="AF1694" s="4" t="s">
        <v>2098</v>
      </c>
      <c r="AG1694" s="2">
        <f t="shared" si="303"/>
        <v>1</v>
      </c>
      <c r="AH1694" t="s">
        <v>2619</v>
      </c>
      <c r="AI1694" s="2">
        <f t="shared" si="304"/>
        <v>7</v>
      </c>
      <c r="AJ1694" s="2">
        <f t="shared" si="305"/>
        <v>1</v>
      </c>
      <c r="AK1694" s="3">
        <v>1194.000000004889</v>
      </c>
      <c r="AM1694" s="2">
        <v>1</v>
      </c>
      <c r="AN1694">
        <v>0.02</v>
      </c>
      <c r="AO1694">
        <v>0</v>
      </c>
      <c r="AP1694">
        <v>0</v>
      </c>
      <c r="AQ1694" s="2">
        <f>IF((2*G1694 + M1694 -P1694 + 3*W1694 + 2*Z1694+2*AD1694 + AG1694+2*AJ1694 + 4*AM1694) &gt;=8,1,0)</f>
        <v>1</v>
      </c>
    </row>
    <row r="1695" spans="1:43" x14ac:dyDescent="0.25">
      <c r="A1695" t="s">
        <v>27</v>
      </c>
      <c r="B1695" s="1">
        <v>44386</v>
      </c>
      <c r="C1695" s="7">
        <f t="shared" si="299"/>
        <v>2021</v>
      </c>
      <c r="D1695">
        <v>90.3</v>
      </c>
      <c r="E1695">
        <v>78.7</v>
      </c>
      <c r="F1695">
        <v>84.2</v>
      </c>
      <c r="G1695" s="2">
        <f t="shared" si="296"/>
        <v>1</v>
      </c>
      <c r="H1695">
        <v>88.9</v>
      </c>
      <c r="I1695">
        <v>78.7</v>
      </c>
      <c r="J1695">
        <v>83.8</v>
      </c>
      <c r="K1695">
        <v>59.3</v>
      </c>
      <c r="L1695">
        <v>44.2</v>
      </c>
      <c r="M1695" s="2">
        <f t="shared" si="300"/>
        <v>1</v>
      </c>
      <c r="N1695">
        <v>0</v>
      </c>
      <c r="P1695" s="2">
        <f t="shared" si="301"/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34</v>
      </c>
      <c r="W1695" s="2">
        <f t="shared" si="297"/>
        <v>1</v>
      </c>
      <c r="X1695">
        <v>20.8</v>
      </c>
      <c r="Z1695" s="2">
        <f t="shared" si="298"/>
        <v>1</v>
      </c>
      <c r="AA1695">
        <v>8</v>
      </c>
      <c r="AB1695" s="2" t="str">
        <f>CHOOSE(MATCH(AA1695,{0;11;80;111;161;191;241;281;341},1),"North","NorthEast","East","SouthEast","South","SouthWest","West","NorthWest","North")</f>
        <v>North</v>
      </c>
      <c r="AC1695" s="5">
        <f>CHOOSE(MATCH(AB1695,{"South";"SouthEast";"SouthWest";"North";"NorthEast";"East";"West";"NorthWest"},0),1,2,3,4,5,6,7,8)</f>
        <v>4</v>
      </c>
      <c r="AD1695" s="2">
        <f t="shared" si="302"/>
        <v>1</v>
      </c>
      <c r="AE1695">
        <v>1014.8</v>
      </c>
      <c r="AF1695" s="4" t="s">
        <v>2620</v>
      </c>
      <c r="AG1695" s="2">
        <f t="shared" si="303"/>
        <v>1</v>
      </c>
      <c r="AH1695" t="s">
        <v>2621</v>
      </c>
      <c r="AI1695" s="2">
        <f t="shared" si="304"/>
        <v>7</v>
      </c>
      <c r="AJ1695" s="2">
        <f t="shared" si="305"/>
        <v>1</v>
      </c>
      <c r="AK1695" s="3">
        <v>5061.9999999983702</v>
      </c>
      <c r="AM1695" s="2">
        <v>1</v>
      </c>
      <c r="AN1695">
        <v>0</v>
      </c>
      <c r="AO1695">
        <v>99</v>
      </c>
      <c r="AP1695">
        <v>0</v>
      </c>
      <c r="AQ1695" s="2">
        <f>IF((2*G1695 + M1695 -P1695 + 3*W1695 + 2*Z1695+2*AD1695 + AG1695+2*AJ1695 + 4*AM1695) &gt;=8,1,0)</f>
        <v>1</v>
      </c>
    </row>
    <row r="1696" spans="1:43" x14ac:dyDescent="0.25">
      <c r="A1696" t="s">
        <v>27</v>
      </c>
      <c r="B1696" s="1">
        <v>44387</v>
      </c>
      <c r="C1696" s="7">
        <f t="shared" si="299"/>
        <v>2021</v>
      </c>
      <c r="D1696">
        <v>90.3</v>
      </c>
      <c r="E1696">
        <v>78</v>
      </c>
      <c r="F1696">
        <v>83.8</v>
      </c>
      <c r="G1696" s="2">
        <f t="shared" si="296"/>
        <v>1</v>
      </c>
      <c r="H1696">
        <v>87</v>
      </c>
      <c r="I1696">
        <v>78</v>
      </c>
      <c r="J1696">
        <v>82.1</v>
      </c>
      <c r="K1696">
        <v>49.9</v>
      </c>
      <c r="L1696">
        <v>32.299999999999997</v>
      </c>
      <c r="M1696" s="2">
        <f t="shared" si="300"/>
        <v>1</v>
      </c>
      <c r="N1696">
        <v>0</v>
      </c>
      <c r="P1696" s="2">
        <f t="shared" si="301"/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36.700000000000003</v>
      </c>
      <c r="W1696" s="2">
        <f t="shared" si="297"/>
        <v>1</v>
      </c>
      <c r="X1696">
        <v>24.7</v>
      </c>
      <c r="Z1696" s="2">
        <f t="shared" si="298"/>
        <v>1</v>
      </c>
      <c r="AA1696">
        <v>1.8</v>
      </c>
      <c r="AB1696" s="2" t="str">
        <f>CHOOSE(MATCH(AA1696,{0;11;80;111;161;191;241;281;341},1),"North","NorthEast","East","SouthEast","South","SouthWest","West","NorthWest","North")</f>
        <v>North</v>
      </c>
      <c r="AC1696" s="5">
        <f>CHOOSE(MATCH(AB1696,{"South";"SouthEast";"SouthWest";"North";"NorthEast";"East";"West";"NorthWest"},0),1,2,3,4,5,6,7,8)</f>
        <v>4</v>
      </c>
      <c r="AD1696" s="2">
        <f t="shared" si="302"/>
        <v>1</v>
      </c>
      <c r="AE1696">
        <v>1011.6</v>
      </c>
      <c r="AF1696" s="4" t="s">
        <v>1213</v>
      </c>
      <c r="AG1696" s="2">
        <f t="shared" si="303"/>
        <v>0</v>
      </c>
      <c r="AH1696" t="s">
        <v>2622</v>
      </c>
      <c r="AI1696" s="2">
        <f t="shared" si="304"/>
        <v>7</v>
      </c>
      <c r="AJ1696" s="2">
        <f t="shared" si="305"/>
        <v>1</v>
      </c>
      <c r="AK1696" s="3">
        <v>5568.000000002794</v>
      </c>
      <c r="AM1696" s="2">
        <v>1</v>
      </c>
      <c r="AN1696">
        <v>0</v>
      </c>
      <c r="AO1696">
        <v>50</v>
      </c>
      <c r="AP1696">
        <v>0</v>
      </c>
      <c r="AQ1696" s="2">
        <f>IF((2*G1696 + M1696 -P1696 + 3*W1696 + 2*Z1696+2*AD1696 + AG1696+2*AJ1696 + 4*AM1696) &gt;=8,1,0)</f>
        <v>1</v>
      </c>
    </row>
    <row r="1697" spans="1:43" x14ac:dyDescent="0.25">
      <c r="A1697" t="s">
        <v>27</v>
      </c>
      <c r="B1697" s="1">
        <v>44387</v>
      </c>
      <c r="C1697" s="7">
        <f t="shared" si="299"/>
        <v>2021</v>
      </c>
      <c r="D1697">
        <v>90.3</v>
      </c>
      <c r="E1697">
        <v>78</v>
      </c>
      <c r="F1697">
        <v>83.8</v>
      </c>
      <c r="G1697" s="2">
        <f t="shared" si="296"/>
        <v>1</v>
      </c>
      <c r="H1697">
        <v>87</v>
      </c>
      <c r="I1697">
        <v>78</v>
      </c>
      <c r="J1697">
        <v>82.1</v>
      </c>
      <c r="K1697">
        <v>49.9</v>
      </c>
      <c r="L1697">
        <v>32.299999999999997</v>
      </c>
      <c r="M1697" s="2">
        <f t="shared" si="300"/>
        <v>1</v>
      </c>
      <c r="N1697">
        <v>0</v>
      </c>
      <c r="P1697" s="2">
        <f t="shared" si="301"/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36.700000000000003</v>
      </c>
      <c r="W1697" s="2">
        <f t="shared" si="297"/>
        <v>1</v>
      </c>
      <c r="X1697">
        <v>24.7</v>
      </c>
      <c r="Z1697" s="2">
        <f t="shared" si="298"/>
        <v>1</v>
      </c>
      <c r="AA1697">
        <v>1.8</v>
      </c>
      <c r="AB1697" s="2" t="str">
        <f>CHOOSE(MATCH(AA1697,{0;11;80;111;161;191;241;281;341},1),"North","NorthEast","East","SouthEast","South","SouthWest","West","NorthWest","North")</f>
        <v>North</v>
      </c>
      <c r="AC1697" s="5">
        <f>CHOOSE(MATCH(AB1697,{"South";"SouthEast";"SouthWest";"North";"NorthEast";"East";"West";"NorthWest"},0),1,2,3,4,5,6,7,8)</f>
        <v>4</v>
      </c>
      <c r="AD1697" s="2">
        <f t="shared" si="302"/>
        <v>1</v>
      </c>
      <c r="AE1697">
        <v>1011.6</v>
      </c>
      <c r="AF1697" s="4" t="s">
        <v>2623</v>
      </c>
      <c r="AG1697" s="2">
        <f t="shared" si="303"/>
        <v>0</v>
      </c>
      <c r="AH1697" t="s">
        <v>2624</v>
      </c>
      <c r="AI1697" s="2">
        <f t="shared" si="304"/>
        <v>7</v>
      </c>
      <c r="AJ1697" s="2">
        <f t="shared" si="305"/>
        <v>1</v>
      </c>
      <c r="AK1697" s="3">
        <v>582.00000000069849</v>
      </c>
      <c r="AM1697" s="2">
        <v>1</v>
      </c>
      <c r="AN1697">
        <v>0</v>
      </c>
      <c r="AO1697">
        <v>200</v>
      </c>
      <c r="AP1697">
        <v>0</v>
      </c>
      <c r="AQ1697" s="2">
        <f>IF((2*G1697 + M1697 -P1697 + 3*W1697 + 2*Z1697+2*AD1697 + AG1697+2*AJ1697 + 4*AM1697) &gt;=8,1,0)</f>
        <v>1</v>
      </c>
    </row>
    <row r="1698" spans="1:43" x14ac:dyDescent="0.25">
      <c r="A1698" t="s">
        <v>27</v>
      </c>
      <c r="B1698" s="1">
        <v>44388</v>
      </c>
      <c r="C1698" s="7">
        <f t="shared" si="299"/>
        <v>2021</v>
      </c>
      <c r="D1698">
        <v>91.2</v>
      </c>
      <c r="E1698">
        <v>78.099999999999994</v>
      </c>
      <c r="F1698">
        <v>84.4</v>
      </c>
      <c r="G1698" s="2">
        <f t="shared" si="296"/>
        <v>1</v>
      </c>
      <c r="H1698">
        <v>88.3</v>
      </c>
      <c r="I1698">
        <v>78.099999999999994</v>
      </c>
      <c r="J1698">
        <v>82.9</v>
      </c>
      <c r="K1698">
        <v>50.8</v>
      </c>
      <c r="L1698">
        <v>32.200000000000003</v>
      </c>
      <c r="M1698" s="2">
        <f t="shared" si="300"/>
        <v>1</v>
      </c>
      <c r="N1698">
        <v>0</v>
      </c>
      <c r="P1698" s="2">
        <f t="shared" si="301"/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32.799999999999997</v>
      </c>
      <c r="W1698" s="2">
        <f t="shared" si="297"/>
        <v>1</v>
      </c>
      <c r="X1698">
        <v>18.2</v>
      </c>
      <c r="Z1698" s="2">
        <f t="shared" si="298"/>
        <v>1</v>
      </c>
      <c r="AA1698">
        <v>4</v>
      </c>
      <c r="AB1698" s="2" t="str">
        <f>CHOOSE(MATCH(AA1698,{0;11;80;111;161;191;241;281;341},1),"North","NorthEast","East","SouthEast","South","SouthWest","West","NorthWest","North")</f>
        <v>North</v>
      </c>
      <c r="AC1698" s="5">
        <f>CHOOSE(MATCH(AB1698,{"South";"SouthEast";"SouthWest";"North";"NorthEast";"East";"West";"NorthWest"},0),1,2,3,4,5,6,7,8)</f>
        <v>4</v>
      </c>
      <c r="AD1698" s="2">
        <f t="shared" si="302"/>
        <v>1</v>
      </c>
      <c r="AE1698">
        <v>1010.1</v>
      </c>
      <c r="AF1698" s="4" t="s">
        <v>1801</v>
      </c>
      <c r="AG1698" s="2">
        <f t="shared" si="303"/>
        <v>1</v>
      </c>
      <c r="AH1698" t="s">
        <v>2625</v>
      </c>
      <c r="AI1698" s="2">
        <f t="shared" si="304"/>
        <v>7</v>
      </c>
      <c r="AJ1698" s="2">
        <f t="shared" si="305"/>
        <v>1</v>
      </c>
      <c r="AK1698" s="3">
        <v>1255.0000000046571</v>
      </c>
      <c r="AM1698" s="2">
        <v>1</v>
      </c>
      <c r="AN1698">
        <v>0</v>
      </c>
      <c r="AO1698">
        <v>25</v>
      </c>
      <c r="AP1698">
        <v>0</v>
      </c>
      <c r="AQ1698" s="2">
        <f>IF((2*G1698 + M1698 -P1698 + 3*W1698 + 2*Z1698+2*AD1698 + AG1698+2*AJ1698 + 4*AM1698) &gt;=8,1,0)</f>
        <v>1</v>
      </c>
    </row>
    <row r="1699" spans="1:43" x14ac:dyDescent="0.25">
      <c r="A1699" t="s">
        <v>27</v>
      </c>
      <c r="B1699" s="1">
        <v>44389</v>
      </c>
      <c r="C1699" s="7">
        <f t="shared" si="299"/>
        <v>2021</v>
      </c>
      <c r="D1699">
        <v>94</v>
      </c>
      <c r="E1699">
        <v>77.7</v>
      </c>
      <c r="F1699">
        <v>85.8</v>
      </c>
      <c r="G1699" s="2">
        <f t="shared" si="296"/>
        <v>1</v>
      </c>
      <c r="H1699">
        <v>91</v>
      </c>
      <c r="I1699">
        <v>77.7</v>
      </c>
      <c r="J1699">
        <v>84.2</v>
      </c>
      <c r="K1699">
        <v>51</v>
      </c>
      <c r="L1699">
        <v>31.1</v>
      </c>
      <c r="M1699" s="2">
        <f t="shared" si="300"/>
        <v>1</v>
      </c>
      <c r="N1699">
        <v>0</v>
      </c>
      <c r="P1699" s="2">
        <f t="shared" si="301"/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29.4</v>
      </c>
      <c r="W1699" s="2">
        <f t="shared" si="297"/>
        <v>1</v>
      </c>
      <c r="X1699">
        <v>15.5</v>
      </c>
      <c r="Z1699" s="2">
        <f t="shared" si="298"/>
        <v>0</v>
      </c>
      <c r="AA1699">
        <v>1.5</v>
      </c>
      <c r="AB1699" s="2" t="str">
        <f>CHOOSE(MATCH(AA1699,{0;11;80;111;161;191;241;281;341},1),"North","NorthEast","East","SouthEast","South","SouthWest","West","NorthWest","North")</f>
        <v>North</v>
      </c>
      <c r="AC1699" s="5">
        <f>CHOOSE(MATCH(AB1699,{"South";"SouthEast";"SouthWest";"North";"NorthEast";"East";"West";"NorthWest"},0),1,2,3,4,5,6,7,8)</f>
        <v>4</v>
      </c>
      <c r="AD1699" s="2">
        <f t="shared" si="302"/>
        <v>1</v>
      </c>
      <c r="AE1699">
        <v>1010.7</v>
      </c>
      <c r="AF1699" s="4" t="s">
        <v>2626</v>
      </c>
      <c r="AG1699" s="2">
        <f t="shared" si="303"/>
        <v>1</v>
      </c>
      <c r="AH1699" t="s">
        <v>2627</v>
      </c>
      <c r="AI1699" s="2">
        <f t="shared" si="304"/>
        <v>7</v>
      </c>
      <c r="AJ1699" s="2">
        <f t="shared" si="305"/>
        <v>1</v>
      </c>
      <c r="AK1699" s="3">
        <v>3057.9999999934812</v>
      </c>
      <c r="AM1699" s="2">
        <v>1</v>
      </c>
      <c r="AN1699">
        <v>0</v>
      </c>
      <c r="AO1699">
        <v>10</v>
      </c>
      <c r="AP1699">
        <v>0</v>
      </c>
      <c r="AQ1699" s="2">
        <f>IF((2*G1699 + M1699 -P1699 + 3*W1699 + 2*Z1699+2*AD1699 + AG1699+2*AJ1699 + 4*AM1699) &gt;=8,1,0)</f>
        <v>1</v>
      </c>
    </row>
    <row r="1700" spans="1:43" x14ac:dyDescent="0.25">
      <c r="A1700" t="s">
        <v>27</v>
      </c>
      <c r="B1700" s="1">
        <v>44400</v>
      </c>
      <c r="C1700" s="7">
        <f t="shared" si="299"/>
        <v>2021</v>
      </c>
      <c r="D1700">
        <v>88.1</v>
      </c>
      <c r="E1700">
        <v>75.099999999999994</v>
      </c>
      <c r="F1700">
        <v>81.3</v>
      </c>
      <c r="G1700" s="2">
        <f t="shared" si="296"/>
        <v>1</v>
      </c>
      <c r="H1700">
        <v>85.2</v>
      </c>
      <c r="I1700">
        <v>75.099999999999994</v>
      </c>
      <c r="J1700">
        <v>80.2</v>
      </c>
      <c r="K1700">
        <v>52.5</v>
      </c>
      <c r="L1700">
        <v>38.5</v>
      </c>
      <c r="M1700" s="2">
        <f t="shared" si="300"/>
        <v>1</v>
      </c>
      <c r="N1700">
        <v>0</v>
      </c>
      <c r="P1700" s="2">
        <f t="shared" si="301"/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30.4</v>
      </c>
      <c r="W1700" s="2">
        <f t="shared" si="297"/>
        <v>1</v>
      </c>
      <c r="X1700">
        <v>18</v>
      </c>
      <c r="Z1700" s="2">
        <f t="shared" si="298"/>
        <v>1</v>
      </c>
      <c r="AA1700">
        <v>7.6</v>
      </c>
      <c r="AB1700" s="2" t="str">
        <f>CHOOSE(MATCH(AA1700,{0;11;80;111;161;191;241;281;341},1),"North","NorthEast","East","SouthEast","South","SouthWest","West","NorthWest","North")</f>
        <v>North</v>
      </c>
      <c r="AC1700" s="5">
        <f>CHOOSE(MATCH(AB1700,{"South";"SouthEast";"SouthWest";"North";"NorthEast";"East";"West";"NorthWest"},0),1,2,3,4,5,6,7,8)</f>
        <v>4</v>
      </c>
      <c r="AD1700" s="2">
        <f t="shared" si="302"/>
        <v>1</v>
      </c>
      <c r="AE1700">
        <v>1012.1</v>
      </c>
      <c r="AF1700" s="4" t="s">
        <v>2126</v>
      </c>
      <c r="AG1700" s="2">
        <f t="shared" si="303"/>
        <v>0</v>
      </c>
      <c r="AH1700" t="s">
        <v>2628</v>
      </c>
      <c r="AI1700" s="2">
        <f t="shared" si="304"/>
        <v>7</v>
      </c>
      <c r="AJ1700" s="2">
        <f t="shared" si="305"/>
        <v>1</v>
      </c>
      <c r="AK1700" s="3">
        <v>75.99999999627471</v>
      </c>
      <c r="AM1700" s="2">
        <v>0</v>
      </c>
      <c r="AN1700">
        <v>1</v>
      </c>
      <c r="AO1700">
        <v>0</v>
      </c>
      <c r="AP1700">
        <v>0</v>
      </c>
      <c r="AQ1700" s="2">
        <f>IF((2*G1700 + M1700 -P1700 + 3*W1700 + 2*Z1700+2*AD1700 + AG1700+2*AJ1700 + 4*AM1700) &gt;=8,1,0)</f>
        <v>1</v>
      </c>
    </row>
    <row r="1701" spans="1:43" x14ac:dyDescent="0.25">
      <c r="A1701" t="s">
        <v>27</v>
      </c>
      <c r="B1701" s="1">
        <v>44402</v>
      </c>
      <c r="C1701" s="7">
        <f t="shared" si="299"/>
        <v>2021</v>
      </c>
      <c r="D1701">
        <v>87.8</v>
      </c>
      <c r="E1701">
        <v>75.5</v>
      </c>
      <c r="F1701">
        <v>81.3</v>
      </c>
      <c r="G1701" s="2">
        <f t="shared" si="296"/>
        <v>1</v>
      </c>
      <c r="H1701">
        <v>85.1</v>
      </c>
      <c r="I1701">
        <v>75.5</v>
      </c>
      <c r="J1701">
        <v>80.2</v>
      </c>
      <c r="K1701">
        <v>50.9</v>
      </c>
      <c r="L1701">
        <v>35.700000000000003</v>
      </c>
      <c r="M1701" s="2">
        <f t="shared" si="300"/>
        <v>1</v>
      </c>
      <c r="N1701">
        <v>0</v>
      </c>
      <c r="P1701" s="2">
        <f t="shared" si="301"/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38.5</v>
      </c>
      <c r="W1701" s="2">
        <f t="shared" si="297"/>
        <v>1</v>
      </c>
      <c r="X1701">
        <v>23.3</v>
      </c>
      <c r="Z1701" s="2">
        <f t="shared" si="298"/>
        <v>1</v>
      </c>
      <c r="AA1701">
        <v>2.1</v>
      </c>
      <c r="AB1701" s="2" t="str">
        <f>CHOOSE(MATCH(AA1701,{0;11;80;111;161;191;241;281;341},1),"North","NorthEast","East","SouthEast","South","SouthWest","West","NorthWest","North")</f>
        <v>North</v>
      </c>
      <c r="AC1701" s="5">
        <f>CHOOSE(MATCH(AB1701,{"South";"SouthEast";"SouthWest";"North";"NorthEast";"East";"West";"NorthWest"},0),1,2,3,4,5,6,7,8)</f>
        <v>4</v>
      </c>
      <c r="AD1701" s="2">
        <f t="shared" si="302"/>
        <v>1</v>
      </c>
      <c r="AE1701">
        <v>1012.9</v>
      </c>
      <c r="AF1701" s="4" t="s">
        <v>1851</v>
      </c>
      <c r="AG1701" s="2">
        <f t="shared" si="303"/>
        <v>1</v>
      </c>
      <c r="AH1701" t="s">
        <v>2629</v>
      </c>
      <c r="AI1701" s="2">
        <f t="shared" si="304"/>
        <v>7</v>
      </c>
      <c r="AJ1701" s="2">
        <f t="shared" si="305"/>
        <v>1</v>
      </c>
      <c r="AK1701" s="3">
        <v>3038.0000000016298</v>
      </c>
      <c r="AM1701" s="2">
        <v>1</v>
      </c>
      <c r="AN1701">
        <v>0</v>
      </c>
      <c r="AO1701">
        <v>200</v>
      </c>
      <c r="AP1701">
        <v>0</v>
      </c>
      <c r="AQ1701" s="2">
        <f>IF((2*G1701 + M1701 -P1701 + 3*W1701 + 2*Z1701+2*AD1701 + AG1701+2*AJ1701 + 4*AM1701) &gt;=8,1,0)</f>
        <v>1</v>
      </c>
    </row>
    <row r="1702" spans="1:43" x14ac:dyDescent="0.25">
      <c r="A1702" t="s">
        <v>27</v>
      </c>
      <c r="B1702" s="1">
        <v>44405</v>
      </c>
      <c r="C1702" s="7">
        <f t="shared" si="299"/>
        <v>2021</v>
      </c>
      <c r="D1702">
        <v>98.2</v>
      </c>
      <c r="E1702">
        <v>82.3</v>
      </c>
      <c r="F1702">
        <v>89.8</v>
      </c>
      <c r="G1702" s="2">
        <f t="shared" si="296"/>
        <v>1</v>
      </c>
      <c r="H1702">
        <v>94.2</v>
      </c>
      <c r="I1702">
        <v>81.099999999999994</v>
      </c>
      <c r="J1702">
        <v>86.9</v>
      </c>
      <c r="K1702">
        <v>47.9</v>
      </c>
      <c r="L1702">
        <v>24.3</v>
      </c>
      <c r="M1702" s="2">
        <f t="shared" si="300"/>
        <v>1</v>
      </c>
      <c r="N1702">
        <v>0</v>
      </c>
      <c r="P1702" s="2">
        <f t="shared" si="301"/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36.799999999999997</v>
      </c>
      <c r="W1702" s="2">
        <f t="shared" si="297"/>
        <v>1</v>
      </c>
      <c r="X1702">
        <v>19</v>
      </c>
      <c r="Z1702" s="2">
        <f t="shared" si="298"/>
        <v>1</v>
      </c>
      <c r="AA1702">
        <v>3</v>
      </c>
      <c r="AB1702" s="2" t="str">
        <f>CHOOSE(MATCH(AA1702,{0;11;80;111;161;191;241;281;341},1),"North","NorthEast","East","SouthEast","South","SouthWest","West","NorthWest","North")</f>
        <v>North</v>
      </c>
      <c r="AC1702" s="5">
        <f>CHOOSE(MATCH(AB1702,{"South";"SouthEast";"SouthWest";"North";"NorthEast";"East";"West";"NorthWest"},0),1,2,3,4,5,6,7,8)</f>
        <v>4</v>
      </c>
      <c r="AD1702" s="2">
        <f t="shared" si="302"/>
        <v>1</v>
      </c>
      <c r="AE1702">
        <v>1013.7</v>
      </c>
      <c r="AF1702" s="4" t="s">
        <v>2355</v>
      </c>
      <c r="AG1702" s="2">
        <f t="shared" si="303"/>
        <v>0</v>
      </c>
      <c r="AH1702" t="s">
        <v>2630</v>
      </c>
      <c r="AI1702" s="2">
        <f t="shared" si="304"/>
        <v>7</v>
      </c>
      <c r="AJ1702" s="2">
        <f t="shared" si="305"/>
        <v>1</v>
      </c>
      <c r="AK1702" s="3">
        <v>290.00000000232831</v>
      </c>
      <c r="AM1702" s="2">
        <v>0</v>
      </c>
      <c r="AN1702">
        <v>0</v>
      </c>
      <c r="AO1702">
        <v>0</v>
      </c>
      <c r="AP1702">
        <v>10</v>
      </c>
      <c r="AQ1702" s="2">
        <f>IF((2*G1702 + M1702 -P1702 + 3*W1702 + 2*Z1702+2*AD1702 + AG1702+2*AJ1702 + 4*AM1702) &gt;=8,1,0)</f>
        <v>1</v>
      </c>
    </row>
    <row r="1703" spans="1:43" x14ac:dyDescent="0.25">
      <c r="A1703" t="s">
        <v>27</v>
      </c>
      <c r="B1703" s="1">
        <v>44407</v>
      </c>
      <c r="C1703" s="7">
        <f t="shared" si="299"/>
        <v>2021</v>
      </c>
      <c r="D1703">
        <v>103.1</v>
      </c>
      <c r="E1703">
        <v>78.900000000000006</v>
      </c>
      <c r="F1703">
        <v>90.4</v>
      </c>
      <c r="G1703" s="2">
        <f t="shared" si="296"/>
        <v>1</v>
      </c>
      <c r="H1703">
        <v>100.8</v>
      </c>
      <c r="I1703">
        <v>78.900000000000006</v>
      </c>
      <c r="J1703">
        <v>89.7</v>
      </c>
      <c r="K1703">
        <v>56.1</v>
      </c>
      <c r="L1703">
        <v>33.200000000000003</v>
      </c>
      <c r="M1703" s="2">
        <f t="shared" si="300"/>
        <v>1</v>
      </c>
      <c r="N1703">
        <v>0</v>
      </c>
      <c r="P1703" s="2">
        <f t="shared" si="301"/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23</v>
      </c>
      <c r="W1703" s="2">
        <f t="shared" si="297"/>
        <v>1</v>
      </c>
      <c r="X1703">
        <v>14.6</v>
      </c>
      <c r="Z1703" s="2">
        <f t="shared" si="298"/>
        <v>0</v>
      </c>
      <c r="AA1703">
        <v>116.8</v>
      </c>
      <c r="AB1703" s="2" t="str">
        <f>CHOOSE(MATCH(AA1703,{0;11;80;111;161;191;241;281;341},1),"North","NorthEast","East","SouthEast","South","SouthWest","West","NorthWest","North")</f>
        <v>SouthEast</v>
      </c>
      <c r="AC1703" s="5">
        <f>CHOOSE(MATCH(AB1703,{"South";"SouthEast";"SouthWest";"North";"NorthEast";"East";"West";"NorthWest"},0),1,2,3,4,5,6,7,8)</f>
        <v>2</v>
      </c>
      <c r="AD1703" s="2">
        <f t="shared" si="302"/>
        <v>0</v>
      </c>
      <c r="AE1703">
        <v>1009.2</v>
      </c>
      <c r="AF1703" s="4" t="s">
        <v>2631</v>
      </c>
      <c r="AG1703" s="2">
        <f t="shared" si="303"/>
        <v>0</v>
      </c>
      <c r="AH1703" t="s">
        <v>2632</v>
      </c>
      <c r="AI1703" s="2">
        <f t="shared" si="304"/>
        <v>7</v>
      </c>
      <c r="AJ1703" s="2">
        <f t="shared" si="305"/>
        <v>1</v>
      </c>
      <c r="AK1703" s="3">
        <v>175.00000000465661</v>
      </c>
      <c r="AM1703" s="2">
        <v>0</v>
      </c>
      <c r="AN1703">
        <v>0</v>
      </c>
      <c r="AO1703">
        <v>0</v>
      </c>
      <c r="AP1703">
        <v>1</v>
      </c>
      <c r="AQ1703" s="2">
        <f>IF((2*G1703 + M1703 -P1703 + 3*W1703 + 2*Z1703+2*AD1703 + AG1703+2*AJ1703 + 4*AM1703) &gt;=8,1,0)</f>
        <v>0</v>
      </c>
    </row>
    <row r="1704" spans="1:43" x14ac:dyDescent="0.25">
      <c r="A1704" t="s">
        <v>27</v>
      </c>
      <c r="B1704" s="1">
        <v>44408</v>
      </c>
      <c r="C1704" s="7">
        <f t="shared" si="299"/>
        <v>2021</v>
      </c>
      <c r="D1704">
        <v>104</v>
      </c>
      <c r="E1704">
        <v>79</v>
      </c>
      <c r="F1704">
        <v>90.4</v>
      </c>
      <c r="G1704" s="2">
        <f t="shared" si="296"/>
        <v>1</v>
      </c>
      <c r="H1704">
        <v>100.7</v>
      </c>
      <c r="I1704">
        <v>79</v>
      </c>
      <c r="J1704">
        <v>89.3</v>
      </c>
      <c r="K1704">
        <v>55.2</v>
      </c>
      <c r="L1704">
        <v>32.299999999999997</v>
      </c>
      <c r="M1704" s="2">
        <f t="shared" si="300"/>
        <v>1</v>
      </c>
      <c r="N1704">
        <v>0</v>
      </c>
      <c r="P1704" s="2">
        <f t="shared" si="301"/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22.8</v>
      </c>
      <c r="W1704" s="2">
        <f t="shared" si="297"/>
        <v>1</v>
      </c>
      <c r="X1704">
        <v>13</v>
      </c>
      <c r="Z1704" s="2">
        <f t="shared" si="298"/>
        <v>0</v>
      </c>
      <c r="AA1704">
        <v>117.7</v>
      </c>
      <c r="AB1704" s="2" t="str">
        <f>CHOOSE(MATCH(AA1704,{0;11;80;111;161;191;241;281;341},1),"North","NorthEast","East","SouthEast","South","SouthWest","West","NorthWest","North")</f>
        <v>SouthEast</v>
      </c>
      <c r="AC1704" s="5">
        <f>CHOOSE(MATCH(AB1704,{"South";"SouthEast";"SouthWest";"North";"NorthEast";"East";"West";"NorthWest"},0),1,2,3,4,5,6,7,8)</f>
        <v>2</v>
      </c>
      <c r="AD1704" s="2">
        <f t="shared" si="302"/>
        <v>0</v>
      </c>
      <c r="AE1704">
        <v>1007.1</v>
      </c>
      <c r="AF1704" s="4" t="s">
        <v>2633</v>
      </c>
      <c r="AG1704" s="2">
        <f t="shared" si="303"/>
        <v>1</v>
      </c>
      <c r="AH1704" t="s">
        <v>2634</v>
      </c>
      <c r="AI1704" s="2">
        <f t="shared" si="304"/>
        <v>7</v>
      </c>
      <c r="AJ1704" s="2">
        <f t="shared" si="305"/>
        <v>1</v>
      </c>
      <c r="AK1704" s="3">
        <v>1556.0000000009311</v>
      </c>
      <c r="AM1704" s="2">
        <v>1</v>
      </c>
      <c r="AN1704">
        <v>0</v>
      </c>
      <c r="AO1704">
        <v>5</v>
      </c>
      <c r="AP1704">
        <v>0</v>
      </c>
      <c r="AQ1704" s="2">
        <f>IF((2*G1704 + M1704 -P1704 + 3*W1704 + 2*Z1704+2*AD1704 + AG1704+2*AJ1704 + 4*AM1704) &gt;=8,1,0)</f>
        <v>1</v>
      </c>
    </row>
    <row r="1705" spans="1:43" x14ac:dyDescent="0.25">
      <c r="A1705" t="s">
        <v>27</v>
      </c>
      <c r="B1705" s="1">
        <v>44409</v>
      </c>
      <c r="C1705" s="7">
        <f t="shared" si="299"/>
        <v>2021</v>
      </c>
      <c r="D1705">
        <v>100.4</v>
      </c>
      <c r="E1705">
        <v>76.400000000000006</v>
      </c>
      <c r="F1705">
        <v>89</v>
      </c>
      <c r="G1705" s="2">
        <f t="shared" si="296"/>
        <v>1</v>
      </c>
      <c r="H1705">
        <v>99.4</v>
      </c>
      <c r="I1705">
        <v>76.400000000000006</v>
      </c>
      <c r="J1705">
        <v>88.5</v>
      </c>
      <c r="K1705">
        <v>56.4</v>
      </c>
      <c r="L1705">
        <v>34.5</v>
      </c>
      <c r="M1705" s="2">
        <f t="shared" si="300"/>
        <v>1</v>
      </c>
      <c r="N1705">
        <v>0</v>
      </c>
      <c r="P1705" s="2">
        <f t="shared" si="301"/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24.4</v>
      </c>
      <c r="W1705" s="2">
        <f t="shared" si="297"/>
        <v>1</v>
      </c>
      <c r="X1705">
        <v>13.1</v>
      </c>
      <c r="Z1705" s="2">
        <f t="shared" si="298"/>
        <v>0</v>
      </c>
      <c r="AA1705">
        <v>349.5</v>
      </c>
      <c r="AB1705" s="2" t="str">
        <f>CHOOSE(MATCH(AA1705,{0;11;80;111;161;191;241;281;341},1),"North","NorthEast","East","SouthEast","South","SouthWest","West","NorthWest","North")</f>
        <v>North</v>
      </c>
      <c r="AC1705" s="5">
        <f>CHOOSE(MATCH(AB1705,{"South";"SouthEast";"SouthWest";"North";"NorthEast";"East";"West";"NorthWest"},0),1,2,3,4,5,6,7,8)</f>
        <v>4</v>
      </c>
      <c r="AD1705" s="2">
        <f t="shared" si="302"/>
        <v>1</v>
      </c>
      <c r="AE1705">
        <v>1008.9</v>
      </c>
      <c r="AF1705" s="4" t="s">
        <v>1866</v>
      </c>
      <c r="AG1705" s="2">
        <f t="shared" si="303"/>
        <v>1</v>
      </c>
      <c r="AH1705" t="s">
        <v>2635</v>
      </c>
      <c r="AI1705" s="2">
        <f t="shared" si="304"/>
        <v>8</v>
      </c>
      <c r="AJ1705" s="2">
        <f t="shared" si="305"/>
        <v>1</v>
      </c>
      <c r="AK1705" s="3">
        <v>888.99999999557622</v>
      </c>
      <c r="AM1705" s="2">
        <v>1</v>
      </c>
      <c r="AN1705">
        <v>0</v>
      </c>
      <c r="AO1705">
        <v>1</v>
      </c>
      <c r="AP1705">
        <v>0</v>
      </c>
      <c r="AQ1705" s="2">
        <f>IF((2*G1705 + M1705 -P1705 + 3*W1705 + 2*Z1705+2*AD1705 + AG1705+2*AJ1705 + 4*AM1705) &gt;=8,1,0)</f>
        <v>1</v>
      </c>
    </row>
    <row r="1706" spans="1:43" x14ac:dyDescent="0.25">
      <c r="A1706" t="s">
        <v>27</v>
      </c>
      <c r="B1706" s="1">
        <v>44411</v>
      </c>
      <c r="C1706" s="7">
        <f t="shared" si="299"/>
        <v>2021</v>
      </c>
      <c r="D1706">
        <v>107.9</v>
      </c>
      <c r="E1706">
        <v>80.5</v>
      </c>
      <c r="F1706">
        <v>93.8</v>
      </c>
      <c r="G1706" s="2">
        <f t="shared" si="296"/>
        <v>1</v>
      </c>
      <c r="H1706">
        <v>104.2</v>
      </c>
      <c r="I1706">
        <v>80.599999999999994</v>
      </c>
      <c r="J1706">
        <v>92.1</v>
      </c>
      <c r="K1706">
        <v>53.6</v>
      </c>
      <c r="L1706">
        <v>28.6</v>
      </c>
      <c r="M1706" s="2">
        <f t="shared" si="300"/>
        <v>1</v>
      </c>
      <c r="N1706">
        <v>0</v>
      </c>
      <c r="P1706" s="2">
        <f t="shared" si="301"/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24.2</v>
      </c>
      <c r="W1706" s="2">
        <f t="shared" si="297"/>
        <v>1</v>
      </c>
      <c r="X1706">
        <v>13.5</v>
      </c>
      <c r="Z1706" s="2">
        <f t="shared" si="298"/>
        <v>0</v>
      </c>
      <c r="AA1706">
        <v>17.600000000000001</v>
      </c>
      <c r="AB1706" s="2" t="str">
        <f>CHOOSE(MATCH(AA1706,{0;11;80;111;161;191;241;281;341},1),"North","NorthEast","East","SouthEast","South","SouthWest","West","NorthWest","North")</f>
        <v>NorthEast</v>
      </c>
      <c r="AC1706" s="5">
        <f>CHOOSE(MATCH(AB1706,{"South";"SouthEast";"SouthWest";"North";"NorthEast";"East";"West";"NorthWest"},0),1,2,3,4,5,6,7,8)</f>
        <v>5</v>
      </c>
      <c r="AD1706" s="2">
        <f t="shared" si="302"/>
        <v>1</v>
      </c>
      <c r="AE1706">
        <v>1010.8</v>
      </c>
      <c r="AF1706" s="4" t="s">
        <v>2636</v>
      </c>
      <c r="AG1706" s="2">
        <f t="shared" si="303"/>
        <v>1</v>
      </c>
      <c r="AH1706" t="s">
        <v>2637</v>
      </c>
      <c r="AI1706" s="2">
        <f t="shared" si="304"/>
        <v>8</v>
      </c>
      <c r="AJ1706" s="2">
        <f t="shared" si="305"/>
        <v>1</v>
      </c>
      <c r="AK1706" s="3">
        <v>56106.000000002103</v>
      </c>
      <c r="AM1706" s="2">
        <v>1</v>
      </c>
      <c r="AN1706">
        <v>33530</v>
      </c>
      <c r="AO1706">
        <v>22200</v>
      </c>
      <c r="AP1706">
        <v>0</v>
      </c>
      <c r="AQ1706" s="2">
        <f>IF((2*G1706 + M1706 -P1706 + 3*W1706 + 2*Z1706+2*AD1706 + AG1706+2*AJ1706 + 4*AM1706) &gt;=8,1,0)</f>
        <v>1</v>
      </c>
    </row>
    <row r="1707" spans="1:43" x14ac:dyDescent="0.25">
      <c r="A1707" t="s">
        <v>27</v>
      </c>
      <c r="B1707" s="1">
        <v>44414</v>
      </c>
      <c r="C1707" s="7">
        <f t="shared" si="299"/>
        <v>2021</v>
      </c>
      <c r="D1707">
        <v>99.5</v>
      </c>
      <c r="E1707">
        <v>81.3</v>
      </c>
      <c r="F1707">
        <v>89.4</v>
      </c>
      <c r="G1707" s="2">
        <f t="shared" si="296"/>
        <v>1</v>
      </c>
      <c r="H1707">
        <v>95.3</v>
      </c>
      <c r="I1707">
        <v>80.8</v>
      </c>
      <c r="J1707">
        <v>87.7</v>
      </c>
      <c r="K1707">
        <v>53.3</v>
      </c>
      <c r="L1707">
        <v>31.3</v>
      </c>
      <c r="M1707" s="2">
        <f t="shared" si="300"/>
        <v>1</v>
      </c>
      <c r="N1707">
        <v>0</v>
      </c>
      <c r="P1707" s="2">
        <f t="shared" si="301"/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34.9</v>
      </c>
      <c r="W1707" s="2">
        <f t="shared" si="297"/>
        <v>1</v>
      </c>
      <c r="X1707">
        <v>16.7</v>
      </c>
      <c r="Z1707" s="2">
        <f t="shared" si="298"/>
        <v>1</v>
      </c>
      <c r="AA1707">
        <v>295.8</v>
      </c>
      <c r="AB1707" s="2" t="str">
        <f>CHOOSE(MATCH(AA1707,{0;11;80;111;161;191;241;281;341},1),"North","NorthEast","East","SouthEast","South","SouthWest","West","NorthWest","North")</f>
        <v>NorthWest</v>
      </c>
      <c r="AC1707" s="5">
        <f>CHOOSE(MATCH(AB1707,{"South";"SouthEast";"SouthWest";"North";"NorthEast";"East";"West";"NorthWest"},0),1,2,3,4,5,6,7,8)</f>
        <v>8</v>
      </c>
      <c r="AD1707" s="2">
        <f t="shared" si="302"/>
        <v>1</v>
      </c>
      <c r="AE1707">
        <v>1003</v>
      </c>
      <c r="AF1707" s="4" t="s">
        <v>1111</v>
      </c>
      <c r="AG1707" s="2">
        <f t="shared" si="303"/>
        <v>1</v>
      </c>
      <c r="AH1707" t="s">
        <v>2638</v>
      </c>
      <c r="AI1707" s="2">
        <f t="shared" si="304"/>
        <v>8</v>
      </c>
      <c r="AJ1707" s="2">
        <f t="shared" si="305"/>
        <v>1</v>
      </c>
      <c r="AK1707" s="3">
        <v>8460.9999999927823</v>
      </c>
      <c r="AM1707" s="2">
        <v>1</v>
      </c>
      <c r="AN1707">
        <v>0</v>
      </c>
      <c r="AO1707">
        <v>200</v>
      </c>
      <c r="AP1707">
        <v>0</v>
      </c>
      <c r="AQ1707" s="2">
        <f>IF((2*G1707 + M1707 -P1707 + 3*W1707 + 2*Z1707+2*AD1707 + AG1707+2*AJ1707 + 4*AM1707) &gt;=8,1,0)</f>
        <v>1</v>
      </c>
    </row>
    <row r="1708" spans="1:43" x14ac:dyDescent="0.25">
      <c r="A1708" t="s">
        <v>27</v>
      </c>
      <c r="B1708" s="1">
        <v>44414</v>
      </c>
      <c r="C1708" s="7">
        <f t="shared" si="299"/>
        <v>2021</v>
      </c>
      <c r="D1708">
        <v>99.5</v>
      </c>
      <c r="E1708">
        <v>81.3</v>
      </c>
      <c r="F1708">
        <v>89.4</v>
      </c>
      <c r="G1708" s="2">
        <f t="shared" si="296"/>
        <v>1</v>
      </c>
      <c r="H1708">
        <v>95.3</v>
      </c>
      <c r="I1708">
        <v>80.8</v>
      </c>
      <c r="J1708">
        <v>87.7</v>
      </c>
      <c r="K1708">
        <v>53.3</v>
      </c>
      <c r="L1708">
        <v>31.3</v>
      </c>
      <c r="M1708" s="2">
        <f t="shared" si="300"/>
        <v>1</v>
      </c>
      <c r="N1708">
        <v>0</v>
      </c>
      <c r="P1708" s="2">
        <f t="shared" si="301"/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34.9</v>
      </c>
      <c r="W1708" s="2">
        <f t="shared" si="297"/>
        <v>1</v>
      </c>
      <c r="X1708">
        <v>16.7</v>
      </c>
      <c r="Z1708" s="2">
        <f t="shared" si="298"/>
        <v>1</v>
      </c>
      <c r="AA1708">
        <v>295.8</v>
      </c>
      <c r="AB1708" s="2" t="str">
        <f>CHOOSE(MATCH(AA1708,{0;11;80;111;161;191;241;281;341},1),"North","NorthEast","East","SouthEast","South","SouthWest","West","NorthWest","North")</f>
        <v>NorthWest</v>
      </c>
      <c r="AC1708" s="5">
        <f>CHOOSE(MATCH(AB1708,{"South";"SouthEast";"SouthWest";"North";"NorthEast";"East";"West";"NorthWest"},0),1,2,3,4,5,6,7,8)</f>
        <v>8</v>
      </c>
      <c r="AD1708" s="2">
        <f t="shared" si="302"/>
        <v>1</v>
      </c>
      <c r="AE1708">
        <v>1003</v>
      </c>
      <c r="AF1708" s="4" t="s">
        <v>2639</v>
      </c>
      <c r="AG1708" s="2">
        <f t="shared" si="303"/>
        <v>1</v>
      </c>
      <c r="AH1708" t="s">
        <v>2640</v>
      </c>
      <c r="AI1708" s="2">
        <f t="shared" si="304"/>
        <v>8</v>
      </c>
      <c r="AJ1708" s="2">
        <f t="shared" si="305"/>
        <v>1</v>
      </c>
      <c r="AK1708" s="3">
        <v>8396.0000000009313</v>
      </c>
      <c r="AM1708" s="2">
        <v>1</v>
      </c>
      <c r="AN1708">
        <v>0</v>
      </c>
      <c r="AO1708">
        <v>100</v>
      </c>
      <c r="AP1708">
        <v>0</v>
      </c>
      <c r="AQ1708" s="2">
        <f>IF((2*G1708 + M1708 -P1708 + 3*W1708 + 2*Z1708+2*AD1708 + AG1708+2*AJ1708 + 4*AM1708) &gt;=8,1,0)</f>
        <v>1</v>
      </c>
    </row>
    <row r="1709" spans="1:43" x14ac:dyDescent="0.25">
      <c r="A1709" t="s">
        <v>27</v>
      </c>
      <c r="B1709" s="1">
        <v>44419</v>
      </c>
      <c r="C1709" s="7">
        <f t="shared" si="299"/>
        <v>2021</v>
      </c>
      <c r="D1709">
        <v>97.1</v>
      </c>
      <c r="E1709">
        <v>76</v>
      </c>
      <c r="F1709">
        <v>86.5</v>
      </c>
      <c r="G1709" s="2">
        <f t="shared" si="296"/>
        <v>1</v>
      </c>
      <c r="H1709">
        <v>97.2</v>
      </c>
      <c r="I1709">
        <v>76</v>
      </c>
      <c r="J1709">
        <v>86.3</v>
      </c>
      <c r="K1709">
        <v>58.8</v>
      </c>
      <c r="L1709">
        <v>40.5</v>
      </c>
      <c r="M1709" s="2">
        <f t="shared" si="300"/>
        <v>1</v>
      </c>
      <c r="N1709">
        <v>0</v>
      </c>
      <c r="P1709" s="2">
        <f t="shared" si="301"/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18.100000000000001</v>
      </c>
      <c r="W1709" s="2">
        <f t="shared" si="297"/>
        <v>1</v>
      </c>
      <c r="X1709">
        <v>9.6</v>
      </c>
      <c r="Z1709" s="2">
        <f t="shared" si="298"/>
        <v>0</v>
      </c>
      <c r="AA1709">
        <v>161.30000000000001</v>
      </c>
      <c r="AB1709" s="2" t="str">
        <f>CHOOSE(MATCH(AA1709,{0;11;80;111;161;191;241;281;341},1),"North","NorthEast","East","SouthEast","South","SouthWest","West","NorthWest","North")</f>
        <v>South</v>
      </c>
      <c r="AC1709" s="5">
        <f>CHOOSE(MATCH(AB1709,{"South";"SouthEast";"SouthWest";"North";"NorthEast";"East";"West";"NorthWest"},0),1,2,3,4,5,6,7,8)</f>
        <v>1</v>
      </c>
      <c r="AD1709" s="2">
        <f t="shared" si="302"/>
        <v>0</v>
      </c>
      <c r="AE1709">
        <v>1011.9</v>
      </c>
      <c r="AF1709" s="4" t="s">
        <v>1266</v>
      </c>
      <c r="AG1709" s="2">
        <f t="shared" si="303"/>
        <v>1</v>
      </c>
      <c r="AH1709" t="s">
        <v>2641</v>
      </c>
      <c r="AI1709" s="2">
        <f t="shared" si="304"/>
        <v>8</v>
      </c>
      <c r="AJ1709" s="2">
        <f t="shared" si="305"/>
        <v>1</v>
      </c>
      <c r="AK1709" s="3">
        <v>1440</v>
      </c>
      <c r="AM1709" s="2">
        <v>1</v>
      </c>
      <c r="AN1709">
        <v>50</v>
      </c>
      <c r="AO1709">
        <v>0</v>
      </c>
      <c r="AP1709">
        <v>0</v>
      </c>
      <c r="AQ1709" s="2">
        <f>IF((2*G1709 + M1709 -P1709 + 3*W1709 + 2*Z1709+2*AD1709 + AG1709+2*AJ1709 + 4*AM1709) &gt;=8,1,0)</f>
        <v>1</v>
      </c>
    </row>
    <row r="1710" spans="1:43" x14ac:dyDescent="0.25">
      <c r="A1710" t="s">
        <v>27</v>
      </c>
      <c r="B1710" s="1">
        <v>44419</v>
      </c>
      <c r="C1710" s="7">
        <f t="shared" si="299"/>
        <v>2021</v>
      </c>
      <c r="D1710">
        <v>97.1</v>
      </c>
      <c r="E1710">
        <v>76</v>
      </c>
      <c r="F1710">
        <v>86.5</v>
      </c>
      <c r="G1710" s="2">
        <f t="shared" si="296"/>
        <v>1</v>
      </c>
      <c r="H1710">
        <v>97.2</v>
      </c>
      <c r="I1710">
        <v>76</v>
      </c>
      <c r="J1710">
        <v>86.3</v>
      </c>
      <c r="K1710">
        <v>58.8</v>
      </c>
      <c r="L1710">
        <v>40.5</v>
      </c>
      <c r="M1710" s="2">
        <f t="shared" si="300"/>
        <v>1</v>
      </c>
      <c r="N1710">
        <v>0</v>
      </c>
      <c r="P1710" s="2">
        <f t="shared" si="301"/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18.100000000000001</v>
      </c>
      <c r="W1710" s="2">
        <f t="shared" si="297"/>
        <v>1</v>
      </c>
      <c r="X1710">
        <v>9.6</v>
      </c>
      <c r="Z1710" s="2">
        <f t="shared" si="298"/>
        <v>0</v>
      </c>
      <c r="AA1710">
        <v>161.30000000000001</v>
      </c>
      <c r="AB1710" s="2" t="str">
        <f>CHOOSE(MATCH(AA1710,{0;11;80;111;161;191;241;281;341},1),"North","NorthEast","East","SouthEast","South","SouthWest","West","NorthWest","North")</f>
        <v>South</v>
      </c>
      <c r="AC1710" s="5">
        <f>CHOOSE(MATCH(AB1710,{"South";"SouthEast";"SouthWest";"North";"NorthEast";"East";"West";"NorthWest"},0),1,2,3,4,5,6,7,8)</f>
        <v>1</v>
      </c>
      <c r="AD1710" s="2">
        <f t="shared" si="302"/>
        <v>0</v>
      </c>
      <c r="AE1710">
        <v>1011.9</v>
      </c>
      <c r="AF1710" s="4" t="s">
        <v>2432</v>
      </c>
      <c r="AG1710" s="2">
        <f t="shared" si="303"/>
        <v>1</v>
      </c>
      <c r="AH1710" t="s">
        <v>2642</v>
      </c>
      <c r="AI1710" s="2">
        <f t="shared" si="304"/>
        <v>8</v>
      </c>
      <c r="AJ1710" s="2">
        <f t="shared" si="305"/>
        <v>1</v>
      </c>
      <c r="AK1710" s="3">
        <v>2344.0000000025611</v>
      </c>
      <c r="AM1710" s="2">
        <v>1</v>
      </c>
      <c r="AN1710">
        <v>0</v>
      </c>
      <c r="AO1710">
        <v>3</v>
      </c>
      <c r="AP1710">
        <v>0</v>
      </c>
      <c r="AQ1710" s="2">
        <f>IF((2*G1710 + M1710 -P1710 + 3*W1710 + 2*Z1710+2*AD1710 + AG1710+2*AJ1710 + 4*AM1710) &gt;=8,1,0)</f>
        <v>1</v>
      </c>
    </row>
    <row r="1711" spans="1:43" x14ac:dyDescent="0.25">
      <c r="A1711" t="s">
        <v>27</v>
      </c>
      <c r="B1711" s="1">
        <v>44419</v>
      </c>
      <c r="C1711" s="7">
        <f t="shared" si="299"/>
        <v>2021</v>
      </c>
      <c r="D1711">
        <v>97.1</v>
      </c>
      <c r="E1711">
        <v>76</v>
      </c>
      <c r="F1711">
        <v>86.5</v>
      </c>
      <c r="G1711" s="2">
        <f t="shared" si="296"/>
        <v>1</v>
      </c>
      <c r="H1711">
        <v>97.2</v>
      </c>
      <c r="I1711">
        <v>76</v>
      </c>
      <c r="J1711">
        <v>86.3</v>
      </c>
      <c r="K1711">
        <v>58.8</v>
      </c>
      <c r="L1711">
        <v>40.5</v>
      </c>
      <c r="M1711" s="2">
        <f t="shared" si="300"/>
        <v>1</v>
      </c>
      <c r="N1711">
        <v>0</v>
      </c>
      <c r="P1711" s="2">
        <f t="shared" si="301"/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18.100000000000001</v>
      </c>
      <c r="W1711" s="2">
        <f t="shared" si="297"/>
        <v>1</v>
      </c>
      <c r="X1711">
        <v>9.6</v>
      </c>
      <c r="Z1711" s="2">
        <f t="shared" si="298"/>
        <v>0</v>
      </c>
      <c r="AA1711">
        <v>161.30000000000001</v>
      </c>
      <c r="AB1711" s="2" t="str">
        <f>CHOOSE(MATCH(AA1711,{0;11;80;111;161;191;241;281;341},1),"North","NorthEast","East","SouthEast","South","SouthWest","West","NorthWest","North")</f>
        <v>South</v>
      </c>
      <c r="AC1711" s="5">
        <f>CHOOSE(MATCH(AB1711,{"South";"SouthEast";"SouthWest";"North";"NorthEast";"East";"West";"NorthWest"},0),1,2,3,4,5,6,7,8)</f>
        <v>1</v>
      </c>
      <c r="AD1711" s="2">
        <f t="shared" si="302"/>
        <v>0</v>
      </c>
      <c r="AE1711">
        <v>1011.9</v>
      </c>
      <c r="AF1711" s="4" t="s">
        <v>2643</v>
      </c>
      <c r="AG1711" s="2">
        <f t="shared" si="303"/>
        <v>0</v>
      </c>
      <c r="AH1711" t="s">
        <v>2644</v>
      </c>
      <c r="AI1711" s="2">
        <f t="shared" si="304"/>
        <v>8</v>
      </c>
      <c r="AJ1711" s="2">
        <f t="shared" si="305"/>
        <v>1</v>
      </c>
      <c r="AK1711" s="3">
        <v>1605.000000003492</v>
      </c>
      <c r="AM1711" s="2">
        <v>1</v>
      </c>
      <c r="AN1711">
        <v>0</v>
      </c>
      <c r="AO1711">
        <v>5</v>
      </c>
      <c r="AP1711">
        <v>0</v>
      </c>
      <c r="AQ1711" s="2">
        <f>IF((2*G1711 + M1711 -P1711 + 3*W1711 + 2*Z1711+2*AD1711 + AG1711+2*AJ1711 + 4*AM1711) &gt;=8,1,0)</f>
        <v>1</v>
      </c>
    </row>
    <row r="1712" spans="1:43" x14ac:dyDescent="0.25">
      <c r="A1712" t="s">
        <v>27</v>
      </c>
      <c r="B1712" s="1">
        <v>44419</v>
      </c>
      <c r="C1712" s="7">
        <f t="shared" si="299"/>
        <v>2021</v>
      </c>
      <c r="D1712">
        <v>97.1</v>
      </c>
      <c r="E1712">
        <v>76</v>
      </c>
      <c r="F1712">
        <v>86.5</v>
      </c>
      <c r="G1712" s="2">
        <f t="shared" si="296"/>
        <v>1</v>
      </c>
      <c r="H1712">
        <v>97.2</v>
      </c>
      <c r="I1712">
        <v>76</v>
      </c>
      <c r="J1712">
        <v>86.3</v>
      </c>
      <c r="K1712">
        <v>58.8</v>
      </c>
      <c r="L1712">
        <v>40.5</v>
      </c>
      <c r="M1712" s="2">
        <f t="shared" si="300"/>
        <v>1</v>
      </c>
      <c r="N1712">
        <v>0</v>
      </c>
      <c r="P1712" s="2">
        <f t="shared" si="301"/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18.100000000000001</v>
      </c>
      <c r="W1712" s="2">
        <f t="shared" si="297"/>
        <v>1</v>
      </c>
      <c r="X1712">
        <v>9.6</v>
      </c>
      <c r="Z1712" s="2">
        <f t="shared" si="298"/>
        <v>0</v>
      </c>
      <c r="AA1712">
        <v>161.30000000000001</v>
      </c>
      <c r="AB1712" s="2" t="str">
        <f>CHOOSE(MATCH(AA1712,{0;11;80;111;161;191;241;281;341},1),"North","NorthEast","East","SouthEast","South","SouthWest","West","NorthWest","North")</f>
        <v>South</v>
      </c>
      <c r="AC1712" s="5">
        <f>CHOOSE(MATCH(AB1712,{"South";"SouthEast";"SouthWest";"North";"NorthEast";"East";"West";"NorthWest"},0),1,2,3,4,5,6,7,8)</f>
        <v>1</v>
      </c>
      <c r="AD1712" s="2">
        <f t="shared" si="302"/>
        <v>0</v>
      </c>
      <c r="AE1712">
        <v>1011.9</v>
      </c>
      <c r="AF1712" s="4" t="s">
        <v>2010</v>
      </c>
      <c r="AG1712" s="2">
        <f t="shared" si="303"/>
        <v>1</v>
      </c>
      <c r="AH1712" t="s">
        <v>2645</v>
      </c>
      <c r="AI1712" s="2">
        <f t="shared" si="304"/>
        <v>8</v>
      </c>
      <c r="AJ1712" s="2">
        <f t="shared" si="305"/>
        <v>1</v>
      </c>
      <c r="AK1712" s="3">
        <v>1503.9999999990689</v>
      </c>
      <c r="AM1712" s="2">
        <v>1</v>
      </c>
      <c r="AN1712">
        <v>0</v>
      </c>
      <c r="AO1712">
        <v>0.5</v>
      </c>
      <c r="AP1712">
        <v>0</v>
      </c>
      <c r="AQ1712" s="2">
        <f>IF((2*G1712 + M1712 -P1712 + 3*W1712 + 2*Z1712+2*AD1712 + AG1712+2*AJ1712 + 4*AM1712) &gt;=8,1,0)</f>
        <v>1</v>
      </c>
    </row>
    <row r="1713" spans="1:43" x14ac:dyDescent="0.25">
      <c r="A1713" t="s">
        <v>27</v>
      </c>
      <c r="B1713" s="1">
        <v>44419</v>
      </c>
      <c r="C1713" s="7">
        <f t="shared" si="299"/>
        <v>2021</v>
      </c>
      <c r="D1713">
        <v>97.1</v>
      </c>
      <c r="E1713">
        <v>76</v>
      </c>
      <c r="F1713">
        <v>86.5</v>
      </c>
      <c r="G1713" s="2">
        <f t="shared" si="296"/>
        <v>1</v>
      </c>
      <c r="H1713">
        <v>97.2</v>
      </c>
      <c r="I1713">
        <v>76</v>
      </c>
      <c r="J1713">
        <v>86.3</v>
      </c>
      <c r="K1713">
        <v>58.8</v>
      </c>
      <c r="L1713">
        <v>40.5</v>
      </c>
      <c r="M1713" s="2">
        <f t="shared" si="300"/>
        <v>1</v>
      </c>
      <c r="N1713">
        <v>0</v>
      </c>
      <c r="P1713" s="2">
        <f t="shared" si="301"/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18.100000000000001</v>
      </c>
      <c r="W1713" s="2">
        <f t="shared" si="297"/>
        <v>1</v>
      </c>
      <c r="X1713">
        <v>9.6</v>
      </c>
      <c r="Z1713" s="2">
        <f t="shared" si="298"/>
        <v>0</v>
      </c>
      <c r="AA1713">
        <v>161.30000000000001</v>
      </c>
      <c r="AB1713" s="2" t="str">
        <f>CHOOSE(MATCH(AA1713,{0;11;80;111;161;191;241;281;341},1),"North","NorthEast","East","SouthEast","South","SouthWest","West","NorthWest","North")</f>
        <v>South</v>
      </c>
      <c r="AC1713" s="5">
        <f>CHOOSE(MATCH(AB1713,{"South";"SouthEast";"SouthWest";"North";"NorthEast";"East";"West";"NorthWest"},0),1,2,3,4,5,6,7,8)</f>
        <v>1</v>
      </c>
      <c r="AD1713" s="2">
        <f t="shared" si="302"/>
        <v>0</v>
      </c>
      <c r="AE1713">
        <v>1011.9</v>
      </c>
      <c r="AF1713" s="4" t="s">
        <v>2087</v>
      </c>
      <c r="AG1713" s="2">
        <f t="shared" si="303"/>
        <v>1</v>
      </c>
      <c r="AH1713" t="s">
        <v>2646</v>
      </c>
      <c r="AI1713" s="2">
        <f t="shared" si="304"/>
        <v>8</v>
      </c>
      <c r="AJ1713" s="2">
        <f t="shared" si="305"/>
        <v>1</v>
      </c>
      <c r="AK1713" s="3">
        <v>146.999999997206</v>
      </c>
      <c r="AM1713" s="2">
        <v>0</v>
      </c>
      <c r="AN1713">
        <v>0</v>
      </c>
      <c r="AO1713">
        <v>0.1</v>
      </c>
      <c r="AP1713">
        <v>0</v>
      </c>
      <c r="AQ1713" s="2">
        <f>IF((2*G1713 + M1713 -P1713 + 3*W1713 + 2*Z1713+2*AD1713 + AG1713+2*AJ1713 + 4*AM1713) &gt;=8,1,0)</f>
        <v>1</v>
      </c>
    </row>
    <row r="1714" spans="1:43" x14ac:dyDescent="0.25">
      <c r="A1714" t="s">
        <v>27</v>
      </c>
      <c r="B1714" s="1">
        <v>44419</v>
      </c>
      <c r="C1714" s="7">
        <f t="shared" si="299"/>
        <v>2021</v>
      </c>
      <c r="D1714">
        <v>97.1</v>
      </c>
      <c r="E1714">
        <v>76</v>
      </c>
      <c r="F1714">
        <v>86.5</v>
      </c>
      <c r="G1714" s="2">
        <f t="shared" si="296"/>
        <v>1</v>
      </c>
      <c r="H1714">
        <v>97.2</v>
      </c>
      <c r="I1714">
        <v>76</v>
      </c>
      <c r="J1714">
        <v>86.3</v>
      </c>
      <c r="K1714">
        <v>58.8</v>
      </c>
      <c r="L1714">
        <v>40.5</v>
      </c>
      <c r="M1714" s="2">
        <f t="shared" si="300"/>
        <v>1</v>
      </c>
      <c r="N1714">
        <v>0</v>
      </c>
      <c r="P1714" s="2">
        <f t="shared" si="301"/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18.100000000000001</v>
      </c>
      <c r="W1714" s="2">
        <f t="shared" si="297"/>
        <v>1</v>
      </c>
      <c r="X1714">
        <v>9.6</v>
      </c>
      <c r="Z1714" s="2">
        <f t="shared" si="298"/>
        <v>0</v>
      </c>
      <c r="AA1714">
        <v>161.30000000000001</v>
      </c>
      <c r="AB1714" s="2" t="str">
        <f>CHOOSE(MATCH(AA1714,{0;11;80;111;161;191;241;281;341},1),"North","NorthEast","East","SouthEast","South","SouthWest","West","NorthWest","North")</f>
        <v>South</v>
      </c>
      <c r="AC1714" s="5">
        <f>CHOOSE(MATCH(AB1714,{"South";"SouthEast";"SouthWest";"North";"NorthEast";"East";"West";"NorthWest"},0),1,2,3,4,5,6,7,8)</f>
        <v>1</v>
      </c>
      <c r="AD1714" s="2">
        <f t="shared" si="302"/>
        <v>0</v>
      </c>
      <c r="AE1714">
        <v>1011.9</v>
      </c>
      <c r="AF1714" s="4" t="s">
        <v>2647</v>
      </c>
      <c r="AG1714" s="2">
        <f t="shared" si="303"/>
        <v>1</v>
      </c>
      <c r="AH1714" t="s">
        <v>2648</v>
      </c>
      <c r="AI1714" s="2">
        <f t="shared" si="304"/>
        <v>8</v>
      </c>
      <c r="AJ1714" s="2">
        <f t="shared" si="305"/>
        <v>1</v>
      </c>
      <c r="AK1714" s="3">
        <v>149.00000000372529</v>
      </c>
      <c r="AM1714" s="2">
        <v>0</v>
      </c>
      <c r="AN1714">
        <v>0</v>
      </c>
      <c r="AO1714">
        <v>0.1</v>
      </c>
      <c r="AP1714">
        <v>0</v>
      </c>
      <c r="AQ1714" s="2">
        <f>IF((2*G1714 + M1714 -P1714 + 3*W1714 + 2*Z1714+2*AD1714 + AG1714+2*AJ1714 + 4*AM1714) &gt;=8,1,0)</f>
        <v>1</v>
      </c>
    </row>
    <row r="1715" spans="1:43" x14ac:dyDescent="0.25">
      <c r="A1715" t="s">
        <v>27</v>
      </c>
      <c r="B1715" s="1">
        <v>44424</v>
      </c>
      <c r="C1715" s="7">
        <f t="shared" si="299"/>
        <v>2021</v>
      </c>
      <c r="D1715">
        <v>91.9</v>
      </c>
      <c r="E1715">
        <v>73.5</v>
      </c>
      <c r="F1715">
        <v>82.5</v>
      </c>
      <c r="G1715" s="2">
        <f t="shared" si="296"/>
        <v>1</v>
      </c>
      <c r="H1715">
        <v>88.4</v>
      </c>
      <c r="I1715">
        <v>73.5</v>
      </c>
      <c r="J1715">
        <v>81.099999999999994</v>
      </c>
      <c r="K1715">
        <v>50.1</v>
      </c>
      <c r="L1715">
        <v>33.6</v>
      </c>
      <c r="M1715" s="2">
        <f t="shared" si="300"/>
        <v>1</v>
      </c>
      <c r="N1715">
        <v>0</v>
      </c>
      <c r="P1715" s="2">
        <f t="shared" si="301"/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32.299999999999997</v>
      </c>
      <c r="W1715" s="2">
        <f t="shared" si="297"/>
        <v>1</v>
      </c>
      <c r="X1715">
        <v>18.2</v>
      </c>
      <c r="Z1715" s="2">
        <f t="shared" si="298"/>
        <v>1</v>
      </c>
      <c r="AA1715">
        <v>7.6</v>
      </c>
      <c r="AB1715" s="2" t="str">
        <f>CHOOSE(MATCH(AA1715,{0;11;80;111;161;191;241;281;341},1),"North","NorthEast","East","SouthEast","South","SouthWest","West","NorthWest","North")</f>
        <v>North</v>
      </c>
      <c r="AC1715" s="5">
        <f>CHOOSE(MATCH(AB1715,{"South";"SouthEast";"SouthWest";"North";"NorthEast";"East";"West";"NorthWest"},0),1,2,3,4,5,6,7,8)</f>
        <v>4</v>
      </c>
      <c r="AD1715" s="2">
        <f t="shared" si="302"/>
        <v>1</v>
      </c>
      <c r="AE1715">
        <v>1013</v>
      </c>
      <c r="AF1715" s="4" t="s">
        <v>1243</v>
      </c>
      <c r="AG1715" s="2">
        <f t="shared" si="303"/>
        <v>0</v>
      </c>
      <c r="AH1715" t="s">
        <v>2649</v>
      </c>
      <c r="AI1715" s="2">
        <f t="shared" si="304"/>
        <v>8</v>
      </c>
      <c r="AJ1715" s="2">
        <f t="shared" si="305"/>
        <v>1</v>
      </c>
      <c r="AK1715" s="3">
        <v>34677.000000004191</v>
      </c>
      <c r="AM1715" s="2">
        <v>1</v>
      </c>
      <c r="AN1715">
        <v>1930</v>
      </c>
      <c r="AO1715">
        <v>1500</v>
      </c>
      <c r="AP1715">
        <v>0</v>
      </c>
      <c r="AQ1715" s="2">
        <f>IF((2*G1715 + M1715 -P1715 + 3*W1715 + 2*Z1715+2*AD1715 + AG1715+2*AJ1715 + 4*AM1715) &gt;=8,1,0)</f>
        <v>1</v>
      </c>
    </row>
    <row r="1716" spans="1:43" x14ac:dyDescent="0.25">
      <c r="A1716" t="s">
        <v>27</v>
      </c>
      <c r="B1716" s="1">
        <v>44446</v>
      </c>
      <c r="C1716" s="7">
        <f t="shared" si="299"/>
        <v>2021</v>
      </c>
      <c r="D1716">
        <v>77.7</v>
      </c>
      <c r="E1716">
        <v>69.900000000000006</v>
      </c>
      <c r="F1716">
        <v>73.3</v>
      </c>
      <c r="G1716" s="2">
        <f t="shared" si="296"/>
        <v>0</v>
      </c>
      <c r="H1716">
        <v>77.7</v>
      </c>
      <c r="I1716">
        <v>69.900000000000006</v>
      </c>
      <c r="J1716">
        <v>73.3</v>
      </c>
      <c r="K1716">
        <v>54.9</v>
      </c>
      <c r="L1716">
        <v>52.8</v>
      </c>
      <c r="M1716" s="2">
        <f t="shared" si="300"/>
        <v>0</v>
      </c>
      <c r="N1716">
        <v>0</v>
      </c>
      <c r="P1716" s="2">
        <f t="shared" si="301"/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41.3</v>
      </c>
      <c r="W1716" s="2">
        <f t="shared" si="297"/>
        <v>1</v>
      </c>
      <c r="X1716">
        <v>23.5</v>
      </c>
      <c r="Z1716" s="2">
        <f t="shared" si="298"/>
        <v>1</v>
      </c>
      <c r="AA1716">
        <v>357.3</v>
      </c>
      <c r="AB1716" s="2" t="str">
        <f>CHOOSE(MATCH(AA1716,{0;11;80;111;161;191;241;281;341},1),"North","NorthEast","East","SouthEast","South","SouthWest","West","NorthWest","North")</f>
        <v>North</v>
      </c>
      <c r="AC1716" s="5">
        <f>CHOOSE(MATCH(AB1716,{"South";"SouthEast";"SouthWest";"North";"NorthEast";"East";"West";"NorthWest"},0),1,2,3,4,5,6,7,8)</f>
        <v>4</v>
      </c>
      <c r="AD1716" s="2">
        <f t="shared" si="302"/>
        <v>1</v>
      </c>
      <c r="AE1716">
        <v>1016.5</v>
      </c>
      <c r="AF1716" s="4" t="s">
        <v>2008</v>
      </c>
      <c r="AG1716" s="2">
        <f t="shared" si="303"/>
        <v>1</v>
      </c>
      <c r="AH1716" t="s">
        <v>2650</v>
      </c>
      <c r="AI1716" s="2">
        <f t="shared" si="304"/>
        <v>9</v>
      </c>
      <c r="AJ1716" s="2">
        <f t="shared" si="305"/>
        <v>0</v>
      </c>
      <c r="AK1716" s="3">
        <v>23.000000001629811</v>
      </c>
      <c r="AM1716" s="2">
        <v>0</v>
      </c>
      <c r="AN1716">
        <v>0</v>
      </c>
      <c r="AO1716">
        <v>0.05</v>
      </c>
      <c r="AP1716">
        <v>0</v>
      </c>
      <c r="AQ1716" s="2">
        <f>IF((2*G1716 + M1716 -P1716 + 3*W1716 + 2*Z1716+2*AD1716 + AG1716+2*AJ1716 + 4*AM1716) &gt;=8,1,0)</f>
        <v>0</v>
      </c>
    </row>
    <row r="1717" spans="1:43" x14ac:dyDescent="0.25">
      <c r="A1717" t="s">
        <v>27</v>
      </c>
      <c r="B1717" s="1">
        <v>44453</v>
      </c>
      <c r="C1717" s="7">
        <f t="shared" si="299"/>
        <v>2021</v>
      </c>
      <c r="D1717">
        <v>85.5</v>
      </c>
      <c r="E1717">
        <v>73.599999999999994</v>
      </c>
      <c r="F1717">
        <v>78.5</v>
      </c>
      <c r="G1717" s="2">
        <f t="shared" si="296"/>
        <v>1</v>
      </c>
      <c r="H1717">
        <v>82.9</v>
      </c>
      <c r="I1717">
        <v>73.599999999999994</v>
      </c>
      <c r="J1717">
        <v>77.8</v>
      </c>
      <c r="K1717">
        <v>49.1</v>
      </c>
      <c r="L1717">
        <v>36.4</v>
      </c>
      <c r="M1717" s="2">
        <f t="shared" si="300"/>
        <v>1</v>
      </c>
      <c r="N1717">
        <v>0</v>
      </c>
      <c r="P1717" s="2">
        <f t="shared" si="301"/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35.299999999999997</v>
      </c>
      <c r="W1717" s="2">
        <f t="shared" si="297"/>
        <v>1</v>
      </c>
      <c r="X1717">
        <v>20</v>
      </c>
      <c r="Z1717" s="2">
        <f t="shared" si="298"/>
        <v>1</v>
      </c>
      <c r="AA1717">
        <v>354.3</v>
      </c>
      <c r="AB1717" s="2" t="str">
        <f>CHOOSE(MATCH(AA1717,{0;11;80;111;161;191;241;281;341},1),"North","NorthEast","East","SouthEast","South","SouthWest","West","NorthWest","North")</f>
        <v>North</v>
      </c>
      <c r="AC1717" s="5">
        <f>CHOOSE(MATCH(AB1717,{"South";"SouthEast";"SouthWest";"North";"NorthEast";"East";"West";"NorthWest"},0),1,2,3,4,5,6,7,8)</f>
        <v>4</v>
      </c>
      <c r="AD1717" s="2">
        <f t="shared" si="302"/>
        <v>1</v>
      </c>
      <c r="AE1717">
        <v>1012.8</v>
      </c>
      <c r="AF1717" s="4" t="s">
        <v>1785</v>
      </c>
      <c r="AG1717" s="2">
        <f t="shared" si="303"/>
        <v>1</v>
      </c>
      <c r="AH1717" t="s">
        <v>2651</v>
      </c>
      <c r="AI1717" s="2">
        <f t="shared" si="304"/>
        <v>9</v>
      </c>
      <c r="AJ1717" s="2">
        <f t="shared" si="305"/>
        <v>0</v>
      </c>
      <c r="AK1717" s="3">
        <v>3179.9999999930151</v>
      </c>
      <c r="AM1717" s="2">
        <v>1</v>
      </c>
      <c r="AN1717">
        <v>0</v>
      </c>
      <c r="AO1717">
        <v>19</v>
      </c>
      <c r="AP1717">
        <v>0</v>
      </c>
      <c r="AQ1717" s="2">
        <f>IF((2*G1717 + M1717 -P1717 + 3*W1717 + 2*Z1717+2*AD1717 + AG1717+2*AJ1717 + 4*AM1717) &gt;=8,1,0)</f>
        <v>1</v>
      </c>
    </row>
    <row r="1718" spans="1:43" x14ac:dyDescent="0.25">
      <c r="A1718" t="s">
        <v>27</v>
      </c>
      <c r="B1718" s="1">
        <v>44454</v>
      </c>
      <c r="C1718" s="7">
        <f t="shared" si="299"/>
        <v>2021</v>
      </c>
      <c r="D1718">
        <v>87.3</v>
      </c>
      <c r="E1718">
        <v>67.8</v>
      </c>
      <c r="F1718">
        <v>77.5</v>
      </c>
      <c r="G1718" s="2">
        <f t="shared" si="296"/>
        <v>1</v>
      </c>
      <c r="H1718">
        <v>84.6</v>
      </c>
      <c r="I1718">
        <v>67.8</v>
      </c>
      <c r="J1718">
        <v>76.599999999999994</v>
      </c>
      <c r="K1718">
        <v>48.9</v>
      </c>
      <c r="L1718">
        <v>37.6</v>
      </c>
      <c r="M1718" s="2">
        <f t="shared" si="300"/>
        <v>1</v>
      </c>
      <c r="N1718">
        <v>0</v>
      </c>
      <c r="P1718" s="2">
        <f t="shared" si="301"/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25.3</v>
      </c>
      <c r="W1718" s="2">
        <f t="shared" si="297"/>
        <v>1</v>
      </c>
      <c r="X1718">
        <v>13</v>
      </c>
      <c r="Z1718" s="2">
        <f t="shared" si="298"/>
        <v>0</v>
      </c>
      <c r="AA1718">
        <v>357.2</v>
      </c>
      <c r="AB1718" s="2" t="str">
        <f>CHOOSE(MATCH(AA1718,{0;11;80;111;161;191;241;281;341},1),"North","NorthEast","East","SouthEast","South","SouthWest","West","NorthWest","North")</f>
        <v>North</v>
      </c>
      <c r="AC1718" s="5">
        <f>CHOOSE(MATCH(AB1718,{"South";"SouthEast";"SouthWest";"North";"NorthEast";"East";"West";"NorthWest"},0),1,2,3,4,5,6,7,8)</f>
        <v>4</v>
      </c>
      <c r="AD1718" s="2">
        <f t="shared" si="302"/>
        <v>1</v>
      </c>
      <c r="AE1718">
        <v>1015.8</v>
      </c>
      <c r="AF1718" s="4" t="s">
        <v>2377</v>
      </c>
      <c r="AG1718" s="2">
        <f t="shared" si="303"/>
        <v>0</v>
      </c>
      <c r="AH1718" t="s">
        <v>2652</v>
      </c>
      <c r="AI1718" s="2">
        <f t="shared" si="304"/>
        <v>9</v>
      </c>
      <c r="AJ1718" s="2">
        <f t="shared" si="305"/>
        <v>0</v>
      </c>
      <c r="AK1718" s="3">
        <v>655.00000000814907</v>
      </c>
      <c r="AM1718" s="2">
        <v>1</v>
      </c>
      <c r="AN1718">
        <v>0</v>
      </c>
      <c r="AO1718">
        <v>2</v>
      </c>
      <c r="AP1718">
        <v>0</v>
      </c>
      <c r="AQ1718" s="2">
        <f>IF((2*G1718 + M1718 -P1718 + 3*W1718 + 2*Z1718+2*AD1718 + AG1718+2*AJ1718 + 4*AM1718) &gt;=8,1,0)</f>
        <v>1</v>
      </c>
    </row>
    <row r="1719" spans="1:43" x14ac:dyDescent="0.25">
      <c r="A1719" t="s">
        <v>27</v>
      </c>
      <c r="B1719" s="1">
        <v>44456</v>
      </c>
      <c r="C1719" s="7">
        <f t="shared" si="299"/>
        <v>2021</v>
      </c>
      <c r="D1719">
        <v>87.6</v>
      </c>
      <c r="E1719">
        <v>64.099999999999994</v>
      </c>
      <c r="F1719">
        <v>76.599999999999994</v>
      </c>
      <c r="G1719" s="2">
        <f t="shared" si="296"/>
        <v>1</v>
      </c>
      <c r="H1719">
        <v>86.6</v>
      </c>
      <c r="I1719">
        <v>64.099999999999994</v>
      </c>
      <c r="J1719">
        <v>76.3</v>
      </c>
      <c r="K1719">
        <v>56.3</v>
      </c>
      <c r="L1719">
        <v>50.9</v>
      </c>
      <c r="M1719" s="2">
        <f t="shared" si="300"/>
        <v>0</v>
      </c>
      <c r="N1719">
        <v>0</v>
      </c>
      <c r="P1719" s="2">
        <f t="shared" si="301"/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22.8</v>
      </c>
      <c r="W1719" s="2">
        <f t="shared" si="297"/>
        <v>1</v>
      </c>
      <c r="X1719">
        <v>13.2</v>
      </c>
      <c r="Z1719" s="2">
        <f t="shared" si="298"/>
        <v>0</v>
      </c>
      <c r="AA1719">
        <v>198.4</v>
      </c>
      <c r="AB1719" s="2" t="str">
        <f>CHOOSE(MATCH(AA1719,{0;11;80;111;161;191;241;281;341},1),"North","NorthEast","East","SouthEast","South","SouthWest","West","NorthWest","North")</f>
        <v>SouthWest</v>
      </c>
      <c r="AC1719" s="5">
        <f>CHOOSE(MATCH(AB1719,{"South";"SouthEast";"SouthWest";"North";"NorthEast";"East";"West";"NorthWest"},0),1,2,3,4,5,6,7,8)</f>
        <v>3</v>
      </c>
      <c r="AD1719" s="2">
        <f t="shared" si="302"/>
        <v>1</v>
      </c>
      <c r="AE1719">
        <v>1014.9</v>
      </c>
      <c r="AF1719" s="4" t="s">
        <v>1861</v>
      </c>
      <c r="AG1719" s="2">
        <f t="shared" si="303"/>
        <v>1</v>
      </c>
      <c r="AH1719" t="s">
        <v>2653</v>
      </c>
      <c r="AI1719" s="2">
        <f t="shared" si="304"/>
        <v>9</v>
      </c>
      <c r="AJ1719" s="2">
        <f t="shared" si="305"/>
        <v>0</v>
      </c>
      <c r="AK1719" s="3">
        <v>4298.9999999944121</v>
      </c>
      <c r="AM1719" s="2">
        <v>1</v>
      </c>
      <c r="AN1719">
        <v>1.5</v>
      </c>
      <c r="AO1719">
        <v>0</v>
      </c>
      <c r="AP1719">
        <v>0</v>
      </c>
      <c r="AQ1719" s="2">
        <f>IF((2*G1719 + M1719 -P1719 + 3*W1719 + 2*Z1719+2*AD1719 + AG1719+2*AJ1719 + 4*AM1719) &gt;=8,1,0)</f>
        <v>1</v>
      </c>
    </row>
    <row r="1720" spans="1:43" x14ac:dyDescent="0.25">
      <c r="A1720" t="s">
        <v>27</v>
      </c>
      <c r="B1720" s="1">
        <v>44457</v>
      </c>
      <c r="C1720" s="7">
        <f t="shared" si="299"/>
        <v>2021</v>
      </c>
      <c r="D1720">
        <v>98.5</v>
      </c>
      <c r="E1720">
        <v>72.5</v>
      </c>
      <c r="F1720">
        <v>85.1</v>
      </c>
      <c r="G1720" s="2">
        <f t="shared" si="296"/>
        <v>1</v>
      </c>
      <c r="H1720">
        <v>95.4</v>
      </c>
      <c r="I1720">
        <v>72.5</v>
      </c>
      <c r="J1720">
        <v>83.7</v>
      </c>
      <c r="K1720">
        <v>54.7</v>
      </c>
      <c r="L1720">
        <v>38.9</v>
      </c>
      <c r="M1720" s="2">
        <f t="shared" si="300"/>
        <v>1</v>
      </c>
      <c r="N1720">
        <v>0</v>
      </c>
      <c r="P1720" s="2">
        <f t="shared" si="301"/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31.5</v>
      </c>
      <c r="W1720" s="2">
        <f t="shared" si="297"/>
        <v>1</v>
      </c>
      <c r="X1720">
        <v>13.8</v>
      </c>
      <c r="Z1720" s="2">
        <f t="shared" si="298"/>
        <v>0</v>
      </c>
      <c r="AA1720">
        <v>276.2</v>
      </c>
      <c r="AB1720" s="2" t="str">
        <f>CHOOSE(MATCH(AA1720,{0;11;80;111;161;191;241;281;341},1),"North","NorthEast","East","SouthEast","South","SouthWest","West","NorthWest","North")</f>
        <v>West</v>
      </c>
      <c r="AC1720" s="5">
        <f>CHOOSE(MATCH(AB1720,{"South";"SouthEast";"SouthWest";"North";"NorthEast";"East";"West";"NorthWest"},0),1,2,3,4,5,6,7,8)</f>
        <v>7</v>
      </c>
      <c r="AD1720" s="2">
        <f t="shared" si="302"/>
        <v>0</v>
      </c>
      <c r="AE1720">
        <v>1011.9</v>
      </c>
      <c r="AF1720" s="4" t="s">
        <v>1253</v>
      </c>
      <c r="AG1720" s="2">
        <f t="shared" si="303"/>
        <v>1</v>
      </c>
      <c r="AH1720" t="s">
        <v>2654</v>
      </c>
      <c r="AI1720" s="2">
        <f t="shared" si="304"/>
        <v>9</v>
      </c>
      <c r="AJ1720" s="2">
        <f t="shared" si="305"/>
        <v>0</v>
      </c>
      <c r="AK1720" s="3">
        <v>246.99999999837021</v>
      </c>
      <c r="AM1720" s="2">
        <v>0</v>
      </c>
      <c r="AN1720">
        <v>0</v>
      </c>
      <c r="AO1720">
        <v>2</v>
      </c>
      <c r="AP1720">
        <v>0</v>
      </c>
      <c r="AQ1720" s="2">
        <f>IF((2*G1720 + M1720 -P1720 + 3*W1720 + 2*Z1720+2*AD1720 + AG1720+2*AJ1720 + 4*AM1720) &gt;=8,1,0)</f>
        <v>0</v>
      </c>
    </row>
    <row r="1721" spans="1:43" x14ac:dyDescent="0.25">
      <c r="A1721" t="s">
        <v>27</v>
      </c>
      <c r="B1721" s="1">
        <v>44458</v>
      </c>
      <c r="C1721" s="7">
        <f t="shared" si="299"/>
        <v>2021</v>
      </c>
      <c r="D1721">
        <v>95</v>
      </c>
      <c r="E1721">
        <v>75</v>
      </c>
      <c r="F1721">
        <v>83.7</v>
      </c>
      <c r="G1721" s="2">
        <f t="shared" si="296"/>
        <v>1</v>
      </c>
      <c r="H1721">
        <v>92</v>
      </c>
      <c r="I1721">
        <v>75</v>
      </c>
      <c r="J1721">
        <v>82.9</v>
      </c>
      <c r="K1721">
        <v>56.1</v>
      </c>
      <c r="L1721">
        <v>40.4</v>
      </c>
      <c r="M1721" s="2">
        <f t="shared" si="300"/>
        <v>1</v>
      </c>
      <c r="N1721">
        <v>0</v>
      </c>
      <c r="P1721" s="2">
        <f t="shared" si="301"/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26.2</v>
      </c>
      <c r="W1721" s="2">
        <f t="shared" si="297"/>
        <v>1</v>
      </c>
      <c r="X1721">
        <v>16</v>
      </c>
      <c r="Z1721" s="2">
        <f t="shared" si="298"/>
        <v>1</v>
      </c>
      <c r="AA1721">
        <v>230.8</v>
      </c>
      <c r="AB1721" s="2" t="str">
        <f>CHOOSE(MATCH(AA1721,{0;11;80;111;161;191;241;281;341},1),"North","NorthEast","East","SouthEast","South","SouthWest","West","NorthWest","North")</f>
        <v>SouthWest</v>
      </c>
      <c r="AC1721" s="5">
        <f>CHOOSE(MATCH(AB1721,{"South";"SouthEast";"SouthWest";"North";"NorthEast";"East";"West";"NorthWest"},0),1,2,3,4,5,6,7,8)</f>
        <v>3</v>
      </c>
      <c r="AD1721" s="2">
        <f t="shared" si="302"/>
        <v>1</v>
      </c>
      <c r="AE1721">
        <v>1013</v>
      </c>
      <c r="AF1721" s="4" t="s">
        <v>2655</v>
      </c>
      <c r="AG1721" s="2">
        <f t="shared" si="303"/>
        <v>0</v>
      </c>
      <c r="AH1721" t="s">
        <v>2656</v>
      </c>
      <c r="AI1721" s="2">
        <f t="shared" si="304"/>
        <v>9</v>
      </c>
      <c r="AJ1721" s="2">
        <f t="shared" si="305"/>
        <v>0</v>
      </c>
      <c r="AK1721" s="3">
        <v>6241.9999999995343</v>
      </c>
      <c r="AM1721" s="2">
        <v>1</v>
      </c>
      <c r="AN1721">
        <v>0</v>
      </c>
      <c r="AO1721">
        <v>20</v>
      </c>
      <c r="AP1721">
        <v>0</v>
      </c>
      <c r="AQ1721" s="2">
        <f>IF((2*G1721 + M1721 -P1721 + 3*W1721 + 2*Z1721+2*AD1721 + AG1721+2*AJ1721 + 4*AM1721) &gt;=8,1,0)</f>
        <v>1</v>
      </c>
    </row>
    <row r="1722" spans="1:43" x14ac:dyDescent="0.25">
      <c r="A1722" t="s">
        <v>27</v>
      </c>
      <c r="B1722" s="1">
        <v>44459</v>
      </c>
      <c r="C1722" s="7">
        <f t="shared" si="299"/>
        <v>2021</v>
      </c>
      <c r="D1722">
        <v>95.7</v>
      </c>
      <c r="E1722">
        <v>68.3</v>
      </c>
      <c r="F1722">
        <v>82.6</v>
      </c>
      <c r="G1722" s="2">
        <f t="shared" si="296"/>
        <v>1</v>
      </c>
      <c r="H1722">
        <v>92.6</v>
      </c>
      <c r="I1722">
        <v>68.3</v>
      </c>
      <c r="J1722">
        <v>81.599999999999994</v>
      </c>
      <c r="K1722">
        <v>56.1</v>
      </c>
      <c r="L1722">
        <v>43.2</v>
      </c>
      <c r="M1722" s="2">
        <f t="shared" si="300"/>
        <v>1</v>
      </c>
      <c r="N1722">
        <v>0</v>
      </c>
      <c r="P1722" s="2">
        <f t="shared" si="301"/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29.1</v>
      </c>
      <c r="W1722" s="2">
        <f t="shared" si="297"/>
        <v>1</v>
      </c>
      <c r="X1722">
        <v>13.3</v>
      </c>
      <c r="Z1722" s="2">
        <f t="shared" si="298"/>
        <v>0</v>
      </c>
      <c r="AA1722">
        <v>252.4</v>
      </c>
      <c r="AB1722" s="2" t="str">
        <f>CHOOSE(MATCH(AA1722,{0;11;80;111;161;191;241;281;341},1),"North","NorthEast","East","SouthEast","South","SouthWest","West","NorthWest","North")</f>
        <v>West</v>
      </c>
      <c r="AC1722" s="5">
        <f>CHOOSE(MATCH(AB1722,{"South";"SouthEast";"SouthWest";"North";"NorthEast";"East";"West";"NorthWest"},0),1,2,3,4,5,6,7,8)</f>
        <v>7</v>
      </c>
      <c r="AD1722" s="2">
        <f t="shared" si="302"/>
        <v>0</v>
      </c>
      <c r="AE1722">
        <v>1012.2</v>
      </c>
      <c r="AF1722" s="4" t="s">
        <v>1787</v>
      </c>
      <c r="AG1722" s="2">
        <f t="shared" si="303"/>
        <v>1</v>
      </c>
      <c r="AH1722" t="s">
        <v>2657</v>
      </c>
      <c r="AI1722" s="2">
        <f t="shared" si="304"/>
        <v>9</v>
      </c>
      <c r="AJ1722" s="2">
        <f t="shared" si="305"/>
        <v>0</v>
      </c>
      <c r="AK1722" s="3">
        <v>7885.0000000011642</v>
      </c>
      <c r="AM1722" s="2">
        <v>1</v>
      </c>
      <c r="AN1722">
        <v>0</v>
      </c>
      <c r="AO1722">
        <v>100</v>
      </c>
      <c r="AP1722">
        <v>0</v>
      </c>
      <c r="AQ1722" s="2">
        <f>IF((2*G1722 + M1722 -P1722 + 3*W1722 + 2*Z1722+2*AD1722 + AG1722+2*AJ1722 + 4*AM1722) &gt;=8,1,0)</f>
        <v>1</v>
      </c>
    </row>
    <row r="1723" spans="1:43" x14ac:dyDescent="0.25">
      <c r="A1723" t="s">
        <v>27</v>
      </c>
      <c r="B1723" s="1">
        <v>44459</v>
      </c>
      <c r="C1723" s="7">
        <f t="shared" si="299"/>
        <v>2021</v>
      </c>
      <c r="D1723">
        <v>95.7</v>
      </c>
      <c r="E1723">
        <v>68.3</v>
      </c>
      <c r="F1723">
        <v>82.6</v>
      </c>
      <c r="G1723" s="2">
        <f t="shared" si="296"/>
        <v>1</v>
      </c>
      <c r="H1723">
        <v>92.6</v>
      </c>
      <c r="I1723">
        <v>68.3</v>
      </c>
      <c r="J1723">
        <v>81.599999999999994</v>
      </c>
      <c r="K1723">
        <v>56.1</v>
      </c>
      <c r="L1723">
        <v>43.2</v>
      </c>
      <c r="M1723" s="2">
        <f t="shared" si="300"/>
        <v>1</v>
      </c>
      <c r="N1723">
        <v>0</v>
      </c>
      <c r="P1723" s="2">
        <f t="shared" si="301"/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29.1</v>
      </c>
      <c r="W1723" s="2">
        <f t="shared" si="297"/>
        <v>1</v>
      </c>
      <c r="X1723">
        <v>13.3</v>
      </c>
      <c r="Z1723" s="2">
        <f t="shared" si="298"/>
        <v>0</v>
      </c>
      <c r="AA1723">
        <v>252.4</v>
      </c>
      <c r="AB1723" s="2" t="str">
        <f>CHOOSE(MATCH(AA1723,{0;11;80;111;161;191;241;281;341},1),"North","NorthEast","East","SouthEast","South","SouthWest","West","NorthWest","North")</f>
        <v>West</v>
      </c>
      <c r="AC1723" s="5">
        <f>CHOOSE(MATCH(AB1723,{"South";"SouthEast";"SouthWest";"North";"NorthEast";"East";"West";"NorthWest"},0),1,2,3,4,5,6,7,8)</f>
        <v>7</v>
      </c>
      <c r="AD1723" s="2">
        <f t="shared" si="302"/>
        <v>0</v>
      </c>
      <c r="AE1723">
        <v>1012.2</v>
      </c>
      <c r="AF1723" s="4" t="s">
        <v>2658</v>
      </c>
      <c r="AG1723" s="2">
        <f t="shared" si="303"/>
        <v>1</v>
      </c>
      <c r="AH1723" t="s">
        <v>2659</v>
      </c>
      <c r="AI1723" s="2">
        <f t="shared" si="304"/>
        <v>9</v>
      </c>
      <c r="AJ1723" s="2">
        <f t="shared" si="305"/>
        <v>0</v>
      </c>
      <c r="AK1723" s="3">
        <v>1190.0000000023281</v>
      </c>
      <c r="AM1723" s="2">
        <v>1</v>
      </c>
      <c r="AN1723">
        <v>0</v>
      </c>
      <c r="AO1723">
        <v>0.7</v>
      </c>
      <c r="AP1723">
        <v>0</v>
      </c>
      <c r="AQ1723" s="2">
        <f>IF((2*G1723 + M1723 -P1723 + 3*W1723 + 2*Z1723+2*AD1723 + AG1723+2*AJ1723 + 4*AM1723) &gt;=8,1,0)</f>
        <v>1</v>
      </c>
    </row>
    <row r="1724" spans="1:43" x14ac:dyDescent="0.25">
      <c r="A1724" t="s">
        <v>27</v>
      </c>
      <c r="B1724" s="1">
        <v>44469</v>
      </c>
      <c r="C1724" s="7">
        <f t="shared" si="299"/>
        <v>2021</v>
      </c>
      <c r="D1724">
        <v>74.5</v>
      </c>
      <c r="E1724">
        <v>65.099999999999994</v>
      </c>
      <c r="F1724">
        <v>69.2</v>
      </c>
      <c r="G1724" s="2">
        <f t="shared" si="296"/>
        <v>0</v>
      </c>
      <c r="H1724">
        <v>74.5</v>
      </c>
      <c r="I1724">
        <v>65.099999999999994</v>
      </c>
      <c r="J1724">
        <v>69.2</v>
      </c>
      <c r="K1724">
        <v>48.9</v>
      </c>
      <c r="L1724">
        <v>49.3</v>
      </c>
      <c r="M1724" s="2">
        <f t="shared" si="300"/>
        <v>1</v>
      </c>
      <c r="N1724">
        <v>0</v>
      </c>
      <c r="P1724" s="2">
        <f t="shared" si="301"/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38</v>
      </c>
      <c r="W1724" s="2">
        <f t="shared" si="297"/>
        <v>1</v>
      </c>
      <c r="X1724">
        <v>20.6</v>
      </c>
      <c r="Z1724" s="2">
        <f t="shared" si="298"/>
        <v>1</v>
      </c>
      <c r="AA1724">
        <v>5.8</v>
      </c>
      <c r="AB1724" s="2" t="str">
        <f>CHOOSE(MATCH(AA1724,{0;11;80;111;161;191;241;281;341},1),"North","NorthEast","East","SouthEast","South","SouthWest","West","NorthWest","North")</f>
        <v>North</v>
      </c>
      <c r="AC1724" s="5">
        <f>CHOOSE(MATCH(AB1724,{"South";"SouthEast";"SouthWest";"North";"NorthEast";"East";"West";"NorthWest"},0),1,2,3,4,5,6,7,8)</f>
        <v>4</v>
      </c>
      <c r="AD1724" s="2">
        <f t="shared" si="302"/>
        <v>1</v>
      </c>
      <c r="AE1724">
        <v>1019.4</v>
      </c>
      <c r="AF1724" s="4" t="s">
        <v>2660</v>
      </c>
      <c r="AG1724" s="2">
        <f t="shared" si="303"/>
        <v>1</v>
      </c>
      <c r="AH1724" t="s">
        <v>2661</v>
      </c>
      <c r="AI1724" s="2">
        <f t="shared" si="304"/>
        <v>9</v>
      </c>
      <c r="AJ1724" s="2">
        <f t="shared" si="305"/>
        <v>0</v>
      </c>
      <c r="AK1724" s="3">
        <v>5156.0000000009313</v>
      </c>
      <c r="AM1724" s="2">
        <v>1</v>
      </c>
      <c r="AN1724">
        <v>0</v>
      </c>
      <c r="AO1724">
        <v>30</v>
      </c>
      <c r="AP1724">
        <v>0</v>
      </c>
      <c r="AQ1724" s="2">
        <f>IF((2*G1724 + M1724 -P1724 + 3*W1724 + 2*Z1724+2*AD1724 + AG1724+2*AJ1724 + 4*AM1724) &gt;=8,1,0)</f>
        <v>1</v>
      </c>
    </row>
    <row r="1725" spans="1:43" x14ac:dyDescent="0.25">
      <c r="A1725" t="s">
        <v>27</v>
      </c>
      <c r="B1725" s="1">
        <v>44476</v>
      </c>
      <c r="C1725" s="7">
        <f t="shared" si="299"/>
        <v>2021</v>
      </c>
      <c r="D1725">
        <v>75.5</v>
      </c>
      <c r="E1725">
        <v>60.4</v>
      </c>
      <c r="F1725">
        <v>65.900000000000006</v>
      </c>
      <c r="G1725" s="2">
        <f t="shared" si="296"/>
        <v>0</v>
      </c>
      <c r="H1725">
        <v>75.5</v>
      </c>
      <c r="I1725">
        <v>60.4</v>
      </c>
      <c r="J1725">
        <v>65.900000000000006</v>
      </c>
      <c r="K1725">
        <v>50.7</v>
      </c>
      <c r="L1725">
        <v>58.8</v>
      </c>
      <c r="M1725" s="2">
        <f t="shared" si="300"/>
        <v>0</v>
      </c>
      <c r="N1725">
        <v>0</v>
      </c>
      <c r="P1725" s="2">
        <f t="shared" si="301"/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26.9</v>
      </c>
      <c r="W1725" s="2">
        <f t="shared" si="297"/>
        <v>1</v>
      </c>
      <c r="X1725">
        <v>12.9</v>
      </c>
      <c r="Z1725" s="2">
        <f t="shared" si="298"/>
        <v>0</v>
      </c>
      <c r="AA1725">
        <v>41.8</v>
      </c>
      <c r="AB1725" s="2" t="str">
        <f>CHOOSE(MATCH(AA1725,{0;11;80;111;161;191;241;281;341},1),"North","NorthEast","East","SouthEast","South","SouthWest","West","NorthWest","North")</f>
        <v>NorthEast</v>
      </c>
      <c r="AC1725" s="5">
        <f>CHOOSE(MATCH(AB1725,{"South";"SouthEast";"SouthWest";"North";"NorthEast";"East";"West";"NorthWest"},0),1,2,3,4,5,6,7,8)</f>
        <v>5</v>
      </c>
      <c r="AD1725" s="2">
        <f t="shared" si="302"/>
        <v>1</v>
      </c>
      <c r="AE1725">
        <v>1017.1</v>
      </c>
      <c r="AF1725" s="4" t="s">
        <v>2662</v>
      </c>
      <c r="AG1725" s="2">
        <f t="shared" si="303"/>
        <v>1</v>
      </c>
      <c r="AH1725" t="s">
        <v>2663</v>
      </c>
      <c r="AI1725" s="2">
        <f t="shared" si="304"/>
        <v>10</v>
      </c>
      <c r="AJ1725" s="2">
        <f t="shared" si="305"/>
        <v>0</v>
      </c>
      <c r="AK1725" s="3">
        <v>42.000000000698492</v>
      </c>
      <c r="AM1725" s="2">
        <v>0</v>
      </c>
      <c r="AN1725">
        <v>0</v>
      </c>
      <c r="AO1725">
        <v>1</v>
      </c>
      <c r="AP1725">
        <v>0</v>
      </c>
      <c r="AQ1725" s="2">
        <f>IF((2*G1725 + M1725 -P1725 + 3*W1725 + 2*Z1725+2*AD1725 + AG1725+2*AJ1725 + 4*AM1725) &gt;=8,1,0)</f>
        <v>0</v>
      </c>
    </row>
    <row r="1726" spans="1:43" x14ac:dyDescent="0.25">
      <c r="A1726" t="s">
        <v>27</v>
      </c>
      <c r="B1726" s="1">
        <v>44490</v>
      </c>
      <c r="C1726" s="7">
        <f t="shared" si="299"/>
        <v>2021</v>
      </c>
      <c r="D1726">
        <v>71.099999999999994</v>
      </c>
      <c r="E1726">
        <v>50.3</v>
      </c>
      <c r="F1726">
        <v>61.1</v>
      </c>
      <c r="G1726" s="2">
        <f t="shared" ref="G1726:G1788" si="306">IF(F1726&lt;=73.6,0,1)</f>
        <v>0</v>
      </c>
      <c r="H1726">
        <v>71.099999999999994</v>
      </c>
      <c r="I1726">
        <v>50.3</v>
      </c>
      <c r="J1726">
        <v>61.1</v>
      </c>
      <c r="K1726">
        <v>50.9</v>
      </c>
      <c r="L1726">
        <v>70.3</v>
      </c>
      <c r="M1726" s="2">
        <f t="shared" si="300"/>
        <v>0</v>
      </c>
      <c r="N1726">
        <v>0</v>
      </c>
      <c r="P1726" s="2">
        <f t="shared" si="301"/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19.5</v>
      </c>
      <c r="W1726" s="2">
        <f t="shared" si="297"/>
        <v>1</v>
      </c>
      <c r="X1726">
        <v>11.8</v>
      </c>
      <c r="Z1726" s="2">
        <f t="shared" si="298"/>
        <v>0</v>
      </c>
      <c r="AA1726">
        <v>222.2</v>
      </c>
      <c r="AB1726" s="2" t="str">
        <f>CHOOSE(MATCH(AA1726,{0;11;80;111;161;191;241;281;341},1),"North","NorthEast","East","SouthEast","South","SouthWest","West","NorthWest","North")</f>
        <v>SouthWest</v>
      </c>
      <c r="AC1726" s="5">
        <f>CHOOSE(MATCH(AB1726,{"South";"SouthEast";"SouthWest";"North";"NorthEast";"East";"West";"NorthWest"},0),1,2,3,4,5,6,7,8)</f>
        <v>3</v>
      </c>
      <c r="AD1726" s="2">
        <f t="shared" si="302"/>
        <v>1</v>
      </c>
      <c r="AE1726">
        <v>1022.2</v>
      </c>
      <c r="AF1726" s="4" t="s">
        <v>2664</v>
      </c>
      <c r="AG1726" s="2">
        <f t="shared" si="303"/>
        <v>1</v>
      </c>
      <c r="AH1726" t="s">
        <v>2665</v>
      </c>
      <c r="AI1726" s="2">
        <f t="shared" si="304"/>
        <v>10</v>
      </c>
      <c r="AJ1726" s="2">
        <f t="shared" si="305"/>
        <v>0</v>
      </c>
      <c r="AK1726" s="3">
        <v>95.000000005820766</v>
      </c>
      <c r="AM1726" s="2">
        <v>0</v>
      </c>
      <c r="AN1726">
        <v>0</v>
      </c>
      <c r="AO1726">
        <v>0.3</v>
      </c>
      <c r="AP1726">
        <v>0</v>
      </c>
      <c r="AQ1726" s="2">
        <f>IF((2*G1726 + M1726 -P1726 + 3*W1726 + 2*Z1726+2*AD1726 + AG1726+2*AJ1726 + 4*AM1726) &gt;=8,1,0)</f>
        <v>0</v>
      </c>
    </row>
    <row r="1727" spans="1:43" x14ac:dyDescent="0.25">
      <c r="A1727" t="s">
        <v>27</v>
      </c>
      <c r="B1727" s="1">
        <v>44520</v>
      </c>
      <c r="C1727" s="7">
        <f t="shared" si="299"/>
        <v>2021</v>
      </c>
      <c r="D1727">
        <v>60.1</v>
      </c>
      <c r="E1727">
        <v>52.7</v>
      </c>
      <c r="F1727">
        <v>55.8</v>
      </c>
      <c r="G1727" s="2">
        <f t="shared" si="306"/>
        <v>0</v>
      </c>
      <c r="H1727">
        <v>60.1</v>
      </c>
      <c r="I1727">
        <v>52.7</v>
      </c>
      <c r="J1727">
        <v>55.8</v>
      </c>
      <c r="K1727">
        <v>42.1</v>
      </c>
      <c r="L1727">
        <v>60.1</v>
      </c>
      <c r="M1727" s="2">
        <f t="shared" si="300"/>
        <v>0</v>
      </c>
      <c r="N1727">
        <v>1E-3</v>
      </c>
      <c r="P1727" s="2">
        <f t="shared" si="301"/>
        <v>1</v>
      </c>
      <c r="Q1727">
        <v>100</v>
      </c>
      <c r="R1727">
        <v>4.17</v>
      </c>
      <c r="S1727" t="s">
        <v>87</v>
      </c>
      <c r="T1727">
        <v>0</v>
      </c>
      <c r="U1727">
        <v>0</v>
      </c>
      <c r="V1727">
        <v>29.8</v>
      </c>
      <c r="W1727" s="2">
        <f t="shared" si="297"/>
        <v>1</v>
      </c>
      <c r="X1727">
        <v>13</v>
      </c>
      <c r="Z1727" s="2">
        <f t="shared" si="298"/>
        <v>0</v>
      </c>
      <c r="AA1727">
        <v>345.1</v>
      </c>
      <c r="AB1727" s="2" t="str">
        <f>CHOOSE(MATCH(AA1727,{0;11;80;111;161;191;241;281;341},1),"North","NorthEast","East","SouthEast","South","SouthWest","West","NorthWest","North")</f>
        <v>North</v>
      </c>
      <c r="AC1727" s="5">
        <f>CHOOSE(MATCH(AB1727,{"South";"SouthEast";"SouthWest";"North";"NorthEast";"East";"West";"NorthWest"},0),1,2,3,4,5,6,7,8)</f>
        <v>4</v>
      </c>
      <c r="AD1727" s="2">
        <f t="shared" si="302"/>
        <v>1</v>
      </c>
      <c r="AE1727">
        <v>1017.9</v>
      </c>
      <c r="AF1727" s="4" t="s">
        <v>1202</v>
      </c>
      <c r="AG1727" s="2">
        <f t="shared" si="303"/>
        <v>1</v>
      </c>
      <c r="AH1727" t="s">
        <v>2667</v>
      </c>
      <c r="AI1727" s="2">
        <f t="shared" si="304"/>
        <v>11</v>
      </c>
      <c r="AJ1727" s="2">
        <f t="shared" si="305"/>
        <v>0</v>
      </c>
      <c r="AK1727" s="3">
        <v>69.000000004889444</v>
      </c>
      <c r="AM1727" s="2">
        <v>0</v>
      </c>
      <c r="AN1727">
        <v>0.3</v>
      </c>
      <c r="AO1727">
        <v>0.3</v>
      </c>
      <c r="AP1727">
        <v>0</v>
      </c>
      <c r="AQ1727" s="2">
        <f>IF((2*G1727 + M1727 -P1727 + 3*W1727 + 2*Z1727+2*AD1727 + AG1727+2*AJ1727 + 4*AM1727) &gt;=8,1,0)</f>
        <v>0</v>
      </c>
    </row>
    <row r="1728" spans="1:43" x14ac:dyDescent="0.25">
      <c r="A1728" t="s">
        <v>27</v>
      </c>
      <c r="B1728" s="1">
        <v>44530</v>
      </c>
      <c r="C1728" s="7">
        <f t="shared" si="299"/>
        <v>2021</v>
      </c>
      <c r="D1728">
        <v>61.6</v>
      </c>
      <c r="E1728">
        <v>49.8</v>
      </c>
      <c r="F1728">
        <v>56.4</v>
      </c>
      <c r="G1728" s="2">
        <f t="shared" si="306"/>
        <v>0</v>
      </c>
      <c r="H1728">
        <v>61.6</v>
      </c>
      <c r="I1728">
        <v>47.7</v>
      </c>
      <c r="J1728">
        <v>56.3</v>
      </c>
      <c r="K1728">
        <v>39.799999999999997</v>
      </c>
      <c r="L1728">
        <v>53.8</v>
      </c>
      <c r="M1728" s="2">
        <f t="shared" si="300"/>
        <v>0</v>
      </c>
      <c r="N1728">
        <v>0</v>
      </c>
      <c r="P1728" s="2">
        <f t="shared" si="301"/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38</v>
      </c>
      <c r="W1728" s="2">
        <f t="shared" si="297"/>
        <v>1</v>
      </c>
      <c r="X1728">
        <v>18.899999999999999</v>
      </c>
      <c r="Z1728" s="2">
        <f t="shared" si="298"/>
        <v>1</v>
      </c>
      <c r="AA1728">
        <v>256.3</v>
      </c>
      <c r="AB1728" s="2" t="str">
        <f>CHOOSE(MATCH(AA1728,{0;11;80;111;161;191;241;281;341},1),"North","NorthEast","East","SouthEast","South","SouthWest","West","NorthWest","North")</f>
        <v>West</v>
      </c>
      <c r="AC1728" s="5">
        <f>CHOOSE(MATCH(AB1728,{"South";"SouthEast";"SouthWest";"North";"NorthEast";"East";"West";"NorthWest"},0),1,2,3,4,5,6,7,8)</f>
        <v>7</v>
      </c>
      <c r="AD1728" s="2">
        <f t="shared" si="302"/>
        <v>0</v>
      </c>
      <c r="AE1728">
        <v>1008.1</v>
      </c>
      <c r="AF1728" s="4" t="s">
        <v>1169</v>
      </c>
      <c r="AG1728" s="2">
        <f t="shared" si="303"/>
        <v>0</v>
      </c>
      <c r="AH1728" t="s">
        <v>2668</v>
      </c>
      <c r="AI1728" s="2">
        <f t="shared" si="304"/>
        <v>11</v>
      </c>
      <c r="AJ1728" s="2">
        <f t="shared" si="305"/>
        <v>0</v>
      </c>
      <c r="AK1728" s="3">
        <v>78.000000002793968</v>
      </c>
      <c r="AM1728" s="2">
        <v>0</v>
      </c>
      <c r="AN1728">
        <v>0</v>
      </c>
      <c r="AO1728">
        <v>0.05</v>
      </c>
      <c r="AP1728">
        <v>0</v>
      </c>
      <c r="AQ1728" s="2">
        <f>IF((2*G1728 + M1728 -P1728 + 3*W1728 + 2*Z1728+2*AD1728 + AG1728+2*AJ1728 + 4*AM1728) &gt;=8,1,0)</f>
        <v>0</v>
      </c>
    </row>
    <row r="1729" spans="1:43" x14ac:dyDescent="0.25">
      <c r="A1729" t="s">
        <v>27</v>
      </c>
      <c r="B1729" s="1">
        <v>44602</v>
      </c>
      <c r="C1729" s="7">
        <f t="shared" si="299"/>
        <v>2022</v>
      </c>
      <c r="D1729">
        <v>57.9</v>
      </c>
      <c r="E1729">
        <v>40.1</v>
      </c>
      <c r="F1729">
        <v>49.1</v>
      </c>
      <c r="G1729" s="2">
        <f t="shared" si="306"/>
        <v>0</v>
      </c>
      <c r="H1729">
        <v>57.9</v>
      </c>
      <c r="I1729">
        <v>37.6</v>
      </c>
      <c r="J1729">
        <v>47.9</v>
      </c>
      <c r="K1729">
        <v>36.4</v>
      </c>
      <c r="L1729">
        <v>62.3</v>
      </c>
      <c r="M1729" s="2">
        <f t="shared" si="300"/>
        <v>0</v>
      </c>
      <c r="N1729">
        <v>0</v>
      </c>
      <c r="O1729">
        <f>AVERAGE(N1729:N1782)</f>
        <v>3.5148148148148144E-2</v>
      </c>
      <c r="P1729" s="2">
        <f t="shared" si="301"/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24.4</v>
      </c>
      <c r="W1729" s="2">
        <f t="shared" si="297"/>
        <v>1</v>
      </c>
      <c r="X1729">
        <v>12.5</v>
      </c>
      <c r="Y1729">
        <f>AVERAGE(X1729:X1782)</f>
        <v>15.62222222222222</v>
      </c>
      <c r="Z1729" s="2">
        <f t="shared" si="298"/>
        <v>0</v>
      </c>
      <c r="AA1729">
        <v>358.2</v>
      </c>
      <c r="AB1729" s="2" t="str">
        <f>CHOOSE(MATCH(AA1729,{0;11;80;111;161;191;241;281;341},1),"North","NorthEast","East","SouthEast","South","SouthWest","West","NorthWest","North")</f>
        <v>North</v>
      </c>
      <c r="AC1729" s="5">
        <f>CHOOSE(MATCH(AB1729,{"South";"SouthEast";"SouthWest";"North";"NorthEast";"East";"West";"NorthWest"},0),1,2,3,4,5,6,7,8)</f>
        <v>4</v>
      </c>
      <c r="AD1729" s="2">
        <f t="shared" si="302"/>
        <v>1</v>
      </c>
      <c r="AE1729">
        <v>1026.7</v>
      </c>
      <c r="AF1729" s="4" t="s">
        <v>1857</v>
      </c>
      <c r="AG1729" s="2">
        <f t="shared" si="303"/>
        <v>1</v>
      </c>
      <c r="AH1729" t="s">
        <v>2669</v>
      </c>
      <c r="AI1729" s="2">
        <f t="shared" si="304"/>
        <v>2</v>
      </c>
      <c r="AJ1729" s="2">
        <f t="shared" si="305"/>
        <v>0</v>
      </c>
      <c r="AK1729" s="3">
        <v>245.00000000232831</v>
      </c>
      <c r="AL1729" s="3">
        <f>AVERAGE(AK1729:AK1782)</f>
        <v>2188.555555555698</v>
      </c>
      <c r="AM1729" s="2">
        <v>0</v>
      </c>
      <c r="AN1729">
        <v>0.1</v>
      </c>
      <c r="AO1729">
        <v>0</v>
      </c>
      <c r="AP1729">
        <v>0</v>
      </c>
      <c r="AQ1729" s="2">
        <f>IF((2*G1729 + M1729 -P1729 + 3*W1729 + 2*Z1729+2*AD1729 + AG1729+2*AJ1729 + 4*AM1729) &gt;=8,1,0)</f>
        <v>0</v>
      </c>
    </row>
    <row r="1730" spans="1:43" x14ac:dyDescent="0.25">
      <c r="A1730" t="s">
        <v>27</v>
      </c>
      <c r="B1730" s="1">
        <v>44603</v>
      </c>
      <c r="C1730" s="7">
        <f t="shared" si="299"/>
        <v>2022</v>
      </c>
      <c r="D1730">
        <v>61.4</v>
      </c>
      <c r="E1730">
        <v>36.299999999999997</v>
      </c>
      <c r="F1730">
        <v>49.1</v>
      </c>
      <c r="G1730" s="2">
        <f t="shared" si="306"/>
        <v>0</v>
      </c>
      <c r="H1730">
        <v>61.4</v>
      </c>
      <c r="I1730">
        <v>33.200000000000003</v>
      </c>
      <c r="J1730">
        <v>48.2</v>
      </c>
      <c r="K1730">
        <v>36.799999999999997</v>
      </c>
      <c r="L1730">
        <v>64.3</v>
      </c>
      <c r="M1730" s="2">
        <f t="shared" si="300"/>
        <v>0</v>
      </c>
      <c r="N1730">
        <v>0</v>
      </c>
      <c r="P1730" s="2">
        <f t="shared" si="301"/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12.5</v>
      </c>
      <c r="W1730" s="2">
        <f t="shared" si="297"/>
        <v>1</v>
      </c>
      <c r="X1730">
        <v>7.7</v>
      </c>
      <c r="Z1730" s="2">
        <f t="shared" si="298"/>
        <v>0</v>
      </c>
      <c r="AA1730">
        <v>346.4</v>
      </c>
      <c r="AB1730" s="2" t="str">
        <f>CHOOSE(MATCH(AA1730,{0;11;80;111;161;191;241;281;341},1),"North","NorthEast","East","SouthEast","South","SouthWest","West","NorthWest","North")</f>
        <v>North</v>
      </c>
      <c r="AC1730" s="5">
        <f>CHOOSE(MATCH(AB1730,{"South";"SouthEast";"SouthWest";"North";"NorthEast";"East";"West";"NorthWest"},0),1,2,3,4,5,6,7,8)</f>
        <v>4</v>
      </c>
      <c r="AD1730" s="2">
        <f t="shared" si="302"/>
        <v>1</v>
      </c>
      <c r="AE1730">
        <v>1023.7</v>
      </c>
      <c r="AF1730" s="4" t="s">
        <v>1247</v>
      </c>
      <c r="AG1730" s="2">
        <f t="shared" si="303"/>
        <v>1</v>
      </c>
      <c r="AH1730" t="s">
        <v>2670</v>
      </c>
      <c r="AI1730" s="2">
        <f t="shared" si="304"/>
        <v>2</v>
      </c>
      <c r="AJ1730" s="2">
        <f t="shared" si="305"/>
        <v>0</v>
      </c>
      <c r="AK1730" s="3">
        <v>80.999999991618097</v>
      </c>
      <c r="AM1730" s="2">
        <v>0</v>
      </c>
      <c r="AN1730">
        <v>0</v>
      </c>
      <c r="AO1730">
        <v>0.5</v>
      </c>
      <c r="AP1730">
        <v>0</v>
      </c>
      <c r="AQ1730" s="2">
        <f>IF((2*G1730 + M1730 -P1730 + 3*W1730 + 2*Z1730+2*AD1730 + AG1730+2*AJ1730 + 4*AM1730) &gt;=8,1,0)</f>
        <v>0</v>
      </c>
    </row>
    <row r="1731" spans="1:43" x14ac:dyDescent="0.25">
      <c r="A1731" t="s">
        <v>27</v>
      </c>
      <c r="B1731" s="1">
        <v>44619</v>
      </c>
      <c r="C1731" s="7">
        <f t="shared" si="299"/>
        <v>2022</v>
      </c>
      <c r="D1731">
        <v>59.8</v>
      </c>
      <c r="E1731">
        <v>48.1</v>
      </c>
      <c r="F1731">
        <v>53.4</v>
      </c>
      <c r="G1731" s="2">
        <f t="shared" si="306"/>
        <v>0</v>
      </c>
      <c r="H1731">
        <v>59.8</v>
      </c>
      <c r="I1731">
        <v>48.1</v>
      </c>
      <c r="J1731">
        <v>53.3</v>
      </c>
      <c r="K1731">
        <v>44.3</v>
      </c>
      <c r="L1731">
        <v>71.7</v>
      </c>
      <c r="M1731" s="2">
        <f t="shared" si="300"/>
        <v>0</v>
      </c>
      <c r="N1731">
        <v>8.7999999999999995E-2</v>
      </c>
      <c r="P1731" s="2">
        <f t="shared" si="301"/>
        <v>0</v>
      </c>
      <c r="Q1731">
        <v>100</v>
      </c>
      <c r="R1731">
        <v>8.33</v>
      </c>
      <c r="S1731" t="s">
        <v>87</v>
      </c>
      <c r="T1731">
        <v>0</v>
      </c>
      <c r="U1731">
        <v>0</v>
      </c>
      <c r="V1731">
        <v>44.5</v>
      </c>
      <c r="W1731" s="2">
        <f t="shared" si="297"/>
        <v>1</v>
      </c>
      <c r="X1731">
        <v>20.3</v>
      </c>
      <c r="Z1731" s="2">
        <f t="shared" si="298"/>
        <v>1</v>
      </c>
      <c r="AA1731">
        <v>187.3</v>
      </c>
      <c r="AB1731" s="2" t="str">
        <f>CHOOSE(MATCH(AA1731,{0;11;80;111;161;191;241;281;341},1),"North","NorthEast","East","SouthEast","South","SouthWest","West","NorthWest","North")</f>
        <v>South</v>
      </c>
      <c r="AC1731" s="5">
        <f>CHOOSE(MATCH(AB1731,{"South";"SouthEast";"SouthWest";"North";"NorthEast";"East";"West";"NorthWest"},0),1,2,3,4,5,6,7,8)</f>
        <v>1</v>
      </c>
      <c r="AD1731" s="2">
        <f t="shared" si="302"/>
        <v>0</v>
      </c>
      <c r="AE1731">
        <v>1015.2</v>
      </c>
      <c r="AF1731" s="4" t="s">
        <v>2671</v>
      </c>
      <c r="AG1731" s="2">
        <f t="shared" si="303"/>
        <v>0</v>
      </c>
      <c r="AH1731" t="s">
        <v>2672</v>
      </c>
      <c r="AI1731" s="2">
        <f t="shared" si="304"/>
        <v>2</v>
      </c>
      <c r="AJ1731" s="2">
        <f t="shared" si="305"/>
        <v>0</v>
      </c>
      <c r="AK1731" s="3">
        <v>150.00000000698489</v>
      </c>
      <c r="AM1731" s="2">
        <v>0</v>
      </c>
      <c r="AN1731">
        <v>0</v>
      </c>
      <c r="AO1731">
        <v>0.5</v>
      </c>
      <c r="AP1731">
        <v>0</v>
      </c>
      <c r="AQ1731" s="2">
        <f>IF((2*G1731 + M1731 -P1731 + 3*W1731 + 2*Z1731+2*AD1731 + AG1731+2*AJ1731 + 4*AM1731) &gt;=8,1,0)</f>
        <v>0</v>
      </c>
    </row>
    <row r="1732" spans="1:43" x14ac:dyDescent="0.25">
      <c r="A1732" t="s">
        <v>27</v>
      </c>
      <c r="B1732" s="1">
        <v>44648</v>
      </c>
      <c r="C1732" s="7">
        <f t="shared" ref="C1732:C1789" si="307">YEAR(B1732)</f>
        <v>2022</v>
      </c>
      <c r="D1732">
        <v>63.8</v>
      </c>
      <c r="E1732">
        <v>49.8</v>
      </c>
      <c r="F1732">
        <v>56</v>
      </c>
      <c r="G1732" s="2">
        <f t="shared" si="306"/>
        <v>0</v>
      </c>
      <c r="H1732">
        <v>63.8</v>
      </c>
      <c r="I1732">
        <v>48.8</v>
      </c>
      <c r="J1732">
        <v>55.9</v>
      </c>
      <c r="K1732">
        <v>46</v>
      </c>
      <c r="L1732">
        <v>70.099999999999994</v>
      </c>
      <c r="M1732" s="2">
        <f t="shared" ref="M1732:M1789" si="308">IF(L1732&lt;=49.3,1,0)</f>
        <v>0</v>
      </c>
      <c r="N1732">
        <v>2E-3</v>
      </c>
      <c r="P1732" s="2">
        <f t="shared" ref="P1732:P1789" si="309">IF(N1732&lt;=0.01,1,0)</f>
        <v>1</v>
      </c>
      <c r="Q1732">
        <v>100</v>
      </c>
      <c r="R1732">
        <v>4.17</v>
      </c>
      <c r="S1732" t="s">
        <v>87</v>
      </c>
      <c r="T1732">
        <v>0</v>
      </c>
      <c r="U1732">
        <v>0</v>
      </c>
      <c r="V1732">
        <v>16.600000000000001</v>
      </c>
      <c r="W1732" s="2">
        <f t="shared" ref="W1732:W1788" si="310">IF(V1732&lt;=10,0,1)</f>
        <v>1</v>
      </c>
      <c r="X1732">
        <v>7.9</v>
      </c>
      <c r="Z1732" s="2">
        <f t="shared" ref="Z1732:Z1788" si="311">IF(X1732&gt;=16,1,0)</f>
        <v>0</v>
      </c>
      <c r="AA1732">
        <v>251.1</v>
      </c>
      <c r="AB1732" s="2" t="str">
        <f>CHOOSE(MATCH(AA1732,{0;11;80;111;161;191;241;281;341},1),"North","NorthEast","East","SouthEast","South","SouthWest","West","NorthWest","North")</f>
        <v>West</v>
      </c>
      <c r="AC1732" s="5">
        <f>CHOOSE(MATCH(AB1732,{"South";"SouthEast";"SouthWest";"North";"NorthEast";"East";"West";"NorthWest"},0),1,2,3,4,5,6,7,8)</f>
        <v>7</v>
      </c>
      <c r="AD1732" s="2">
        <f t="shared" ref="AD1732:AD1789" si="312">IF(OR(AC1732=3,AC1732=4,AC1732=5,AC1732=8),1,0)</f>
        <v>0</v>
      </c>
      <c r="AE1732">
        <v>1026.5999999999999</v>
      </c>
      <c r="AF1732" s="4" t="s">
        <v>1227</v>
      </c>
      <c r="AG1732" s="2">
        <f t="shared" ref="AG1732:AG1789" si="313">IF(TIMEVALUE(AF1732)&lt;=TIME(12,30,0),0,1)</f>
        <v>1</v>
      </c>
      <c r="AH1732" t="s">
        <v>2673</v>
      </c>
      <c r="AI1732" s="2">
        <f t="shared" ref="AI1732:AI1789" si="314">MONTH(AH1732)</f>
        <v>3</v>
      </c>
      <c r="AJ1732" s="2">
        <f t="shared" ref="AJ1732:AJ1789" si="315">IF(OR(AI1732=6,AI1732=7,AI1732=8),1,0)</f>
        <v>0</v>
      </c>
      <c r="AK1732" s="3">
        <v>386.99999999371357</v>
      </c>
      <c r="AM1732" s="2">
        <v>1</v>
      </c>
      <c r="AN1732">
        <v>0</v>
      </c>
      <c r="AO1732">
        <v>0.5</v>
      </c>
      <c r="AP1732">
        <v>0</v>
      </c>
      <c r="AQ1732" s="2">
        <f>IF((2*G1732 + M1732 -P1732 + 3*W1732 + 2*Z1732+2*AD1732 + AG1732+2*AJ1732 + 4*AM1732) &gt;=8,1,0)</f>
        <v>0</v>
      </c>
    </row>
    <row r="1733" spans="1:43" x14ac:dyDescent="0.25">
      <c r="A1733" t="s">
        <v>27</v>
      </c>
      <c r="B1733" s="1">
        <v>44674</v>
      </c>
      <c r="C1733" s="7">
        <f t="shared" si="307"/>
        <v>2022</v>
      </c>
      <c r="D1733">
        <v>75.2</v>
      </c>
      <c r="E1733">
        <v>54.4</v>
      </c>
      <c r="F1733">
        <v>63.7</v>
      </c>
      <c r="G1733" s="2">
        <f t="shared" si="306"/>
        <v>0</v>
      </c>
      <c r="H1733">
        <v>75.2</v>
      </c>
      <c r="I1733">
        <v>54.4</v>
      </c>
      <c r="J1733">
        <v>63.7</v>
      </c>
      <c r="K1733">
        <v>51.1</v>
      </c>
      <c r="L1733">
        <v>66.099999999999994</v>
      </c>
      <c r="M1733" s="2">
        <f t="shared" si="308"/>
        <v>0</v>
      </c>
      <c r="N1733">
        <v>0</v>
      </c>
      <c r="P1733" s="2">
        <f t="shared" si="309"/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21.7</v>
      </c>
      <c r="W1733" s="2">
        <f t="shared" si="310"/>
        <v>1</v>
      </c>
      <c r="X1733">
        <v>9.5</v>
      </c>
      <c r="Z1733" s="2">
        <f t="shared" si="311"/>
        <v>0</v>
      </c>
      <c r="AA1733">
        <v>171.7</v>
      </c>
      <c r="AB1733" s="2" t="str">
        <f>CHOOSE(MATCH(AA1733,{0;11;80;111;161;191;241;281;341},1),"North","NorthEast","East","SouthEast","South","SouthWest","West","NorthWest","North")</f>
        <v>South</v>
      </c>
      <c r="AC1733" s="5">
        <f>CHOOSE(MATCH(AB1733,{"South";"SouthEast";"SouthWest";"North";"NorthEast";"East";"West";"NorthWest"},0),1,2,3,4,5,6,7,8)</f>
        <v>1</v>
      </c>
      <c r="AD1733" s="2">
        <f t="shared" si="312"/>
        <v>0</v>
      </c>
      <c r="AE1733">
        <v>1009.1</v>
      </c>
      <c r="AF1733" s="4" t="s">
        <v>2026</v>
      </c>
      <c r="AG1733" s="2">
        <f t="shared" si="313"/>
        <v>1</v>
      </c>
      <c r="AH1733" t="s">
        <v>2674</v>
      </c>
      <c r="AI1733" s="2">
        <f t="shared" si="314"/>
        <v>4</v>
      </c>
      <c r="AJ1733" s="2">
        <f t="shared" si="315"/>
        <v>0</v>
      </c>
      <c r="AK1733" s="3">
        <v>84.999999994179234</v>
      </c>
      <c r="AM1733" s="2">
        <v>0</v>
      </c>
      <c r="AN1733">
        <v>0</v>
      </c>
      <c r="AO1733">
        <v>0.2</v>
      </c>
      <c r="AP1733">
        <v>0</v>
      </c>
      <c r="AQ1733" s="2">
        <f>IF((2*G1733 + M1733 -P1733 + 3*W1733 + 2*Z1733+2*AD1733 + AG1733+2*AJ1733 + 4*AM1733) &gt;=8,1,0)</f>
        <v>0</v>
      </c>
    </row>
    <row r="1734" spans="1:43" x14ac:dyDescent="0.25">
      <c r="A1734" t="s">
        <v>27</v>
      </c>
      <c r="B1734" s="1">
        <v>44675</v>
      </c>
      <c r="C1734" s="7">
        <f t="shared" si="307"/>
        <v>2022</v>
      </c>
      <c r="D1734">
        <v>77</v>
      </c>
      <c r="E1734">
        <v>51.6</v>
      </c>
      <c r="F1734">
        <v>64.5</v>
      </c>
      <c r="G1734" s="2">
        <f t="shared" si="306"/>
        <v>0</v>
      </c>
      <c r="H1734">
        <v>77</v>
      </c>
      <c r="I1734">
        <v>51.6</v>
      </c>
      <c r="J1734">
        <v>64.5</v>
      </c>
      <c r="K1734">
        <v>48.9</v>
      </c>
      <c r="L1734">
        <v>60.5</v>
      </c>
      <c r="M1734" s="2">
        <f t="shared" si="308"/>
        <v>0</v>
      </c>
      <c r="N1734">
        <v>0</v>
      </c>
      <c r="P1734" s="2">
        <f t="shared" si="309"/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22.6</v>
      </c>
      <c r="W1734" s="2">
        <f t="shared" si="310"/>
        <v>1</v>
      </c>
      <c r="X1734">
        <v>10</v>
      </c>
      <c r="Z1734" s="2">
        <f t="shared" si="311"/>
        <v>0</v>
      </c>
      <c r="AA1734">
        <v>146.4</v>
      </c>
      <c r="AB1734" s="2" t="str">
        <f>CHOOSE(MATCH(AA1734,{0;11;80;111;161;191;241;281;341},1),"North","NorthEast","East","SouthEast","South","SouthWest","West","NorthWest","North")</f>
        <v>SouthEast</v>
      </c>
      <c r="AC1734" s="5">
        <f>CHOOSE(MATCH(AB1734,{"South";"SouthEast";"SouthWest";"North";"NorthEast";"East";"West";"NorthWest"},0),1,2,3,4,5,6,7,8)</f>
        <v>2</v>
      </c>
      <c r="AD1734" s="2">
        <f t="shared" si="312"/>
        <v>0</v>
      </c>
      <c r="AE1734">
        <v>1010.5</v>
      </c>
      <c r="AF1734" s="4" t="s">
        <v>1686</v>
      </c>
      <c r="AG1734" s="2">
        <f t="shared" si="313"/>
        <v>1</v>
      </c>
      <c r="AH1734" t="s">
        <v>2675</v>
      </c>
      <c r="AI1734" s="2">
        <f t="shared" si="314"/>
        <v>4</v>
      </c>
      <c r="AJ1734" s="2">
        <f t="shared" si="315"/>
        <v>0</v>
      </c>
      <c r="AK1734" s="3">
        <v>238.99999999324791</v>
      </c>
      <c r="AM1734" s="2">
        <v>0</v>
      </c>
      <c r="AN1734">
        <v>0</v>
      </c>
      <c r="AO1734">
        <v>1</v>
      </c>
      <c r="AP1734">
        <v>0</v>
      </c>
      <c r="AQ1734" s="2">
        <f>IF((2*G1734 + M1734 -P1734 + 3*W1734 + 2*Z1734+2*AD1734 + AG1734+2*AJ1734 + 4*AM1734) &gt;=8,1,0)</f>
        <v>0</v>
      </c>
    </row>
    <row r="1735" spans="1:43" x14ac:dyDescent="0.25">
      <c r="A1735" t="s">
        <v>27</v>
      </c>
      <c r="B1735" s="1">
        <v>44678</v>
      </c>
      <c r="C1735" s="7">
        <f t="shared" si="307"/>
        <v>2022</v>
      </c>
      <c r="D1735">
        <v>78</v>
      </c>
      <c r="E1735">
        <v>53.4</v>
      </c>
      <c r="F1735">
        <v>66.3</v>
      </c>
      <c r="G1735" s="2">
        <f t="shared" si="306"/>
        <v>0</v>
      </c>
      <c r="H1735">
        <v>78</v>
      </c>
      <c r="I1735">
        <v>53.4</v>
      </c>
      <c r="J1735">
        <v>66.3</v>
      </c>
      <c r="K1735">
        <v>47.5</v>
      </c>
      <c r="L1735">
        <v>52.8</v>
      </c>
      <c r="M1735" s="2">
        <f t="shared" si="308"/>
        <v>0</v>
      </c>
      <c r="N1735">
        <v>0</v>
      </c>
      <c r="P1735" s="2">
        <f t="shared" si="309"/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20</v>
      </c>
      <c r="W1735" s="2">
        <f t="shared" si="310"/>
        <v>1</v>
      </c>
      <c r="X1735">
        <v>10.3</v>
      </c>
      <c r="Z1735" s="2">
        <f t="shared" si="311"/>
        <v>0</v>
      </c>
      <c r="AA1735">
        <v>79.900000000000006</v>
      </c>
      <c r="AB1735" s="2" t="str">
        <f>CHOOSE(MATCH(AA1735,{0;11;80;111;161;191;241;281;341},1),"North","NorthEast","East","SouthEast","South","SouthWest","West","NorthWest","North")</f>
        <v>NorthEast</v>
      </c>
      <c r="AC1735" s="5">
        <f>CHOOSE(MATCH(AB1735,{"South";"SouthEast";"SouthWest";"North";"NorthEast";"East";"West";"NorthWest"},0),1,2,3,4,5,6,7,8)</f>
        <v>5</v>
      </c>
      <c r="AD1735" s="2">
        <f t="shared" si="312"/>
        <v>1</v>
      </c>
      <c r="AE1735">
        <v>1013.1</v>
      </c>
      <c r="AF1735" s="4" t="s">
        <v>1169</v>
      </c>
      <c r="AG1735" s="2">
        <f t="shared" si="313"/>
        <v>0</v>
      </c>
      <c r="AH1735" t="s">
        <v>2676</v>
      </c>
      <c r="AI1735" s="2">
        <f t="shared" si="314"/>
        <v>4</v>
      </c>
      <c r="AJ1735" s="2">
        <f t="shared" si="315"/>
        <v>0</v>
      </c>
      <c r="AK1735" s="3">
        <v>85.999999997438863</v>
      </c>
      <c r="AM1735" s="2">
        <v>0</v>
      </c>
      <c r="AN1735">
        <v>0</v>
      </c>
      <c r="AO1735">
        <v>3</v>
      </c>
      <c r="AP1735">
        <v>0</v>
      </c>
      <c r="AQ1735" s="2">
        <f>IF((2*G1735 + M1735 -P1735 + 3*W1735 + 2*Z1735+2*AD1735 + AG1735+2*AJ1735 + 4*AM1735) &gt;=8,1,0)</f>
        <v>0</v>
      </c>
    </row>
    <row r="1736" spans="1:43" x14ac:dyDescent="0.25">
      <c r="A1736" t="s">
        <v>27</v>
      </c>
      <c r="B1736" s="1">
        <v>44691</v>
      </c>
      <c r="C1736" s="7">
        <f t="shared" si="307"/>
        <v>2022</v>
      </c>
      <c r="D1736">
        <v>74.099999999999994</v>
      </c>
      <c r="E1736">
        <v>59.4</v>
      </c>
      <c r="F1736">
        <v>66.3</v>
      </c>
      <c r="G1736" s="2">
        <f t="shared" si="306"/>
        <v>0</v>
      </c>
      <c r="H1736">
        <v>74.099999999999994</v>
      </c>
      <c r="I1736">
        <v>59.4</v>
      </c>
      <c r="J1736">
        <v>66.3</v>
      </c>
      <c r="K1736">
        <v>33.200000000000003</v>
      </c>
      <c r="L1736">
        <v>30</v>
      </c>
      <c r="M1736" s="2">
        <f t="shared" si="308"/>
        <v>1</v>
      </c>
      <c r="N1736">
        <v>0</v>
      </c>
      <c r="P1736" s="2">
        <f t="shared" si="309"/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32.200000000000003</v>
      </c>
      <c r="W1736" s="2">
        <f t="shared" si="310"/>
        <v>1</v>
      </c>
      <c r="X1736">
        <v>17</v>
      </c>
      <c r="Z1736" s="2">
        <f t="shared" si="311"/>
        <v>1</v>
      </c>
      <c r="AA1736">
        <v>4.3</v>
      </c>
      <c r="AB1736" s="2" t="str">
        <f>CHOOSE(MATCH(AA1736,{0;11;80;111;161;191;241;281;341},1),"North","NorthEast","East","SouthEast","South","SouthWest","West","NorthWest","North")</f>
        <v>North</v>
      </c>
      <c r="AC1736" s="5">
        <f>CHOOSE(MATCH(AB1736,{"South";"SouthEast";"SouthWest";"North";"NorthEast";"East";"West";"NorthWest"},0),1,2,3,4,5,6,7,8)</f>
        <v>4</v>
      </c>
      <c r="AD1736" s="2">
        <f t="shared" si="312"/>
        <v>1</v>
      </c>
      <c r="AE1736">
        <v>1017.5</v>
      </c>
      <c r="AF1736" s="4" t="s">
        <v>2540</v>
      </c>
      <c r="AG1736" s="2">
        <f t="shared" si="313"/>
        <v>0</v>
      </c>
      <c r="AH1736" t="s">
        <v>2677</v>
      </c>
      <c r="AI1736" s="2">
        <f t="shared" si="314"/>
        <v>5</v>
      </c>
      <c r="AJ1736" s="2">
        <f t="shared" si="315"/>
        <v>0</v>
      </c>
      <c r="AK1736" s="3">
        <v>1152.999999996973</v>
      </c>
      <c r="AM1736" s="2">
        <v>1</v>
      </c>
      <c r="AN1736">
        <v>0</v>
      </c>
      <c r="AO1736">
        <v>5</v>
      </c>
      <c r="AP1736">
        <v>0</v>
      </c>
      <c r="AQ1736" s="2">
        <f>IF((2*G1736 + M1736 -P1736 + 3*W1736 + 2*Z1736+2*AD1736 + AG1736+2*AJ1736 + 4*AM1736) &gt;=8,1,0)</f>
        <v>1</v>
      </c>
    </row>
    <row r="1737" spans="1:43" x14ac:dyDescent="0.25">
      <c r="A1737" t="s">
        <v>27</v>
      </c>
      <c r="B1737" s="1">
        <v>44695</v>
      </c>
      <c r="C1737" s="7">
        <f t="shared" si="307"/>
        <v>2022</v>
      </c>
      <c r="D1737">
        <v>77.099999999999994</v>
      </c>
      <c r="E1737">
        <v>56.1</v>
      </c>
      <c r="F1737">
        <v>67.099999999999994</v>
      </c>
      <c r="G1737" s="2">
        <f t="shared" si="306"/>
        <v>0</v>
      </c>
      <c r="H1737">
        <v>77.099999999999994</v>
      </c>
      <c r="I1737">
        <v>56.1</v>
      </c>
      <c r="J1737">
        <v>67.099999999999994</v>
      </c>
      <c r="K1737">
        <v>51.6</v>
      </c>
      <c r="L1737">
        <v>58.1</v>
      </c>
      <c r="M1737" s="2">
        <f t="shared" si="308"/>
        <v>0</v>
      </c>
      <c r="N1737">
        <v>0</v>
      </c>
      <c r="P1737" s="2">
        <f t="shared" si="309"/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18.100000000000001</v>
      </c>
      <c r="W1737" s="2">
        <f t="shared" si="310"/>
        <v>1</v>
      </c>
      <c r="X1737">
        <v>9.6</v>
      </c>
      <c r="Z1737" s="2">
        <f t="shared" si="311"/>
        <v>0</v>
      </c>
      <c r="AA1737">
        <v>140.5</v>
      </c>
      <c r="AB1737" s="2" t="str">
        <f>CHOOSE(MATCH(AA1737,{0;11;80;111;161;191;241;281;341},1),"North","NorthEast","East","SouthEast","South","SouthWest","West","NorthWest","North")</f>
        <v>SouthEast</v>
      </c>
      <c r="AC1737" s="5">
        <f>CHOOSE(MATCH(AB1737,{"South";"SouthEast";"SouthWest";"North";"NorthEast";"East";"West";"NorthWest"},0),1,2,3,4,5,6,7,8)</f>
        <v>2</v>
      </c>
      <c r="AD1737" s="2">
        <f t="shared" si="312"/>
        <v>0</v>
      </c>
      <c r="AE1737">
        <v>1015.3</v>
      </c>
      <c r="AF1737" s="4" t="s">
        <v>1960</v>
      </c>
      <c r="AG1737" s="2">
        <f t="shared" si="313"/>
        <v>1</v>
      </c>
      <c r="AH1737" t="s">
        <v>2678</v>
      </c>
      <c r="AI1737" s="2">
        <f t="shared" si="314"/>
        <v>5</v>
      </c>
      <c r="AJ1737" s="2">
        <f t="shared" si="315"/>
        <v>0</v>
      </c>
      <c r="AK1737" s="3">
        <v>21.999999998370189</v>
      </c>
      <c r="AM1737" s="2">
        <v>0</v>
      </c>
      <c r="AN1737">
        <v>0</v>
      </c>
      <c r="AO1737">
        <v>0.01</v>
      </c>
      <c r="AP1737">
        <v>0</v>
      </c>
      <c r="AQ1737" s="2">
        <f>IF((2*G1737 + M1737 -P1737 + 3*W1737 + 2*Z1737+2*AD1737 + AG1737+2*AJ1737 + 4*AM1737) &gt;=8,1,0)</f>
        <v>0</v>
      </c>
    </row>
    <row r="1738" spans="1:43" x14ac:dyDescent="0.25">
      <c r="A1738" t="s">
        <v>27</v>
      </c>
      <c r="B1738" s="1">
        <v>44700</v>
      </c>
      <c r="C1738" s="7">
        <f t="shared" si="307"/>
        <v>2022</v>
      </c>
      <c r="D1738">
        <v>67.900000000000006</v>
      </c>
      <c r="E1738">
        <v>55</v>
      </c>
      <c r="F1738">
        <v>61.8</v>
      </c>
      <c r="G1738" s="2">
        <f t="shared" si="306"/>
        <v>0</v>
      </c>
      <c r="H1738">
        <v>67.900000000000006</v>
      </c>
      <c r="I1738">
        <v>55</v>
      </c>
      <c r="J1738">
        <v>61.8</v>
      </c>
      <c r="K1738">
        <v>42</v>
      </c>
      <c r="L1738">
        <v>50.8</v>
      </c>
      <c r="M1738" s="2">
        <f t="shared" si="308"/>
        <v>0</v>
      </c>
      <c r="N1738">
        <v>0.20100000000000001</v>
      </c>
      <c r="P1738" s="2">
        <f t="shared" si="309"/>
        <v>0</v>
      </c>
      <c r="Q1738">
        <v>100</v>
      </c>
      <c r="R1738">
        <v>8.33</v>
      </c>
      <c r="S1738" t="s">
        <v>87</v>
      </c>
      <c r="T1738">
        <v>0</v>
      </c>
      <c r="U1738">
        <v>0</v>
      </c>
      <c r="V1738">
        <v>51.9</v>
      </c>
      <c r="W1738" s="2">
        <f t="shared" si="310"/>
        <v>1</v>
      </c>
      <c r="X1738">
        <v>28</v>
      </c>
      <c r="Z1738" s="2">
        <f t="shared" si="311"/>
        <v>1</v>
      </c>
      <c r="AA1738">
        <v>5.5</v>
      </c>
      <c r="AB1738" s="2" t="str">
        <f>CHOOSE(MATCH(AA1738,{0;11;80;111;161;191;241;281;341},1),"North","NorthEast","East","SouthEast","South","SouthWest","West","NorthWest","North")</f>
        <v>North</v>
      </c>
      <c r="AC1738" s="5">
        <f>CHOOSE(MATCH(AB1738,{"South";"SouthEast";"SouthWest";"North";"NorthEast";"East";"West";"NorthWest"},0),1,2,3,4,5,6,7,8)</f>
        <v>4</v>
      </c>
      <c r="AD1738" s="2">
        <f t="shared" si="312"/>
        <v>1</v>
      </c>
      <c r="AE1738">
        <v>1022.6</v>
      </c>
      <c r="AF1738" s="4" t="s">
        <v>2030</v>
      </c>
      <c r="AG1738" s="2">
        <f t="shared" si="313"/>
        <v>1</v>
      </c>
      <c r="AH1738" t="s">
        <v>2679</v>
      </c>
      <c r="AI1738" s="2">
        <f t="shared" si="314"/>
        <v>5</v>
      </c>
      <c r="AJ1738" s="2">
        <f t="shared" si="315"/>
        <v>0</v>
      </c>
      <c r="AK1738" s="3">
        <v>155.99999999511061</v>
      </c>
      <c r="AM1738" s="2">
        <v>0</v>
      </c>
      <c r="AN1738">
        <v>0</v>
      </c>
      <c r="AO1738">
        <v>0.1</v>
      </c>
      <c r="AP1738">
        <v>0</v>
      </c>
      <c r="AQ1738" s="2">
        <f>IF((2*G1738 + M1738 -P1738 + 3*W1738 + 2*Z1738+2*AD1738 + AG1738+2*AJ1738 + 4*AM1738) &gt;=8,1,0)</f>
        <v>1</v>
      </c>
    </row>
    <row r="1739" spans="1:43" x14ac:dyDescent="0.25">
      <c r="A1739" t="s">
        <v>27</v>
      </c>
      <c r="B1739" s="1">
        <v>44702</v>
      </c>
      <c r="C1739" s="7">
        <f t="shared" si="307"/>
        <v>2022</v>
      </c>
      <c r="D1739">
        <v>81.400000000000006</v>
      </c>
      <c r="E1739">
        <v>62.1</v>
      </c>
      <c r="F1739">
        <v>71.7</v>
      </c>
      <c r="G1739" s="2">
        <f t="shared" si="306"/>
        <v>0</v>
      </c>
      <c r="H1739">
        <v>79.7</v>
      </c>
      <c r="I1739">
        <v>62.1</v>
      </c>
      <c r="J1739">
        <v>71.599999999999994</v>
      </c>
      <c r="K1739">
        <v>41.2</v>
      </c>
      <c r="L1739">
        <v>34.299999999999997</v>
      </c>
      <c r="M1739" s="2">
        <f t="shared" si="308"/>
        <v>1</v>
      </c>
      <c r="N1739">
        <v>0</v>
      </c>
      <c r="P1739" s="2">
        <f t="shared" si="309"/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26.4</v>
      </c>
      <c r="W1739" s="2">
        <f t="shared" si="310"/>
        <v>1</v>
      </c>
      <c r="X1739">
        <v>14.8</v>
      </c>
      <c r="Z1739" s="2">
        <f t="shared" si="311"/>
        <v>0</v>
      </c>
      <c r="AA1739">
        <v>23.3</v>
      </c>
      <c r="AB1739" s="2" t="str">
        <f>CHOOSE(MATCH(AA1739,{0;11;80;111;161;191;241;281;341},1),"North","NorthEast","East","SouthEast","South","SouthWest","West","NorthWest","North")</f>
        <v>NorthEast</v>
      </c>
      <c r="AC1739" s="5">
        <f>CHOOSE(MATCH(AB1739,{"South";"SouthEast";"SouthWest";"North";"NorthEast";"East";"West";"NorthWest"},0),1,2,3,4,5,6,7,8)</f>
        <v>5</v>
      </c>
      <c r="AD1739" s="2">
        <f t="shared" si="312"/>
        <v>1</v>
      </c>
      <c r="AE1739">
        <v>1016.8</v>
      </c>
      <c r="AF1739" s="4" t="s">
        <v>1708</v>
      </c>
      <c r="AG1739" s="2">
        <f t="shared" si="313"/>
        <v>1</v>
      </c>
      <c r="AH1739" t="s">
        <v>2680</v>
      </c>
      <c r="AI1739" s="2">
        <f t="shared" si="314"/>
        <v>5</v>
      </c>
      <c r="AJ1739" s="2">
        <f t="shared" si="315"/>
        <v>0</v>
      </c>
      <c r="AK1739" s="3">
        <v>21.000000005587939</v>
      </c>
      <c r="AM1739" s="2">
        <v>0</v>
      </c>
      <c r="AN1739">
        <v>0</v>
      </c>
      <c r="AO1739">
        <v>7.0000000000000007E-2</v>
      </c>
      <c r="AP1739">
        <v>0</v>
      </c>
      <c r="AQ1739" s="2">
        <f>IF((2*G1739 + M1739 -P1739 + 3*W1739 + 2*Z1739+2*AD1739 + AG1739+2*AJ1739 + 4*AM1739) &gt;=8,1,0)</f>
        <v>0</v>
      </c>
    </row>
    <row r="1740" spans="1:43" x14ac:dyDescent="0.25">
      <c r="A1740" t="s">
        <v>27</v>
      </c>
      <c r="B1740" s="1">
        <v>44709</v>
      </c>
      <c r="C1740" s="7">
        <f t="shared" si="307"/>
        <v>2022</v>
      </c>
      <c r="D1740">
        <v>90.3</v>
      </c>
      <c r="E1740">
        <v>66.400000000000006</v>
      </c>
      <c r="F1740">
        <v>78.599999999999994</v>
      </c>
      <c r="G1740" s="2">
        <f t="shared" si="306"/>
        <v>1</v>
      </c>
      <c r="H1740">
        <v>87.3</v>
      </c>
      <c r="I1740">
        <v>66.400000000000006</v>
      </c>
      <c r="J1740">
        <v>77.599999999999994</v>
      </c>
      <c r="K1740">
        <v>53.5</v>
      </c>
      <c r="L1740">
        <v>45.9</v>
      </c>
      <c r="M1740" s="2">
        <f t="shared" si="308"/>
        <v>1</v>
      </c>
      <c r="N1740">
        <v>0</v>
      </c>
      <c r="P1740" s="2">
        <f t="shared" si="309"/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25.9</v>
      </c>
      <c r="W1740" s="2">
        <f t="shared" si="310"/>
        <v>1</v>
      </c>
      <c r="X1740">
        <v>11</v>
      </c>
      <c r="Z1740" s="2">
        <f t="shared" si="311"/>
        <v>0</v>
      </c>
      <c r="AA1740">
        <v>192.8</v>
      </c>
      <c r="AB1740" s="2" t="str">
        <f>CHOOSE(MATCH(AA1740,{0;11;80;111;161;191;241;281;341},1),"North","NorthEast","East","SouthEast","South","SouthWest","West","NorthWest","North")</f>
        <v>SouthWest</v>
      </c>
      <c r="AC1740" s="5">
        <f>CHOOSE(MATCH(AB1740,{"South";"SouthEast";"SouthWest";"North";"NorthEast";"East";"West";"NorthWest"},0),1,2,3,4,5,6,7,8)</f>
        <v>3</v>
      </c>
      <c r="AD1740" s="2">
        <f t="shared" si="312"/>
        <v>1</v>
      </c>
      <c r="AE1740">
        <v>1010.7</v>
      </c>
      <c r="AF1740" s="4" t="s">
        <v>1780</v>
      </c>
      <c r="AG1740" s="2">
        <f t="shared" si="313"/>
        <v>1</v>
      </c>
      <c r="AH1740" t="s">
        <v>2681</v>
      </c>
      <c r="AI1740" s="2">
        <f t="shared" si="314"/>
        <v>5</v>
      </c>
      <c r="AJ1740" s="2">
        <f t="shared" si="315"/>
        <v>0</v>
      </c>
      <c r="AK1740" s="3">
        <v>295.00000000814907</v>
      </c>
      <c r="AM1740" s="2">
        <v>0</v>
      </c>
      <c r="AN1740">
        <v>0</v>
      </c>
      <c r="AO1740">
        <v>0.3</v>
      </c>
      <c r="AP1740">
        <v>0</v>
      </c>
      <c r="AQ1740" s="2">
        <f>IF((2*G1740 + M1740 -P1740 + 3*W1740 + 2*Z1740+2*AD1740 + AG1740+2*AJ1740 + 4*AM1740) &gt;=8,1,0)</f>
        <v>1</v>
      </c>
    </row>
    <row r="1741" spans="1:43" x14ac:dyDescent="0.25">
      <c r="A1741" t="s">
        <v>27</v>
      </c>
      <c r="B1741" s="1">
        <v>44712</v>
      </c>
      <c r="C1741" s="7">
        <f t="shared" si="307"/>
        <v>2022</v>
      </c>
      <c r="D1741">
        <v>88.1</v>
      </c>
      <c r="E1741">
        <v>64.099999999999994</v>
      </c>
      <c r="F1741">
        <v>77.099999999999994</v>
      </c>
      <c r="G1741" s="2">
        <f t="shared" si="306"/>
        <v>1</v>
      </c>
      <c r="H1741">
        <v>86.4</v>
      </c>
      <c r="I1741">
        <v>64.099999999999994</v>
      </c>
      <c r="J1741">
        <v>76.599999999999994</v>
      </c>
      <c r="K1741">
        <v>56.3</v>
      </c>
      <c r="L1741">
        <v>50.9</v>
      </c>
      <c r="M1741" s="2">
        <f t="shared" si="308"/>
        <v>0</v>
      </c>
      <c r="N1741">
        <v>0</v>
      </c>
      <c r="P1741" s="2">
        <f t="shared" si="309"/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16</v>
      </c>
      <c r="W1741" s="2">
        <f t="shared" si="310"/>
        <v>1</v>
      </c>
      <c r="X1741">
        <v>10.9</v>
      </c>
      <c r="Z1741" s="2">
        <f t="shared" si="311"/>
        <v>0</v>
      </c>
      <c r="AA1741">
        <v>119.1</v>
      </c>
      <c r="AB1741" s="2" t="str">
        <f>CHOOSE(MATCH(AA1741,{0;11;80;111;161;191;241;281;341},1),"North","NorthEast","East","SouthEast","South","SouthWest","West","NorthWest","North")</f>
        <v>SouthEast</v>
      </c>
      <c r="AC1741" s="5">
        <f>CHOOSE(MATCH(AB1741,{"South";"SouthEast";"SouthWest";"North";"NorthEast";"East";"West";"NorthWest"},0),1,2,3,4,5,6,7,8)</f>
        <v>2</v>
      </c>
      <c r="AD1741" s="2">
        <f t="shared" si="312"/>
        <v>0</v>
      </c>
      <c r="AE1741">
        <v>1013.9</v>
      </c>
      <c r="AF1741" s="4" t="s">
        <v>1237</v>
      </c>
      <c r="AG1741" s="2">
        <f t="shared" si="313"/>
        <v>1</v>
      </c>
      <c r="AH1741" t="s">
        <v>2682</v>
      </c>
      <c r="AI1741" s="2">
        <f t="shared" si="314"/>
        <v>5</v>
      </c>
      <c r="AJ1741" s="2">
        <f t="shared" si="315"/>
        <v>0</v>
      </c>
      <c r="AK1741" s="3">
        <v>214.99999999883579</v>
      </c>
      <c r="AM1741" s="2">
        <v>0</v>
      </c>
      <c r="AN1741">
        <v>0</v>
      </c>
      <c r="AO1741">
        <v>5</v>
      </c>
      <c r="AP1741">
        <v>0</v>
      </c>
      <c r="AQ1741" s="2">
        <f>IF((2*G1741 + M1741 -P1741 + 3*W1741 + 2*Z1741+2*AD1741 + AG1741+2*AJ1741 + 4*AM1741) &gt;=8,1,0)</f>
        <v>0</v>
      </c>
    </row>
    <row r="1742" spans="1:43" x14ac:dyDescent="0.25">
      <c r="A1742" t="s">
        <v>27</v>
      </c>
      <c r="B1742" s="1">
        <v>44712</v>
      </c>
      <c r="C1742" s="7">
        <f t="shared" si="307"/>
        <v>2022</v>
      </c>
      <c r="D1742">
        <v>88.1</v>
      </c>
      <c r="E1742">
        <v>64.099999999999994</v>
      </c>
      <c r="F1742">
        <v>77.099999999999994</v>
      </c>
      <c r="G1742" s="2">
        <f t="shared" si="306"/>
        <v>1</v>
      </c>
      <c r="H1742">
        <v>86.4</v>
      </c>
      <c r="I1742">
        <v>64.099999999999994</v>
      </c>
      <c r="J1742">
        <v>76.599999999999994</v>
      </c>
      <c r="K1742">
        <v>56.3</v>
      </c>
      <c r="L1742">
        <v>50.9</v>
      </c>
      <c r="M1742" s="2">
        <f t="shared" si="308"/>
        <v>0</v>
      </c>
      <c r="N1742">
        <v>0</v>
      </c>
      <c r="P1742" s="2">
        <f t="shared" si="309"/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16</v>
      </c>
      <c r="W1742" s="2">
        <f t="shared" si="310"/>
        <v>1</v>
      </c>
      <c r="X1742">
        <v>10.9</v>
      </c>
      <c r="Z1742" s="2">
        <f t="shared" si="311"/>
        <v>0</v>
      </c>
      <c r="AA1742">
        <v>119.1</v>
      </c>
      <c r="AB1742" s="2" t="str">
        <f>CHOOSE(MATCH(AA1742,{0;11;80;111;161;191;241;281;341},1),"North","NorthEast","East","SouthEast","South","SouthWest","West","NorthWest","North")</f>
        <v>SouthEast</v>
      </c>
      <c r="AC1742" s="5">
        <f>CHOOSE(MATCH(AB1742,{"South";"SouthEast";"SouthWest";"North";"NorthEast";"East";"West";"NorthWest"},0),1,2,3,4,5,6,7,8)</f>
        <v>2</v>
      </c>
      <c r="AD1742" s="2">
        <f t="shared" si="312"/>
        <v>0</v>
      </c>
      <c r="AE1742">
        <v>1013.9</v>
      </c>
      <c r="AF1742" s="4" t="s">
        <v>2198</v>
      </c>
      <c r="AG1742" s="2">
        <f t="shared" si="313"/>
        <v>1</v>
      </c>
      <c r="AH1742" t="s">
        <v>2683</v>
      </c>
      <c r="AI1742" s="2">
        <f t="shared" si="314"/>
        <v>5</v>
      </c>
      <c r="AJ1742" s="2">
        <f t="shared" si="315"/>
        <v>0</v>
      </c>
      <c r="AK1742" s="3">
        <v>2635.0000000081491</v>
      </c>
      <c r="AM1742" s="2">
        <v>1</v>
      </c>
      <c r="AN1742">
        <v>0</v>
      </c>
      <c r="AO1742">
        <v>35</v>
      </c>
      <c r="AP1742">
        <v>0</v>
      </c>
      <c r="AQ1742" s="2">
        <f>IF((2*G1742 + M1742 -P1742 + 3*W1742 + 2*Z1742+2*AD1742 + AG1742+2*AJ1742 + 4*AM1742) &gt;=8,1,0)</f>
        <v>1</v>
      </c>
    </row>
    <row r="1743" spans="1:43" x14ac:dyDescent="0.25">
      <c r="A1743" t="s">
        <v>27</v>
      </c>
      <c r="B1743" s="1">
        <v>44716</v>
      </c>
      <c r="C1743" s="7">
        <f t="shared" si="307"/>
        <v>2022</v>
      </c>
      <c r="D1743">
        <v>89.7</v>
      </c>
      <c r="E1743">
        <v>78.099999999999994</v>
      </c>
      <c r="F1743">
        <v>83.8</v>
      </c>
      <c r="G1743" s="2">
        <f t="shared" si="306"/>
        <v>1</v>
      </c>
      <c r="H1743">
        <v>87.3</v>
      </c>
      <c r="I1743">
        <v>78.099999999999994</v>
      </c>
      <c r="J1743">
        <v>82.6</v>
      </c>
      <c r="K1743">
        <v>53.9</v>
      </c>
      <c r="L1743">
        <v>36.6</v>
      </c>
      <c r="M1743" s="2">
        <f t="shared" si="308"/>
        <v>1</v>
      </c>
      <c r="N1743">
        <v>0</v>
      </c>
      <c r="P1743" s="2">
        <f t="shared" si="309"/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47.2</v>
      </c>
      <c r="W1743" s="2">
        <f t="shared" si="310"/>
        <v>1</v>
      </c>
      <c r="X1743">
        <v>21.8</v>
      </c>
      <c r="Z1743" s="2">
        <f t="shared" si="311"/>
        <v>1</v>
      </c>
      <c r="AA1743">
        <v>10</v>
      </c>
      <c r="AB1743" s="2" t="str">
        <f>CHOOSE(MATCH(AA1743,{0;11;80;111;161;191;241;281;341},1),"North","NorthEast","East","SouthEast","South","SouthWest","West","NorthWest","North")</f>
        <v>North</v>
      </c>
      <c r="AC1743" s="5">
        <f>CHOOSE(MATCH(AB1743,{"South";"SouthEast";"SouthWest";"North";"NorthEast";"East";"West";"NorthWest"},0),1,2,3,4,5,6,7,8)</f>
        <v>4</v>
      </c>
      <c r="AD1743" s="2">
        <f t="shared" si="312"/>
        <v>1</v>
      </c>
      <c r="AE1743">
        <v>1014.4</v>
      </c>
      <c r="AF1743" s="4" t="s">
        <v>2666</v>
      </c>
      <c r="AG1743" s="2">
        <f t="shared" si="313"/>
        <v>1</v>
      </c>
      <c r="AH1743" t="s">
        <v>2684</v>
      </c>
      <c r="AI1743" s="2">
        <f t="shared" si="314"/>
        <v>6</v>
      </c>
      <c r="AJ1743" s="2">
        <f t="shared" si="315"/>
        <v>1</v>
      </c>
      <c r="AK1743" s="3">
        <v>12826.99999999604</v>
      </c>
      <c r="AM1743" s="2">
        <v>1</v>
      </c>
      <c r="AN1743">
        <v>0</v>
      </c>
      <c r="AO1743">
        <v>3000</v>
      </c>
      <c r="AP1743">
        <v>0</v>
      </c>
      <c r="AQ1743" s="2">
        <f>IF((2*G1743 + M1743 -P1743 + 3*W1743 + 2*Z1743+2*AD1743 + AG1743+2*AJ1743 + 4*AM1743) &gt;=8,1,0)</f>
        <v>1</v>
      </c>
    </row>
    <row r="1744" spans="1:43" x14ac:dyDescent="0.25">
      <c r="A1744" t="s">
        <v>27</v>
      </c>
      <c r="B1744" s="1">
        <v>44716</v>
      </c>
      <c r="C1744" s="7">
        <f t="shared" si="307"/>
        <v>2022</v>
      </c>
      <c r="D1744">
        <v>89.7</v>
      </c>
      <c r="E1744">
        <v>78.099999999999994</v>
      </c>
      <c r="F1744">
        <v>83.8</v>
      </c>
      <c r="G1744" s="2">
        <f t="shared" si="306"/>
        <v>1</v>
      </c>
      <c r="H1744">
        <v>87.3</v>
      </c>
      <c r="I1744">
        <v>78.099999999999994</v>
      </c>
      <c r="J1744">
        <v>82.6</v>
      </c>
      <c r="K1744">
        <v>53.9</v>
      </c>
      <c r="L1744">
        <v>36.6</v>
      </c>
      <c r="M1744" s="2">
        <f t="shared" si="308"/>
        <v>1</v>
      </c>
      <c r="N1744">
        <v>0</v>
      </c>
      <c r="P1744" s="2">
        <f t="shared" si="309"/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47.2</v>
      </c>
      <c r="W1744" s="2">
        <f t="shared" si="310"/>
        <v>1</v>
      </c>
      <c r="X1744">
        <v>21.8</v>
      </c>
      <c r="Z1744" s="2">
        <f t="shared" si="311"/>
        <v>1</v>
      </c>
      <c r="AA1744">
        <v>10</v>
      </c>
      <c r="AB1744" s="2" t="str">
        <f>CHOOSE(MATCH(AA1744,{0;11;80;111;161;191;241;281;341},1),"North","NorthEast","East","SouthEast","South","SouthWest","West","NorthWest","North")</f>
        <v>North</v>
      </c>
      <c r="AC1744" s="5">
        <f>CHOOSE(MATCH(AB1744,{"South";"SouthEast";"SouthWest";"North";"NorthEast";"East";"West";"NorthWest"},0),1,2,3,4,5,6,7,8)</f>
        <v>4</v>
      </c>
      <c r="AD1744" s="2">
        <f t="shared" si="312"/>
        <v>1</v>
      </c>
      <c r="AE1744">
        <v>1014.4</v>
      </c>
      <c r="AF1744" s="4" t="s">
        <v>2685</v>
      </c>
      <c r="AG1744" s="2">
        <f t="shared" si="313"/>
        <v>1</v>
      </c>
      <c r="AH1744" t="s">
        <v>2686</v>
      </c>
      <c r="AI1744" s="2">
        <f t="shared" si="314"/>
        <v>6</v>
      </c>
      <c r="AJ1744" s="2">
        <f t="shared" si="315"/>
        <v>1</v>
      </c>
      <c r="AK1744" s="3">
        <v>3684.000000001397</v>
      </c>
      <c r="AM1744" s="2">
        <v>1</v>
      </c>
      <c r="AN1744">
        <v>0</v>
      </c>
      <c r="AO1744">
        <v>30</v>
      </c>
      <c r="AP1744">
        <v>0</v>
      </c>
      <c r="AQ1744" s="2">
        <f>IF((2*G1744 + M1744 -P1744 + 3*W1744 + 2*Z1744+2*AD1744 + AG1744+2*AJ1744 + 4*AM1744) &gt;=8,1,0)</f>
        <v>1</v>
      </c>
    </row>
    <row r="1745" spans="1:43" x14ac:dyDescent="0.25">
      <c r="A1745" t="s">
        <v>27</v>
      </c>
      <c r="B1745" s="1">
        <v>44718</v>
      </c>
      <c r="C1745" s="7">
        <f t="shared" si="307"/>
        <v>2022</v>
      </c>
      <c r="D1745">
        <v>92.4</v>
      </c>
      <c r="E1745">
        <v>71.400000000000006</v>
      </c>
      <c r="F1745">
        <v>81.7</v>
      </c>
      <c r="G1745" s="2">
        <f t="shared" si="306"/>
        <v>1</v>
      </c>
      <c r="H1745">
        <v>91.5</v>
      </c>
      <c r="I1745">
        <v>71.400000000000006</v>
      </c>
      <c r="J1745">
        <v>81.400000000000006</v>
      </c>
      <c r="K1745">
        <v>59.2</v>
      </c>
      <c r="L1745">
        <v>48.2</v>
      </c>
      <c r="M1745" s="2">
        <f t="shared" si="308"/>
        <v>1</v>
      </c>
      <c r="N1745">
        <v>0</v>
      </c>
      <c r="P1745" s="2">
        <f t="shared" si="309"/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30.4</v>
      </c>
      <c r="W1745" s="2">
        <f t="shared" si="310"/>
        <v>1</v>
      </c>
      <c r="X1745">
        <v>17.2</v>
      </c>
      <c r="Z1745" s="2">
        <f t="shared" si="311"/>
        <v>1</v>
      </c>
      <c r="AA1745">
        <v>53.4</v>
      </c>
      <c r="AB1745" s="2" t="str">
        <f>CHOOSE(MATCH(AA1745,{0;11;80;111;161;191;241;281;341},1),"North","NorthEast","East","SouthEast","South","SouthWest","West","NorthWest","North")</f>
        <v>NorthEast</v>
      </c>
      <c r="AC1745" s="5">
        <f>CHOOSE(MATCH(AB1745,{"South";"SouthEast";"SouthWest";"North";"NorthEast";"East";"West";"NorthWest"},0),1,2,3,4,5,6,7,8)</f>
        <v>5</v>
      </c>
      <c r="AD1745" s="2">
        <f t="shared" si="312"/>
        <v>1</v>
      </c>
      <c r="AE1745">
        <v>1011.6</v>
      </c>
      <c r="AF1745" s="4" t="s">
        <v>2687</v>
      </c>
      <c r="AG1745" s="2">
        <f t="shared" si="313"/>
        <v>1</v>
      </c>
      <c r="AH1745" t="s">
        <v>2688</v>
      </c>
      <c r="AI1745" s="2">
        <f t="shared" si="314"/>
        <v>6</v>
      </c>
      <c r="AJ1745" s="2">
        <f t="shared" si="315"/>
        <v>1</v>
      </c>
      <c r="AK1745" s="3">
        <v>1052.000000003027</v>
      </c>
      <c r="AM1745" s="2">
        <v>1</v>
      </c>
      <c r="AN1745">
        <v>0</v>
      </c>
      <c r="AO1745">
        <v>1.5</v>
      </c>
      <c r="AP1745">
        <v>0</v>
      </c>
      <c r="AQ1745" s="2">
        <f>IF((2*G1745 + M1745 -P1745 + 3*W1745 + 2*Z1745+2*AD1745 + AG1745+2*AJ1745 + 4*AM1745) &gt;=8,1,0)</f>
        <v>1</v>
      </c>
    </row>
    <row r="1746" spans="1:43" x14ac:dyDescent="0.25">
      <c r="A1746" t="s">
        <v>27</v>
      </c>
      <c r="B1746" s="1">
        <v>44723</v>
      </c>
      <c r="C1746" s="7">
        <f t="shared" si="307"/>
        <v>2022</v>
      </c>
      <c r="D1746">
        <v>78.7</v>
      </c>
      <c r="E1746">
        <v>67.2</v>
      </c>
      <c r="F1746">
        <v>72.599999999999994</v>
      </c>
      <c r="G1746" s="2">
        <f t="shared" si="306"/>
        <v>0</v>
      </c>
      <c r="H1746">
        <v>78.7</v>
      </c>
      <c r="I1746">
        <v>67.2</v>
      </c>
      <c r="J1746">
        <v>72.599999999999994</v>
      </c>
      <c r="K1746">
        <v>60.8</v>
      </c>
      <c r="L1746">
        <v>67</v>
      </c>
      <c r="M1746" s="2">
        <f t="shared" si="308"/>
        <v>0</v>
      </c>
      <c r="N1746">
        <v>0.112</v>
      </c>
      <c r="P1746" s="2">
        <f t="shared" si="309"/>
        <v>0</v>
      </c>
      <c r="Q1746">
        <v>100</v>
      </c>
      <c r="R1746">
        <v>4.17</v>
      </c>
      <c r="S1746" t="s">
        <v>87</v>
      </c>
      <c r="T1746">
        <v>0</v>
      </c>
      <c r="U1746">
        <v>0</v>
      </c>
      <c r="V1746">
        <v>23</v>
      </c>
      <c r="W1746" s="2">
        <f t="shared" si="310"/>
        <v>1</v>
      </c>
      <c r="X1746">
        <v>12.5</v>
      </c>
      <c r="Z1746" s="2">
        <f t="shared" si="311"/>
        <v>0</v>
      </c>
      <c r="AA1746">
        <v>356.5</v>
      </c>
      <c r="AB1746" s="2" t="str">
        <f>CHOOSE(MATCH(AA1746,{0;11;80;111;161;191;241;281;341},1),"North","NorthEast","East","SouthEast","South","SouthWest","West","NorthWest","North")</f>
        <v>North</v>
      </c>
      <c r="AC1746" s="5">
        <f>CHOOSE(MATCH(AB1746,{"South";"SouthEast";"SouthWest";"North";"NorthEast";"East";"West";"NorthWest"},0),1,2,3,4,5,6,7,8)</f>
        <v>4</v>
      </c>
      <c r="AD1746" s="2">
        <f t="shared" si="312"/>
        <v>1</v>
      </c>
      <c r="AE1746">
        <v>1006.3</v>
      </c>
      <c r="AF1746" s="4" t="s">
        <v>2008</v>
      </c>
      <c r="AG1746" s="2">
        <f t="shared" si="313"/>
        <v>1</v>
      </c>
      <c r="AH1746" t="s">
        <v>2689</v>
      </c>
      <c r="AI1746" s="2">
        <f t="shared" si="314"/>
        <v>6</v>
      </c>
      <c r="AJ1746" s="2">
        <f t="shared" si="315"/>
        <v>1</v>
      </c>
      <c r="AK1746" s="3">
        <v>133.00000000395809</v>
      </c>
      <c r="AM1746" s="2">
        <v>0</v>
      </c>
      <c r="AN1746">
        <v>0</v>
      </c>
      <c r="AO1746">
        <v>0.05</v>
      </c>
      <c r="AP1746">
        <v>0</v>
      </c>
      <c r="AQ1746" s="2">
        <f>IF((2*G1746 + M1746 -P1746 + 3*W1746 + 2*Z1746+2*AD1746 + AG1746+2*AJ1746 + 4*AM1746) &gt;=8,1,0)</f>
        <v>1</v>
      </c>
    </row>
    <row r="1747" spans="1:43" x14ac:dyDescent="0.25">
      <c r="A1747" t="s">
        <v>27</v>
      </c>
      <c r="B1747" s="1">
        <v>44726</v>
      </c>
      <c r="C1747" s="7">
        <f t="shared" si="307"/>
        <v>2022</v>
      </c>
      <c r="D1747">
        <v>88.6</v>
      </c>
      <c r="E1747">
        <v>74.7</v>
      </c>
      <c r="F1747">
        <v>81.7</v>
      </c>
      <c r="G1747" s="2">
        <f t="shared" si="306"/>
        <v>1</v>
      </c>
      <c r="H1747">
        <v>86.6</v>
      </c>
      <c r="I1747">
        <v>74.7</v>
      </c>
      <c r="J1747">
        <v>81</v>
      </c>
      <c r="K1747">
        <v>54.7</v>
      </c>
      <c r="L1747">
        <v>40</v>
      </c>
      <c r="M1747" s="2">
        <f t="shared" si="308"/>
        <v>1</v>
      </c>
      <c r="N1747">
        <v>0</v>
      </c>
      <c r="P1747" s="2">
        <f t="shared" si="309"/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30.6</v>
      </c>
      <c r="W1747" s="2">
        <f t="shared" si="310"/>
        <v>1</v>
      </c>
      <c r="X1747">
        <v>17.399999999999999</v>
      </c>
      <c r="Z1747" s="2">
        <f t="shared" si="311"/>
        <v>1</v>
      </c>
      <c r="AA1747">
        <v>13.9</v>
      </c>
      <c r="AB1747" s="2" t="str">
        <f>CHOOSE(MATCH(AA1747,{0;11;80;111;161;191;241;281;341},1),"North","NorthEast","East","SouthEast","South","SouthWest","West","NorthWest","North")</f>
        <v>NorthEast</v>
      </c>
      <c r="AC1747" s="5">
        <f>CHOOSE(MATCH(AB1747,{"South";"SouthEast";"SouthWest";"North";"NorthEast";"East";"West";"NorthWest"},0),1,2,3,4,5,6,7,8)</f>
        <v>5</v>
      </c>
      <c r="AD1747" s="2">
        <f t="shared" si="312"/>
        <v>1</v>
      </c>
      <c r="AE1747">
        <v>1011.9</v>
      </c>
      <c r="AF1747" s="4" t="s">
        <v>2690</v>
      </c>
      <c r="AG1747" s="2">
        <f t="shared" si="313"/>
        <v>1</v>
      </c>
      <c r="AH1747" t="s">
        <v>2691</v>
      </c>
      <c r="AI1747" s="2">
        <f t="shared" si="314"/>
        <v>6</v>
      </c>
      <c r="AJ1747" s="2">
        <f t="shared" si="315"/>
        <v>1</v>
      </c>
      <c r="AK1747" s="3">
        <v>3334.9999999953429</v>
      </c>
      <c r="AM1747" s="2">
        <v>1</v>
      </c>
      <c r="AN1747">
        <v>0</v>
      </c>
      <c r="AO1747">
        <v>3</v>
      </c>
      <c r="AP1747">
        <v>0</v>
      </c>
      <c r="AQ1747" s="2">
        <f>IF((2*G1747 + M1747 -P1747 + 3*W1747 + 2*Z1747+2*AD1747 + AG1747+2*AJ1747 + 4*AM1747) &gt;=8,1,0)</f>
        <v>1</v>
      </c>
    </row>
    <row r="1748" spans="1:43" x14ac:dyDescent="0.25">
      <c r="A1748" t="s">
        <v>27</v>
      </c>
      <c r="B1748" s="1">
        <v>44728</v>
      </c>
      <c r="C1748" s="7">
        <f t="shared" si="307"/>
        <v>2022</v>
      </c>
      <c r="D1748">
        <v>87.5</v>
      </c>
      <c r="E1748">
        <v>72.2</v>
      </c>
      <c r="F1748">
        <v>79.2</v>
      </c>
      <c r="G1748" s="2">
        <f t="shared" si="306"/>
        <v>1</v>
      </c>
      <c r="H1748">
        <v>85</v>
      </c>
      <c r="I1748">
        <v>72.2</v>
      </c>
      <c r="J1748">
        <v>78.400000000000006</v>
      </c>
      <c r="K1748">
        <v>53.7</v>
      </c>
      <c r="L1748">
        <v>42.7</v>
      </c>
      <c r="M1748" s="2">
        <f t="shared" si="308"/>
        <v>1</v>
      </c>
      <c r="N1748">
        <v>0</v>
      </c>
      <c r="P1748" s="2">
        <f t="shared" si="309"/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34.4</v>
      </c>
      <c r="W1748" s="2">
        <f t="shared" si="310"/>
        <v>1</v>
      </c>
      <c r="X1748">
        <v>18.7</v>
      </c>
      <c r="Z1748" s="2">
        <f t="shared" si="311"/>
        <v>1</v>
      </c>
      <c r="AA1748">
        <v>9.8000000000000007</v>
      </c>
      <c r="AB1748" s="2" t="str">
        <f>CHOOSE(MATCH(AA1748,{0;11;80;111;161;191;241;281;341},1),"North","NorthEast","East","SouthEast","South","SouthWest","West","NorthWest","North")</f>
        <v>North</v>
      </c>
      <c r="AC1748" s="5">
        <f>CHOOSE(MATCH(AB1748,{"South";"SouthEast";"SouthWest";"North";"NorthEast";"East";"West";"NorthWest"},0),1,2,3,4,5,6,7,8)</f>
        <v>4</v>
      </c>
      <c r="AD1748" s="2">
        <f t="shared" si="312"/>
        <v>1</v>
      </c>
      <c r="AE1748">
        <v>1016.1</v>
      </c>
      <c r="AF1748" s="4" t="s">
        <v>1141</v>
      </c>
      <c r="AG1748" s="2">
        <f t="shared" si="313"/>
        <v>1</v>
      </c>
      <c r="AH1748" t="s">
        <v>2692</v>
      </c>
      <c r="AI1748" s="2">
        <f t="shared" si="314"/>
        <v>6</v>
      </c>
      <c r="AJ1748" s="2">
        <f t="shared" si="315"/>
        <v>1</v>
      </c>
      <c r="AK1748" s="3">
        <v>1056.99999999837</v>
      </c>
      <c r="AM1748" s="2">
        <v>1</v>
      </c>
      <c r="AN1748">
        <v>0</v>
      </c>
      <c r="AO1748">
        <v>4</v>
      </c>
      <c r="AP1748">
        <v>0</v>
      </c>
      <c r="AQ1748" s="2">
        <f>IF((2*G1748 + M1748 -P1748 + 3*W1748 + 2*Z1748+2*AD1748 + AG1748+2*AJ1748 + 4*AM1748) &gt;=8,1,0)</f>
        <v>1</v>
      </c>
    </row>
    <row r="1749" spans="1:43" x14ac:dyDescent="0.25">
      <c r="A1749" t="s">
        <v>27</v>
      </c>
      <c r="B1749" s="1">
        <v>44733</v>
      </c>
      <c r="C1749" s="7">
        <f t="shared" si="307"/>
        <v>2022</v>
      </c>
      <c r="D1749">
        <v>94</v>
      </c>
      <c r="E1749">
        <v>66.900000000000006</v>
      </c>
      <c r="F1749">
        <v>80.099999999999994</v>
      </c>
      <c r="G1749" s="2">
        <f t="shared" si="306"/>
        <v>1</v>
      </c>
      <c r="H1749">
        <v>91.6</v>
      </c>
      <c r="I1749">
        <v>66.900000000000006</v>
      </c>
      <c r="J1749">
        <v>79.400000000000006</v>
      </c>
      <c r="K1749">
        <v>56.5</v>
      </c>
      <c r="L1749">
        <v>46.8</v>
      </c>
      <c r="M1749" s="2">
        <f t="shared" si="308"/>
        <v>1</v>
      </c>
      <c r="N1749">
        <v>0</v>
      </c>
      <c r="P1749" s="2">
        <f t="shared" si="309"/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20.6</v>
      </c>
      <c r="W1749" s="2">
        <f t="shared" si="310"/>
        <v>1</v>
      </c>
      <c r="X1749">
        <v>13.9</v>
      </c>
      <c r="Z1749" s="2">
        <f t="shared" si="311"/>
        <v>0</v>
      </c>
      <c r="AA1749">
        <v>1.5</v>
      </c>
      <c r="AB1749" s="2" t="str">
        <f>CHOOSE(MATCH(AA1749,{0;11;80;111;161;191;241;281;341},1),"North","NorthEast","East","SouthEast","South","SouthWest","West","NorthWest","North")</f>
        <v>North</v>
      </c>
      <c r="AC1749" s="5">
        <f>CHOOSE(MATCH(AB1749,{"South";"SouthEast";"SouthWest";"North";"NorthEast";"East";"West";"NorthWest"},0),1,2,3,4,5,6,7,8)</f>
        <v>4</v>
      </c>
      <c r="AD1749" s="2">
        <f t="shared" si="312"/>
        <v>1</v>
      </c>
      <c r="AE1749">
        <v>1011</v>
      </c>
      <c r="AF1749" s="4" t="s">
        <v>2693</v>
      </c>
      <c r="AG1749" s="2">
        <f t="shared" si="313"/>
        <v>1</v>
      </c>
      <c r="AH1749" t="s">
        <v>2694</v>
      </c>
      <c r="AI1749" s="2">
        <f t="shared" si="314"/>
        <v>6</v>
      </c>
      <c r="AJ1749" s="2">
        <f t="shared" si="315"/>
        <v>1</v>
      </c>
      <c r="AK1749" s="3">
        <v>1293.000000002794</v>
      </c>
      <c r="AM1749" s="2">
        <v>1</v>
      </c>
      <c r="AN1749">
        <v>0</v>
      </c>
      <c r="AO1749">
        <v>2</v>
      </c>
      <c r="AP1749">
        <v>0</v>
      </c>
      <c r="AQ1749" s="2">
        <f>IF((2*G1749 + M1749 -P1749 + 3*W1749 + 2*Z1749+2*AD1749 + AG1749+2*AJ1749 + 4*AM1749) &gt;=8,1,0)</f>
        <v>1</v>
      </c>
    </row>
    <row r="1750" spans="1:43" x14ac:dyDescent="0.25">
      <c r="A1750" t="s">
        <v>27</v>
      </c>
      <c r="B1750" s="1">
        <v>44734</v>
      </c>
      <c r="C1750" s="7">
        <f t="shared" si="307"/>
        <v>2022</v>
      </c>
      <c r="D1750">
        <v>95.9</v>
      </c>
      <c r="E1750">
        <v>71.599999999999994</v>
      </c>
      <c r="F1750">
        <v>83.5</v>
      </c>
      <c r="G1750" s="2">
        <f t="shared" si="306"/>
        <v>1</v>
      </c>
      <c r="H1750">
        <v>95.9</v>
      </c>
      <c r="I1750">
        <v>71.599999999999994</v>
      </c>
      <c r="J1750">
        <v>83.5</v>
      </c>
      <c r="K1750">
        <v>59.2</v>
      </c>
      <c r="L1750">
        <v>45.4</v>
      </c>
      <c r="M1750" s="2">
        <f t="shared" si="308"/>
        <v>1</v>
      </c>
      <c r="N1750">
        <v>0</v>
      </c>
      <c r="P1750" s="2">
        <f t="shared" si="309"/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19.2</v>
      </c>
      <c r="W1750" s="2">
        <f t="shared" si="310"/>
        <v>1</v>
      </c>
      <c r="X1750">
        <v>10.9</v>
      </c>
      <c r="Z1750" s="2">
        <f t="shared" si="311"/>
        <v>0</v>
      </c>
      <c r="AA1750">
        <v>233.8</v>
      </c>
      <c r="AB1750" s="2" t="str">
        <f>CHOOSE(MATCH(AA1750,{0;11;80;111;161;191;241;281;341},1),"North","NorthEast","East","SouthEast","South","SouthWest","West","NorthWest","North")</f>
        <v>SouthWest</v>
      </c>
      <c r="AC1750" s="5">
        <f>CHOOSE(MATCH(AB1750,{"South";"SouthEast";"SouthWest";"North";"NorthEast";"East";"West";"NorthWest"},0),1,2,3,4,5,6,7,8)</f>
        <v>3</v>
      </c>
      <c r="AD1750" s="2">
        <f t="shared" si="312"/>
        <v>1</v>
      </c>
      <c r="AE1750">
        <v>1010.3</v>
      </c>
      <c r="AF1750" s="4" t="s">
        <v>2078</v>
      </c>
      <c r="AG1750" s="2">
        <f t="shared" si="313"/>
        <v>1</v>
      </c>
      <c r="AH1750" t="s">
        <v>2695</v>
      </c>
      <c r="AI1750" s="2">
        <f t="shared" si="314"/>
        <v>6</v>
      </c>
      <c r="AJ1750" s="2">
        <f t="shared" si="315"/>
        <v>1</v>
      </c>
      <c r="AK1750" s="3">
        <v>385.00000000814907</v>
      </c>
      <c r="AM1750" s="2">
        <v>1</v>
      </c>
      <c r="AN1750">
        <v>0</v>
      </c>
      <c r="AO1750">
        <v>2</v>
      </c>
      <c r="AP1750">
        <v>0</v>
      </c>
      <c r="AQ1750" s="2">
        <f>IF((2*G1750 + M1750 -P1750 + 3*W1750 + 2*Z1750+2*AD1750 + AG1750+2*AJ1750 + 4*AM1750) &gt;=8,1,0)</f>
        <v>1</v>
      </c>
    </row>
    <row r="1751" spans="1:43" x14ac:dyDescent="0.25">
      <c r="A1751" t="s">
        <v>27</v>
      </c>
      <c r="B1751" s="1">
        <v>44735</v>
      </c>
      <c r="C1751" s="7">
        <f t="shared" si="307"/>
        <v>2022</v>
      </c>
      <c r="D1751">
        <v>97.9</v>
      </c>
      <c r="E1751">
        <v>74.2</v>
      </c>
      <c r="F1751">
        <v>86</v>
      </c>
      <c r="G1751" s="2">
        <f t="shared" si="306"/>
        <v>1</v>
      </c>
      <c r="H1751">
        <v>97</v>
      </c>
      <c r="I1751">
        <v>74.2</v>
      </c>
      <c r="J1751">
        <v>85.9</v>
      </c>
      <c r="K1751">
        <v>60.3</v>
      </c>
      <c r="L1751">
        <v>44.2</v>
      </c>
      <c r="M1751" s="2">
        <f t="shared" si="308"/>
        <v>1</v>
      </c>
      <c r="N1751">
        <v>0</v>
      </c>
      <c r="P1751" s="2">
        <f t="shared" si="309"/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31.3</v>
      </c>
      <c r="W1751" s="2">
        <f t="shared" si="310"/>
        <v>1</v>
      </c>
      <c r="X1751">
        <v>12.4</v>
      </c>
      <c r="Z1751" s="2">
        <f t="shared" si="311"/>
        <v>0</v>
      </c>
      <c r="AA1751">
        <v>191</v>
      </c>
      <c r="AB1751" s="2" t="str">
        <f>CHOOSE(MATCH(AA1751,{0;11;80;111;161;191;241;281;341},1),"North","NorthEast","East","SouthEast","South","SouthWest","West","NorthWest","North")</f>
        <v>SouthWest</v>
      </c>
      <c r="AC1751" s="5">
        <f>CHOOSE(MATCH(AB1751,{"South";"SouthEast";"SouthWest";"North";"NorthEast";"East";"West";"NorthWest"},0),1,2,3,4,5,6,7,8)</f>
        <v>3</v>
      </c>
      <c r="AD1751" s="2">
        <f t="shared" si="312"/>
        <v>1</v>
      </c>
      <c r="AE1751">
        <v>1009.6</v>
      </c>
      <c r="AF1751" s="4" t="s">
        <v>2250</v>
      </c>
      <c r="AG1751" s="2">
        <f t="shared" si="313"/>
        <v>1</v>
      </c>
      <c r="AH1751" t="s">
        <v>2696</v>
      </c>
      <c r="AI1751" s="2">
        <f t="shared" si="314"/>
        <v>6</v>
      </c>
      <c r="AJ1751" s="2">
        <f t="shared" si="315"/>
        <v>1</v>
      </c>
      <c r="AK1751" s="3">
        <v>28.000000007450581</v>
      </c>
      <c r="AM1751" s="2">
        <v>0</v>
      </c>
      <c r="AN1751">
        <v>0</v>
      </c>
      <c r="AO1751">
        <v>10</v>
      </c>
      <c r="AP1751">
        <v>0</v>
      </c>
      <c r="AQ1751" s="2">
        <f>IF((2*G1751 + M1751 -P1751 + 3*W1751 + 2*Z1751+2*AD1751 + AG1751+2*AJ1751 + 4*AM1751) &gt;=8,1,0)</f>
        <v>1</v>
      </c>
    </row>
    <row r="1752" spans="1:43" x14ac:dyDescent="0.25">
      <c r="A1752" t="s">
        <v>27</v>
      </c>
      <c r="B1752" s="1">
        <v>44745</v>
      </c>
      <c r="C1752" s="7">
        <f t="shared" si="307"/>
        <v>2022</v>
      </c>
      <c r="D1752">
        <v>88.6</v>
      </c>
      <c r="E1752">
        <v>78.099999999999994</v>
      </c>
      <c r="F1752">
        <v>83.4</v>
      </c>
      <c r="G1752" s="2">
        <f t="shared" si="306"/>
        <v>1</v>
      </c>
      <c r="H1752">
        <v>85.9</v>
      </c>
      <c r="I1752">
        <v>78.099999999999994</v>
      </c>
      <c r="J1752">
        <v>82.1</v>
      </c>
      <c r="K1752">
        <v>53</v>
      </c>
      <c r="L1752">
        <v>36</v>
      </c>
      <c r="M1752" s="2">
        <f t="shared" si="308"/>
        <v>1</v>
      </c>
      <c r="N1752">
        <v>0</v>
      </c>
      <c r="P1752" s="2">
        <f t="shared" si="309"/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39.1</v>
      </c>
      <c r="W1752" s="2">
        <f t="shared" si="310"/>
        <v>1</v>
      </c>
      <c r="X1752">
        <v>23.6</v>
      </c>
      <c r="Z1752" s="2">
        <f t="shared" si="311"/>
        <v>1</v>
      </c>
      <c r="AA1752">
        <v>2.4</v>
      </c>
      <c r="AB1752" s="2" t="str">
        <f>CHOOSE(MATCH(AA1752,{0;11;80;111;161;191;241;281;341},1),"North","NorthEast","East","SouthEast","South","SouthWest","West","NorthWest","North")</f>
        <v>North</v>
      </c>
      <c r="AC1752" s="5">
        <f>CHOOSE(MATCH(AB1752,{"South";"SouthEast";"SouthWest";"North";"NorthEast";"East";"West";"NorthWest"},0),1,2,3,4,5,6,7,8)</f>
        <v>4</v>
      </c>
      <c r="AD1752" s="2">
        <f t="shared" si="312"/>
        <v>1</v>
      </c>
      <c r="AE1752">
        <v>1013.6</v>
      </c>
      <c r="AF1752" s="4" t="s">
        <v>2685</v>
      </c>
      <c r="AG1752" s="2">
        <f t="shared" si="313"/>
        <v>1</v>
      </c>
      <c r="AH1752" t="s">
        <v>2697</v>
      </c>
      <c r="AI1752" s="2">
        <f t="shared" si="314"/>
        <v>7</v>
      </c>
      <c r="AJ1752" s="2">
        <f t="shared" si="315"/>
        <v>1</v>
      </c>
      <c r="AK1752" s="3">
        <v>181.0000000032596</v>
      </c>
      <c r="AM1752" s="2">
        <v>0</v>
      </c>
      <c r="AN1752">
        <v>0</v>
      </c>
      <c r="AO1752">
        <v>20</v>
      </c>
      <c r="AP1752">
        <v>0</v>
      </c>
      <c r="AQ1752" s="2">
        <f>IF((2*G1752 + M1752 -P1752 + 3*W1752 + 2*Z1752+2*AD1752 + AG1752+2*AJ1752 + 4*AM1752) &gt;=8,1,0)</f>
        <v>1</v>
      </c>
    </row>
    <row r="1753" spans="1:43" x14ac:dyDescent="0.25">
      <c r="A1753" t="s">
        <v>27</v>
      </c>
      <c r="B1753" s="1">
        <v>44747</v>
      </c>
      <c r="C1753" s="7">
        <f t="shared" si="307"/>
        <v>2022</v>
      </c>
      <c r="D1753">
        <v>90.4</v>
      </c>
      <c r="E1753">
        <v>77</v>
      </c>
      <c r="F1753">
        <v>83.3</v>
      </c>
      <c r="G1753" s="2">
        <f t="shared" si="306"/>
        <v>1</v>
      </c>
      <c r="H1753">
        <v>87</v>
      </c>
      <c r="I1753">
        <v>77</v>
      </c>
      <c r="J1753">
        <v>81.599999999999994</v>
      </c>
      <c r="K1753">
        <v>45.1</v>
      </c>
      <c r="L1753">
        <v>26.8</v>
      </c>
      <c r="M1753" s="2">
        <f t="shared" si="308"/>
        <v>1</v>
      </c>
      <c r="N1753">
        <v>0</v>
      </c>
      <c r="P1753" s="2">
        <f t="shared" si="309"/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32.200000000000003</v>
      </c>
      <c r="W1753" s="2">
        <f t="shared" si="310"/>
        <v>1</v>
      </c>
      <c r="X1753">
        <v>22.3</v>
      </c>
      <c r="Z1753" s="2">
        <f t="shared" si="311"/>
        <v>1</v>
      </c>
      <c r="AA1753">
        <v>3.7</v>
      </c>
      <c r="AB1753" s="2" t="str">
        <f>CHOOSE(MATCH(AA1753,{0;11;80;111;161;191;241;281;341},1),"North","NorthEast","East","SouthEast","South","SouthWest","West","NorthWest","North")</f>
        <v>North</v>
      </c>
      <c r="AC1753" s="5">
        <f>CHOOSE(MATCH(AB1753,{"South";"SouthEast";"SouthWest";"North";"NorthEast";"East";"West";"NorthWest"},0),1,2,3,4,5,6,7,8)</f>
        <v>4</v>
      </c>
      <c r="AD1753" s="2">
        <f t="shared" si="312"/>
        <v>1</v>
      </c>
      <c r="AE1753">
        <v>1011.9</v>
      </c>
      <c r="AF1753" s="4" t="s">
        <v>1207</v>
      </c>
      <c r="AG1753" s="2">
        <f t="shared" si="313"/>
        <v>0</v>
      </c>
      <c r="AH1753" t="s">
        <v>2698</v>
      </c>
      <c r="AI1753" s="2">
        <f t="shared" si="314"/>
        <v>7</v>
      </c>
      <c r="AJ1753" s="2">
        <f t="shared" si="315"/>
        <v>1</v>
      </c>
      <c r="AK1753" s="3">
        <v>11606.999999990219</v>
      </c>
      <c r="AM1753" s="2">
        <v>1</v>
      </c>
      <c r="AN1753">
        <v>1560</v>
      </c>
      <c r="AO1753">
        <v>0</v>
      </c>
      <c r="AP1753">
        <v>0</v>
      </c>
      <c r="AQ1753" s="2">
        <f>IF((2*G1753 + M1753 -P1753 + 3*W1753 + 2*Z1753+2*AD1753 + AG1753+2*AJ1753 + 4*AM1753) &gt;=8,1,0)</f>
        <v>1</v>
      </c>
    </row>
    <row r="1754" spans="1:43" x14ac:dyDescent="0.25">
      <c r="A1754" t="s">
        <v>27</v>
      </c>
      <c r="B1754" s="1">
        <v>44750</v>
      </c>
      <c r="C1754" s="7">
        <f t="shared" si="307"/>
        <v>2022</v>
      </c>
      <c r="D1754">
        <v>89.4</v>
      </c>
      <c r="E1754">
        <v>72.8</v>
      </c>
      <c r="F1754">
        <v>80.5</v>
      </c>
      <c r="G1754" s="2">
        <f t="shared" si="306"/>
        <v>1</v>
      </c>
      <c r="H1754">
        <v>88.5</v>
      </c>
      <c r="I1754">
        <v>72.8</v>
      </c>
      <c r="J1754">
        <v>80.2</v>
      </c>
      <c r="K1754">
        <v>59.6</v>
      </c>
      <c r="L1754">
        <v>50.5</v>
      </c>
      <c r="M1754" s="2">
        <f t="shared" si="308"/>
        <v>0</v>
      </c>
      <c r="N1754">
        <v>0</v>
      </c>
      <c r="P1754" s="2">
        <f t="shared" si="309"/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23</v>
      </c>
      <c r="W1754" s="2">
        <f t="shared" si="310"/>
        <v>1</v>
      </c>
      <c r="X1754">
        <v>13.8</v>
      </c>
      <c r="Z1754" s="2">
        <f t="shared" si="311"/>
        <v>0</v>
      </c>
      <c r="AA1754">
        <v>102.2</v>
      </c>
      <c r="AB1754" s="2" t="str">
        <f>CHOOSE(MATCH(AA1754,{0;11;80;111;161;191;241;281;341},1),"North","NorthEast","East","SouthEast","South","SouthWest","West","NorthWest","North")</f>
        <v>East</v>
      </c>
      <c r="AC1754" s="5">
        <f>CHOOSE(MATCH(AB1754,{"South";"SouthEast";"SouthWest";"North";"NorthEast";"East";"West";"NorthWest"},0),1,2,3,4,5,6,7,8)</f>
        <v>6</v>
      </c>
      <c r="AD1754" s="2">
        <f t="shared" si="312"/>
        <v>0</v>
      </c>
      <c r="AE1754">
        <v>1011.5</v>
      </c>
      <c r="AF1754" s="4" t="s">
        <v>2690</v>
      </c>
      <c r="AG1754" s="2">
        <f t="shared" si="313"/>
        <v>1</v>
      </c>
      <c r="AH1754" t="s">
        <v>2699</v>
      </c>
      <c r="AI1754" s="2">
        <f t="shared" si="314"/>
        <v>7</v>
      </c>
      <c r="AJ1754" s="2">
        <f t="shared" si="315"/>
        <v>1</v>
      </c>
      <c r="AK1754" s="3">
        <v>113.0000000016298</v>
      </c>
      <c r="AM1754" s="2">
        <v>0</v>
      </c>
      <c r="AN1754">
        <v>0</v>
      </c>
      <c r="AO1754">
        <v>500</v>
      </c>
      <c r="AP1754">
        <v>0</v>
      </c>
      <c r="AQ1754" s="2">
        <f>IF((2*G1754 + M1754 -P1754 + 3*W1754 + 2*Z1754+2*AD1754 + AG1754+2*AJ1754 + 4*AM1754) &gt;=8,1,0)</f>
        <v>0</v>
      </c>
    </row>
    <row r="1755" spans="1:43" x14ac:dyDescent="0.25">
      <c r="A1755" t="s">
        <v>27</v>
      </c>
      <c r="B1755" s="1">
        <v>44757</v>
      </c>
      <c r="C1755" s="7">
        <f t="shared" si="307"/>
        <v>2022</v>
      </c>
      <c r="D1755">
        <v>90</v>
      </c>
      <c r="E1755">
        <v>77</v>
      </c>
      <c r="F1755">
        <v>83.2</v>
      </c>
      <c r="G1755" s="2">
        <f t="shared" si="306"/>
        <v>1</v>
      </c>
      <c r="H1755">
        <v>86.8</v>
      </c>
      <c r="I1755">
        <v>77</v>
      </c>
      <c r="J1755">
        <v>81.7</v>
      </c>
      <c r="K1755">
        <v>49.4</v>
      </c>
      <c r="L1755">
        <v>31.5</v>
      </c>
      <c r="M1755" s="2">
        <f t="shared" si="308"/>
        <v>1</v>
      </c>
      <c r="N1755">
        <v>0</v>
      </c>
      <c r="P1755" s="2">
        <f t="shared" si="309"/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35.799999999999997</v>
      </c>
      <c r="W1755" s="2">
        <f t="shared" si="310"/>
        <v>1</v>
      </c>
      <c r="X1755">
        <v>21.6</v>
      </c>
      <c r="Z1755" s="2">
        <f t="shared" si="311"/>
        <v>1</v>
      </c>
      <c r="AA1755">
        <v>354.3</v>
      </c>
      <c r="AB1755" s="2" t="str">
        <f>CHOOSE(MATCH(AA1755,{0;11;80;111;161;191;241;281;341},1),"North","NorthEast","East","SouthEast","South","SouthWest","West","NorthWest","North")</f>
        <v>North</v>
      </c>
      <c r="AC1755" s="5">
        <f>CHOOSE(MATCH(AB1755,{"South";"SouthEast";"SouthWest";"North";"NorthEast";"East";"West";"NorthWest"},0),1,2,3,4,5,6,7,8)</f>
        <v>4</v>
      </c>
      <c r="AD1755" s="2">
        <f t="shared" si="312"/>
        <v>1</v>
      </c>
      <c r="AE1755">
        <v>1011.2</v>
      </c>
      <c r="AF1755" s="4" t="s">
        <v>2700</v>
      </c>
      <c r="AG1755" s="2">
        <f t="shared" si="313"/>
        <v>1</v>
      </c>
      <c r="AH1755" t="s">
        <v>2701</v>
      </c>
      <c r="AI1755" s="2">
        <f t="shared" si="314"/>
        <v>7</v>
      </c>
      <c r="AJ1755" s="2">
        <f t="shared" si="315"/>
        <v>1</v>
      </c>
      <c r="AK1755" s="3">
        <v>846.00000000209548</v>
      </c>
      <c r="AM1755" s="2">
        <v>1</v>
      </c>
      <c r="AN1755">
        <v>0</v>
      </c>
      <c r="AO1755">
        <v>15</v>
      </c>
      <c r="AP1755">
        <v>0</v>
      </c>
      <c r="AQ1755" s="2">
        <f>IF((2*G1755 + M1755 -P1755 + 3*W1755 + 2*Z1755+2*AD1755 + AG1755+2*AJ1755 + 4*AM1755) &gt;=8,1,0)</f>
        <v>1</v>
      </c>
    </row>
    <row r="1756" spans="1:43" x14ac:dyDescent="0.25">
      <c r="A1756" t="s">
        <v>27</v>
      </c>
      <c r="B1756" s="1">
        <v>44757</v>
      </c>
      <c r="C1756" s="7">
        <f t="shared" si="307"/>
        <v>2022</v>
      </c>
      <c r="D1756">
        <v>90</v>
      </c>
      <c r="E1756">
        <v>77</v>
      </c>
      <c r="F1756">
        <v>83.2</v>
      </c>
      <c r="G1756" s="2">
        <f t="shared" si="306"/>
        <v>1</v>
      </c>
      <c r="H1756">
        <v>86.8</v>
      </c>
      <c r="I1756">
        <v>77</v>
      </c>
      <c r="J1756">
        <v>81.7</v>
      </c>
      <c r="K1756">
        <v>49.4</v>
      </c>
      <c r="L1756">
        <v>31.5</v>
      </c>
      <c r="M1756" s="2">
        <f t="shared" si="308"/>
        <v>1</v>
      </c>
      <c r="N1756">
        <v>0</v>
      </c>
      <c r="P1756" s="2">
        <f t="shared" si="309"/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35.799999999999997</v>
      </c>
      <c r="W1756" s="2">
        <f t="shared" si="310"/>
        <v>1</v>
      </c>
      <c r="X1756">
        <v>21.6</v>
      </c>
      <c r="Z1756" s="2">
        <f t="shared" si="311"/>
        <v>1</v>
      </c>
      <c r="AA1756">
        <v>354.3</v>
      </c>
      <c r="AB1756" s="2" t="str">
        <f>CHOOSE(MATCH(AA1756,{0;11;80;111;161;191;241;281;341},1),"North","NorthEast","East","SouthEast","South","SouthWest","West","NorthWest","North")</f>
        <v>North</v>
      </c>
      <c r="AC1756" s="5">
        <f>CHOOSE(MATCH(AB1756,{"South";"SouthEast";"SouthWest";"North";"NorthEast";"East";"West";"NorthWest"},0),1,2,3,4,5,6,7,8)</f>
        <v>4</v>
      </c>
      <c r="AD1756" s="2">
        <f t="shared" si="312"/>
        <v>1</v>
      </c>
      <c r="AE1756">
        <v>1011.2</v>
      </c>
      <c r="AF1756" s="4" t="s">
        <v>2702</v>
      </c>
      <c r="AG1756" s="2">
        <f t="shared" si="313"/>
        <v>0</v>
      </c>
      <c r="AH1756" t="s">
        <v>2703</v>
      </c>
      <c r="AI1756" s="2">
        <f t="shared" si="314"/>
        <v>7</v>
      </c>
      <c r="AJ1756" s="2">
        <f t="shared" si="315"/>
        <v>1</v>
      </c>
      <c r="AK1756" s="3">
        <v>4372.0000000018626</v>
      </c>
      <c r="AM1756" s="2">
        <v>1</v>
      </c>
      <c r="AN1756">
        <v>87</v>
      </c>
      <c r="AO1756">
        <v>0</v>
      </c>
      <c r="AP1756">
        <v>0</v>
      </c>
      <c r="AQ1756" s="2">
        <f>IF((2*G1756 + M1756 -P1756 + 3*W1756 + 2*Z1756+2*AD1756 + AG1756+2*AJ1756 + 4*AM1756) &gt;=8,1,0)</f>
        <v>1</v>
      </c>
    </row>
    <row r="1757" spans="1:43" x14ac:dyDescent="0.25">
      <c r="A1757" t="s">
        <v>27</v>
      </c>
      <c r="B1757" s="1">
        <v>44757</v>
      </c>
      <c r="C1757" s="7">
        <f t="shared" si="307"/>
        <v>2022</v>
      </c>
      <c r="D1757">
        <v>90</v>
      </c>
      <c r="E1757">
        <v>77</v>
      </c>
      <c r="F1757">
        <v>83.2</v>
      </c>
      <c r="G1757" s="2">
        <f t="shared" si="306"/>
        <v>1</v>
      </c>
      <c r="H1757">
        <v>86.8</v>
      </c>
      <c r="I1757">
        <v>77</v>
      </c>
      <c r="J1757">
        <v>81.7</v>
      </c>
      <c r="K1757">
        <v>49.4</v>
      </c>
      <c r="L1757">
        <v>31.5</v>
      </c>
      <c r="M1757" s="2">
        <f t="shared" si="308"/>
        <v>1</v>
      </c>
      <c r="N1757">
        <v>0</v>
      </c>
      <c r="P1757" s="2">
        <f t="shared" si="309"/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35.799999999999997</v>
      </c>
      <c r="W1757" s="2">
        <f t="shared" si="310"/>
        <v>1</v>
      </c>
      <c r="X1757">
        <v>21.6</v>
      </c>
      <c r="Z1757" s="2">
        <f t="shared" si="311"/>
        <v>1</v>
      </c>
      <c r="AA1757">
        <v>354.3</v>
      </c>
      <c r="AB1757" s="2" t="str">
        <f>CHOOSE(MATCH(AA1757,{0;11;80;111;161;191;241;281;341},1),"North","NorthEast","East","SouthEast","South","SouthWest","West","NorthWest","North")</f>
        <v>North</v>
      </c>
      <c r="AC1757" s="5">
        <f>CHOOSE(MATCH(AB1757,{"South";"SouthEast";"SouthWest";"North";"NorthEast";"East";"West";"NorthWest"},0),1,2,3,4,5,6,7,8)</f>
        <v>4</v>
      </c>
      <c r="AD1757" s="2">
        <f t="shared" si="312"/>
        <v>1</v>
      </c>
      <c r="AE1757">
        <v>1011.2</v>
      </c>
      <c r="AF1757" s="4" t="s">
        <v>2704</v>
      </c>
      <c r="AG1757" s="2">
        <f t="shared" si="313"/>
        <v>0</v>
      </c>
      <c r="AH1757" t="s">
        <v>2705</v>
      </c>
      <c r="AI1757" s="2">
        <f t="shared" si="314"/>
        <v>7</v>
      </c>
      <c r="AJ1757" s="2">
        <f t="shared" si="315"/>
        <v>1</v>
      </c>
      <c r="AK1757" s="3">
        <v>123.9999999955762</v>
      </c>
      <c r="AM1757" s="2">
        <v>0</v>
      </c>
      <c r="AN1757">
        <v>0</v>
      </c>
      <c r="AO1757">
        <v>0.1</v>
      </c>
      <c r="AP1757">
        <v>0</v>
      </c>
      <c r="AQ1757" s="2">
        <f>IF((2*G1757 + M1757 -P1757 + 3*W1757 + 2*Z1757+2*AD1757 + AG1757+2*AJ1757 + 4*AM1757) &gt;=8,1,0)</f>
        <v>1</v>
      </c>
    </row>
    <row r="1758" spans="1:43" x14ac:dyDescent="0.25">
      <c r="A1758" t="s">
        <v>27</v>
      </c>
      <c r="B1758" s="1">
        <v>44758</v>
      </c>
      <c r="C1758" s="7">
        <f t="shared" si="307"/>
        <v>2022</v>
      </c>
      <c r="D1758">
        <v>96.5</v>
      </c>
      <c r="E1758">
        <v>76.099999999999994</v>
      </c>
      <c r="F1758">
        <v>86.3</v>
      </c>
      <c r="G1758" s="2">
        <f t="shared" si="306"/>
        <v>1</v>
      </c>
      <c r="H1758">
        <v>93.7</v>
      </c>
      <c r="I1758">
        <v>76.099999999999994</v>
      </c>
      <c r="J1758">
        <v>84.5</v>
      </c>
      <c r="K1758">
        <v>50.3</v>
      </c>
      <c r="L1758">
        <v>29.5</v>
      </c>
      <c r="M1758" s="2">
        <f t="shared" si="308"/>
        <v>1</v>
      </c>
      <c r="N1758">
        <v>0</v>
      </c>
      <c r="P1758" s="2">
        <f t="shared" si="309"/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31.3</v>
      </c>
      <c r="W1758" s="2">
        <f t="shared" si="310"/>
        <v>1</v>
      </c>
      <c r="X1758">
        <v>14.2</v>
      </c>
      <c r="Z1758" s="2">
        <f t="shared" si="311"/>
        <v>0</v>
      </c>
      <c r="AA1758">
        <v>7.6</v>
      </c>
      <c r="AB1758" s="2" t="str">
        <f>CHOOSE(MATCH(AA1758,{0;11;80;111;161;191;241;281;341},1),"North","NorthEast","East","SouthEast","South","SouthWest","West","NorthWest","North")</f>
        <v>North</v>
      </c>
      <c r="AC1758" s="5">
        <f>CHOOSE(MATCH(AB1758,{"South";"SouthEast";"SouthWest";"North";"NorthEast";"East";"West";"NorthWest"},0),1,2,3,4,5,6,7,8)</f>
        <v>4</v>
      </c>
      <c r="AD1758" s="2">
        <f t="shared" si="312"/>
        <v>1</v>
      </c>
      <c r="AE1758">
        <v>1013.2</v>
      </c>
      <c r="AF1758" s="4" t="s">
        <v>2432</v>
      </c>
      <c r="AG1758" s="2">
        <f t="shared" si="313"/>
        <v>1</v>
      </c>
      <c r="AH1758" t="s">
        <v>2706</v>
      </c>
      <c r="AI1758" s="2">
        <f t="shared" si="314"/>
        <v>7</v>
      </c>
      <c r="AJ1758" s="2">
        <f t="shared" si="315"/>
        <v>1</v>
      </c>
      <c r="AK1758" s="3">
        <v>195.00000000698489</v>
      </c>
      <c r="AM1758" s="2">
        <v>0</v>
      </c>
      <c r="AN1758">
        <v>1</v>
      </c>
      <c r="AO1758">
        <v>0</v>
      </c>
      <c r="AP1758">
        <v>0</v>
      </c>
      <c r="AQ1758" s="2">
        <f>IF((2*G1758 + M1758 -P1758 + 3*W1758 + 2*Z1758+2*AD1758 + AG1758+2*AJ1758 + 4*AM1758) &gt;=8,1,0)</f>
        <v>1</v>
      </c>
    </row>
    <row r="1759" spans="1:43" x14ac:dyDescent="0.25">
      <c r="A1759" t="s">
        <v>27</v>
      </c>
      <c r="B1759" s="1">
        <v>44759</v>
      </c>
      <c r="C1759" s="7">
        <f t="shared" si="307"/>
        <v>2022</v>
      </c>
      <c r="D1759">
        <v>94.8</v>
      </c>
      <c r="E1759">
        <v>82.4</v>
      </c>
      <c r="F1759">
        <v>88.2</v>
      </c>
      <c r="G1759" s="2">
        <f t="shared" si="306"/>
        <v>1</v>
      </c>
      <c r="H1759">
        <v>92.4</v>
      </c>
      <c r="I1759">
        <v>81.099999999999994</v>
      </c>
      <c r="J1759">
        <v>86.2</v>
      </c>
      <c r="K1759">
        <v>52.7</v>
      </c>
      <c r="L1759">
        <v>30.2</v>
      </c>
      <c r="M1759" s="2">
        <f t="shared" si="308"/>
        <v>1</v>
      </c>
      <c r="N1759">
        <v>0</v>
      </c>
      <c r="P1759" s="2">
        <f t="shared" si="309"/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34.9</v>
      </c>
      <c r="W1759" s="2">
        <f t="shared" si="310"/>
        <v>1</v>
      </c>
      <c r="X1759">
        <v>19.8</v>
      </c>
      <c r="Z1759" s="2">
        <f t="shared" si="311"/>
        <v>1</v>
      </c>
      <c r="AA1759">
        <v>11.2</v>
      </c>
      <c r="AB1759" s="2" t="str">
        <f>CHOOSE(MATCH(AA1759,{0;11;80;111;161;191;241;281;341},1),"North","NorthEast","East","SouthEast","South","SouthWest","West","NorthWest","North")</f>
        <v>NorthEast</v>
      </c>
      <c r="AC1759" s="5">
        <f>CHOOSE(MATCH(AB1759,{"South";"SouthEast";"SouthWest";"North";"NorthEast";"East";"West";"NorthWest"},0),1,2,3,4,5,6,7,8)</f>
        <v>5</v>
      </c>
      <c r="AD1759" s="2">
        <f t="shared" si="312"/>
        <v>1</v>
      </c>
      <c r="AE1759">
        <v>1014.6</v>
      </c>
      <c r="AF1759" s="4" t="s">
        <v>1686</v>
      </c>
      <c r="AG1759" s="2">
        <f t="shared" si="313"/>
        <v>1</v>
      </c>
      <c r="AH1759" t="s">
        <v>2707</v>
      </c>
      <c r="AI1759" s="2">
        <f t="shared" si="314"/>
        <v>7</v>
      </c>
      <c r="AJ1759" s="2">
        <f t="shared" si="315"/>
        <v>1</v>
      </c>
      <c r="AK1759" s="3">
        <v>223.9999999967404</v>
      </c>
      <c r="AM1759" s="2">
        <v>0</v>
      </c>
      <c r="AN1759">
        <v>0</v>
      </c>
      <c r="AO1759">
        <v>4</v>
      </c>
      <c r="AP1759">
        <v>0</v>
      </c>
      <c r="AQ1759" s="2">
        <f>IF((2*G1759 + M1759 -P1759 + 3*W1759 + 2*Z1759+2*AD1759 + AG1759+2*AJ1759 + 4*AM1759) &gt;=8,1,0)</f>
        <v>1</v>
      </c>
    </row>
    <row r="1760" spans="1:43" x14ac:dyDescent="0.25">
      <c r="A1760" t="s">
        <v>27</v>
      </c>
      <c r="B1760" s="1">
        <v>44761</v>
      </c>
      <c r="C1760" s="7">
        <f t="shared" si="307"/>
        <v>2022</v>
      </c>
      <c r="D1760">
        <v>83.1</v>
      </c>
      <c r="E1760">
        <v>73.099999999999994</v>
      </c>
      <c r="F1760">
        <v>78.3</v>
      </c>
      <c r="G1760" s="2">
        <f t="shared" si="306"/>
        <v>1</v>
      </c>
      <c r="H1760">
        <v>81.3</v>
      </c>
      <c r="I1760">
        <v>73.099999999999994</v>
      </c>
      <c r="J1760">
        <v>77.8</v>
      </c>
      <c r="K1760">
        <v>50.6</v>
      </c>
      <c r="L1760">
        <v>39.200000000000003</v>
      </c>
      <c r="M1760" s="2">
        <f t="shared" si="308"/>
        <v>1</v>
      </c>
      <c r="N1760">
        <v>0</v>
      </c>
      <c r="P1760" s="2">
        <f t="shared" si="309"/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41.8</v>
      </c>
      <c r="W1760" s="2">
        <f t="shared" si="310"/>
        <v>1</v>
      </c>
      <c r="X1760">
        <v>24.5</v>
      </c>
      <c r="Z1760" s="2">
        <f t="shared" si="311"/>
        <v>1</v>
      </c>
      <c r="AA1760">
        <v>6.5</v>
      </c>
      <c r="AB1760" s="2" t="str">
        <f>CHOOSE(MATCH(AA1760,{0;11;80;111;161;191;241;281;341},1),"North","NorthEast","East","SouthEast","South","SouthWest","West","NorthWest","North")</f>
        <v>North</v>
      </c>
      <c r="AC1760" s="5">
        <f>CHOOSE(MATCH(AB1760,{"South";"SouthEast";"SouthWest";"North";"NorthEast";"East";"West";"NorthWest"},0),1,2,3,4,5,6,7,8)</f>
        <v>4</v>
      </c>
      <c r="AD1760" s="2">
        <f t="shared" si="312"/>
        <v>1</v>
      </c>
      <c r="AE1760">
        <v>1016.8</v>
      </c>
      <c r="AF1760" s="4" t="s">
        <v>1235</v>
      </c>
      <c r="AG1760" s="2">
        <f t="shared" si="313"/>
        <v>1</v>
      </c>
      <c r="AH1760" t="s">
        <v>2708</v>
      </c>
      <c r="AI1760" s="2">
        <f t="shared" si="314"/>
        <v>7</v>
      </c>
      <c r="AJ1760" s="2">
        <f t="shared" si="315"/>
        <v>1</v>
      </c>
      <c r="AK1760" s="3">
        <v>27579.000000001401</v>
      </c>
      <c r="AM1760" s="2">
        <v>1</v>
      </c>
      <c r="AN1760">
        <v>0</v>
      </c>
      <c r="AO1760">
        <v>15074</v>
      </c>
      <c r="AP1760">
        <v>0</v>
      </c>
      <c r="AQ1760" s="2">
        <f>IF((2*G1760 + M1760 -P1760 + 3*W1760 + 2*Z1760+2*AD1760 + AG1760+2*AJ1760 + 4*AM1760) &gt;=8,1,0)</f>
        <v>1</v>
      </c>
    </row>
    <row r="1761" spans="1:43" x14ac:dyDescent="0.25">
      <c r="A1761" t="s">
        <v>27</v>
      </c>
      <c r="B1761" s="1">
        <v>44762</v>
      </c>
      <c r="C1761" s="7">
        <f t="shared" si="307"/>
        <v>2022</v>
      </c>
      <c r="D1761">
        <v>84.9</v>
      </c>
      <c r="E1761">
        <v>74.599999999999994</v>
      </c>
      <c r="F1761">
        <v>79.3</v>
      </c>
      <c r="G1761" s="2">
        <f t="shared" si="306"/>
        <v>1</v>
      </c>
      <c r="H1761">
        <v>82.3</v>
      </c>
      <c r="I1761">
        <v>74.599999999999994</v>
      </c>
      <c r="J1761">
        <v>78.5</v>
      </c>
      <c r="K1761">
        <v>50.1</v>
      </c>
      <c r="L1761">
        <v>37.200000000000003</v>
      </c>
      <c r="M1761" s="2">
        <f t="shared" si="308"/>
        <v>1</v>
      </c>
      <c r="N1761">
        <v>0</v>
      </c>
      <c r="P1761" s="2">
        <f t="shared" si="309"/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45.4</v>
      </c>
      <c r="W1761" s="2">
        <f t="shared" si="310"/>
        <v>1</v>
      </c>
      <c r="X1761">
        <v>23.6</v>
      </c>
      <c r="Z1761" s="2">
        <f t="shared" si="311"/>
        <v>1</v>
      </c>
      <c r="AA1761">
        <v>2.4</v>
      </c>
      <c r="AB1761" s="2" t="str">
        <f>CHOOSE(MATCH(AA1761,{0;11;80;111;161;191;241;281;341},1),"North","NorthEast","East","SouthEast","South","SouthWest","West","NorthWest","North")</f>
        <v>North</v>
      </c>
      <c r="AC1761" s="5">
        <f>CHOOSE(MATCH(AB1761,{"South";"SouthEast";"SouthWest";"North";"NorthEast";"East";"West";"NorthWest"},0),1,2,3,4,5,6,7,8)</f>
        <v>4</v>
      </c>
      <c r="AD1761" s="2">
        <f t="shared" si="312"/>
        <v>1</v>
      </c>
      <c r="AE1761">
        <v>1015.7</v>
      </c>
      <c r="AF1761" s="4" t="s">
        <v>2531</v>
      </c>
      <c r="AG1761" s="2">
        <f t="shared" si="313"/>
        <v>1</v>
      </c>
      <c r="AH1761" t="s">
        <v>2709</v>
      </c>
      <c r="AI1761" s="2">
        <f t="shared" si="314"/>
        <v>7</v>
      </c>
      <c r="AJ1761" s="2">
        <f t="shared" si="315"/>
        <v>1</v>
      </c>
      <c r="AK1761" s="3">
        <v>4367.9999999993024</v>
      </c>
      <c r="AM1761" s="2">
        <v>1</v>
      </c>
      <c r="AN1761">
        <v>0</v>
      </c>
      <c r="AO1761">
        <v>100</v>
      </c>
      <c r="AP1761">
        <v>0</v>
      </c>
      <c r="AQ1761" s="2">
        <f>IF((2*G1761 + M1761 -P1761 + 3*W1761 + 2*Z1761+2*AD1761 + AG1761+2*AJ1761 + 4*AM1761) &gt;=8,1,0)</f>
        <v>1</v>
      </c>
    </row>
    <row r="1762" spans="1:43" x14ac:dyDescent="0.25">
      <c r="A1762" t="s">
        <v>27</v>
      </c>
      <c r="B1762" s="1">
        <v>44762</v>
      </c>
      <c r="C1762" s="7">
        <f t="shared" si="307"/>
        <v>2022</v>
      </c>
      <c r="D1762">
        <v>84.9</v>
      </c>
      <c r="E1762">
        <v>74.599999999999994</v>
      </c>
      <c r="F1762">
        <v>79.3</v>
      </c>
      <c r="G1762" s="2">
        <f t="shared" si="306"/>
        <v>1</v>
      </c>
      <c r="H1762">
        <v>82.3</v>
      </c>
      <c r="I1762">
        <v>74.599999999999994</v>
      </c>
      <c r="J1762">
        <v>78.5</v>
      </c>
      <c r="K1762">
        <v>50.1</v>
      </c>
      <c r="L1762">
        <v>37.200000000000003</v>
      </c>
      <c r="M1762" s="2">
        <f t="shared" si="308"/>
        <v>1</v>
      </c>
      <c r="N1762">
        <v>0</v>
      </c>
      <c r="P1762" s="2">
        <f t="shared" si="309"/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45.4</v>
      </c>
      <c r="W1762" s="2">
        <f t="shared" si="310"/>
        <v>1</v>
      </c>
      <c r="X1762">
        <v>23.6</v>
      </c>
      <c r="Z1762" s="2">
        <f t="shared" si="311"/>
        <v>1</v>
      </c>
      <c r="AA1762">
        <v>2.4</v>
      </c>
      <c r="AB1762" s="2" t="str">
        <f>CHOOSE(MATCH(AA1762,{0;11;80;111;161;191;241;281;341},1),"North","NorthEast","East","SouthEast","South","SouthWest","West","NorthWest","North")</f>
        <v>North</v>
      </c>
      <c r="AC1762" s="5">
        <f>CHOOSE(MATCH(AB1762,{"South";"SouthEast";"SouthWest";"North";"NorthEast";"East";"West";"NorthWest"},0),1,2,3,4,5,6,7,8)</f>
        <v>4</v>
      </c>
      <c r="AD1762" s="2">
        <f t="shared" si="312"/>
        <v>1</v>
      </c>
      <c r="AE1762">
        <v>1015.7</v>
      </c>
      <c r="AF1762" s="4" t="s">
        <v>2710</v>
      </c>
      <c r="AG1762" s="2">
        <f t="shared" si="313"/>
        <v>1</v>
      </c>
      <c r="AH1762" t="s">
        <v>2711</v>
      </c>
      <c r="AI1762" s="2">
        <f t="shared" si="314"/>
        <v>7</v>
      </c>
      <c r="AJ1762" s="2">
        <f t="shared" si="315"/>
        <v>1</v>
      </c>
      <c r="AK1762" s="3">
        <v>2247.000000000698</v>
      </c>
      <c r="AM1762" s="2">
        <v>1</v>
      </c>
      <c r="AN1762">
        <v>0</v>
      </c>
      <c r="AO1762">
        <v>20</v>
      </c>
      <c r="AP1762">
        <v>0</v>
      </c>
      <c r="AQ1762" s="2">
        <f>IF((2*G1762 + M1762 -P1762 + 3*W1762 + 2*Z1762+2*AD1762 + AG1762+2*AJ1762 + 4*AM1762) &gt;=8,1,0)</f>
        <v>1</v>
      </c>
    </row>
    <row r="1763" spans="1:43" x14ac:dyDescent="0.25">
      <c r="A1763" t="s">
        <v>27</v>
      </c>
      <c r="B1763" s="1">
        <v>44765</v>
      </c>
      <c r="C1763" s="7">
        <f t="shared" si="307"/>
        <v>2022</v>
      </c>
      <c r="D1763">
        <v>97.5</v>
      </c>
      <c r="E1763">
        <v>76.5</v>
      </c>
      <c r="F1763">
        <v>86.9</v>
      </c>
      <c r="G1763" s="2">
        <f t="shared" si="306"/>
        <v>1</v>
      </c>
      <c r="H1763">
        <v>93.8</v>
      </c>
      <c r="I1763">
        <v>76.5</v>
      </c>
      <c r="J1763">
        <v>85</v>
      </c>
      <c r="K1763">
        <v>51.2</v>
      </c>
      <c r="L1763">
        <v>31.1</v>
      </c>
      <c r="M1763" s="2">
        <f t="shared" si="308"/>
        <v>1</v>
      </c>
      <c r="N1763">
        <v>0</v>
      </c>
      <c r="P1763" s="2">
        <f t="shared" si="309"/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31.1</v>
      </c>
      <c r="W1763" s="2">
        <f t="shared" si="310"/>
        <v>1</v>
      </c>
      <c r="X1763">
        <v>17.3</v>
      </c>
      <c r="Z1763" s="2">
        <f t="shared" si="311"/>
        <v>1</v>
      </c>
      <c r="AA1763">
        <v>18.399999999999999</v>
      </c>
      <c r="AB1763" s="2" t="str">
        <f>CHOOSE(MATCH(AA1763,{0;11;80;111;161;191;241;281;341},1),"North","NorthEast","East","SouthEast","South","SouthWest","West","NorthWest","North")</f>
        <v>NorthEast</v>
      </c>
      <c r="AC1763" s="5">
        <f>CHOOSE(MATCH(AB1763,{"South";"SouthEast";"SouthWest";"North";"NorthEast";"East";"West";"NorthWest"},0),1,2,3,4,5,6,7,8)</f>
        <v>5</v>
      </c>
      <c r="AD1763" s="2">
        <f t="shared" si="312"/>
        <v>1</v>
      </c>
      <c r="AE1763">
        <v>1014.7</v>
      </c>
      <c r="AF1763" s="4" t="s">
        <v>2475</v>
      </c>
      <c r="AG1763" s="2">
        <f t="shared" si="313"/>
        <v>1</v>
      </c>
      <c r="AH1763" t="s">
        <v>2712</v>
      </c>
      <c r="AI1763" s="2">
        <f t="shared" si="314"/>
        <v>7</v>
      </c>
      <c r="AJ1763" s="2">
        <f t="shared" si="315"/>
        <v>1</v>
      </c>
      <c r="AK1763" s="3">
        <v>11975.999999998599</v>
      </c>
      <c r="AM1763" s="2">
        <v>1</v>
      </c>
      <c r="AN1763">
        <v>800</v>
      </c>
      <c r="AO1763">
        <v>500</v>
      </c>
      <c r="AP1763">
        <v>0</v>
      </c>
      <c r="AQ1763" s="2">
        <f>IF((2*G1763 + M1763 -P1763 + 3*W1763 + 2*Z1763+2*AD1763 + AG1763+2*AJ1763 + 4*AM1763) &gt;=8,1,0)</f>
        <v>1</v>
      </c>
    </row>
    <row r="1764" spans="1:43" x14ac:dyDescent="0.25">
      <c r="A1764" t="s">
        <v>27</v>
      </c>
      <c r="B1764" s="1">
        <v>44768</v>
      </c>
      <c r="C1764" s="7">
        <f t="shared" si="307"/>
        <v>2022</v>
      </c>
      <c r="D1764">
        <v>94.8</v>
      </c>
      <c r="E1764">
        <v>77.2</v>
      </c>
      <c r="F1764">
        <v>86.1</v>
      </c>
      <c r="G1764" s="2">
        <f t="shared" si="306"/>
        <v>1</v>
      </c>
      <c r="H1764">
        <v>92.4</v>
      </c>
      <c r="I1764">
        <v>77.2</v>
      </c>
      <c r="J1764">
        <v>85.1</v>
      </c>
      <c r="K1764">
        <v>57</v>
      </c>
      <c r="L1764">
        <v>38.799999999999997</v>
      </c>
      <c r="M1764" s="2">
        <f t="shared" si="308"/>
        <v>1</v>
      </c>
      <c r="N1764">
        <v>0</v>
      </c>
      <c r="P1764" s="2">
        <f t="shared" si="309"/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25.8</v>
      </c>
      <c r="W1764" s="2">
        <f t="shared" si="310"/>
        <v>1</v>
      </c>
      <c r="X1764">
        <v>16.399999999999999</v>
      </c>
      <c r="Z1764" s="2">
        <f t="shared" si="311"/>
        <v>1</v>
      </c>
      <c r="AA1764">
        <v>19.2</v>
      </c>
      <c r="AB1764" s="2" t="str">
        <f>CHOOSE(MATCH(AA1764,{0;11;80;111;161;191;241;281;341},1),"North","NorthEast","East","SouthEast","South","SouthWest","West","NorthWest","North")</f>
        <v>NorthEast</v>
      </c>
      <c r="AC1764" s="5">
        <f>CHOOSE(MATCH(AB1764,{"South";"SouthEast";"SouthWest";"North";"NorthEast";"East";"West";"NorthWest"},0),1,2,3,4,5,6,7,8)</f>
        <v>5</v>
      </c>
      <c r="AD1764" s="2">
        <f t="shared" si="312"/>
        <v>1</v>
      </c>
      <c r="AE1764">
        <v>1009.8</v>
      </c>
      <c r="AF1764" s="4" t="s">
        <v>2713</v>
      </c>
      <c r="AG1764" s="2">
        <f t="shared" si="313"/>
        <v>1</v>
      </c>
      <c r="AH1764" t="s">
        <v>2714</v>
      </c>
      <c r="AI1764" s="2">
        <f t="shared" si="314"/>
        <v>7</v>
      </c>
      <c r="AJ1764" s="2">
        <f t="shared" si="315"/>
        <v>1</v>
      </c>
      <c r="AK1764" s="3">
        <v>2932.9999999946449</v>
      </c>
      <c r="AM1764" s="2">
        <v>1</v>
      </c>
      <c r="AN1764">
        <v>0</v>
      </c>
      <c r="AO1764">
        <v>4</v>
      </c>
      <c r="AP1764">
        <v>0</v>
      </c>
      <c r="AQ1764" s="2">
        <f>IF((2*G1764 + M1764 -P1764 + 3*W1764 + 2*Z1764+2*AD1764 + AG1764+2*AJ1764 + 4*AM1764) &gt;=8,1,0)</f>
        <v>1</v>
      </c>
    </row>
    <row r="1765" spans="1:43" x14ac:dyDescent="0.25">
      <c r="A1765" t="s">
        <v>27</v>
      </c>
      <c r="B1765" s="1">
        <v>44768</v>
      </c>
      <c r="C1765" s="7">
        <f t="shared" si="307"/>
        <v>2022</v>
      </c>
      <c r="D1765">
        <v>94.8</v>
      </c>
      <c r="E1765">
        <v>77.2</v>
      </c>
      <c r="F1765">
        <v>86.1</v>
      </c>
      <c r="G1765" s="2">
        <f t="shared" si="306"/>
        <v>1</v>
      </c>
      <c r="H1765">
        <v>92.4</v>
      </c>
      <c r="I1765">
        <v>77.2</v>
      </c>
      <c r="J1765">
        <v>85.1</v>
      </c>
      <c r="K1765">
        <v>57</v>
      </c>
      <c r="L1765">
        <v>38.799999999999997</v>
      </c>
      <c r="M1765" s="2">
        <f t="shared" si="308"/>
        <v>1</v>
      </c>
      <c r="N1765">
        <v>0</v>
      </c>
      <c r="P1765" s="2">
        <f t="shared" si="309"/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25.8</v>
      </c>
      <c r="W1765" s="2">
        <f t="shared" si="310"/>
        <v>1</v>
      </c>
      <c r="X1765">
        <v>16.399999999999999</v>
      </c>
      <c r="Z1765" s="2">
        <f t="shared" si="311"/>
        <v>1</v>
      </c>
      <c r="AA1765">
        <v>19.2</v>
      </c>
      <c r="AB1765" s="2" t="str">
        <f>CHOOSE(MATCH(AA1765,{0;11;80;111;161;191;241;281;341},1),"North","NorthEast","East","SouthEast","South","SouthWest","West","NorthWest","North")</f>
        <v>NorthEast</v>
      </c>
      <c r="AC1765" s="5">
        <f>CHOOSE(MATCH(AB1765,{"South";"SouthEast";"SouthWest";"North";"NorthEast";"East";"West";"NorthWest"},0),1,2,3,4,5,6,7,8)</f>
        <v>5</v>
      </c>
      <c r="AD1765" s="2">
        <f t="shared" si="312"/>
        <v>1</v>
      </c>
      <c r="AE1765">
        <v>1009.8</v>
      </c>
      <c r="AF1765" s="4" t="s">
        <v>1048</v>
      </c>
      <c r="AG1765" s="2">
        <f t="shared" si="313"/>
        <v>1</v>
      </c>
      <c r="AH1765" t="s">
        <v>2715</v>
      </c>
      <c r="AI1765" s="2">
        <f t="shared" si="314"/>
        <v>7</v>
      </c>
      <c r="AJ1765" s="2">
        <f t="shared" si="315"/>
        <v>1</v>
      </c>
      <c r="AK1765" s="3">
        <v>8239.0000000025611</v>
      </c>
      <c r="AM1765" s="2">
        <v>1</v>
      </c>
      <c r="AN1765">
        <v>0</v>
      </c>
      <c r="AO1765">
        <v>800</v>
      </c>
      <c r="AP1765">
        <v>0</v>
      </c>
      <c r="AQ1765" s="2">
        <f>IF((2*G1765 + M1765 -P1765 + 3*W1765 + 2*Z1765+2*AD1765 + AG1765+2*AJ1765 + 4*AM1765) &gt;=8,1,0)</f>
        <v>1</v>
      </c>
    </row>
    <row r="1766" spans="1:43" x14ac:dyDescent="0.25">
      <c r="A1766" t="s">
        <v>27</v>
      </c>
      <c r="B1766" s="1">
        <v>44781</v>
      </c>
      <c r="C1766" s="7">
        <f t="shared" si="307"/>
        <v>2022</v>
      </c>
      <c r="D1766">
        <v>89.4</v>
      </c>
      <c r="E1766">
        <v>78.599999999999994</v>
      </c>
      <c r="F1766">
        <v>83.8</v>
      </c>
      <c r="G1766" s="2">
        <f t="shared" si="306"/>
        <v>1</v>
      </c>
      <c r="H1766">
        <v>90.5</v>
      </c>
      <c r="I1766">
        <v>78.599999999999994</v>
      </c>
      <c r="J1766">
        <v>84.3</v>
      </c>
      <c r="K1766">
        <v>61.2</v>
      </c>
      <c r="L1766">
        <v>46.9</v>
      </c>
      <c r="M1766" s="2">
        <f t="shared" si="308"/>
        <v>1</v>
      </c>
      <c r="N1766">
        <v>0</v>
      </c>
      <c r="P1766" s="2">
        <f t="shared" si="309"/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41.4</v>
      </c>
      <c r="W1766" s="2">
        <f t="shared" si="310"/>
        <v>1</v>
      </c>
      <c r="X1766">
        <v>22.1</v>
      </c>
      <c r="Z1766" s="2">
        <f t="shared" si="311"/>
        <v>1</v>
      </c>
      <c r="AA1766">
        <v>1.1000000000000001</v>
      </c>
      <c r="AB1766" s="2" t="str">
        <f>CHOOSE(MATCH(AA1766,{0;11;80;111;161;191;241;281;341},1),"North","NorthEast","East","SouthEast","South","SouthWest","West","NorthWest","North")</f>
        <v>North</v>
      </c>
      <c r="AC1766" s="5">
        <f>CHOOSE(MATCH(AB1766,{"South";"SouthEast";"SouthWest";"North";"NorthEast";"East";"West";"NorthWest"},0),1,2,3,4,5,6,7,8)</f>
        <v>4</v>
      </c>
      <c r="AD1766" s="2">
        <f t="shared" si="312"/>
        <v>1</v>
      </c>
      <c r="AE1766">
        <v>1009.1</v>
      </c>
      <c r="AF1766" s="4" t="s">
        <v>1086</v>
      </c>
      <c r="AG1766" s="2">
        <f t="shared" si="313"/>
        <v>0</v>
      </c>
      <c r="AH1766" t="s">
        <v>2716</v>
      </c>
      <c r="AI1766" s="2">
        <f t="shared" si="314"/>
        <v>8</v>
      </c>
      <c r="AJ1766" s="2">
        <f t="shared" si="315"/>
        <v>1</v>
      </c>
      <c r="AK1766" s="3">
        <v>190.00000000116421</v>
      </c>
      <c r="AM1766" s="2">
        <v>0</v>
      </c>
      <c r="AN1766">
        <v>0</v>
      </c>
      <c r="AO1766">
        <v>2</v>
      </c>
      <c r="AP1766">
        <v>0</v>
      </c>
      <c r="AQ1766" s="2">
        <f>IF((2*G1766 + M1766 -P1766 + 3*W1766 + 2*Z1766+2*AD1766 + AG1766+2*AJ1766 + 4*AM1766) &gt;=8,1,0)</f>
        <v>1</v>
      </c>
    </row>
    <row r="1767" spans="1:43" x14ac:dyDescent="0.25">
      <c r="A1767" t="s">
        <v>27</v>
      </c>
      <c r="B1767" s="1">
        <v>44781</v>
      </c>
      <c r="C1767" s="7">
        <f t="shared" si="307"/>
        <v>2022</v>
      </c>
      <c r="D1767">
        <v>89.4</v>
      </c>
      <c r="E1767">
        <v>78.599999999999994</v>
      </c>
      <c r="F1767">
        <v>83.8</v>
      </c>
      <c r="G1767" s="2">
        <f t="shared" si="306"/>
        <v>1</v>
      </c>
      <c r="H1767">
        <v>90.5</v>
      </c>
      <c r="I1767">
        <v>78.599999999999994</v>
      </c>
      <c r="J1767">
        <v>84.3</v>
      </c>
      <c r="K1767">
        <v>61.2</v>
      </c>
      <c r="L1767">
        <v>46.9</v>
      </c>
      <c r="M1767" s="2">
        <f t="shared" si="308"/>
        <v>1</v>
      </c>
      <c r="N1767">
        <v>0</v>
      </c>
      <c r="P1767" s="2">
        <f t="shared" si="309"/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41.4</v>
      </c>
      <c r="W1767" s="2">
        <f t="shared" si="310"/>
        <v>1</v>
      </c>
      <c r="X1767">
        <v>22.1</v>
      </c>
      <c r="Z1767" s="2">
        <f t="shared" si="311"/>
        <v>1</v>
      </c>
      <c r="AA1767">
        <v>1.1000000000000001</v>
      </c>
      <c r="AB1767" s="2" t="str">
        <f>CHOOSE(MATCH(AA1767,{0;11;80;111;161;191;241;281;341},1),"North","NorthEast","East","SouthEast","South","SouthWest","West","NorthWest","North")</f>
        <v>North</v>
      </c>
      <c r="AC1767" s="5">
        <f>CHOOSE(MATCH(AB1767,{"South";"SouthEast";"SouthWest";"North";"NorthEast";"East";"West";"NorthWest"},0),1,2,3,4,5,6,7,8)</f>
        <v>4</v>
      </c>
      <c r="AD1767" s="2">
        <f t="shared" si="312"/>
        <v>1</v>
      </c>
      <c r="AE1767">
        <v>1009.1</v>
      </c>
      <c r="AF1767" s="4" t="s">
        <v>1918</v>
      </c>
      <c r="AG1767" s="2">
        <f t="shared" si="313"/>
        <v>0</v>
      </c>
      <c r="AH1767" t="s">
        <v>2717</v>
      </c>
      <c r="AI1767" s="2">
        <f t="shared" si="314"/>
        <v>8</v>
      </c>
      <c r="AJ1767" s="2">
        <f t="shared" si="315"/>
        <v>1</v>
      </c>
      <c r="AK1767" s="3">
        <v>902.99999999930151</v>
      </c>
      <c r="AM1767" s="2">
        <v>1</v>
      </c>
      <c r="AN1767">
        <v>0</v>
      </c>
      <c r="AO1767">
        <v>6</v>
      </c>
      <c r="AP1767">
        <v>0</v>
      </c>
      <c r="AQ1767" s="2">
        <f>IF((2*G1767 + M1767 -P1767 + 3*W1767 + 2*Z1767+2*AD1767 + AG1767+2*AJ1767 + 4*AM1767) &gt;=8,1,0)</f>
        <v>1</v>
      </c>
    </row>
    <row r="1768" spans="1:43" x14ac:dyDescent="0.25">
      <c r="A1768" t="s">
        <v>27</v>
      </c>
      <c r="B1768" s="1">
        <v>44783</v>
      </c>
      <c r="C1768" s="7">
        <f t="shared" si="307"/>
        <v>2022</v>
      </c>
      <c r="D1768">
        <v>91.2</v>
      </c>
      <c r="E1768">
        <v>79.2</v>
      </c>
      <c r="F1768">
        <v>85.1</v>
      </c>
      <c r="G1768" s="2">
        <f t="shared" si="306"/>
        <v>1</v>
      </c>
      <c r="H1768">
        <v>88.7</v>
      </c>
      <c r="I1768">
        <v>79.2</v>
      </c>
      <c r="J1768">
        <v>83.5</v>
      </c>
      <c r="K1768">
        <v>51.3</v>
      </c>
      <c r="L1768">
        <v>31.6</v>
      </c>
      <c r="M1768" s="2">
        <f t="shared" si="308"/>
        <v>1</v>
      </c>
      <c r="N1768">
        <v>0</v>
      </c>
      <c r="P1768" s="2">
        <f t="shared" si="309"/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39.1</v>
      </c>
      <c r="W1768" s="2">
        <f t="shared" si="310"/>
        <v>1</v>
      </c>
      <c r="X1768">
        <v>23.2</v>
      </c>
      <c r="Z1768" s="2">
        <f t="shared" si="311"/>
        <v>1</v>
      </c>
      <c r="AA1768">
        <v>358</v>
      </c>
      <c r="AB1768" s="2" t="str">
        <f>CHOOSE(MATCH(AA1768,{0;11;80;111;161;191;241;281;341},1),"North","NorthEast","East","SouthEast","South","SouthWest","West","NorthWest","North")</f>
        <v>North</v>
      </c>
      <c r="AC1768" s="5">
        <f>CHOOSE(MATCH(AB1768,{"South";"SouthEast";"SouthWest";"North";"NorthEast";"East";"West";"NorthWest"},0),1,2,3,4,5,6,7,8)</f>
        <v>4</v>
      </c>
      <c r="AD1768" s="2">
        <f t="shared" si="312"/>
        <v>1</v>
      </c>
      <c r="AE1768">
        <v>1010.6</v>
      </c>
      <c r="AF1768" s="4" t="s">
        <v>1781</v>
      </c>
      <c r="AG1768" s="2">
        <f t="shared" si="313"/>
        <v>0</v>
      </c>
      <c r="AH1768" t="s">
        <v>2718</v>
      </c>
      <c r="AI1768" s="2">
        <f t="shared" si="314"/>
        <v>8</v>
      </c>
      <c r="AJ1768" s="2">
        <f t="shared" si="315"/>
        <v>1</v>
      </c>
      <c r="AK1768" s="3">
        <v>184.00000000256111</v>
      </c>
      <c r="AM1768" s="2">
        <v>0</v>
      </c>
      <c r="AN1768">
        <v>0</v>
      </c>
      <c r="AO1768">
        <v>2</v>
      </c>
      <c r="AP1768">
        <v>0</v>
      </c>
      <c r="AQ1768" s="2">
        <f>IF((2*G1768 + M1768 -P1768 + 3*W1768 + 2*Z1768+2*AD1768 + AG1768+2*AJ1768 + 4*AM1768) &gt;=8,1,0)</f>
        <v>1</v>
      </c>
    </row>
    <row r="1769" spans="1:43" x14ac:dyDescent="0.25">
      <c r="A1769" t="s">
        <v>27</v>
      </c>
      <c r="B1769" s="1">
        <v>44786</v>
      </c>
      <c r="C1769" s="7">
        <f t="shared" si="307"/>
        <v>2022</v>
      </c>
      <c r="D1769">
        <v>86.8</v>
      </c>
      <c r="E1769">
        <v>73</v>
      </c>
      <c r="F1769">
        <v>79.400000000000006</v>
      </c>
      <c r="G1769" s="2">
        <f t="shared" si="306"/>
        <v>1</v>
      </c>
      <c r="H1769">
        <v>86.4</v>
      </c>
      <c r="I1769">
        <v>73</v>
      </c>
      <c r="J1769">
        <v>79.400000000000006</v>
      </c>
      <c r="K1769">
        <v>58.5</v>
      </c>
      <c r="L1769">
        <v>50</v>
      </c>
      <c r="M1769" s="2">
        <f t="shared" si="308"/>
        <v>0</v>
      </c>
      <c r="N1769">
        <v>4.1000000000000002E-2</v>
      </c>
      <c r="P1769" s="2">
        <f t="shared" si="309"/>
        <v>0</v>
      </c>
      <c r="Q1769">
        <v>100</v>
      </c>
      <c r="R1769">
        <v>4.17</v>
      </c>
      <c r="S1769" t="s">
        <v>87</v>
      </c>
      <c r="T1769">
        <v>0</v>
      </c>
      <c r="U1769">
        <v>0</v>
      </c>
      <c r="V1769">
        <v>18.8</v>
      </c>
      <c r="W1769" s="2">
        <f t="shared" si="310"/>
        <v>1</v>
      </c>
      <c r="X1769">
        <v>12</v>
      </c>
      <c r="Z1769" s="2">
        <f t="shared" si="311"/>
        <v>0</v>
      </c>
      <c r="AA1769">
        <v>340.5</v>
      </c>
      <c r="AB1769" s="2" t="str">
        <f>CHOOSE(MATCH(AA1769,{0;11;80;111;161;191;241;281;341},1),"North","NorthEast","East","SouthEast","South","SouthWest","West","NorthWest","North")</f>
        <v>NorthWest</v>
      </c>
      <c r="AC1769" s="5">
        <f>CHOOSE(MATCH(AB1769,{"South";"SouthEast";"SouthWest";"North";"NorthEast";"East";"West";"NorthWest"},0),1,2,3,4,5,6,7,8)</f>
        <v>8</v>
      </c>
      <c r="AD1769" s="2">
        <f t="shared" si="312"/>
        <v>1</v>
      </c>
      <c r="AE1769">
        <v>1009.3</v>
      </c>
      <c r="AF1769" s="4" t="s">
        <v>2280</v>
      </c>
      <c r="AG1769" s="2">
        <f t="shared" si="313"/>
        <v>1</v>
      </c>
      <c r="AH1769" t="s">
        <v>2719</v>
      </c>
      <c r="AI1769" s="2">
        <f t="shared" si="314"/>
        <v>8</v>
      </c>
      <c r="AJ1769" s="2">
        <f t="shared" si="315"/>
        <v>1</v>
      </c>
      <c r="AK1769" s="3">
        <v>36.000000002095483</v>
      </c>
      <c r="AM1769" s="2">
        <v>0</v>
      </c>
      <c r="AN1769">
        <v>0</v>
      </c>
      <c r="AO1769">
        <v>0.5</v>
      </c>
      <c r="AP1769">
        <v>0</v>
      </c>
      <c r="AQ1769" s="2">
        <f>IF((2*G1769 + M1769 -P1769 + 3*W1769 + 2*Z1769+2*AD1769 + AG1769+2*AJ1769 + 4*AM1769) &gt;=8,1,0)</f>
        <v>1</v>
      </c>
    </row>
    <row r="1770" spans="1:43" x14ac:dyDescent="0.25">
      <c r="A1770" t="s">
        <v>27</v>
      </c>
      <c r="B1770" s="1">
        <v>44786</v>
      </c>
      <c r="C1770" s="7">
        <f t="shared" si="307"/>
        <v>2022</v>
      </c>
      <c r="D1770">
        <v>86.8</v>
      </c>
      <c r="E1770">
        <v>73</v>
      </c>
      <c r="F1770">
        <v>79.400000000000006</v>
      </c>
      <c r="G1770" s="2">
        <f t="shared" si="306"/>
        <v>1</v>
      </c>
      <c r="H1770">
        <v>86.4</v>
      </c>
      <c r="I1770">
        <v>73</v>
      </c>
      <c r="J1770">
        <v>79.400000000000006</v>
      </c>
      <c r="K1770">
        <v>58.5</v>
      </c>
      <c r="L1770">
        <v>50</v>
      </c>
      <c r="M1770" s="2">
        <f t="shared" si="308"/>
        <v>0</v>
      </c>
      <c r="N1770">
        <v>4.1000000000000002E-2</v>
      </c>
      <c r="P1770" s="2">
        <f t="shared" si="309"/>
        <v>0</v>
      </c>
      <c r="Q1770">
        <v>100</v>
      </c>
      <c r="R1770">
        <v>4.17</v>
      </c>
      <c r="S1770" t="s">
        <v>87</v>
      </c>
      <c r="T1770">
        <v>0</v>
      </c>
      <c r="U1770">
        <v>0</v>
      </c>
      <c r="V1770">
        <v>18.8</v>
      </c>
      <c r="W1770" s="2">
        <f t="shared" si="310"/>
        <v>1</v>
      </c>
      <c r="X1770">
        <v>12</v>
      </c>
      <c r="Z1770" s="2">
        <f t="shared" si="311"/>
        <v>0</v>
      </c>
      <c r="AA1770">
        <v>340.5</v>
      </c>
      <c r="AB1770" s="2" t="str">
        <f>CHOOSE(MATCH(AA1770,{0;11;80;111;161;191;241;281;341},1),"North","NorthEast","East","SouthEast","South","SouthWest","West","NorthWest","North")</f>
        <v>NorthWest</v>
      </c>
      <c r="AC1770" s="5">
        <f>CHOOSE(MATCH(AB1770,{"South";"SouthEast";"SouthWest";"North";"NorthEast";"East";"West";"NorthWest"},0),1,2,3,4,5,6,7,8)</f>
        <v>8</v>
      </c>
      <c r="AD1770" s="2">
        <f t="shared" si="312"/>
        <v>1</v>
      </c>
      <c r="AE1770">
        <v>1009.3</v>
      </c>
      <c r="AF1770" s="4" t="s">
        <v>2364</v>
      </c>
      <c r="AG1770" s="2">
        <f t="shared" si="313"/>
        <v>1</v>
      </c>
      <c r="AH1770" t="s">
        <v>2720</v>
      </c>
      <c r="AI1770" s="2">
        <f t="shared" si="314"/>
        <v>8</v>
      </c>
      <c r="AJ1770" s="2">
        <f t="shared" si="315"/>
        <v>1</v>
      </c>
      <c r="AK1770" s="3">
        <v>249.99999999767169</v>
      </c>
      <c r="AM1770" s="2">
        <v>0</v>
      </c>
      <c r="AN1770">
        <v>0</v>
      </c>
      <c r="AO1770">
        <v>1</v>
      </c>
      <c r="AP1770">
        <v>0</v>
      </c>
      <c r="AQ1770" s="2">
        <f>IF((2*G1770 + M1770 -P1770 + 3*W1770 + 2*Z1770+2*AD1770 + AG1770+2*AJ1770 + 4*AM1770) &gt;=8,1,0)</f>
        <v>1</v>
      </c>
    </row>
    <row r="1771" spans="1:43" x14ac:dyDescent="0.25">
      <c r="A1771" t="s">
        <v>27</v>
      </c>
      <c r="B1771" s="1">
        <v>44791</v>
      </c>
      <c r="C1771" s="7">
        <f t="shared" si="307"/>
        <v>2022</v>
      </c>
      <c r="D1771">
        <v>96.7</v>
      </c>
      <c r="E1771">
        <v>75.099999999999994</v>
      </c>
      <c r="F1771">
        <v>86.3</v>
      </c>
      <c r="G1771" s="2">
        <f t="shared" si="306"/>
        <v>1</v>
      </c>
      <c r="H1771">
        <v>94.8</v>
      </c>
      <c r="I1771">
        <v>75.099999999999994</v>
      </c>
      <c r="J1771">
        <v>85.3</v>
      </c>
      <c r="K1771">
        <v>56.6</v>
      </c>
      <c r="L1771">
        <v>38.6</v>
      </c>
      <c r="M1771" s="2">
        <f t="shared" si="308"/>
        <v>1</v>
      </c>
      <c r="N1771">
        <v>0</v>
      </c>
      <c r="P1771" s="2">
        <f t="shared" si="309"/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27.1</v>
      </c>
      <c r="W1771" s="2">
        <f t="shared" si="310"/>
        <v>1</v>
      </c>
      <c r="X1771">
        <v>17.100000000000001</v>
      </c>
      <c r="Z1771" s="2">
        <f t="shared" si="311"/>
        <v>1</v>
      </c>
      <c r="AA1771">
        <v>11.3</v>
      </c>
      <c r="AB1771" s="2" t="str">
        <f>CHOOSE(MATCH(AA1771,{0;11;80;111;161;191;241;281;341},1),"North","NorthEast","East","SouthEast","South","SouthWest","West","NorthWest","North")</f>
        <v>NorthEast</v>
      </c>
      <c r="AC1771" s="5">
        <f>CHOOSE(MATCH(AB1771,{"South";"SouthEast";"SouthWest";"North";"NorthEast";"East";"West";"NorthWest"},0),1,2,3,4,5,6,7,8)</f>
        <v>5</v>
      </c>
      <c r="AD1771" s="2">
        <f t="shared" si="312"/>
        <v>1</v>
      </c>
      <c r="AE1771">
        <v>1010</v>
      </c>
      <c r="AF1771" s="4" t="s">
        <v>1215</v>
      </c>
      <c r="AG1771" s="2">
        <f t="shared" si="313"/>
        <v>1</v>
      </c>
      <c r="AH1771" t="s">
        <v>2721</v>
      </c>
      <c r="AI1771" s="2">
        <f t="shared" si="314"/>
        <v>8</v>
      </c>
      <c r="AJ1771" s="2">
        <f t="shared" si="315"/>
        <v>1</v>
      </c>
      <c r="AK1771" s="3">
        <v>708.00000000279397</v>
      </c>
      <c r="AM1771" s="2">
        <v>1</v>
      </c>
      <c r="AN1771">
        <v>0</v>
      </c>
      <c r="AO1771">
        <v>0.15</v>
      </c>
      <c r="AP1771">
        <v>0</v>
      </c>
      <c r="AQ1771" s="2">
        <f>IF((2*G1771 + M1771 -P1771 + 3*W1771 + 2*Z1771+2*AD1771 + AG1771+2*AJ1771 + 4*AM1771) &gt;=8,1,0)</f>
        <v>1</v>
      </c>
    </row>
    <row r="1772" spans="1:43" x14ac:dyDescent="0.25">
      <c r="A1772" t="s">
        <v>27</v>
      </c>
      <c r="B1772" s="1">
        <v>44797</v>
      </c>
      <c r="C1772" s="7">
        <f t="shared" si="307"/>
        <v>2022</v>
      </c>
      <c r="D1772">
        <v>80.5</v>
      </c>
      <c r="E1772">
        <v>69.2</v>
      </c>
      <c r="F1772">
        <v>73.599999999999994</v>
      </c>
      <c r="G1772" s="2">
        <f t="shared" si="306"/>
        <v>0</v>
      </c>
      <c r="H1772">
        <v>81.900000000000006</v>
      </c>
      <c r="I1772">
        <v>69.2</v>
      </c>
      <c r="J1772">
        <v>73.599999999999994</v>
      </c>
      <c r="K1772">
        <v>65.099999999999994</v>
      </c>
      <c r="L1772">
        <v>75.5</v>
      </c>
      <c r="M1772" s="2">
        <f t="shared" si="308"/>
        <v>0</v>
      </c>
      <c r="N1772">
        <v>0.70099999999999996</v>
      </c>
      <c r="P1772" s="2">
        <f t="shared" si="309"/>
        <v>0</v>
      </c>
      <c r="Q1772">
        <v>100</v>
      </c>
      <c r="R1772">
        <v>8.33</v>
      </c>
      <c r="S1772" t="s">
        <v>87</v>
      </c>
      <c r="T1772">
        <v>0</v>
      </c>
      <c r="U1772">
        <v>0</v>
      </c>
      <c r="V1772">
        <v>24.6</v>
      </c>
      <c r="W1772" s="2">
        <f t="shared" si="310"/>
        <v>1</v>
      </c>
      <c r="X1772">
        <v>11.3</v>
      </c>
      <c r="Z1772" s="2">
        <f t="shared" si="311"/>
        <v>0</v>
      </c>
      <c r="AA1772">
        <v>4.4000000000000004</v>
      </c>
      <c r="AB1772" s="2" t="str">
        <f>CHOOSE(MATCH(AA1772,{0;11;80;111;161;191;241;281;341},1),"North","NorthEast","East","SouthEast","South","SouthWest","West","NorthWest","North")</f>
        <v>North</v>
      </c>
      <c r="AC1772" s="5">
        <f>CHOOSE(MATCH(AB1772,{"South";"SouthEast";"SouthWest";"North";"NorthEast";"East";"West";"NorthWest"},0),1,2,3,4,5,6,7,8)</f>
        <v>4</v>
      </c>
      <c r="AD1772" s="2">
        <f t="shared" si="312"/>
        <v>1</v>
      </c>
      <c r="AE1772">
        <v>1009.2</v>
      </c>
      <c r="AF1772" s="4" t="s">
        <v>2722</v>
      </c>
      <c r="AG1772" s="2">
        <f t="shared" si="313"/>
        <v>1</v>
      </c>
      <c r="AH1772" t="s">
        <v>2723</v>
      </c>
      <c r="AI1772" s="2">
        <f t="shared" si="314"/>
        <v>8</v>
      </c>
      <c r="AJ1772" s="2">
        <f t="shared" si="315"/>
        <v>1</v>
      </c>
      <c r="AK1772" s="3">
        <v>27.999999996973202</v>
      </c>
      <c r="AM1772" s="2">
        <v>0</v>
      </c>
      <c r="AN1772">
        <v>0</v>
      </c>
      <c r="AO1772">
        <v>0.04</v>
      </c>
      <c r="AP1772">
        <v>0</v>
      </c>
      <c r="AQ1772" s="2">
        <f>IF((2*G1772 + M1772 -P1772 + 3*W1772 + 2*Z1772+2*AD1772 + AG1772+2*AJ1772 + 4*AM1772) &gt;=8,1,0)</f>
        <v>1</v>
      </c>
    </row>
    <row r="1773" spans="1:43" x14ac:dyDescent="0.25">
      <c r="A1773" t="s">
        <v>27</v>
      </c>
      <c r="B1773" s="1">
        <v>44797</v>
      </c>
      <c r="C1773" s="7">
        <f t="shared" si="307"/>
        <v>2022</v>
      </c>
      <c r="D1773">
        <v>80.5</v>
      </c>
      <c r="E1773">
        <v>69.2</v>
      </c>
      <c r="F1773">
        <v>73.599999999999994</v>
      </c>
      <c r="G1773" s="2">
        <f t="shared" si="306"/>
        <v>0</v>
      </c>
      <c r="H1773">
        <v>81.900000000000006</v>
      </c>
      <c r="I1773">
        <v>69.2</v>
      </c>
      <c r="J1773">
        <v>73.599999999999994</v>
      </c>
      <c r="K1773">
        <v>65.099999999999994</v>
      </c>
      <c r="L1773">
        <v>75.5</v>
      </c>
      <c r="M1773" s="2">
        <f t="shared" si="308"/>
        <v>0</v>
      </c>
      <c r="N1773">
        <v>0.70099999999999996</v>
      </c>
      <c r="P1773" s="2">
        <f t="shared" si="309"/>
        <v>0</v>
      </c>
      <c r="Q1773">
        <v>100</v>
      </c>
      <c r="R1773">
        <v>8.33</v>
      </c>
      <c r="S1773" t="s">
        <v>87</v>
      </c>
      <c r="T1773">
        <v>0</v>
      </c>
      <c r="U1773">
        <v>0</v>
      </c>
      <c r="V1773">
        <v>24.6</v>
      </c>
      <c r="W1773" s="2">
        <f t="shared" si="310"/>
        <v>1</v>
      </c>
      <c r="X1773">
        <v>11.3</v>
      </c>
      <c r="Z1773" s="2">
        <f t="shared" si="311"/>
        <v>0</v>
      </c>
      <c r="AA1773">
        <v>4.4000000000000004</v>
      </c>
      <c r="AB1773" s="2" t="str">
        <f>CHOOSE(MATCH(AA1773,{0;11;80;111;161;191;241;281;341},1),"North","NorthEast","East","SouthEast","South","SouthWest","West","NorthWest","North")</f>
        <v>North</v>
      </c>
      <c r="AC1773" s="5">
        <f>CHOOSE(MATCH(AB1773,{"South";"SouthEast";"SouthWest";"North";"NorthEast";"East";"West";"NorthWest"},0),1,2,3,4,5,6,7,8)</f>
        <v>4</v>
      </c>
      <c r="AD1773" s="2">
        <f t="shared" si="312"/>
        <v>1</v>
      </c>
      <c r="AE1773">
        <v>1009.2</v>
      </c>
      <c r="AF1773" s="4" t="s">
        <v>1837</v>
      </c>
      <c r="AG1773" s="2">
        <f t="shared" si="313"/>
        <v>1</v>
      </c>
      <c r="AH1773" t="s">
        <v>2724</v>
      </c>
      <c r="AI1773" s="2">
        <f t="shared" si="314"/>
        <v>8</v>
      </c>
      <c r="AJ1773" s="2">
        <f t="shared" si="315"/>
        <v>1</v>
      </c>
      <c r="AK1773" s="3">
        <v>25.000000008149069</v>
      </c>
      <c r="AM1773" s="2">
        <v>0</v>
      </c>
      <c r="AN1773">
        <v>0</v>
      </c>
      <c r="AO1773">
        <v>0.05</v>
      </c>
      <c r="AP1773">
        <v>0</v>
      </c>
      <c r="AQ1773" s="2">
        <f>IF((2*G1773 + M1773 -P1773 + 3*W1773 + 2*Z1773+2*AD1773 + AG1773+2*AJ1773 + 4*AM1773) &gt;=8,1,0)</f>
        <v>1</v>
      </c>
    </row>
    <row r="1774" spans="1:43" x14ac:dyDescent="0.25">
      <c r="A1774" t="s">
        <v>27</v>
      </c>
      <c r="B1774" s="1">
        <v>44798</v>
      </c>
      <c r="C1774" s="7">
        <f t="shared" si="307"/>
        <v>2022</v>
      </c>
      <c r="D1774">
        <v>81</v>
      </c>
      <c r="E1774">
        <v>67.599999999999994</v>
      </c>
      <c r="F1774">
        <v>74.099999999999994</v>
      </c>
      <c r="G1774" s="2">
        <f t="shared" si="306"/>
        <v>1</v>
      </c>
      <c r="H1774">
        <v>82.3</v>
      </c>
      <c r="I1774">
        <v>67.599999999999994</v>
      </c>
      <c r="J1774">
        <v>74.2</v>
      </c>
      <c r="K1774">
        <v>64.7</v>
      </c>
      <c r="L1774">
        <v>73.400000000000006</v>
      </c>
      <c r="M1774" s="2">
        <f t="shared" si="308"/>
        <v>0</v>
      </c>
      <c r="N1774">
        <v>6.0000000000000001E-3</v>
      </c>
      <c r="P1774" s="2">
        <f t="shared" si="309"/>
        <v>1</v>
      </c>
      <c r="Q1774">
        <v>100</v>
      </c>
      <c r="R1774">
        <v>8.33</v>
      </c>
      <c r="S1774" t="s">
        <v>87</v>
      </c>
      <c r="T1774">
        <v>0</v>
      </c>
      <c r="U1774">
        <v>0</v>
      </c>
      <c r="V1774">
        <v>21.8</v>
      </c>
      <c r="W1774" s="2">
        <f t="shared" si="310"/>
        <v>1</v>
      </c>
      <c r="X1774">
        <v>11</v>
      </c>
      <c r="Z1774" s="2">
        <f t="shared" si="311"/>
        <v>0</v>
      </c>
      <c r="AA1774">
        <v>0</v>
      </c>
      <c r="AB1774" s="2" t="str">
        <f>CHOOSE(MATCH(AA1774,{0;11;80;111;161;191;241;281;341},1),"North","NorthEast","East","SouthEast","South","SouthWest","West","NorthWest","North")</f>
        <v>North</v>
      </c>
      <c r="AC1774" s="5">
        <f>CHOOSE(MATCH(AB1774,{"South";"SouthEast";"SouthWest";"North";"NorthEast";"East";"West";"NorthWest"},0),1,2,3,4,5,6,7,8)</f>
        <v>4</v>
      </c>
      <c r="AD1774" s="2">
        <f t="shared" si="312"/>
        <v>1</v>
      </c>
      <c r="AE1774">
        <v>1009.5</v>
      </c>
      <c r="AF1774" s="4" t="s">
        <v>1753</v>
      </c>
      <c r="AG1774" s="2">
        <f t="shared" si="313"/>
        <v>1</v>
      </c>
      <c r="AH1774" t="s">
        <v>2725</v>
      </c>
      <c r="AI1774" s="2">
        <f t="shared" si="314"/>
        <v>8</v>
      </c>
      <c r="AJ1774" s="2">
        <f t="shared" si="315"/>
        <v>1</v>
      </c>
      <c r="AK1774" s="3">
        <v>59.99999999650754</v>
      </c>
      <c r="AM1774" s="2">
        <v>0</v>
      </c>
      <c r="AN1774">
        <v>0</v>
      </c>
      <c r="AO1774">
        <v>0.1</v>
      </c>
      <c r="AP1774">
        <v>0</v>
      </c>
      <c r="AQ1774" s="2">
        <f>IF((2*G1774 + M1774 -P1774 + 3*W1774 + 2*Z1774+2*AD1774 + AG1774+2*AJ1774 + 4*AM1774) &gt;=8,1,0)</f>
        <v>1</v>
      </c>
    </row>
    <row r="1775" spans="1:43" x14ac:dyDescent="0.25">
      <c r="A1775" t="s">
        <v>27</v>
      </c>
      <c r="B1775" s="1">
        <v>44805</v>
      </c>
      <c r="C1775" s="7">
        <f t="shared" si="307"/>
        <v>2022</v>
      </c>
      <c r="D1775">
        <v>87.7</v>
      </c>
      <c r="E1775">
        <v>69.7</v>
      </c>
      <c r="F1775">
        <v>79</v>
      </c>
      <c r="G1775" s="2">
        <f t="shared" si="306"/>
        <v>1</v>
      </c>
      <c r="H1775">
        <v>89.1</v>
      </c>
      <c r="I1775">
        <v>69.7</v>
      </c>
      <c r="J1775">
        <v>79.599999999999994</v>
      </c>
      <c r="K1775">
        <v>64.7</v>
      </c>
      <c r="L1775">
        <v>63.5</v>
      </c>
      <c r="M1775" s="2">
        <f t="shared" si="308"/>
        <v>0</v>
      </c>
      <c r="N1775">
        <v>5.0000000000000001E-3</v>
      </c>
      <c r="P1775" s="2">
        <f t="shared" si="309"/>
        <v>1</v>
      </c>
      <c r="Q1775">
        <v>100</v>
      </c>
      <c r="R1775">
        <v>4.17</v>
      </c>
      <c r="S1775" t="s">
        <v>87</v>
      </c>
      <c r="T1775">
        <v>0</v>
      </c>
      <c r="U1775">
        <v>0</v>
      </c>
      <c r="V1775">
        <v>15.8</v>
      </c>
      <c r="W1775" s="2">
        <f t="shared" si="310"/>
        <v>1</v>
      </c>
      <c r="X1775">
        <v>10.1</v>
      </c>
      <c r="Z1775" s="2">
        <f t="shared" si="311"/>
        <v>0</v>
      </c>
      <c r="AA1775">
        <v>111</v>
      </c>
      <c r="AB1775" s="2" t="str">
        <f>CHOOSE(MATCH(AA1775,{0;11;80;111;161;191;241;281;341},1),"North","NorthEast","East","SouthEast","South","SouthWest","West","NorthWest","North")</f>
        <v>SouthEast</v>
      </c>
      <c r="AC1775" s="5">
        <f>CHOOSE(MATCH(AB1775,{"South";"SouthEast";"SouthWest";"North";"NorthEast";"East";"West";"NorthWest"},0),1,2,3,4,5,6,7,8)</f>
        <v>2</v>
      </c>
      <c r="AD1775" s="2">
        <f t="shared" si="312"/>
        <v>0</v>
      </c>
      <c r="AE1775">
        <v>1010.5</v>
      </c>
      <c r="AF1775" s="4" t="s">
        <v>2726</v>
      </c>
      <c r="AG1775" s="2">
        <f t="shared" si="313"/>
        <v>1</v>
      </c>
      <c r="AH1775" t="s">
        <v>2727</v>
      </c>
      <c r="AI1775" s="2">
        <f t="shared" si="314"/>
        <v>9</v>
      </c>
      <c r="AJ1775" s="2">
        <f t="shared" si="315"/>
        <v>0</v>
      </c>
      <c r="AK1775" s="3">
        <v>1071.000000002095</v>
      </c>
      <c r="AM1775" s="2">
        <v>1</v>
      </c>
      <c r="AN1775">
        <v>0</v>
      </c>
      <c r="AO1775">
        <v>3</v>
      </c>
      <c r="AP1775">
        <v>0</v>
      </c>
      <c r="AQ1775" s="2">
        <f>IF((2*G1775 + M1775 -P1775 + 3*W1775 + 2*Z1775+2*AD1775 + AG1775+2*AJ1775 + 4*AM1775) &gt;=8,1,0)</f>
        <v>1</v>
      </c>
    </row>
    <row r="1776" spans="1:43" x14ac:dyDescent="0.25">
      <c r="A1776" t="s">
        <v>27</v>
      </c>
      <c r="B1776" s="1">
        <v>44806</v>
      </c>
      <c r="C1776" s="7">
        <f t="shared" si="307"/>
        <v>2022</v>
      </c>
      <c r="D1776">
        <v>88.6</v>
      </c>
      <c r="E1776">
        <v>69.8</v>
      </c>
      <c r="F1776">
        <v>79.7</v>
      </c>
      <c r="G1776" s="2">
        <f t="shared" si="306"/>
        <v>1</v>
      </c>
      <c r="H1776">
        <v>91.8</v>
      </c>
      <c r="I1776">
        <v>69.8</v>
      </c>
      <c r="J1776">
        <v>81</v>
      </c>
      <c r="K1776">
        <v>67.2</v>
      </c>
      <c r="L1776">
        <v>67.2</v>
      </c>
      <c r="M1776" s="2">
        <f t="shared" si="308"/>
        <v>0</v>
      </c>
      <c r="N1776">
        <v>0</v>
      </c>
      <c r="P1776" s="2">
        <f t="shared" si="309"/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18.3</v>
      </c>
      <c r="W1776" s="2">
        <f t="shared" si="310"/>
        <v>1</v>
      </c>
      <c r="X1776">
        <v>12.3</v>
      </c>
      <c r="Z1776" s="2">
        <f t="shared" si="311"/>
        <v>0</v>
      </c>
      <c r="AA1776">
        <v>148.1</v>
      </c>
      <c r="AB1776" s="2" t="str">
        <f>CHOOSE(MATCH(AA1776,{0;11;80;111;161;191;241;281;341},1),"North","NorthEast","East","SouthEast","South","SouthWest","West","NorthWest","North")</f>
        <v>SouthEast</v>
      </c>
      <c r="AC1776" s="5">
        <f>CHOOSE(MATCH(AB1776,{"South";"SouthEast";"SouthWest";"North";"NorthEast";"East";"West";"NorthWest"},0),1,2,3,4,5,6,7,8)</f>
        <v>2</v>
      </c>
      <c r="AD1776" s="2">
        <f t="shared" si="312"/>
        <v>0</v>
      </c>
      <c r="AE1776">
        <v>1010.1</v>
      </c>
      <c r="AF1776" s="4" t="s">
        <v>1192</v>
      </c>
      <c r="AG1776" s="2">
        <f t="shared" si="313"/>
        <v>1</v>
      </c>
      <c r="AH1776" t="s">
        <v>2728</v>
      </c>
      <c r="AI1776" s="2">
        <f t="shared" si="314"/>
        <v>9</v>
      </c>
      <c r="AJ1776" s="2">
        <f t="shared" si="315"/>
        <v>0</v>
      </c>
      <c r="AK1776" s="3">
        <v>3153.9999999920842</v>
      </c>
      <c r="AM1776" s="2">
        <v>1</v>
      </c>
      <c r="AN1776">
        <v>0</v>
      </c>
      <c r="AO1776">
        <v>100</v>
      </c>
      <c r="AP1776">
        <v>0</v>
      </c>
      <c r="AQ1776" s="2">
        <f>IF((2*G1776 + M1776 -P1776 + 3*W1776 + 2*Z1776+2*AD1776 + AG1776+2*AJ1776 + 4*AM1776) &gt;=8,1,0)</f>
        <v>1</v>
      </c>
    </row>
    <row r="1777" spans="1:43" x14ac:dyDescent="0.25">
      <c r="A1777" t="s">
        <v>27</v>
      </c>
      <c r="B1777" s="1">
        <v>44828</v>
      </c>
      <c r="C1777" s="7">
        <f t="shared" si="307"/>
        <v>2022</v>
      </c>
      <c r="D1777">
        <v>75.400000000000006</v>
      </c>
      <c r="E1777">
        <v>53.4</v>
      </c>
      <c r="F1777">
        <v>65</v>
      </c>
      <c r="G1777" s="2">
        <f t="shared" si="306"/>
        <v>0</v>
      </c>
      <c r="H1777">
        <v>75.400000000000006</v>
      </c>
      <c r="I1777">
        <v>53.4</v>
      </c>
      <c r="J1777">
        <v>65</v>
      </c>
      <c r="K1777">
        <v>44.9</v>
      </c>
      <c r="L1777">
        <v>49.8</v>
      </c>
      <c r="M1777" s="2">
        <f t="shared" si="308"/>
        <v>0</v>
      </c>
      <c r="N1777">
        <v>0</v>
      </c>
      <c r="P1777" s="2">
        <f t="shared" si="309"/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17</v>
      </c>
      <c r="W1777" s="2">
        <f t="shared" si="310"/>
        <v>1</v>
      </c>
      <c r="X1777">
        <v>9.5</v>
      </c>
      <c r="Z1777" s="2">
        <f t="shared" si="311"/>
        <v>0</v>
      </c>
      <c r="AA1777">
        <v>70.7</v>
      </c>
      <c r="AB1777" s="2" t="str">
        <f>CHOOSE(MATCH(AA1777,{0;11;80;111;161;191;241;281;341},1),"North","NorthEast","East","SouthEast","South","SouthWest","West","NorthWest","North")</f>
        <v>NorthEast</v>
      </c>
      <c r="AC1777" s="5">
        <f>CHOOSE(MATCH(AB1777,{"South";"SouthEast";"SouthWest";"North";"NorthEast";"East";"West";"NorthWest"},0),1,2,3,4,5,6,7,8)</f>
        <v>5</v>
      </c>
      <c r="AD1777" s="2">
        <f t="shared" si="312"/>
        <v>1</v>
      </c>
      <c r="AE1777">
        <v>1020.1</v>
      </c>
      <c r="AF1777" s="4" t="s">
        <v>2228</v>
      </c>
      <c r="AG1777" s="2">
        <f t="shared" si="313"/>
        <v>0</v>
      </c>
      <c r="AH1777" t="s">
        <v>2729</v>
      </c>
      <c r="AI1777" s="2">
        <f t="shared" si="314"/>
        <v>9</v>
      </c>
      <c r="AJ1777" s="2">
        <f t="shared" si="315"/>
        <v>0</v>
      </c>
      <c r="AK1777" s="3">
        <v>2014.9999999988361</v>
      </c>
      <c r="AM1777" s="2">
        <v>1</v>
      </c>
      <c r="AN1777">
        <v>0</v>
      </c>
      <c r="AO1777">
        <v>4</v>
      </c>
      <c r="AP1777">
        <v>0</v>
      </c>
      <c r="AQ1777" s="2">
        <f>IF((2*G1777 + M1777 -P1777 + 3*W1777 + 2*Z1777+2*AD1777 + AG1777+2*AJ1777 + 4*AM1777) &gt;=8,1,0)</f>
        <v>1</v>
      </c>
    </row>
    <row r="1778" spans="1:43" x14ac:dyDescent="0.25">
      <c r="A1778" t="s">
        <v>27</v>
      </c>
      <c r="B1778" s="1">
        <v>44829</v>
      </c>
      <c r="C1778" s="7">
        <f t="shared" si="307"/>
        <v>2022</v>
      </c>
      <c r="D1778">
        <v>78.400000000000006</v>
      </c>
      <c r="E1778">
        <v>52.4</v>
      </c>
      <c r="F1778">
        <v>66.099999999999994</v>
      </c>
      <c r="G1778" s="2">
        <f t="shared" si="306"/>
        <v>0</v>
      </c>
      <c r="H1778">
        <v>78.400000000000006</v>
      </c>
      <c r="I1778">
        <v>52.4</v>
      </c>
      <c r="J1778">
        <v>66.099999999999994</v>
      </c>
      <c r="K1778">
        <v>49.1</v>
      </c>
      <c r="L1778">
        <v>57.3</v>
      </c>
      <c r="M1778" s="2">
        <f t="shared" si="308"/>
        <v>0</v>
      </c>
      <c r="N1778">
        <v>0</v>
      </c>
      <c r="P1778" s="2">
        <f t="shared" si="309"/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16.8</v>
      </c>
      <c r="W1778" s="2">
        <f t="shared" si="310"/>
        <v>1</v>
      </c>
      <c r="X1778">
        <v>10.3</v>
      </c>
      <c r="Z1778" s="2">
        <f t="shared" si="311"/>
        <v>0</v>
      </c>
      <c r="AA1778">
        <v>70.900000000000006</v>
      </c>
      <c r="AB1778" s="2" t="str">
        <f>CHOOSE(MATCH(AA1778,{0;11;80;111;161;191;241;281;341},1),"North","NorthEast","East","SouthEast","South","SouthWest","West","NorthWest","North")</f>
        <v>NorthEast</v>
      </c>
      <c r="AC1778" s="5">
        <f>CHOOSE(MATCH(AB1778,{"South";"SouthEast";"SouthWest";"North";"NorthEast";"East";"West";"NorthWest"},0),1,2,3,4,5,6,7,8)</f>
        <v>5</v>
      </c>
      <c r="AD1778" s="2">
        <f t="shared" si="312"/>
        <v>1</v>
      </c>
      <c r="AE1778">
        <v>1019</v>
      </c>
      <c r="AF1778" s="4" t="s">
        <v>2730</v>
      </c>
      <c r="AG1778" s="2">
        <f t="shared" si="313"/>
        <v>1</v>
      </c>
      <c r="AH1778" t="s">
        <v>2731</v>
      </c>
      <c r="AI1778" s="2">
        <f t="shared" si="314"/>
        <v>9</v>
      </c>
      <c r="AJ1778" s="2">
        <f t="shared" si="315"/>
        <v>0</v>
      </c>
      <c r="AK1778" s="3">
        <v>165.99999999627471</v>
      </c>
      <c r="AM1778" s="2">
        <v>0</v>
      </c>
      <c r="AN1778">
        <v>0</v>
      </c>
      <c r="AO1778">
        <v>4</v>
      </c>
      <c r="AP1778">
        <v>0</v>
      </c>
      <c r="AQ1778" s="2">
        <f>IF((2*G1778 + M1778 -P1778 + 3*W1778 + 2*Z1778+2*AD1778 + AG1778+2*AJ1778 + 4*AM1778) &gt;=8,1,0)</f>
        <v>0</v>
      </c>
    </row>
    <row r="1779" spans="1:43" x14ac:dyDescent="0.25">
      <c r="A1779" t="s">
        <v>27</v>
      </c>
      <c r="B1779" s="1">
        <v>44866</v>
      </c>
      <c r="C1779" s="7">
        <f t="shared" si="307"/>
        <v>2022</v>
      </c>
      <c r="D1779">
        <v>74.2</v>
      </c>
      <c r="E1779">
        <v>60.6</v>
      </c>
      <c r="F1779">
        <v>68.099999999999994</v>
      </c>
      <c r="G1779" s="2">
        <f t="shared" si="306"/>
        <v>0</v>
      </c>
      <c r="H1779">
        <v>74.2</v>
      </c>
      <c r="I1779">
        <v>60.6</v>
      </c>
      <c r="J1779">
        <v>68.099999999999994</v>
      </c>
      <c r="K1779">
        <v>46</v>
      </c>
      <c r="L1779">
        <v>45.9</v>
      </c>
      <c r="M1779" s="2">
        <f t="shared" si="308"/>
        <v>1</v>
      </c>
      <c r="N1779">
        <v>0</v>
      </c>
      <c r="P1779" s="2">
        <f t="shared" si="309"/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32.200000000000003</v>
      </c>
      <c r="W1779" s="2">
        <f t="shared" si="310"/>
        <v>1</v>
      </c>
      <c r="X1779">
        <v>19.600000000000001</v>
      </c>
      <c r="Z1779" s="2">
        <f t="shared" si="311"/>
        <v>1</v>
      </c>
      <c r="AA1779">
        <v>9.1999999999999993</v>
      </c>
      <c r="AB1779" s="2" t="str">
        <f>CHOOSE(MATCH(AA1779,{0;11;80;111;161;191;241;281;341},1),"North","NorthEast","East","SouthEast","South","SouthWest","West","NorthWest","North")</f>
        <v>North</v>
      </c>
      <c r="AC1779" s="5">
        <f>CHOOSE(MATCH(AB1779,{"South";"SouthEast";"SouthWest";"North";"NorthEast";"East";"West";"NorthWest"},0),1,2,3,4,5,6,7,8)</f>
        <v>4</v>
      </c>
      <c r="AD1779" s="2">
        <f t="shared" si="312"/>
        <v>1</v>
      </c>
      <c r="AE1779">
        <v>1021.2</v>
      </c>
      <c r="AF1779" s="4" t="s">
        <v>2732</v>
      </c>
      <c r="AG1779" s="2">
        <f t="shared" si="313"/>
        <v>1</v>
      </c>
      <c r="AH1779" t="s">
        <v>2733</v>
      </c>
      <c r="AI1779" s="2">
        <f t="shared" si="314"/>
        <v>11</v>
      </c>
      <c r="AJ1779" s="2">
        <f t="shared" si="315"/>
        <v>0</v>
      </c>
      <c r="AK1779" s="3">
        <v>1579.9999999953429</v>
      </c>
      <c r="AM1779" s="2">
        <v>1</v>
      </c>
      <c r="AN1779">
        <v>10</v>
      </c>
      <c r="AO1779">
        <v>0</v>
      </c>
      <c r="AP1779">
        <v>0</v>
      </c>
      <c r="AQ1779" s="2">
        <f>IF((2*G1779 + M1779 -P1779 + 3*W1779 + 2*Z1779+2*AD1779 + AG1779+2*AJ1779 + 4*AM1779) &gt;=8,1,0)</f>
        <v>1</v>
      </c>
    </row>
    <row r="1780" spans="1:43" x14ac:dyDescent="0.25">
      <c r="A1780" t="s">
        <v>27</v>
      </c>
      <c r="B1780" s="1">
        <v>44867</v>
      </c>
      <c r="C1780" s="7">
        <f t="shared" si="307"/>
        <v>2022</v>
      </c>
      <c r="D1780">
        <v>78.7</v>
      </c>
      <c r="E1780">
        <v>57.5</v>
      </c>
      <c r="F1780">
        <v>66.900000000000006</v>
      </c>
      <c r="G1780" s="2">
        <f t="shared" si="306"/>
        <v>0</v>
      </c>
      <c r="H1780">
        <v>78.7</v>
      </c>
      <c r="I1780">
        <v>57.5</v>
      </c>
      <c r="J1780">
        <v>66.900000000000006</v>
      </c>
      <c r="K1780">
        <v>47.3</v>
      </c>
      <c r="L1780">
        <v>50.3</v>
      </c>
      <c r="M1780" s="2">
        <f t="shared" si="308"/>
        <v>0</v>
      </c>
      <c r="N1780">
        <v>0</v>
      </c>
      <c r="P1780" s="2">
        <f t="shared" si="309"/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15.7</v>
      </c>
      <c r="W1780" s="2">
        <f t="shared" si="310"/>
        <v>1</v>
      </c>
      <c r="X1780">
        <v>6.4</v>
      </c>
      <c r="Z1780" s="2">
        <f t="shared" si="311"/>
        <v>0</v>
      </c>
      <c r="AA1780">
        <v>359.1</v>
      </c>
      <c r="AB1780" s="2" t="str">
        <f>CHOOSE(MATCH(AA1780,{0;11;80;111;161;191;241;281;341},1),"North","NorthEast","East","SouthEast","South","SouthWest","West","NorthWest","North")</f>
        <v>North</v>
      </c>
      <c r="AC1780" s="5">
        <f>CHOOSE(MATCH(AB1780,{"South";"SouthEast";"SouthWest";"North";"NorthEast";"East";"West";"NorthWest"},0),1,2,3,4,5,6,7,8)</f>
        <v>4</v>
      </c>
      <c r="AD1780" s="2">
        <f t="shared" si="312"/>
        <v>1</v>
      </c>
      <c r="AE1780">
        <v>1020.4</v>
      </c>
      <c r="AF1780" s="4" t="s">
        <v>2250</v>
      </c>
      <c r="AG1780" s="2">
        <f t="shared" si="313"/>
        <v>1</v>
      </c>
      <c r="AH1780" t="s">
        <v>2734</v>
      </c>
      <c r="AI1780" s="2">
        <f t="shared" si="314"/>
        <v>11</v>
      </c>
      <c r="AJ1780" s="2">
        <f t="shared" si="315"/>
        <v>0</v>
      </c>
      <c r="AK1780" s="3">
        <v>3065.0000000058212</v>
      </c>
      <c r="AM1780" s="2">
        <v>1</v>
      </c>
      <c r="AN1780">
        <v>0</v>
      </c>
      <c r="AO1780">
        <v>20</v>
      </c>
      <c r="AP1780">
        <v>0</v>
      </c>
      <c r="AQ1780" s="2">
        <f>IF((2*G1780 + M1780 -P1780 + 3*W1780 + 2*Z1780+2*AD1780 + AG1780+2*AJ1780 + 4*AM1780) &gt;=8,1,0)</f>
        <v>1</v>
      </c>
    </row>
    <row r="1781" spans="1:43" x14ac:dyDescent="0.25">
      <c r="A1781" t="s">
        <v>27</v>
      </c>
      <c r="B1781" s="1">
        <v>44878</v>
      </c>
      <c r="C1781" s="7">
        <f t="shared" si="307"/>
        <v>2022</v>
      </c>
      <c r="D1781">
        <v>67</v>
      </c>
      <c r="E1781">
        <v>48.1</v>
      </c>
      <c r="F1781">
        <v>57.9</v>
      </c>
      <c r="G1781" s="2">
        <f t="shared" si="306"/>
        <v>0</v>
      </c>
      <c r="H1781">
        <v>67</v>
      </c>
      <c r="I1781">
        <v>47.6</v>
      </c>
      <c r="J1781">
        <v>57.8</v>
      </c>
      <c r="K1781">
        <v>49.2</v>
      </c>
      <c r="L1781">
        <v>74.2</v>
      </c>
      <c r="M1781" s="2">
        <f t="shared" si="308"/>
        <v>0</v>
      </c>
      <c r="N1781">
        <v>0</v>
      </c>
      <c r="P1781" s="2">
        <f t="shared" si="309"/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18.3</v>
      </c>
      <c r="W1781" s="2">
        <f t="shared" si="310"/>
        <v>1</v>
      </c>
      <c r="X1781">
        <v>10.6</v>
      </c>
      <c r="Z1781" s="2">
        <f t="shared" si="311"/>
        <v>0</v>
      </c>
      <c r="AA1781">
        <v>5.2</v>
      </c>
      <c r="AB1781" s="2" t="str">
        <f>CHOOSE(MATCH(AA1781,{0;11;80;111;161;191;241;281;341},1),"North","NorthEast","East","SouthEast","South","SouthWest","West","NorthWest","North")</f>
        <v>North</v>
      </c>
      <c r="AC1781" s="5">
        <f>CHOOSE(MATCH(AB1781,{"South";"SouthEast";"SouthWest";"North";"NorthEast";"East";"West";"NorthWest"},0),1,2,3,4,5,6,7,8)</f>
        <v>4</v>
      </c>
      <c r="AD1781" s="2">
        <f t="shared" si="312"/>
        <v>1</v>
      </c>
      <c r="AE1781">
        <v>1026.8</v>
      </c>
      <c r="AF1781" s="4" t="s">
        <v>2124</v>
      </c>
      <c r="AG1781" s="2">
        <f t="shared" si="313"/>
        <v>1</v>
      </c>
      <c r="AH1781" t="s">
        <v>2735</v>
      </c>
      <c r="AI1781" s="2">
        <f t="shared" si="314"/>
        <v>11</v>
      </c>
      <c r="AJ1781" s="2">
        <f t="shared" si="315"/>
        <v>0</v>
      </c>
      <c r="AK1781" s="3">
        <v>82.999999998137355</v>
      </c>
      <c r="AM1781" s="2">
        <v>0</v>
      </c>
      <c r="AN1781">
        <v>0.5</v>
      </c>
      <c r="AO1781">
        <v>0</v>
      </c>
      <c r="AP1781">
        <v>0</v>
      </c>
      <c r="AQ1781" s="2">
        <f>IF((2*G1781 + M1781 -P1781 + 3*W1781 + 2*Z1781+2*AD1781 + AG1781+2*AJ1781 + 4*AM1781) &gt;=8,1,0)</f>
        <v>0</v>
      </c>
    </row>
    <row r="1782" spans="1:43" x14ac:dyDescent="0.25">
      <c r="A1782" t="s">
        <v>27</v>
      </c>
      <c r="B1782" s="1">
        <v>44905</v>
      </c>
      <c r="C1782" s="7">
        <f t="shared" si="307"/>
        <v>2022</v>
      </c>
      <c r="D1782">
        <v>66.2</v>
      </c>
      <c r="E1782">
        <v>61.6</v>
      </c>
      <c r="F1782">
        <v>63.8</v>
      </c>
      <c r="G1782" s="2">
        <f t="shared" si="306"/>
        <v>0</v>
      </c>
      <c r="H1782">
        <v>66.2</v>
      </c>
      <c r="I1782">
        <v>61.6</v>
      </c>
      <c r="J1782">
        <v>63.8</v>
      </c>
      <c r="K1782">
        <v>58</v>
      </c>
      <c r="L1782">
        <v>81.599999999999994</v>
      </c>
      <c r="M1782" s="2">
        <f t="shared" si="308"/>
        <v>0</v>
      </c>
      <c r="N1782">
        <v>0</v>
      </c>
      <c r="P1782" s="2">
        <f t="shared" si="309"/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31.3</v>
      </c>
      <c r="W1782" s="2">
        <f t="shared" si="310"/>
        <v>1</v>
      </c>
      <c r="X1782">
        <v>15.4</v>
      </c>
      <c r="Z1782" s="2">
        <f t="shared" si="311"/>
        <v>0</v>
      </c>
      <c r="AA1782">
        <v>188.1</v>
      </c>
      <c r="AB1782" s="2" t="str">
        <f>CHOOSE(MATCH(AA1782,{0;11;80;111;161;191;241;281;341},1),"North","NorthEast","East","SouthEast","South","SouthWest","West","NorthWest","North")</f>
        <v>South</v>
      </c>
      <c r="AC1782" s="5">
        <f>CHOOSE(MATCH(AB1782,{"South";"SouthEast";"SouthWest";"North";"NorthEast";"East";"West";"NorthWest"},0),1,2,3,4,5,6,7,8)</f>
        <v>1</v>
      </c>
      <c r="AD1782" s="2">
        <f t="shared" si="312"/>
        <v>0</v>
      </c>
      <c r="AE1782">
        <v>1012.8</v>
      </c>
      <c r="AF1782" s="4" t="s">
        <v>2243</v>
      </c>
      <c r="AG1782" s="2">
        <f t="shared" si="313"/>
        <v>1</v>
      </c>
      <c r="AH1782" t="s">
        <v>2736</v>
      </c>
      <c r="AI1782" s="2">
        <f t="shared" si="314"/>
        <v>12</v>
      </c>
      <c r="AJ1782" s="2">
        <f t="shared" si="315"/>
        <v>0</v>
      </c>
      <c r="AK1782" s="3">
        <v>96.000000009080395</v>
      </c>
      <c r="AM1782" s="2">
        <v>0</v>
      </c>
      <c r="AN1782">
        <v>0</v>
      </c>
      <c r="AO1782">
        <v>0.5</v>
      </c>
      <c r="AP1782">
        <v>0</v>
      </c>
      <c r="AQ1782" s="2">
        <f>IF((2*G1782 + M1782 -P1782 + 3*W1782 + 2*Z1782+2*AD1782 + AG1782+2*AJ1782 + 4*AM1782) &gt;=8,1,0)</f>
        <v>0</v>
      </c>
    </row>
    <row r="1783" spans="1:43" x14ac:dyDescent="0.25">
      <c r="A1783" t="s">
        <v>27</v>
      </c>
      <c r="B1783" s="1">
        <v>44929</v>
      </c>
      <c r="C1783" s="7">
        <f t="shared" si="307"/>
        <v>2023</v>
      </c>
      <c r="D1783">
        <v>61.7</v>
      </c>
      <c r="E1783">
        <v>40</v>
      </c>
      <c r="F1783">
        <v>49.4</v>
      </c>
      <c r="G1783" s="2">
        <f t="shared" si="306"/>
        <v>0</v>
      </c>
      <c r="H1783">
        <v>61.7</v>
      </c>
      <c r="I1783">
        <v>40</v>
      </c>
      <c r="J1783">
        <v>49.1</v>
      </c>
      <c r="K1783">
        <v>42.1</v>
      </c>
      <c r="L1783">
        <v>77.099999999999994</v>
      </c>
      <c r="M1783" s="2">
        <f t="shared" si="308"/>
        <v>0</v>
      </c>
      <c r="N1783">
        <v>0</v>
      </c>
      <c r="O1783">
        <f>AVERAGE(N1783:N1822)</f>
        <v>1.4125000000000002E-2</v>
      </c>
      <c r="P1783" s="2">
        <f t="shared" si="309"/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11.2</v>
      </c>
      <c r="W1783" s="2">
        <f t="shared" si="310"/>
        <v>1</v>
      </c>
      <c r="X1783">
        <v>5.2</v>
      </c>
      <c r="Y1783">
        <f>AVERAGE(X1783:X1822)</f>
        <v>14.547500000000005</v>
      </c>
      <c r="Z1783" s="2">
        <f t="shared" si="311"/>
        <v>0</v>
      </c>
      <c r="AA1783">
        <v>305.8</v>
      </c>
      <c r="AB1783" s="2" t="str">
        <f>CHOOSE(MATCH(AA1783,{0;11;80;111;161;191;241;281;341},1),"North","NorthEast","East","SouthEast","South","SouthWest","West","NorthWest","North")</f>
        <v>NorthWest</v>
      </c>
      <c r="AC1783" s="5">
        <f>CHOOSE(MATCH(AB1783,{"South";"SouthEast";"SouthWest";"North";"NorthEast";"East";"West";"NorthWest"},0),1,2,3,4,5,6,7,8)</f>
        <v>8</v>
      </c>
      <c r="AD1783" s="2">
        <f t="shared" si="312"/>
        <v>1</v>
      </c>
      <c r="AE1783">
        <v>1027.3</v>
      </c>
      <c r="AF1783" s="4" t="s">
        <v>1084</v>
      </c>
      <c r="AG1783" s="2">
        <f t="shared" si="313"/>
        <v>0</v>
      </c>
      <c r="AH1783" t="s">
        <v>2737</v>
      </c>
      <c r="AI1783" s="2">
        <f t="shared" si="314"/>
        <v>1</v>
      </c>
      <c r="AJ1783" s="2">
        <f t="shared" si="315"/>
        <v>0</v>
      </c>
      <c r="AK1783" s="3">
        <v>79.999999998835847</v>
      </c>
      <c r="AL1783" s="3">
        <f>AVERAGE(AK1783:AK1822)</f>
        <v>1560.2999999994936</v>
      </c>
      <c r="AM1783" s="2">
        <v>0</v>
      </c>
      <c r="AN1783">
        <v>0.05</v>
      </c>
      <c r="AO1783">
        <v>0</v>
      </c>
      <c r="AP1783">
        <v>0</v>
      </c>
      <c r="AQ1783" s="2">
        <f>IF((2*G1783 + M1783 -P1783 + 3*W1783 + 2*Z1783+2*AD1783 + AG1783+2*AJ1783 + 4*AM1783) &gt;=8,1,0)</f>
        <v>0</v>
      </c>
    </row>
    <row r="1784" spans="1:43" x14ac:dyDescent="0.25">
      <c r="A1784" t="s">
        <v>27</v>
      </c>
      <c r="B1784" s="1">
        <v>44932</v>
      </c>
      <c r="C1784" s="7">
        <f t="shared" si="307"/>
        <v>2023</v>
      </c>
      <c r="D1784">
        <v>63.4</v>
      </c>
      <c r="E1784">
        <v>41.7</v>
      </c>
      <c r="F1784">
        <v>52</v>
      </c>
      <c r="G1784" s="2">
        <f t="shared" si="306"/>
        <v>0</v>
      </c>
      <c r="H1784">
        <v>63.4</v>
      </c>
      <c r="I1784">
        <v>41.7</v>
      </c>
      <c r="J1784">
        <v>51.8</v>
      </c>
      <c r="K1784">
        <v>42.6</v>
      </c>
      <c r="L1784">
        <v>72.2</v>
      </c>
      <c r="M1784" s="2">
        <f t="shared" si="308"/>
        <v>0</v>
      </c>
      <c r="N1784">
        <v>0</v>
      </c>
      <c r="P1784" s="2">
        <f t="shared" si="309"/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18.899999999999999</v>
      </c>
      <c r="W1784" s="2">
        <f t="shared" si="310"/>
        <v>1</v>
      </c>
      <c r="X1784">
        <v>8.4</v>
      </c>
      <c r="Z1784" s="2">
        <f t="shared" si="311"/>
        <v>0</v>
      </c>
      <c r="AA1784">
        <v>345.9</v>
      </c>
      <c r="AB1784" s="2" t="str">
        <f>CHOOSE(MATCH(AA1784,{0;11;80;111;161;191;241;281;341},1),"North","NorthEast","East","SouthEast","South","SouthWest","West","NorthWest","North")</f>
        <v>North</v>
      </c>
      <c r="AC1784" s="5">
        <f>CHOOSE(MATCH(AB1784,{"South";"SouthEast";"SouthWest";"North";"NorthEast";"East";"West";"NorthWest"},0),1,2,3,4,5,6,7,8)</f>
        <v>4</v>
      </c>
      <c r="AD1784" s="2">
        <f t="shared" si="312"/>
        <v>1</v>
      </c>
      <c r="AE1784">
        <v>1021</v>
      </c>
      <c r="AF1784" s="4" t="s">
        <v>2738</v>
      </c>
      <c r="AG1784" s="2">
        <f t="shared" si="313"/>
        <v>0</v>
      </c>
      <c r="AH1784" t="s">
        <v>2739</v>
      </c>
      <c r="AI1784" s="2">
        <f t="shared" si="314"/>
        <v>1</v>
      </c>
      <c r="AJ1784" s="2">
        <f t="shared" si="315"/>
        <v>0</v>
      </c>
      <c r="AK1784" s="3">
        <v>409.99999999534339</v>
      </c>
      <c r="AM1784" s="2">
        <v>1</v>
      </c>
      <c r="AN1784">
        <v>0</v>
      </c>
      <c r="AO1784">
        <v>2</v>
      </c>
      <c r="AP1784">
        <v>0</v>
      </c>
      <c r="AQ1784" s="2">
        <f>IF((2*G1784 + M1784 -P1784 + 3*W1784 + 2*Z1784+2*AD1784 + AG1784+2*AJ1784 + 4*AM1784) &gt;=8,1,0)</f>
        <v>1</v>
      </c>
    </row>
    <row r="1785" spans="1:43" x14ac:dyDescent="0.25">
      <c r="A1785" t="s">
        <v>27</v>
      </c>
      <c r="B1785" s="1">
        <v>44946</v>
      </c>
      <c r="C1785" s="7">
        <f t="shared" si="307"/>
        <v>2023</v>
      </c>
      <c r="D1785">
        <v>65.099999999999994</v>
      </c>
      <c r="E1785">
        <v>48.4</v>
      </c>
      <c r="F1785">
        <v>55.9</v>
      </c>
      <c r="G1785" s="2">
        <f t="shared" si="306"/>
        <v>0</v>
      </c>
      <c r="H1785">
        <v>65.099999999999994</v>
      </c>
      <c r="I1785">
        <v>47.8</v>
      </c>
      <c r="J1785">
        <v>55.8</v>
      </c>
      <c r="K1785">
        <v>44.4</v>
      </c>
      <c r="L1785">
        <v>66.400000000000006</v>
      </c>
      <c r="M1785" s="2">
        <f t="shared" si="308"/>
        <v>0</v>
      </c>
      <c r="N1785">
        <v>0.29099999999999998</v>
      </c>
      <c r="P1785" s="2">
        <f t="shared" si="309"/>
        <v>0</v>
      </c>
      <c r="Q1785">
        <v>100</v>
      </c>
      <c r="R1785">
        <v>12.5</v>
      </c>
      <c r="S1785" t="s">
        <v>87</v>
      </c>
      <c r="T1785">
        <v>0</v>
      </c>
      <c r="U1785">
        <v>0</v>
      </c>
      <c r="V1785">
        <v>41.8</v>
      </c>
      <c r="W1785" s="2">
        <f t="shared" si="310"/>
        <v>1</v>
      </c>
      <c r="X1785">
        <v>21.1</v>
      </c>
      <c r="Z1785" s="2">
        <f t="shared" si="311"/>
        <v>1</v>
      </c>
      <c r="AA1785">
        <v>197</v>
      </c>
      <c r="AB1785" s="2" t="str">
        <f>CHOOSE(MATCH(AA1785,{0;11;80;111;161;191;241;281;341},1),"North","NorthEast","East","SouthEast","South","SouthWest","West","NorthWest","North")</f>
        <v>SouthWest</v>
      </c>
      <c r="AC1785" s="5">
        <f>CHOOSE(MATCH(AB1785,{"South";"SouthEast";"SouthWest";"North";"NorthEast";"East";"West";"NorthWest"},0),1,2,3,4,5,6,7,8)</f>
        <v>3</v>
      </c>
      <c r="AD1785" s="2">
        <f t="shared" si="312"/>
        <v>1</v>
      </c>
      <c r="AE1785">
        <v>1010.4</v>
      </c>
      <c r="AF1785" s="4" t="s">
        <v>2740</v>
      </c>
      <c r="AG1785" s="2">
        <f t="shared" si="313"/>
        <v>0</v>
      </c>
      <c r="AH1785" t="s">
        <v>2741</v>
      </c>
      <c r="AI1785" s="2">
        <f t="shared" si="314"/>
        <v>1</v>
      </c>
      <c r="AJ1785" s="2">
        <f t="shared" si="315"/>
        <v>0</v>
      </c>
      <c r="AK1785" s="3">
        <v>80.999999991618097</v>
      </c>
      <c r="AM1785" s="2">
        <v>0</v>
      </c>
      <c r="AN1785">
        <v>0</v>
      </c>
      <c r="AO1785">
        <v>0.02</v>
      </c>
      <c r="AP1785">
        <v>0</v>
      </c>
      <c r="AQ1785" s="2">
        <f>IF((2*G1785 + M1785 -P1785 + 3*W1785 + 2*Z1785+2*AD1785 + AG1785+2*AJ1785 + 4*AM1785) &gt;=8,1,0)</f>
        <v>0</v>
      </c>
    </row>
    <row r="1786" spans="1:43" x14ac:dyDescent="0.25">
      <c r="A1786" t="s">
        <v>27</v>
      </c>
      <c r="B1786" s="1">
        <v>44985</v>
      </c>
      <c r="C1786" s="7">
        <f t="shared" si="307"/>
        <v>2023</v>
      </c>
      <c r="D1786">
        <v>66.599999999999994</v>
      </c>
      <c r="E1786">
        <v>55.2</v>
      </c>
      <c r="F1786">
        <v>59.7</v>
      </c>
      <c r="G1786" s="2">
        <f t="shared" si="306"/>
        <v>0</v>
      </c>
      <c r="H1786">
        <v>66.599999999999994</v>
      </c>
      <c r="I1786">
        <v>55.2</v>
      </c>
      <c r="J1786">
        <v>59.7</v>
      </c>
      <c r="K1786">
        <v>52.5</v>
      </c>
      <c r="L1786">
        <v>77.8</v>
      </c>
      <c r="M1786" s="2">
        <f t="shared" si="308"/>
        <v>0</v>
      </c>
      <c r="N1786">
        <v>3.0000000000000001E-3</v>
      </c>
      <c r="P1786" s="2">
        <f t="shared" si="309"/>
        <v>1</v>
      </c>
      <c r="Q1786">
        <v>100</v>
      </c>
      <c r="R1786">
        <v>8.33</v>
      </c>
      <c r="S1786" t="s">
        <v>87</v>
      </c>
      <c r="T1786">
        <v>0</v>
      </c>
      <c r="U1786">
        <v>0</v>
      </c>
      <c r="V1786">
        <v>24.5</v>
      </c>
      <c r="W1786" s="2">
        <f t="shared" si="310"/>
        <v>1</v>
      </c>
      <c r="X1786">
        <v>11.6</v>
      </c>
      <c r="Z1786" s="2">
        <f t="shared" si="311"/>
        <v>0</v>
      </c>
      <c r="AA1786">
        <v>12.9</v>
      </c>
      <c r="AB1786" s="2" t="str">
        <f>CHOOSE(MATCH(AA1786,{0;11;80;111;161;191;241;281;341},1),"North","NorthEast","East","SouthEast","South","SouthWest","West","NorthWest","North")</f>
        <v>NorthEast</v>
      </c>
      <c r="AC1786" s="5">
        <f>CHOOSE(MATCH(AB1786,{"South";"SouthEast";"SouthWest";"North";"NorthEast";"East";"West";"NorthWest"},0),1,2,3,4,5,6,7,8)</f>
        <v>5</v>
      </c>
      <c r="AD1786" s="2">
        <f t="shared" si="312"/>
        <v>1</v>
      </c>
      <c r="AE1786">
        <v>1018</v>
      </c>
      <c r="AF1786" s="4" t="s">
        <v>1847</v>
      </c>
      <c r="AG1786" s="2">
        <f t="shared" si="313"/>
        <v>1</v>
      </c>
      <c r="AH1786" t="s">
        <v>2742</v>
      </c>
      <c r="AI1786" s="2">
        <f t="shared" si="314"/>
        <v>2</v>
      </c>
      <c r="AJ1786" s="2">
        <f t="shared" si="315"/>
        <v>0</v>
      </c>
      <c r="AK1786" s="3">
        <v>75.00000000349246</v>
      </c>
      <c r="AM1786" s="2">
        <v>0</v>
      </c>
      <c r="AN1786">
        <v>0</v>
      </c>
      <c r="AO1786">
        <v>0.1</v>
      </c>
      <c r="AP1786">
        <v>0</v>
      </c>
      <c r="AQ1786" s="2">
        <f>IF((2*G1786 + M1786 -P1786 + 3*W1786 + 2*Z1786+2*AD1786 + AG1786+2*AJ1786 + 4*AM1786) &gt;=8,1,0)</f>
        <v>0</v>
      </c>
    </row>
    <row r="1787" spans="1:43" x14ac:dyDescent="0.25">
      <c r="A1787" t="s">
        <v>27</v>
      </c>
      <c r="B1787" s="1">
        <v>44986</v>
      </c>
      <c r="C1787" s="7">
        <f t="shared" si="307"/>
        <v>2023</v>
      </c>
      <c r="D1787">
        <v>64.7</v>
      </c>
      <c r="E1787">
        <v>51.4</v>
      </c>
      <c r="F1787">
        <v>56.7</v>
      </c>
      <c r="G1787" s="2">
        <f t="shared" si="306"/>
        <v>0</v>
      </c>
      <c r="H1787">
        <v>64.7</v>
      </c>
      <c r="I1787">
        <v>51.4</v>
      </c>
      <c r="J1787">
        <v>56.7</v>
      </c>
      <c r="K1787">
        <v>48.7</v>
      </c>
      <c r="L1787">
        <v>75.099999999999994</v>
      </c>
      <c r="M1787" s="2">
        <f t="shared" si="308"/>
        <v>0</v>
      </c>
      <c r="N1787">
        <v>0</v>
      </c>
      <c r="P1787" s="2">
        <f t="shared" si="309"/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21.3</v>
      </c>
      <c r="W1787" s="2">
        <f t="shared" si="310"/>
        <v>1</v>
      </c>
      <c r="X1787">
        <v>13.3</v>
      </c>
      <c r="Z1787" s="2">
        <f t="shared" si="311"/>
        <v>0</v>
      </c>
      <c r="AA1787">
        <v>359.2</v>
      </c>
      <c r="AB1787" s="2" t="str">
        <f>CHOOSE(MATCH(AA1787,{0;11;80;111;161;191;241;281;341},1),"North","NorthEast","East","SouthEast","South","SouthWest","West","NorthWest","North")</f>
        <v>North</v>
      </c>
      <c r="AC1787" s="5">
        <f>CHOOSE(MATCH(AB1787,{"South";"SouthEast";"SouthWest";"North";"NorthEast";"East";"West";"NorthWest"},0),1,2,3,4,5,6,7,8)</f>
        <v>4</v>
      </c>
      <c r="AD1787" s="2">
        <f t="shared" si="312"/>
        <v>1</v>
      </c>
      <c r="AE1787">
        <v>1016.9</v>
      </c>
      <c r="AF1787" s="4" t="s">
        <v>2743</v>
      </c>
      <c r="AG1787" s="2">
        <f t="shared" si="313"/>
        <v>0</v>
      </c>
      <c r="AH1787" t="s">
        <v>2744</v>
      </c>
      <c r="AI1787" s="2">
        <f t="shared" si="314"/>
        <v>3</v>
      </c>
      <c r="AJ1787" s="2">
        <f t="shared" si="315"/>
        <v>0</v>
      </c>
      <c r="AK1787" s="3">
        <v>53.000000005122267</v>
      </c>
      <c r="AM1787" s="2">
        <v>0</v>
      </c>
      <c r="AN1787">
        <v>0</v>
      </c>
      <c r="AO1787">
        <v>0.1</v>
      </c>
      <c r="AP1787">
        <v>0</v>
      </c>
      <c r="AQ1787" s="2">
        <f>IF((2*G1787 + M1787 -P1787 + 3*W1787 + 2*Z1787+2*AD1787 + AG1787+2*AJ1787 + 4*AM1787) &gt;=8,1,0)</f>
        <v>0</v>
      </c>
    </row>
    <row r="1788" spans="1:43" x14ac:dyDescent="0.25">
      <c r="A1788" t="s">
        <v>27</v>
      </c>
      <c r="B1788" s="1">
        <v>44999</v>
      </c>
      <c r="C1788" s="7">
        <f t="shared" si="307"/>
        <v>2023</v>
      </c>
      <c r="D1788">
        <v>62.4</v>
      </c>
      <c r="E1788">
        <v>45.1</v>
      </c>
      <c r="F1788">
        <v>52.5</v>
      </c>
      <c r="G1788" s="2">
        <f t="shared" si="306"/>
        <v>0</v>
      </c>
      <c r="H1788">
        <v>62.4</v>
      </c>
      <c r="I1788">
        <v>42.3</v>
      </c>
      <c r="J1788">
        <v>51.6</v>
      </c>
      <c r="K1788">
        <v>37.5</v>
      </c>
      <c r="L1788">
        <v>57.9</v>
      </c>
      <c r="M1788" s="2">
        <f t="shared" si="308"/>
        <v>0</v>
      </c>
      <c r="N1788">
        <v>0</v>
      </c>
      <c r="P1788" s="2">
        <f t="shared" si="309"/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25.9</v>
      </c>
      <c r="W1788" s="2">
        <f t="shared" si="310"/>
        <v>1</v>
      </c>
      <c r="X1788">
        <v>15.2</v>
      </c>
      <c r="Z1788" s="2">
        <f t="shared" si="311"/>
        <v>0</v>
      </c>
      <c r="AA1788">
        <v>10.9</v>
      </c>
      <c r="AB1788" s="2" t="str">
        <f>CHOOSE(MATCH(AA1788,{0;11;80;111;161;191;241;281;341},1),"North","NorthEast","East","SouthEast","South","SouthWest","West","NorthWest","North")</f>
        <v>North</v>
      </c>
      <c r="AC1788" s="5">
        <f>CHOOSE(MATCH(AB1788,{"South";"SouthEast";"SouthWest";"North";"NorthEast";"East";"West";"NorthWest"},0),1,2,3,4,5,6,7,8)</f>
        <v>4</v>
      </c>
      <c r="AD1788" s="2">
        <f t="shared" si="312"/>
        <v>1</v>
      </c>
      <c r="AE1788">
        <v>1015.2</v>
      </c>
      <c r="AF1788" s="4" t="s">
        <v>2745</v>
      </c>
      <c r="AG1788" s="2">
        <f t="shared" si="313"/>
        <v>1</v>
      </c>
      <c r="AH1788" t="s">
        <v>2746</v>
      </c>
      <c r="AI1788" s="2">
        <f t="shared" si="314"/>
        <v>3</v>
      </c>
      <c r="AJ1788" s="2">
        <f t="shared" si="315"/>
        <v>0</v>
      </c>
      <c r="AK1788" s="3">
        <v>31.999999999534339</v>
      </c>
      <c r="AM1788" s="2">
        <v>0</v>
      </c>
      <c r="AN1788">
        <v>0</v>
      </c>
      <c r="AO1788">
        <v>0.2</v>
      </c>
      <c r="AP1788">
        <v>0</v>
      </c>
      <c r="AQ1788" s="2">
        <f>IF((2*G1788 + M1788 -P1788 + 3*W1788 + 2*Z1788+2*AD1788 + AG1788+2*AJ1788 + 4*AM1788) &gt;=8,1,0)</f>
        <v>0</v>
      </c>
    </row>
    <row r="1789" spans="1:43" x14ac:dyDescent="0.25">
      <c r="A1789" t="s">
        <v>27</v>
      </c>
      <c r="B1789" s="1">
        <v>45008</v>
      </c>
      <c r="C1789" s="7">
        <f t="shared" si="307"/>
        <v>2023</v>
      </c>
      <c r="D1789">
        <v>64.3</v>
      </c>
      <c r="E1789">
        <v>50.4</v>
      </c>
      <c r="F1789">
        <v>56.8</v>
      </c>
      <c r="G1789" s="2">
        <f t="shared" ref="G1789:G1851" si="316">IF(F1789&lt;=73.6,0,1)</f>
        <v>0</v>
      </c>
      <c r="H1789">
        <v>64.3</v>
      </c>
      <c r="I1789">
        <v>50.4</v>
      </c>
      <c r="J1789">
        <v>56.8</v>
      </c>
      <c r="K1789">
        <v>44.2</v>
      </c>
      <c r="L1789">
        <v>63.6</v>
      </c>
      <c r="M1789" s="2">
        <f t="shared" si="308"/>
        <v>0</v>
      </c>
      <c r="N1789">
        <v>6.0000000000000001E-3</v>
      </c>
      <c r="P1789" s="2">
        <f t="shared" si="309"/>
        <v>1</v>
      </c>
      <c r="Q1789">
        <v>100</v>
      </c>
      <c r="R1789">
        <v>4.17</v>
      </c>
      <c r="S1789" t="s">
        <v>87</v>
      </c>
      <c r="T1789">
        <v>0</v>
      </c>
      <c r="U1789">
        <v>0</v>
      </c>
      <c r="V1789">
        <v>33.1</v>
      </c>
      <c r="W1789" s="2">
        <f t="shared" ref="W1789:W1849" si="317">IF(V1789&lt;=10,0,1)</f>
        <v>1</v>
      </c>
      <c r="X1789">
        <v>15.2</v>
      </c>
      <c r="Z1789" s="2">
        <f t="shared" ref="Z1789:Z1849" si="318">IF(X1789&gt;=16,1,0)</f>
        <v>0</v>
      </c>
      <c r="AA1789">
        <v>16.100000000000001</v>
      </c>
      <c r="AB1789" s="2" t="str">
        <f>CHOOSE(MATCH(AA1789,{0;11;80;111;161;191;241;281;341},1),"North","NorthEast","East","SouthEast","South","SouthWest","West","NorthWest","North")</f>
        <v>NorthEast</v>
      </c>
      <c r="AC1789" s="5">
        <f>CHOOSE(MATCH(AB1789,{"South";"SouthEast";"SouthWest";"North";"NorthEast";"East";"West";"NorthWest"},0),1,2,3,4,5,6,7,8)</f>
        <v>5</v>
      </c>
      <c r="AD1789" s="2">
        <f t="shared" si="312"/>
        <v>1</v>
      </c>
      <c r="AE1789">
        <v>1015.4</v>
      </c>
      <c r="AF1789" s="4" t="s">
        <v>2747</v>
      </c>
      <c r="AG1789" s="2">
        <f t="shared" si="313"/>
        <v>0</v>
      </c>
      <c r="AH1789" t="s">
        <v>2748</v>
      </c>
      <c r="AI1789" s="2">
        <f t="shared" si="314"/>
        <v>3</v>
      </c>
      <c r="AJ1789" s="2">
        <f t="shared" si="315"/>
        <v>0</v>
      </c>
      <c r="AK1789" s="3">
        <v>91.999999996041879</v>
      </c>
      <c r="AM1789" s="2">
        <v>0</v>
      </c>
      <c r="AN1789">
        <v>0.4</v>
      </c>
      <c r="AO1789">
        <v>0</v>
      </c>
      <c r="AP1789">
        <v>0</v>
      </c>
      <c r="AQ1789" s="2">
        <f>IF((2*G1789 + M1789 -P1789 + 3*W1789 + 2*Z1789+2*AD1789 + AG1789+2*AJ1789 + 4*AM1789) &gt;=8,1,0)</f>
        <v>0</v>
      </c>
    </row>
    <row r="1790" spans="1:43" x14ac:dyDescent="0.25">
      <c r="A1790" t="s">
        <v>27</v>
      </c>
      <c r="B1790" s="1">
        <v>45023</v>
      </c>
      <c r="C1790" s="7">
        <f t="shared" ref="C1790:C1850" si="319">YEAR(B1790)</f>
        <v>2023</v>
      </c>
      <c r="D1790">
        <v>59.8</v>
      </c>
      <c r="E1790">
        <v>44.4</v>
      </c>
      <c r="F1790">
        <v>52.8</v>
      </c>
      <c r="G1790" s="2">
        <f t="shared" si="316"/>
        <v>0</v>
      </c>
      <c r="H1790">
        <v>59.8</v>
      </c>
      <c r="I1790">
        <v>44.4</v>
      </c>
      <c r="J1790">
        <v>52.4</v>
      </c>
      <c r="K1790">
        <v>41.8</v>
      </c>
      <c r="L1790">
        <v>67.099999999999994</v>
      </c>
      <c r="M1790" s="2">
        <f t="shared" ref="M1790:M1850" si="320">IF(L1790&lt;=49.3,1,0)</f>
        <v>0</v>
      </c>
      <c r="N1790">
        <v>4.0000000000000001E-3</v>
      </c>
      <c r="P1790" s="2">
        <f t="shared" ref="P1790:P1850" si="321">IF(N1790&lt;=0.01,1,0)</f>
        <v>1</v>
      </c>
      <c r="Q1790">
        <v>100</v>
      </c>
      <c r="R1790">
        <v>4.17</v>
      </c>
      <c r="S1790" t="s">
        <v>87</v>
      </c>
      <c r="T1790">
        <v>0</v>
      </c>
      <c r="U1790">
        <v>0</v>
      </c>
      <c r="V1790">
        <v>15.7</v>
      </c>
      <c r="W1790" s="2">
        <f t="shared" si="317"/>
        <v>1</v>
      </c>
      <c r="X1790">
        <v>8.5</v>
      </c>
      <c r="Z1790" s="2">
        <f t="shared" si="318"/>
        <v>0</v>
      </c>
      <c r="AA1790">
        <v>99.1</v>
      </c>
      <c r="AB1790" s="2" t="str">
        <f>CHOOSE(MATCH(AA1790,{0;11;80;111;161;191;241;281;341},1),"North","NorthEast","East","SouthEast","South","SouthWest","West","NorthWest","North")</f>
        <v>East</v>
      </c>
      <c r="AC1790" s="5">
        <f>CHOOSE(MATCH(AB1790,{"South";"SouthEast";"SouthWest";"North";"NorthEast";"East";"West";"NorthWest"},0),1,2,3,4,5,6,7,8)</f>
        <v>6</v>
      </c>
      <c r="AD1790" s="2">
        <f t="shared" ref="AD1790:AD1850" si="322">IF(OR(AC1790=3,AC1790=4,AC1790=5,AC1790=8),1,0)</f>
        <v>0</v>
      </c>
      <c r="AE1790">
        <v>1015</v>
      </c>
      <c r="AF1790" s="4" t="s">
        <v>2749</v>
      </c>
      <c r="AG1790" s="2">
        <f t="shared" ref="AG1790:AG1850" si="323">IF(TIMEVALUE(AF1790)&lt;=TIME(12,30,0),0,1)</f>
        <v>0</v>
      </c>
      <c r="AH1790" t="s">
        <v>2750</v>
      </c>
      <c r="AI1790" s="2">
        <f t="shared" ref="AI1790:AI1850" si="324">MONTH(AH1790)</f>
        <v>4</v>
      </c>
      <c r="AJ1790" s="2">
        <f t="shared" ref="AJ1790:AJ1850" si="325">IF(OR(AI1790=6,AI1790=7,AI1790=8),1,0)</f>
        <v>0</v>
      </c>
      <c r="AK1790" s="3">
        <v>29.000000000232831</v>
      </c>
      <c r="AM1790" s="2">
        <v>0</v>
      </c>
      <c r="AN1790">
        <v>0</v>
      </c>
      <c r="AO1790">
        <v>20</v>
      </c>
      <c r="AP1790">
        <v>0</v>
      </c>
      <c r="AQ1790" s="2">
        <f>IF((2*G1790 + M1790 -P1790 + 3*W1790 + 2*Z1790+2*AD1790 + AG1790+2*AJ1790 + 4*AM1790) &gt;=8,1,0)</f>
        <v>0</v>
      </c>
    </row>
    <row r="1791" spans="1:43" x14ac:dyDescent="0.25">
      <c r="A1791" t="s">
        <v>27</v>
      </c>
      <c r="B1791" s="1">
        <v>45024</v>
      </c>
      <c r="C1791" s="7">
        <f t="shared" si="319"/>
        <v>2023</v>
      </c>
      <c r="D1791">
        <v>62.4</v>
      </c>
      <c r="E1791">
        <v>42.6</v>
      </c>
      <c r="F1791">
        <v>53.8</v>
      </c>
      <c r="G1791" s="2">
        <f t="shared" si="316"/>
        <v>0</v>
      </c>
      <c r="H1791">
        <v>62.4</v>
      </c>
      <c r="I1791">
        <v>42.6</v>
      </c>
      <c r="J1791">
        <v>53.8</v>
      </c>
      <c r="K1791">
        <v>44.1</v>
      </c>
      <c r="L1791">
        <v>71.400000000000006</v>
      </c>
      <c r="M1791" s="2">
        <f t="shared" si="320"/>
        <v>0</v>
      </c>
      <c r="N1791">
        <v>0</v>
      </c>
      <c r="P1791" s="2">
        <f t="shared" si="321"/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17.7</v>
      </c>
      <c r="W1791" s="2">
        <f t="shared" si="317"/>
        <v>1</v>
      </c>
      <c r="X1791">
        <v>7.9</v>
      </c>
      <c r="Z1791" s="2">
        <f t="shared" si="318"/>
        <v>0</v>
      </c>
      <c r="AA1791">
        <v>119.6</v>
      </c>
      <c r="AB1791" s="2" t="str">
        <f>CHOOSE(MATCH(AA1791,{0;11;80;111;161;191;241;281;341},1),"North","NorthEast","East","SouthEast","South","SouthWest","West","NorthWest","North")</f>
        <v>SouthEast</v>
      </c>
      <c r="AC1791" s="5">
        <f>CHOOSE(MATCH(AB1791,{"South";"SouthEast";"SouthWest";"North";"NorthEast";"East";"West";"NorthWest"},0),1,2,3,4,5,6,7,8)</f>
        <v>2</v>
      </c>
      <c r="AD1791" s="2">
        <f t="shared" si="322"/>
        <v>0</v>
      </c>
      <c r="AE1791">
        <v>1017.5</v>
      </c>
      <c r="AF1791" s="4" t="s">
        <v>1929</v>
      </c>
      <c r="AG1791" s="2">
        <f t="shared" si="323"/>
        <v>1</v>
      </c>
      <c r="AH1791" t="s">
        <v>2751</v>
      </c>
      <c r="AI1791" s="2">
        <f t="shared" si="324"/>
        <v>4</v>
      </c>
      <c r="AJ1791" s="2">
        <f t="shared" si="325"/>
        <v>0</v>
      </c>
      <c r="AK1791" s="3">
        <v>76.999999999534339</v>
      </c>
      <c r="AM1791" s="2">
        <v>0</v>
      </c>
      <c r="AN1791">
        <v>0</v>
      </c>
      <c r="AO1791">
        <v>0.1</v>
      </c>
      <c r="AP1791">
        <v>0</v>
      </c>
      <c r="AQ1791" s="2">
        <f>IF((2*G1791 + M1791 -P1791 + 3*W1791 + 2*Z1791+2*AD1791 + AG1791+2*AJ1791 + 4*AM1791) &gt;=8,1,0)</f>
        <v>0</v>
      </c>
    </row>
    <row r="1792" spans="1:43" x14ac:dyDescent="0.25">
      <c r="A1792" t="s">
        <v>27</v>
      </c>
      <c r="B1792" s="1">
        <v>45032</v>
      </c>
      <c r="C1792" s="7">
        <f t="shared" si="319"/>
        <v>2023</v>
      </c>
      <c r="D1792">
        <v>67.7</v>
      </c>
      <c r="E1792">
        <v>55.2</v>
      </c>
      <c r="F1792">
        <v>61.5</v>
      </c>
      <c r="G1792" s="2">
        <f t="shared" si="316"/>
        <v>0</v>
      </c>
      <c r="H1792">
        <v>67.7</v>
      </c>
      <c r="I1792">
        <v>55.2</v>
      </c>
      <c r="J1792">
        <v>61.5</v>
      </c>
      <c r="K1792">
        <v>46.9</v>
      </c>
      <c r="L1792">
        <v>60.1</v>
      </c>
      <c r="M1792" s="2">
        <f t="shared" si="320"/>
        <v>0</v>
      </c>
      <c r="N1792">
        <v>0</v>
      </c>
      <c r="P1792" s="2">
        <f t="shared" si="321"/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24.4</v>
      </c>
      <c r="W1792" s="2">
        <f t="shared" si="317"/>
        <v>1</v>
      </c>
      <c r="X1792">
        <v>10.8</v>
      </c>
      <c r="Z1792" s="2">
        <f t="shared" si="318"/>
        <v>0</v>
      </c>
      <c r="AA1792">
        <v>206.5</v>
      </c>
      <c r="AB1792" s="2" t="str">
        <f>CHOOSE(MATCH(AA1792,{0;11;80;111;161;191;241;281;341},1),"North","NorthEast","East","SouthEast","South","SouthWest","West","NorthWest","North")</f>
        <v>SouthWest</v>
      </c>
      <c r="AC1792" s="5">
        <f>CHOOSE(MATCH(AB1792,{"South";"SouthEast";"SouthWest";"North";"NorthEast";"East";"West";"NorthWest"},0),1,2,3,4,5,6,7,8)</f>
        <v>3</v>
      </c>
      <c r="AD1792" s="2">
        <f t="shared" si="322"/>
        <v>1</v>
      </c>
      <c r="AE1792">
        <v>1010.4</v>
      </c>
      <c r="AF1792" s="4" t="s">
        <v>1066</v>
      </c>
      <c r="AG1792" s="2">
        <f t="shared" si="323"/>
        <v>0</v>
      </c>
      <c r="AH1792" t="s">
        <v>2752</v>
      </c>
      <c r="AI1792" s="2">
        <f t="shared" si="324"/>
        <v>4</v>
      </c>
      <c r="AJ1792" s="2">
        <f t="shared" si="325"/>
        <v>0</v>
      </c>
      <c r="AK1792" s="3">
        <v>114.99999999767169</v>
      </c>
      <c r="AM1792" s="2">
        <v>0</v>
      </c>
      <c r="AN1792">
        <v>0</v>
      </c>
      <c r="AO1792">
        <v>1.5</v>
      </c>
      <c r="AP1792">
        <v>0</v>
      </c>
      <c r="AQ1792" s="2">
        <f>IF((2*G1792 + M1792 -P1792 + 3*W1792 + 2*Z1792+2*AD1792 + AG1792+2*AJ1792 + 4*AM1792) &gt;=8,1,0)</f>
        <v>0</v>
      </c>
    </row>
    <row r="1793" spans="1:43" x14ac:dyDescent="0.25">
      <c r="A1793" t="s">
        <v>27</v>
      </c>
      <c r="B1793" s="1">
        <v>45032</v>
      </c>
      <c r="C1793" s="7">
        <f t="shared" si="319"/>
        <v>2023</v>
      </c>
      <c r="D1793">
        <v>67.7</v>
      </c>
      <c r="E1793">
        <v>55.2</v>
      </c>
      <c r="F1793">
        <v>61.5</v>
      </c>
      <c r="G1793" s="2">
        <f t="shared" si="316"/>
        <v>0</v>
      </c>
      <c r="H1793">
        <v>67.7</v>
      </c>
      <c r="I1793">
        <v>55.2</v>
      </c>
      <c r="J1793">
        <v>61.5</v>
      </c>
      <c r="K1793">
        <v>46.9</v>
      </c>
      <c r="L1793">
        <v>60.1</v>
      </c>
      <c r="M1793" s="2">
        <f t="shared" si="320"/>
        <v>0</v>
      </c>
      <c r="N1793">
        <v>0</v>
      </c>
      <c r="P1793" s="2">
        <f t="shared" si="321"/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24.4</v>
      </c>
      <c r="W1793" s="2">
        <f t="shared" si="317"/>
        <v>1</v>
      </c>
      <c r="X1793">
        <v>10.8</v>
      </c>
      <c r="Z1793" s="2">
        <f t="shared" si="318"/>
        <v>0</v>
      </c>
      <c r="AA1793">
        <v>206.5</v>
      </c>
      <c r="AB1793" s="2" t="str">
        <f>CHOOSE(MATCH(AA1793,{0;11;80;111;161;191;241;281;341},1),"North","NorthEast","East","SouthEast","South","SouthWest","West","NorthWest","North")</f>
        <v>SouthWest</v>
      </c>
      <c r="AC1793" s="5">
        <f>CHOOSE(MATCH(AB1793,{"South";"SouthEast";"SouthWest";"North";"NorthEast";"East";"West";"NorthWest"},0),1,2,3,4,5,6,7,8)</f>
        <v>3</v>
      </c>
      <c r="AD1793" s="2">
        <f t="shared" si="322"/>
        <v>1</v>
      </c>
      <c r="AE1793">
        <v>1010.4</v>
      </c>
      <c r="AF1793" s="4" t="s">
        <v>2753</v>
      </c>
      <c r="AG1793" s="2">
        <f t="shared" si="323"/>
        <v>0</v>
      </c>
      <c r="AH1793" t="s">
        <v>2754</v>
      </c>
      <c r="AI1793" s="2">
        <f t="shared" si="324"/>
        <v>4</v>
      </c>
      <c r="AJ1793" s="2">
        <f t="shared" si="325"/>
        <v>0</v>
      </c>
      <c r="AK1793" s="3">
        <v>254.99999999301511</v>
      </c>
      <c r="AM1793" s="2">
        <v>0</v>
      </c>
      <c r="AN1793">
        <v>0</v>
      </c>
      <c r="AO1793">
        <v>0.03</v>
      </c>
      <c r="AP1793">
        <v>0</v>
      </c>
      <c r="AQ1793" s="2">
        <f>IF((2*G1793 + M1793 -P1793 + 3*W1793 + 2*Z1793+2*AD1793 + AG1793+2*AJ1793 + 4*AM1793) &gt;=8,1,0)</f>
        <v>0</v>
      </c>
    </row>
    <row r="1794" spans="1:43" x14ac:dyDescent="0.25">
      <c r="A1794" t="s">
        <v>27</v>
      </c>
      <c r="B1794" s="1">
        <v>45035</v>
      </c>
      <c r="C1794" s="7">
        <f t="shared" si="319"/>
        <v>2023</v>
      </c>
      <c r="D1794">
        <v>66.099999999999994</v>
      </c>
      <c r="E1794">
        <v>48.2</v>
      </c>
      <c r="F1794">
        <v>58.2</v>
      </c>
      <c r="G1794" s="2">
        <f t="shared" si="316"/>
        <v>0</v>
      </c>
      <c r="H1794">
        <v>66.099999999999994</v>
      </c>
      <c r="I1794">
        <v>47.3</v>
      </c>
      <c r="J1794">
        <v>58.2</v>
      </c>
      <c r="K1794">
        <v>48.2</v>
      </c>
      <c r="L1794">
        <v>70.099999999999994</v>
      </c>
      <c r="M1794" s="2">
        <f t="shared" si="320"/>
        <v>0</v>
      </c>
      <c r="N1794">
        <v>0.161</v>
      </c>
      <c r="P1794" s="2">
        <f t="shared" si="321"/>
        <v>0</v>
      </c>
      <c r="Q1794">
        <v>100</v>
      </c>
      <c r="R1794">
        <v>8.33</v>
      </c>
      <c r="S1794" t="s">
        <v>87</v>
      </c>
      <c r="T1794">
        <v>0</v>
      </c>
      <c r="U1794">
        <v>0</v>
      </c>
      <c r="V1794">
        <v>19.5</v>
      </c>
      <c r="W1794" s="2">
        <f t="shared" si="317"/>
        <v>1</v>
      </c>
      <c r="X1794">
        <v>9.9</v>
      </c>
      <c r="Z1794" s="2">
        <f t="shared" si="318"/>
        <v>0</v>
      </c>
      <c r="AA1794">
        <v>7.8</v>
      </c>
      <c r="AB1794" s="2" t="str">
        <f>CHOOSE(MATCH(AA1794,{0;11;80;111;161;191;241;281;341},1),"North","NorthEast","East","SouthEast","South","SouthWest","West","NorthWest","North")</f>
        <v>North</v>
      </c>
      <c r="AC1794" s="5">
        <f>CHOOSE(MATCH(AB1794,{"South";"SouthEast";"SouthWest";"North";"NorthEast";"East";"West";"NorthWest"},0),1,2,3,4,5,6,7,8)</f>
        <v>4</v>
      </c>
      <c r="AD1794" s="2">
        <f t="shared" si="322"/>
        <v>1</v>
      </c>
      <c r="AE1794">
        <v>1011.3</v>
      </c>
      <c r="AF1794" s="4" t="s">
        <v>2561</v>
      </c>
      <c r="AG1794" s="2">
        <f t="shared" si="323"/>
        <v>1</v>
      </c>
      <c r="AH1794" t="s">
        <v>2755</v>
      </c>
      <c r="AI1794" s="2">
        <f t="shared" si="324"/>
        <v>4</v>
      </c>
      <c r="AJ1794" s="2">
        <f t="shared" si="325"/>
        <v>0</v>
      </c>
      <c r="AK1794" s="3">
        <v>1183.9999999932479</v>
      </c>
      <c r="AM1794" s="2">
        <v>1</v>
      </c>
      <c r="AN1794">
        <v>0</v>
      </c>
      <c r="AO1794">
        <v>17</v>
      </c>
      <c r="AP1794">
        <v>0</v>
      </c>
      <c r="AQ1794" s="2">
        <f>IF((2*G1794 + M1794 -P1794 + 3*W1794 + 2*Z1794+2*AD1794 + AG1794+2*AJ1794 + 4*AM1794) &gt;=8,1,0)</f>
        <v>1</v>
      </c>
    </row>
    <row r="1795" spans="1:43" x14ac:dyDescent="0.25">
      <c r="A1795" t="s">
        <v>27</v>
      </c>
      <c r="B1795" s="1">
        <v>45043</v>
      </c>
      <c r="C1795" s="7">
        <f t="shared" si="319"/>
        <v>2023</v>
      </c>
      <c r="D1795">
        <v>66</v>
      </c>
      <c r="E1795">
        <v>54.3</v>
      </c>
      <c r="F1795">
        <v>60.3</v>
      </c>
      <c r="G1795" s="2">
        <f t="shared" si="316"/>
        <v>0</v>
      </c>
      <c r="H1795">
        <v>66</v>
      </c>
      <c r="I1795">
        <v>54.3</v>
      </c>
      <c r="J1795">
        <v>60.3</v>
      </c>
      <c r="K1795">
        <v>40.799999999999997</v>
      </c>
      <c r="L1795">
        <v>49.8</v>
      </c>
      <c r="M1795" s="2">
        <f t="shared" si="320"/>
        <v>0</v>
      </c>
      <c r="N1795">
        <v>0</v>
      </c>
      <c r="P1795" s="2">
        <f t="shared" si="321"/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30.3</v>
      </c>
      <c r="W1795" s="2">
        <f t="shared" si="317"/>
        <v>1</v>
      </c>
      <c r="X1795">
        <v>16.899999999999999</v>
      </c>
      <c r="Z1795" s="2">
        <f t="shared" si="318"/>
        <v>1</v>
      </c>
      <c r="AA1795">
        <v>355.2</v>
      </c>
      <c r="AB1795" s="2" t="str">
        <f>CHOOSE(MATCH(AA1795,{0;11;80;111;161;191;241;281;341},1),"North","NorthEast","East","SouthEast","South","SouthWest","West","NorthWest","North")</f>
        <v>North</v>
      </c>
      <c r="AC1795" s="5">
        <f>CHOOSE(MATCH(AB1795,{"South";"SouthEast";"SouthWest";"North";"NorthEast";"East";"West";"NorthWest"},0),1,2,3,4,5,6,7,8)</f>
        <v>4</v>
      </c>
      <c r="AD1795" s="2">
        <f t="shared" si="322"/>
        <v>1</v>
      </c>
      <c r="AE1795">
        <v>1012</v>
      </c>
      <c r="AF1795" s="4" t="s">
        <v>2138</v>
      </c>
      <c r="AG1795" s="2">
        <f t="shared" si="323"/>
        <v>1</v>
      </c>
      <c r="AH1795" t="s">
        <v>2756</v>
      </c>
      <c r="AI1795" s="2">
        <f t="shared" si="324"/>
        <v>4</v>
      </c>
      <c r="AJ1795" s="2">
        <f t="shared" si="325"/>
        <v>0</v>
      </c>
      <c r="AK1795" s="3">
        <v>5684.0000000037253</v>
      </c>
      <c r="AM1795" s="2">
        <v>1</v>
      </c>
      <c r="AN1795">
        <v>300</v>
      </c>
      <c r="AO1795">
        <v>0</v>
      </c>
      <c r="AP1795">
        <v>0</v>
      </c>
      <c r="AQ1795" s="2">
        <f>IF((2*G1795 + M1795 -P1795 + 3*W1795 + 2*Z1795+2*AD1795 + AG1795+2*AJ1795 + 4*AM1795) &gt;=8,1,0)</f>
        <v>1</v>
      </c>
    </row>
    <row r="1796" spans="1:43" x14ac:dyDescent="0.25">
      <c r="A1796" t="s">
        <v>27</v>
      </c>
      <c r="B1796" s="1">
        <v>45078</v>
      </c>
      <c r="C1796" s="7">
        <f t="shared" si="319"/>
        <v>2023</v>
      </c>
      <c r="D1796">
        <v>83.4</v>
      </c>
      <c r="E1796">
        <v>62.9</v>
      </c>
      <c r="F1796">
        <v>72.400000000000006</v>
      </c>
      <c r="G1796" s="2">
        <f t="shared" si="316"/>
        <v>0</v>
      </c>
      <c r="H1796">
        <v>81.3</v>
      </c>
      <c r="I1796">
        <v>62.9</v>
      </c>
      <c r="J1796">
        <v>72.099999999999994</v>
      </c>
      <c r="K1796">
        <v>52.7</v>
      </c>
      <c r="L1796">
        <v>54.2</v>
      </c>
      <c r="M1796" s="2">
        <f t="shared" si="320"/>
        <v>0</v>
      </c>
      <c r="N1796">
        <v>5.8999999999999997E-2</v>
      </c>
      <c r="P1796" s="2">
        <f t="shared" si="321"/>
        <v>0</v>
      </c>
      <c r="Q1796">
        <v>100</v>
      </c>
      <c r="R1796">
        <v>4.17</v>
      </c>
      <c r="S1796" t="s">
        <v>87</v>
      </c>
      <c r="T1796">
        <v>0</v>
      </c>
      <c r="U1796">
        <v>0</v>
      </c>
      <c r="V1796">
        <v>27.4</v>
      </c>
      <c r="W1796" s="2">
        <f t="shared" si="317"/>
        <v>1</v>
      </c>
      <c r="X1796">
        <v>17.100000000000001</v>
      </c>
      <c r="Z1796" s="2">
        <f t="shared" si="318"/>
        <v>1</v>
      </c>
      <c r="AA1796">
        <v>11.2</v>
      </c>
      <c r="AB1796" s="2" t="str">
        <f>CHOOSE(MATCH(AA1796,{0;11;80;111;161;191;241;281;341},1),"North","NorthEast","East","SouthEast","South","SouthWest","West","NorthWest","North")</f>
        <v>NorthEast</v>
      </c>
      <c r="AC1796" s="5">
        <f>CHOOSE(MATCH(AB1796,{"South";"SouthEast";"SouthWest";"North";"NorthEast";"East";"West";"NorthWest"},0),1,2,3,4,5,6,7,8)</f>
        <v>5</v>
      </c>
      <c r="AD1796" s="2">
        <f t="shared" si="322"/>
        <v>1</v>
      </c>
      <c r="AE1796">
        <v>1013.3</v>
      </c>
      <c r="AF1796" s="4" t="s">
        <v>1929</v>
      </c>
      <c r="AG1796" s="2">
        <f t="shared" si="323"/>
        <v>1</v>
      </c>
      <c r="AH1796" t="s">
        <v>2757</v>
      </c>
      <c r="AI1796" s="2">
        <f t="shared" si="324"/>
        <v>6</v>
      </c>
      <c r="AJ1796" s="2">
        <f t="shared" si="325"/>
        <v>1</v>
      </c>
      <c r="AK1796" s="3">
        <v>229.99999999534339</v>
      </c>
      <c r="AM1796" s="2">
        <v>0</v>
      </c>
      <c r="AN1796">
        <v>5</v>
      </c>
      <c r="AO1796">
        <v>0</v>
      </c>
      <c r="AP1796">
        <v>0</v>
      </c>
      <c r="AQ1796" s="2">
        <f>IF((2*G1796 + M1796 -P1796 + 3*W1796 + 2*Z1796+2*AD1796 + AG1796+2*AJ1796 + 4*AM1796) &gt;=8,1,0)</f>
        <v>1</v>
      </c>
    </row>
    <row r="1797" spans="1:43" x14ac:dyDescent="0.25">
      <c r="A1797" t="s">
        <v>27</v>
      </c>
      <c r="B1797" s="1">
        <v>45092</v>
      </c>
      <c r="C1797" s="7">
        <f t="shared" si="319"/>
        <v>2023</v>
      </c>
      <c r="D1797">
        <v>84</v>
      </c>
      <c r="E1797">
        <v>63.2</v>
      </c>
      <c r="F1797">
        <v>74</v>
      </c>
      <c r="G1797" s="2">
        <f t="shared" si="316"/>
        <v>1</v>
      </c>
      <c r="H1797">
        <v>82.8</v>
      </c>
      <c r="I1797">
        <v>63.2</v>
      </c>
      <c r="J1797">
        <v>73.8</v>
      </c>
      <c r="K1797">
        <v>56.6</v>
      </c>
      <c r="L1797">
        <v>56.8</v>
      </c>
      <c r="M1797" s="2">
        <f t="shared" si="320"/>
        <v>0</v>
      </c>
      <c r="N1797">
        <v>0</v>
      </c>
      <c r="P1797" s="2">
        <f t="shared" si="321"/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25.5</v>
      </c>
      <c r="W1797" s="2">
        <f t="shared" si="317"/>
        <v>1</v>
      </c>
      <c r="X1797">
        <v>14.5</v>
      </c>
      <c r="Z1797" s="2">
        <f t="shared" si="318"/>
        <v>0</v>
      </c>
      <c r="AA1797">
        <v>108.7</v>
      </c>
      <c r="AB1797" s="2" t="str">
        <f>CHOOSE(MATCH(AA1797,{0;11;80;111;161;191;241;281;341},1),"North","NorthEast","East","SouthEast","South","SouthWest","West","NorthWest","North")</f>
        <v>East</v>
      </c>
      <c r="AC1797" s="5">
        <f>CHOOSE(MATCH(AB1797,{"South";"SouthEast";"SouthWest";"North";"NorthEast";"East";"West";"NorthWest"},0),1,2,3,4,5,6,7,8)</f>
        <v>6</v>
      </c>
      <c r="AD1797" s="2">
        <f t="shared" si="322"/>
        <v>0</v>
      </c>
      <c r="AE1797">
        <v>1011.4</v>
      </c>
      <c r="AF1797" s="4" t="s">
        <v>1119</v>
      </c>
      <c r="AG1797" s="2">
        <f t="shared" si="323"/>
        <v>1</v>
      </c>
      <c r="AH1797" t="s">
        <v>2758</v>
      </c>
      <c r="AI1797" s="2">
        <f t="shared" si="324"/>
        <v>6</v>
      </c>
      <c r="AJ1797" s="2">
        <f t="shared" si="325"/>
        <v>1</v>
      </c>
      <c r="AK1797" s="3">
        <v>162.00000000419101</v>
      </c>
      <c r="AM1797" s="2">
        <v>0</v>
      </c>
      <c r="AN1797">
        <v>0.1</v>
      </c>
      <c r="AO1797">
        <v>0.1</v>
      </c>
      <c r="AP1797">
        <v>0</v>
      </c>
      <c r="AQ1797" s="2">
        <f>IF((2*G1797 + M1797 -P1797 + 3*W1797 + 2*Z1797+2*AD1797 + AG1797+2*AJ1797 + 4*AM1797) &gt;=8,1,0)</f>
        <v>0</v>
      </c>
    </row>
    <row r="1798" spans="1:43" x14ac:dyDescent="0.25">
      <c r="A1798" t="s">
        <v>27</v>
      </c>
      <c r="B1798" s="1">
        <v>45097</v>
      </c>
      <c r="C1798" s="7">
        <f t="shared" si="319"/>
        <v>2023</v>
      </c>
      <c r="D1798">
        <v>87</v>
      </c>
      <c r="E1798">
        <v>64.400000000000006</v>
      </c>
      <c r="F1798">
        <v>77</v>
      </c>
      <c r="G1798" s="2">
        <f t="shared" si="316"/>
        <v>1</v>
      </c>
      <c r="H1798">
        <v>85.6</v>
      </c>
      <c r="I1798">
        <v>64.400000000000006</v>
      </c>
      <c r="J1798">
        <v>76.5</v>
      </c>
      <c r="K1798">
        <v>58.4</v>
      </c>
      <c r="L1798">
        <v>55.7</v>
      </c>
      <c r="M1798" s="2">
        <f t="shared" si="320"/>
        <v>0</v>
      </c>
      <c r="N1798">
        <v>0</v>
      </c>
      <c r="P1798" s="2">
        <f t="shared" si="321"/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17.8</v>
      </c>
      <c r="W1798" s="2">
        <f t="shared" si="317"/>
        <v>1</v>
      </c>
      <c r="X1798">
        <v>9.3000000000000007</v>
      </c>
      <c r="Z1798" s="2">
        <f t="shared" si="318"/>
        <v>0</v>
      </c>
      <c r="AA1798">
        <v>359.6</v>
      </c>
      <c r="AB1798" s="2" t="str">
        <f>CHOOSE(MATCH(AA1798,{0;11;80;111;161;191;241;281;341},1),"North","NorthEast","East","SouthEast","South","SouthWest","West","NorthWest","North")</f>
        <v>North</v>
      </c>
      <c r="AC1798" s="5">
        <f>CHOOSE(MATCH(AB1798,{"South";"SouthEast";"SouthWest";"North";"NorthEast";"East";"West";"NorthWest"},0),1,2,3,4,5,6,7,8)</f>
        <v>4</v>
      </c>
      <c r="AD1798" s="2">
        <f t="shared" si="322"/>
        <v>1</v>
      </c>
      <c r="AE1798">
        <v>1015.2</v>
      </c>
      <c r="AF1798" s="4" t="s">
        <v>1032</v>
      </c>
      <c r="AG1798" s="2">
        <f t="shared" si="323"/>
        <v>1</v>
      </c>
      <c r="AH1798" t="s">
        <v>2759</v>
      </c>
      <c r="AI1798" s="2">
        <f t="shared" si="324"/>
        <v>6</v>
      </c>
      <c r="AJ1798" s="2">
        <f t="shared" si="325"/>
        <v>1</v>
      </c>
      <c r="AK1798" s="3">
        <v>895.99999999743886</v>
      </c>
      <c r="AM1798" s="2">
        <v>1</v>
      </c>
      <c r="AN1798">
        <v>0</v>
      </c>
      <c r="AO1798">
        <v>2</v>
      </c>
      <c r="AP1798">
        <v>0</v>
      </c>
      <c r="AQ1798" s="2">
        <f>IF((2*G1798 + M1798 -P1798 + 3*W1798 + 2*Z1798+2*AD1798 + AG1798+2*AJ1798 + 4*AM1798) &gt;=8,1,0)</f>
        <v>1</v>
      </c>
    </row>
    <row r="1799" spans="1:43" x14ac:dyDescent="0.25">
      <c r="A1799" t="s">
        <v>27</v>
      </c>
      <c r="B1799" s="1">
        <v>45099</v>
      </c>
      <c r="C1799" s="7">
        <f t="shared" si="319"/>
        <v>2023</v>
      </c>
      <c r="D1799">
        <v>91.3</v>
      </c>
      <c r="E1799">
        <v>70.2</v>
      </c>
      <c r="F1799">
        <v>81.3</v>
      </c>
      <c r="G1799" s="2">
        <f t="shared" si="316"/>
        <v>1</v>
      </c>
      <c r="H1799">
        <v>89.2</v>
      </c>
      <c r="I1799">
        <v>70.2</v>
      </c>
      <c r="J1799">
        <v>80.3</v>
      </c>
      <c r="K1799">
        <v>53.6</v>
      </c>
      <c r="L1799">
        <v>39.5</v>
      </c>
      <c r="M1799" s="2">
        <f t="shared" si="320"/>
        <v>1</v>
      </c>
      <c r="N1799">
        <v>0</v>
      </c>
      <c r="P1799" s="2">
        <f t="shared" si="321"/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30</v>
      </c>
      <c r="W1799" s="2">
        <f t="shared" si="317"/>
        <v>1</v>
      </c>
      <c r="X1799">
        <v>17.100000000000001</v>
      </c>
      <c r="Z1799" s="2">
        <f t="shared" si="318"/>
        <v>1</v>
      </c>
      <c r="AA1799">
        <v>23.5</v>
      </c>
      <c r="AB1799" s="2" t="str">
        <f>CHOOSE(MATCH(AA1799,{0;11;80;111;161;191;241;281;341},1),"North","NorthEast","East","SouthEast","South","SouthWest","West","NorthWest","North")</f>
        <v>NorthEast</v>
      </c>
      <c r="AC1799" s="5">
        <f>CHOOSE(MATCH(AB1799,{"South";"SouthEast";"SouthWest";"North";"NorthEast";"East";"West";"NorthWest"},0),1,2,3,4,5,6,7,8)</f>
        <v>5</v>
      </c>
      <c r="AD1799" s="2">
        <f t="shared" si="322"/>
        <v>1</v>
      </c>
      <c r="AE1799">
        <v>1016.6</v>
      </c>
      <c r="AF1799" s="4" t="s">
        <v>1781</v>
      </c>
      <c r="AG1799" s="2">
        <f t="shared" si="323"/>
        <v>0</v>
      </c>
      <c r="AH1799" t="s">
        <v>2760</v>
      </c>
      <c r="AI1799" s="2">
        <f t="shared" si="324"/>
        <v>6</v>
      </c>
      <c r="AJ1799" s="2">
        <f t="shared" si="325"/>
        <v>1</v>
      </c>
      <c r="AK1799" s="3">
        <v>127.0000000053551</v>
      </c>
      <c r="AM1799" s="2">
        <v>0</v>
      </c>
      <c r="AN1799">
        <v>0</v>
      </c>
      <c r="AO1799">
        <v>4</v>
      </c>
      <c r="AP1799">
        <v>0</v>
      </c>
      <c r="AQ1799" s="2">
        <f>IF((2*G1799 + M1799 -P1799 + 3*W1799 + 2*Z1799+2*AD1799 + AG1799+2*AJ1799 + 4*AM1799) &gt;=8,1,0)</f>
        <v>1</v>
      </c>
    </row>
    <row r="1800" spans="1:43" x14ac:dyDescent="0.25">
      <c r="A1800" t="s">
        <v>27</v>
      </c>
      <c r="B1800" s="1">
        <v>45103</v>
      </c>
      <c r="C1800" s="7">
        <f t="shared" si="319"/>
        <v>2023</v>
      </c>
      <c r="D1800">
        <v>88.2</v>
      </c>
      <c r="E1800">
        <v>75.099999999999994</v>
      </c>
      <c r="F1800">
        <v>81</v>
      </c>
      <c r="G1800" s="2">
        <f t="shared" si="316"/>
        <v>1</v>
      </c>
      <c r="H1800">
        <v>88</v>
      </c>
      <c r="I1800">
        <v>75.099999999999994</v>
      </c>
      <c r="J1800">
        <v>81.3</v>
      </c>
      <c r="K1800">
        <v>61.6</v>
      </c>
      <c r="L1800">
        <v>52.7</v>
      </c>
      <c r="M1800" s="2">
        <f t="shared" si="320"/>
        <v>0</v>
      </c>
      <c r="N1800">
        <v>3.7999999999999999E-2</v>
      </c>
      <c r="P1800" s="2">
        <f t="shared" si="321"/>
        <v>0</v>
      </c>
      <c r="Q1800">
        <v>100</v>
      </c>
      <c r="R1800">
        <v>4.17</v>
      </c>
      <c r="S1800" t="s">
        <v>87</v>
      </c>
      <c r="T1800">
        <v>0</v>
      </c>
      <c r="U1800">
        <v>0</v>
      </c>
      <c r="V1800">
        <v>21.7</v>
      </c>
      <c r="W1800" s="2">
        <f t="shared" si="317"/>
        <v>1</v>
      </c>
      <c r="X1800">
        <v>14.1</v>
      </c>
      <c r="Z1800" s="2">
        <f t="shared" si="318"/>
        <v>0</v>
      </c>
      <c r="AA1800">
        <v>16.600000000000001</v>
      </c>
      <c r="AB1800" s="2" t="str">
        <f>CHOOSE(MATCH(AA1800,{0;11;80;111;161;191;241;281;341},1),"North","NorthEast","East","SouthEast","South","SouthWest","West","NorthWest","North")</f>
        <v>NorthEast</v>
      </c>
      <c r="AC1800" s="5">
        <f>CHOOSE(MATCH(AB1800,{"South";"SouthEast";"SouthWest";"North";"NorthEast";"East";"West";"NorthWest"},0),1,2,3,4,5,6,7,8)</f>
        <v>5</v>
      </c>
      <c r="AD1800" s="2">
        <f t="shared" si="322"/>
        <v>1</v>
      </c>
      <c r="AE1800">
        <v>1009.2</v>
      </c>
      <c r="AF1800" s="4" t="s">
        <v>2425</v>
      </c>
      <c r="AG1800" s="2">
        <f t="shared" si="323"/>
        <v>1</v>
      </c>
      <c r="AH1800" t="s">
        <v>2761</v>
      </c>
      <c r="AI1800" s="2">
        <f t="shared" si="324"/>
        <v>6</v>
      </c>
      <c r="AJ1800" s="2">
        <f t="shared" si="325"/>
        <v>1</v>
      </c>
      <c r="AK1800" s="3">
        <v>413.00000000512227</v>
      </c>
      <c r="AM1800" s="2">
        <v>1</v>
      </c>
      <c r="AN1800">
        <v>0.1</v>
      </c>
      <c r="AO1800">
        <v>0</v>
      </c>
      <c r="AP1800">
        <v>0</v>
      </c>
      <c r="AQ1800" s="2">
        <f>IF((2*G1800 + M1800 -P1800 + 3*W1800 + 2*Z1800+2*AD1800 + AG1800+2*AJ1800 + 4*AM1800) &gt;=8,1,0)</f>
        <v>1</v>
      </c>
    </row>
    <row r="1801" spans="1:43" x14ac:dyDescent="0.25">
      <c r="A1801" t="s">
        <v>27</v>
      </c>
      <c r="B1801" s="1">
        <v>45110</v>
      </c>
      <c r="C1801" s="7">
        <f t="shared" si="319"/>
        <v>2023</v>
      </c>
      <c r="D1801">
        <v>89.5</v>
      </c>
      <c r="E1801">
        <v>71.8</v>
      </c>
      <c r="F1801">
        <v>81</v>
      </c>
      <c r="G1801" s="2">
        <f t="shared" si="316"/>
        <v>1</v>
      </c>
      <c r="H1801">
        <v>90.6</v>
      </c>
      <c r="I1801">
        <v>71.8</v>
      </c>
      <c r="J1801">
        <v>82</v>
      </c>
      <c r="K1801">
        <v>66.5</v>
      </c>
      <c r="L1801">
        <v>63.3</v>
      </c>
      <c r="M1801" s="2">
        <f t="shared" si="320"/>
        <v>0</v>
      </c>
      <c r="N1801">
        <v>0</v>
      </c>
      <c r="P1801" s="2">
        <f t="shared" si="321"/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21.5</v>
      </c>
      <c r="W1801" s="2">
        <f t="shared" si="317"/>
        <v>1</v>
      </c>
      <c r="X1801">
        <v>13.1</v>
      </c>
      <c r="Z1801" s="2">
        <f t="shared" si="318"/>
        <v>0</v>
      </c>
      <c r="AA1801">
        <v>4.0999999999999996</v>
      </c>
      <c r="AB1801" s="2" t="str">
        <f>CHOOSE(MATCH(AA1801,{0;11;80;111;161;191;241;281;341},1),"North","NorthEast","East","SouthEast","South","SouthWest","West","NorthWest","North")</f>
        <v>North</v>
      </c>
      <c r="AC1801" s="5">
        <f>CHOOSE(MATCH(AB1801,{"South";"SouthEast";"SouthWest";"North";"NorthEast";"East";"West";"NorthWest"},0),1,2,3,4,5,6,7,8)</f>
        <v>4</v>
      </c>
      <c r="AD1801" s="2">
        <f t="shared" si="322"/>
        <v>1</v>
      </c>
      <c r="AE1801">
        <v>1009.4</v>
      </c>
      <c r="AF1801" s="4" t="s">
        <v>2762</v>
      </c>
      <c r="AG1801" s="2">
        <f t="shared" si="323"/>
        <v>1</v>
      </c>
      <c r="AH1801" t="s">
        <v>2763</v>
      </c>
      <c r="AI1801" s="2">
        <f t="shared" si="324"/>
        <v>7</v>
      </c>
      <c r="AJ1801" s="2">
        <f t="shared" si="325"/>
        <v>1</v>
      </c>
      <c r="AK1801" s="3">
        <v>585.99999999278225</v>
      </c>
      <c r="AM1801" s="2">
        <v>1</v>
      </c>
      <c r="AN1801">
        <v>0</v>
      </c>
      <c r="AO1801">
        <v>3</v>
      </c>
      <c r="AP1801">
        <v>0</v>
      </c>
      <c r="AQ1801" s="2">
        <f>IF((2*G1801 + M1801 -P1801 + 3*W1801 + 2*Z1801+2*AD1801 + AG1801+2*AJ1801 + 4*AM1801) &gt;=8,1,0)</f>
        <v>1</v>
      </c>
    </row>
    <row r="1802" spans="1:43" x14ac:dyDescent="0.25">
      <c r="A1802" t="s">
        <v>27</v>
      </c>
      <c r="B1802" s="1">
        <v>45111</v>
      </c>
      <c r="C1802" s="7">
        <f t="shared" si="319"/>
        <v>2023</v>
      </c>
      <c r="D1802">
        <v>91.4</v>
      </c>
      <c r="E1802">
        <v>72.2</v>
      </c>
      <c r="F1802">
        <v>82.6</v>
      </c>
      <c r="G1802" s="2">
        <f t="shared" si="316"/>
        <v>1</v>
      </c>
      <c r="H1802">
        <v>92.6</v>
      </c>
      <c r="I1802">
        <v>72.2</v>
      </c>
      <c r="J1802">
        <v>82.6</v>
      </c>
      <c r="K1802">
        <v>61.8</v>
      </c>
      <c r="L1802">
        <v>51.8</v>
      </c>
      <c r="M1802" s="2">
        <f t="shared" si="320"/>
        <v>0</v>
      </c>
      <c r="N1802">
        <v>0</v>
      </c>
      <c r="P1802" s="2">
        <f t="shared" si="321"/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24.3</v>
      </c>
      <c r="W1802" s="2">
        <f t="shared" si="317"/>
        <v>1</v>
      </c>
      <c r="X1802">
        <v>14.7</v>
      </c>
      <c r="Z1802" s="2">
        <f t="shared" si="318"/>
        <v>0</v>
      </c>
      <c r="AA1802">
        <v>65.2</v>
      </c>
      <c r="AB1802" s="2" t="str">
        <f>CHOOSE(MATCH(AA1802,{0;11;80;111;161;191;241;281;341},1),"North","NorthEast","East","SouthEast","South","SouthWest","West","NorthWest","North")</f>
        <v>NorthEast</v>
      </c>
      <c r="AC1802" s="5">
        <f>CHOOSE(MATCH(AB1802,{"South";"SouthEast";"SouthWest";"North";"NorthEast";"East";"West";"NorthWest"},0),1,2,3,4,5,6,7,8)</f>
        <v>5</v>
      </c>
      <c r="AD1802" s="2">
        <f t="shared" si="322"/>
        <v>1</v>
      </c>
      <c r="AE1802">
        <v>1011.9</v>
      </c>
      <c r="AF1802" s="4" t="s">
        <v>2198</v>
      </c>
      <c r="AG1802" s="2">
        <f t="shared" si="323"/>
        <v>1</v>
      </c>
      <c r="AH1802" t="s">
        <v>2764</v>
      </c>
      <c r="AI1802" s="2">
        <f t="shared" si="324"/>
        <v>7</v>
      </c>
      <c r="AJ1802" s="2">
        <f t="shared" si="325"/>
        <v>1</v>
      </c>
      <c r="AK1802" s="3">
        <v>1568.000000008615</v>
      </c>
      <c r="AM1802" s="2">
        <v>1</v>
      </c>
      <c r="AN1802">
        <v>0</v>
      </c>
      <c r="AO1802">
        <v>3</v>
      </c>
      <c r="AP1802">
        <v>0</v>
      </c>
      <c r="AQ1802" s="2">
        <f>IF((2*G1802 + M1802 -P1802 + 3*W1802 + 2*Z1802+2*AD1802 + AG1802+2*AJ1802 + 4*AM1802) &gt;=8,1,0)</f>
        <v>1</v>
      </c>
    </row>
    <row r="1803" spans="1:43" x14ac:dyDescent="0.25">
      <c r="A1803" t="s">
        <v>27</v>
      </c>
      <c r="B1803" s="1">
        <v>45113</v>
      </c>
      <c r="C1803" s="7">
        <f t="shared" si="319"/>
        <v>2023</v>
      </c>
      <c r="D1803">
        <v>94.2</v>
      </c>
      <c r="E1803">
        <v>77.5</v>
      </c>
      <c r="F1803">
        <v>85.3</v>
      </c>
      <c r="G1803" s="2">
        <f t="shared" si="316"/>
        <v>1</v>
      </c>
      <c r="H1803">
        <v>93.5</v>
      </c>
      <c r="I1803">
        <v>77.5</v>
      </c>
      <c r="J1803">
        <v>84.7</v>
      </c>
      <c r="K1803">
        <v>57.8</v>
      </c>
      <c r="L1803">
        <v>40.299999999999997</v>
      </c>
      <c r="M1803" s="2">
        <f t="shared" si="320"/>
        <v>1</v>
      </c>
      <c r="N1803">
        <v>0</v>
      </c>
      <c r="P1803" s="2">
        <f t="shared" si="321"/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29.5</v>
      </c>
      <c r="W1803" s="2">
        <f t="shared" si="317"/>
        <v>1</v>
      </c>
      <c r="X1803">
        <v>16.5</v>
      </c>
      <c r="Z1803" s="2">
        <f t="shared" si="318"/>
        <v>1</v>
      </c>
      <c r="AA1803">
        <v>354.9</v>
      </c>
      <c r="AB1803" s="2" t="str">
        <f>CHOOSE(MATCH(AA1803,{0;11;80;111;161;191;241;281;341},1),"North","NorthEast","East","SouthEast","South","SouthWest","West","NorthWest","North")</f>
        <v>North</v>
      </c>
      <c r="AC1803" s="5">
        <f>CHOOSE(MATCH(AB1803,{"South";"SouthEast";"SouthWest";"North";"NorthEast";"East";"West";"NorthWest"},0),1,2,3,4,5,6,7,8)</f>
        <v>4</v>
      </c>
      <c r="AD1803" s="2">
        <f t="shared" si="322"/>
        <v>1</v>
      </c>
      <c r="AE1803">
        <v>1009.3</v>
      </c>
      <c r="AF1803" s="4" t="s">
        <v>1723</v>
      </c>
      <c r="AG1803" s="2">
        <f t="shared" si="323"/>
        <v>1</v>
      </c>
      <c r="AH1803" t="s">
        <v>2765</v>
      </c>
      <c r="AI1803" s="2">
        <f t="shared" si="324"/>
        <v>7</v>
      </c>
      <c r="AJ1803" s="2">
        <f t="shared" si="325"/>
        <v>1</v>
      </c>
      <c r="AK1803" s="3">
        <v>8896.9999999995343</v>
      </c>
      <c r="AM1803" s="2">
        <v>1</v>
      </c>
      <c r="AN1803">
        <v>0</v>
      </c>
      <c r="AO1803">
        <v>191</v>
      </c>
      <c r="AP1803">
        <v>0</v>
      </c>
      <c r="AQ1803" s="2">
        <f>IF((2*G1803 + M1803 -P1803 + 3*W1803 + 2*Z1803+2*AD1803 + AG1803+2*AJ1803 + 4*AM1803) &gt;=8,1,0)</f>
        <v>1</v>
      </c>
    </row>
    <row r="1804" spans="1:43" x14ac:dyDescent="0.25">
      <c r="A1804" t="s">
        <v>27</v>
      </c>
      <c r="B1804" s="1">
        <v>45118</v>
      </c>
      <c r="C1804" s="7">
        <f t="shared" si="319"/>
        <v>2023</v>
      </c>
      <c r="D1804">
        <v>93.1</v>
      </c>
      <c r="E1804">
        <v>66.7</v>
      </c>
      <c r="F1804">
        <v>82.2</v>
      </c>
      <c r="G1804" s="2">
        <f t="shared" si="316"/>
        <v>1</v>
      </c>
      <c r="H1804">
        <v>90.5</v>
      </c>
      <c r="I1804">
        <v>66.7</v>
      </c>
      <c r="J1804">
        <v>81.099999999999994</v>
      </c>
      <c r="K1804">
        <v>53.5</v>
      </c>
      <c r="L1804">
        <v>39</v>
      </c>
      <c r="M1804" s="2">
        <f t="shared" si="320"/>
        <v>1</v>
      </c>
      <c r="N1804">
        <v>0</v>
      </c>
      <c r="P1804" s="2">
        <f t="shared" si="321"/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18.899999999999999</v>
      </c>
      <c r="W1804" s="2">
        <f t="shared" si="317"/>
        <v>1</v>
      </c>
      <c r="X1804">
        <v>11.5</v>
      </c>
      <c r="Z1804" s="2">
        <f t="shared" si="318"/>
        <v>0</v>
      </c>
      <c r="AA1804">
        <v>355.1</v>
      </c>
      <c r="AB1804" s="2" t="str">
        <f>CHOOSE(MATCH(AA1804,{0;11;80;111;161;191;241;281;341},1),"North","NorthEast","East","SouthEast","South","SouthWest","West","NorthWest","North")</f>
        <v>North</v>
      </c>
      <c r="AC1804" s="5">
        <f>CHOOSE(MATCH(AB1804,{"South";"SouthEast";"SouthWest";"North";"NorthEast";"East";"West";"NorthWest"},0),1,2,3,4,5,6,7,8)</f>
        <v>4</v>
      </c>
      <c r="AD1804" s="2">
        <f t="shared" si="322"/>
        <v>1</v>
      </c>
      <c r="AE1804">
        <v>1017.1</v>
      </c>
      <c r="AF1804" s="4" t="s">
        <v>2766</v>
      </c>
      <c r="AG1804" s="2">
        <f t="shared" si="323"/>
        <v>1</v>
      </c>
      <c r="AH1804" t="s">
        <v>2767</v>
      </c>
      <c r="AI1804" s="2">
        <f t="shared" si="324"/>
        <v>7</v>
      </c>
      <c r="AJ1804" s="2">
        <f t="shared" si="325"/>
        <v>1</v>
      </c>
      <c r="AK1804" s="3">
        <v>223.9999999967404</v>
      </c>
      <c r="AM1804" s="2">
        <v>0</v>
      </c>
      <c r="AN1804">
        <v>0</v>
      </c>
      <c r="AO1804">
        <v>0.5</v>
      </c>
      <c r="AP1804">
        <v>0</v>
      </c>
      <c r="AQ1804" s="2">
        <f>IF((2*G1804 + M1804 -P1804 + 3*W1804 + 2*Z1804+2*AD1804 + AG1804+2*AJ1804 + 4*AM1804) &gt;=8,1,0)</f>
        <v>1</v>
      </c>
    </row>
    <row r="1805" spans="1:43" x14ac:dyDescent="0.25">
      <c r="A1805" t="s">
        <v>27</v>
      </c>
      <c r="B1805" s="1">
        <v>45124</v>
      </c>
      <c r="C1805" s="7">
        <f t="shared" si="319"/>
        <v>2023</v>
      </c>
      <c r="D1805">
        <v>96.7</v>
      </c>
      <c r="E1805">
        <v>83.1</v>
      </c>
      <c r="F1805">
        <v>89.1</v>
      </c>
      <c r="G1805" s="2">
        <f t="shared" si="316"/>
        <v>1</v>
      </c>
      <c r="H1805">
        <v>94.2</v>
      </c>
      <c r="I1805">
        <v>81.3</v>
      </c>
      <c r="J1805">
        <v>86.9</v>
      </c>
      <c r="K1805">
        <v>51.8</v>
      </c>
      <c r="L1805">
        <v>28.3</v>
      </c>
      <c r="M1805" s="2">
        <f t="shared" si="320"/>
        <v>1</v>
      </c>
      <c r="N1805">
        <v>0</v>
      </c>
      <c r="P1805" s="2">
        <f t="shared" si="321"/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40.9</v>
      </c>
      <c r="W1805" s="2">
        <f t="shared" si="317"/>
        <v>1</v>
      </c>
      <c r="X1805">
        <v>19.399999999999999</v>
      </c>
      <c r="Z1805" s="2">
        <f t="shared" si="318"/>
        <v>1</v>
      </c>
      <c r="AA1805">
        <v>1.6</v>
      </c>
      <c r="AB1805" s="2" t="str">
        <f>CHOOSE(MATCH(AA1805,{0;11;80;111;161;191;241;281;341},1),"North","NorthEast","East","SouthEast","South","SouthWest","West","NorthWest","North")</f>
        <v>North</v>
      </c>
      <c r="AC1805" s="5">
        <f>CHOOSE(MATCH(AB1805,{"South";"SouthEast";"SouthWest";"North";"NorthEast";"East";"West";"NorthWest"},0),1,2,3,4,5,6,7,8)</f>
        <v>4</v>
      </c>
      <c r="AD1805" s="2">
        <f t="shared" si="322"/>
        <v>1</v>
      </c>
      <c r="AE1805">
        <v>1013.8</v>
      </c>
      <c r="AF1805" s="4" t="s">
        <v>2768</v>
      </c>
      <c r="AG1805" s="2">
        <f t="shared" si="323"/>
        <v>0</v>
      </c>
      <c r="AH1805" t="s">
        <v>2769</v>
      </c>
      <c r="AI1805" s="2">
        <f t="shared" si="324"/>
        <v>7</v>
      </c>
      <c r="AJ1805" s="2">
        <f t="shared" si="325"/>
        <v>1</v>
      </c>
      <c r="AK1805" s="3">
        <v>7496.9999999937136</v>
      </c>
      <c r="AM1805" s="2">
        <v>1</v>
      </c>
      <c r="AN1805">
        <v>0</v>
      </c>
      <c r="AO1805">
        <v>34724</v>
      </c>
      <c r="AP1805">
        <v>0</v>
      </c>
      <c r="AQ1805" s="2">
        <f>IF((2*G1805 + M1805 -P1805 + 3*W1805 + 2*Z1805+2*AD1805 + AG1805+2*AJ1805 + 4*AM1805) &gt;=8,1,0)</f>
        <v>1</v>
      </c>
    </row>
    <row r="1806" spans="1:43" x14ac:dyDescent="0.25">
      <c r="A1806" t="s">
        <v>27</v>
      </c>
      <c r="B1806" s="1">
        <v>45132</v>
      </c>
      <c r="C1806" s="7">
        <f t="shared" si="319"/>
        <v>2023</v>
      </c>
      <c r="D1806">
        <v>97.2</v>
      </c>
      <c r="E1806">
        <v>74.7</v>
      </c>
      <c r="F1806">
        <v>87.1</v>
      </c>
      <c r="G1806" s="2">
        <f t="shared" si="316"/>
        <v>1</v>
      </c>
      <c r="H1806">
        <v>96</v>
      </c>
      <c r="I1806">
        <v>74.7</v>
      </c>
      <c r="J1806">
        <v>86.2</v>
      </c>
      <c r="K1806">
        <v>57.8</v>
      </c>
      <c r="L1806">
        <v>39.5</v>
      </c>
      <c r="M1806" s="2">
        <f t="shared" si="320"/>
        <v>1</v>
      </c>
      <c r="N1806">
        <v>0</v>
      </c>
      <c r="P1806" s="2">
        <f t="shared" si="321"/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21.7</v>
      </c>
      <c r="W1806" s="2">
        <f t="shared" si="317"/>
        <v>1</v>
      </c>
      <c r="X1806">
        <v>9.6999999999999993</v>
      </c>
      <c r="Z1806" s="2">
        <f t="shared" si="318"/>
        <v>0</v>
      </c>
      <c r="AA1806">
        <v>164.1</v>
      </c>
      <c r="AB1806" s="2" t="str">
        <f>CHOOSE(MATCH(AA1806,{0;11;80;111;161;191;241;281;341},1),"North","NorthEast","East","SouthEast","South","SouthWest","West","NorthWest","North")</f>
        <v>South</v>
      </c>
      <c r="AC1806" s="5">
        <f>CHOOSE(MATCH(AB1806,{"South";"SouthEast";"SouthWest";"North";"NorthEast";"East";"West";"NorthWest"},0),1,2,3,4,5,6,7,8)</f>
        <v>1</v>
      </c>
      <c r="AD1806" s="2">
        <f t="shared" si="322"/>
        <v>0</v>
      </c>
      <c r="AE1806">
        <v>1010.7</v>
      </c>
      <c r="AF1806" s="4" t="s">
        <v>1720</v>
      </c>
      <c r="AG1806" s="2">
        <f t="shared" si="323"/>
        <v>0</v>
      </c>
      <c r="AH1806" t="s">
        <v>2770</v>
      </c>
      <c r="AI1806" s="2">
        <f t="shared" si="324"/>
        <v>7</v>
      </c>
      <c r="AJ1806" s="2">
        <f t="shared" si="325"/>
        <v>1</v>
      </c>
      <c r="AK1806" s="3">
        <v>63.000000006286427</v>
      </c>
      <c r="AM1806" s="2">
        <v>0</v>
      </c>
      <c r="AN1806">
        <v>0</v>
      </c>
      <c r="AO1806">
        <v>0.2</v>
      </c>
      <c r="AP1806">
        <v>0</v>
      </c>
      <c r="AQ1806" s="2">
        <f>IF((2*G1806 + M1806 -P1806 + 3*W1806 + 2*Z1806+2*AD1806 + AG1806+2*AJ1806 + 4*AM1806) &gt;=8,1,0)</f>
        <v>0</v>
      </c>
    </row>
    <row r="1807" spans="1:43" x14ac:dyDescent="0.25">
      <c r="A1807" t="s">
        <v>27</v>
      </c>
      <c r="B1807" s="1">
        <v>45133</v>
      </c>
      <c r="C1807" s="7">
        <f t="shared" si="319"/>
        <v>2023</v>
      </c>
      <c r="D1807">
        <v>103.4</v>
      </c>
      <c r="E1807">
        <v>76.8</v>
      </c>
      <c r="F1807">
        <v>90.3</v>
      </c>
      <c r="G1807" s="2">
        <f t="shared" si="316"/>
        <v>1</v>
      </c>
      <c r="H1807">
        <v>104.4</v>
      </c>
      <c r="I1807">
        <v>76.8</v>
      </c>
      <c r="J1807">
        <v>90.2</v>
      </c>
      <c r="K1807">
        <v>58</v>
      </c>
      <c r="L1807">
        <v>35.1</v>
      </c>
      <c r="M1807" s="2">
        <f t="shared" si="320"/>
        <v>1</v>
      </c>
      <c r="N1807">
        <v>0</v>
      </c>
      <c r="P1807" s="2">
        <f t="shared" si="321"/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32</v>
      </c>
      <c r="W1807" s="2">
        <f t="shared" si="317"/>
        <v>1</v>
      </c>
      <c r="X1807">
        <v>13.1</v>
      </c>
      <c r="Z1807" s="2">
        <f t="shared" si="318"/>
        <v>0</v>
      </c>
      <c r="AA1807">
        <v>174.8</v>
      </c>
      <c r="AB1807" s="2" t="str">
        <f>CHOOSE(MATCH(AA1807,{0;11;80;111;161;191;241;281;341},1),"North","NorthEast","East","SouthEast","South","SouthWest","West","NorthWest","North")</f>
        <v>South</v>
      </c>
      <c r="AC1807" s="5">
        <f>CHOOSE(MATCH(AB1807,{"South";"SouthEast";"SouthWest";"North";"NorthEast";"East";"West";"NorthWest"},0),1,2,3,4,5,6,7,8)</f>
        <v>1</v>
      </c>
      <c r="AD1807" s="2">
        <f t="shared" si="322"/>
        <v>0</v>
      </c>
      <c r="AE1807">
        <v>1005.6</v>
      </c>
      <c r="AF1807" s="4" t="s">
        <v>1133</v>
      </c>
      <c r="AG1807" s="2">
        <f t="shared" si="323"/>
        <v>1</v>
      </c>
      <c r="AH1807" t="s">
        <v>2771</v>
      </c>
      <c r="AI1807" s="2">
        <f t="shared" si="324"/>
        <v>7</v>
      </c>
      <c r="AJ1807" s="2">
        <f t="shared" si="325"/>
        <v>1</v>
      </c>
      <c r="AK1807" s="3">
        <v>175.99999999743889</v>
      </c>
      <c r="AM1807" s="2">
        <v>0</v>
      </c>
      <c r="AN1807">
        <v>0</v>
      </c>
      <c r="AO1807">
        <v>1</v>
      </c>
      <c r="AP1807">
        <v>0</v>
      </c>
      <c r="AQ1807" s="2">
        <f>IF((2*G1807 + M1807 -P1807 + 3*W1807 + 2*Z1807+2*AD1807 + AG1807+2*AJ1807 + 4*AM1807) &gt;=8,1,0)</f>
        <v>1</v>
      </c>
    </row>
    <row r="1808" spans="1:43" x14ac:dyDescent="0.25">
      <c r="A1808" t="s">
        <v>27</v>
      </c>
      <c r="B1808" s="1">
        <v>45137</v>
      </c>
      <c r="C1808" s="7">
        <f t="shared" si="319"/>
        <v>2023</v>
      </c>
      <c r="D1808">
        <v>94</v>
      </c>
      <c r="E1808">
        <v>72.2</v>
      </c>
      <c r="F1808">
        <v>84.3</v>
      </c>
      <c r="G1808" s="2">
        <f t="shared" si="316"/>
        <v>1</v>
      </c>
      <c r="H1808">
        <v>91.6</v>
      </c>
      <c r="I1808">
        <v>72.2</v>
      </c>
      <c r="J1808">
        <v>82.9</v>
      </c>
      <c r="K1808">
        <v>54.8</v>
      </c>
      <c r="L1808">
        <v>38.5</v>
      </c>
      <c r="M1808" s="2">
        <f t="shared" si="320"/>
        <v>1</v>
      </c>
      <c r="N1808">
        <v>0</v>
      </c>
      <c r="P1808" s="2">
        <f t="shared" si="321"/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27.7</v>
      </c>
      <c r="W1808" s="2">
        <f t="shared" si="317"/>
        <v>1</v>
      </c>
      <c r="X1808">
        <v>17</v>
      </c>
      <c r="Z1808" s="2">
        <f t="shared" si="318"/>
        <v>1</v>
      </c>
      <c r="AA1808">
        <v>34.9</v>
      </c>
      <c r="AB1808" s="2" t="str">
        <f>CHOOSE(MATCH(AA1808,{0;11;80;111;161;191;241;281;341},1),"North","NorthEast","East","SouthEast","South","SouthWest","West","NorthWest","North")</f>
        <v>NorthEast</v>
      </c>
      <c r="AC1808" s="5">
        <f>CHOOSE(MATCH(AB1808,{"South";"SouthEast";"SouthWest";"North";"NorthEast";"East";"West";"NorthWest"},0),1,2,3,4,5,6,7,8)</f>
        <v>5</v>
      </c>
      <c r="AD1808" s="2">
        <f t="shared" si="322"/>
        <v>1</v>
      </c>
      <c r="AE1808">
        <v>1010.1</v>
      </c>
      <c r="AF1808" s="4" t="s">
        <v>2772</v>
      </c>
      <c r="AG1808" s="2">
        <f t="shared" si="323"/>
        <v>0</v>
      </c>
      <c r="AH1808" t="s">
        <v>2773</v>
      </c>
      <c r="AI1808" s="2">
        <f t="shared" si="324"/>
        <v>7</v>
      </c>
      <c r="AJ1808" s="2">
        <f t="shared" si="325"/>
        <v>1</v>
      </c>
      <c r="AK1808" s="3">
        <v>1145.0000000023281</v>
      </c>
      <c r="AM1808" s="2">
        <v>1</v>
      </c>
      <c r="AN1808">
        <v>0</v>
      </c>
      <c r="AO1808">
        <v>2</v>
      </c>
      <c r="AP1808">
        <v>0</v>
      </c>
      <c r="AQ1808" s="2">
        <f>IF((2*G1808 + M1808 -P1808 + 3*W1808 + 2*Z1808+2*AD1808 + AG1808+2*AJ1808 + 4*AM1808) &gt;=8,1,0)</f>
        <v>1</v>
      </c>
    </row>
    <row r="1809" spans="1:43" x14ac:dyDescent="0.25">
      <c r="A1809" t="s">
        <v>27</v>
      </c>
      <c r="B1809" s="1">
        <v>45137</v>
      </c>
      <c r="C1809" s="7">
        <f t="shared" si="319"/>
        <v>2023</v>
      </c>
      <c r="D1809">
        <v>94</v>
      </c>
      <c r="E1809">
        <v>72.2</v>
      </c>
      <c r="F1809">
        <v>84.3</v>
      </c>
      <c r="G1809" s="2">
        <f t="shared" si="316"/>
        <v>1</v>
      </c>
      <c r="H1809">
        <v>91.6</v>
      </c>
      <c r="I1809">
        <v>72.2</v>
      </c>
      <c r="J1809">
        <v>82.9</v>
      </c>
      <c r="K1809">
        <v>54.8</v>
      </c>
      <c r="L1809">
        <v>38.5</v>
      </c>
      <c r="M1809" s="2">
        <f t="shared" si="320"/>
        <v>1</v>
      </c>
      <c r="N1809">
        <v>0</v>
      </c>
      <c r="P1809" s="2">
        <f t="shared" si="321"/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27.7</v>
      </c>
      <c r="W1809" s="2">
        <f t="shared" si="317"/>
        <v>1</v>
      </c>
      <c r="X1809">
        <v>17</v>
      </c>
      <c r="Z1809" s="2">
        <f t="shared" si="318"/>
        <v>1</v>
      </c>
      <c r="AA1809">
        <v>34.9</v>
      </c>
      <c r="AB1809" s="2" t="str">
        <f>CHOOSE(MATCH(AA1809,{0;11;80;111;161;191;241;281;341},1),"North","NorthEast","East","SouthEast","South","SouthWest","West","NorthWest","North")</f>
        <v>NorthEast</v>
      </c>
      <c r="AC1809" s="5">
        <f>CHOOSE(MATCH(AB1809,{"South";"SouthEast";"SouthWest";"North";"NorthEast";"East";"West";"NorthWest"},0),1,2,3,4,5,6,7,8)</f>
        <v>5</v>
      </c>
      <c r="AD1809" s="2">
        <f t="shared" si="322"/>
        <v>1</v>
      </c>
      <c r="AE1809">
        <v>1010.1</v>
      </c>
      <c r="AF1809" s="4" t="s">
        <v>1284</v>
      </c>
      <c r="AG1809" s="2">
        <f t="shared" si="323"/>
        <v>0</v>
      </c>
      <c r="AH1809" t="s">
        <v>2774</v>
      </c>
      <c r="AI1809" s="2">
        <f t="shared" si="324"/>
        <v>7</v>
      </c>
      <c r="AJ1809" s="2">
        <f t="shared" si="325"/>
        <v>1</v>
      </c>
      <c r="AK1809" s="3">
        <v>839.99999999301508</v>
      </c>
      <c r="AM1809" s="2">
        <v>1</v>
      </c>
      <c r="AN1809">
        <v>0</v>
      </c>
      <c r="AO1809">
        <v>1</v>
      </c>
      <c r="AP1809">
        <v>0</v>
      </c>
      <c r="AQ1809" s="2">
        <f>IF((2*G1809 + M1809 -P1809 + 3*W1809 + 2*Z1809+2*AD1809 + AG1809+2*AJ1809 + 4*AM1809) &gt;=8,1,0)</f>
        <v>1</v>
      </c>
    </row>
    <row r="1810" spans="1:43" x14ac:dyDescent="0.25">
      <c r="A1810" t="s">
        <v>27</v>
      </c>
      <c r="B1810" s="1">
        <v>45140</v>
      </c>
      <c r="C1810" s="7">
        <f t="shared" si="319"/>
        <v>2023</v>
      </c>
      <c r="D1810">
        <v>94.2</v>
      </c>
      <c r="E1810">
        <v>75.8</v>
      </c>
      <c r="F1810">
        <v>84.7</v>
      </c>
      <c r="G1810" s="2">
        <f t="shared" si="316"/>
        <v>1</v>
      </c>
      <c r="H1810">
        <v>96.2</v>
      </c>
      <c r="I1810">
        <v>75.8</v>
      </c>
      <c r="J1810">
        <v>85.7</v>
      </c>
      <c r="K1810">
        <v>64.400000000000006</v>
      </c>
      <c r="L1810">
        <v>52.1</v>
      </c>
      <c r="M1810" s="2">
        <f t="shared" si="320"/>
        <v>0</v>
      </c>
      <c r="N1810">
        <v>0</v>
      </c>
      <c r="P1810" s="2">
        <f t="shared" si="321"/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28.6</v>
      </c>
      <c r="W1810" s="2">
        <f t="shared" si="317"/>
        <v>1</v>
      </c>
      <c r="X1810">
        <v>16.5</v>
      </c>
      <c r="Z1810" s="2">
        <f t="shared" si="318"/>
        <v>1</v>
      </c>
      <c r="AA1810">
        <v>183.7</v>
      </c>
      <c r="AB1810" s="2" t="str">
        <f>CHOOSE(MATCH(AA1810,{0;11;80;111;161;191;241;281;341},1),"North","NorthEast","East","SouthEast","South","SouthWest","West","NorthWest","North")</f>
        <v>South</v>
      </c>
      <c r="AC1810" s="5">
        <f>CHOOSE(MATCH(AB1810,{"South";"SouthEast";"SouthWest";"North";"NorthEast";"East";"West";"NorthWest"},0),1,2,3,4,5,6,7,8)</f>
        <v>1</v>
      </c>
      <c r="AD1810" s="2">
        <f t="shared" si="322"/>
        <v>0</v>
      </c>
      <c r="AE1810">
        <v>1008.6</v>
      </c>
      <c r="AF1810" s="4" t="s">
        <v>2775</v>
      </c>
      <c r="AG1810" s="2">
        <f t="shared" si="323"/>
        <v>0</v>
      </c>
      <c r="AH1810" t="s">
        <v>2776</v>
      </c>
      <c r="AI1810" s="2">
        <f t="shared" si="324"/>
        <v>8</v>
      </c>
      <c r="AJ1810" s="2">
        <f t="shared" si="325"/>
        <v>1</v>
      </c>
      <c r="AK1810" s="3">
        <v>45</v>
      </c>
      <c r="AM1810" s="2">
        <v>0</v>
      </c>
      <c r="AN1810">
        <v>0</v>
      </c>
      <c r="AO1810">
        <v>0.25</v>
      </c>
      <c r="AP1810">
        <v>0</v>
      </c>
      <c r="AQ1810" s="2">
        <f>IF((2*G1810 + M1810 -P1810 + 3*W1810 + 2*Z1810+2*AD1810 + AG1810+2*AJ1810 + 4*AM1810) &gt;=8,1,0)</f>
        <v>1</v>
      </c>
    </row>
    <row r="1811" spans="1:43" x14ac:dyDescent="0.25">
      <c r="A1811" t="s">
        <v>27</v>
      </c>
      <c r="B1811" s="1">
        <v>45145</v>
      </c>
      <c r="C1811" s="7">
        <f t="shared" si="319"/>
        <v>2023</v>
      </c>
      <c r="D1811">
        <v>92.6</v>
      </c>
      <c r="E1811">
        <v>73.400000000000006</v>
      </c>
      <c r="F1811">
        <v>83.1</v>
      </c>
      <c r="G1811" s="2">
        <f t="shared" si="316"/>
        <v>1</v>
      </c>
      <c r="H1811">
        <v>90.4</v>
      </c>
      <c r="I1811">
        <v>73.400000000000006</v>
      </c>
      <c r="J1811">
        <v>82.4</v>
      </c>
      <c r="K1811">
        <v>56.7</v>
      </c>
      <c r="L1811">
        <v>42.2</v>
      </c>
      <c r="M1811" s="2">
        <f t="shared" si="320"/>
        <v>1</v>
      </c>
      <c r="N1811">
        <v>0</v>
      </c>
      <c r="P1811" s="2">
        <f t="shared" si="321"/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25.1</v>
      </c>
      <c r="W1811" s="2">
        <f t="shared" si="317"/>
        <v>1</v>
      </c>
      <c r="X1811">
        <v>13.3</v>
      </c>
      <c r="Z1811" s="2">
        <f t="shared" si="318"/>
        <v>0</v>
      </c>
      <c r="AA1811">
        <v>203.8</v>
      </c>
      <c r="AB1811" s="2" t="str">
        <f>CHOOSE(MATCH(AA1811,{0;11;80;111;161;191;241;281;341},1),"North","NorthEast","East","SouthEast","South","SouthWest","West","NorthWest","North")</f>
        <v>SouthWest</v>
      </c>
      <c r="AC1811" s="5">
        <f>CHOOSE(MATCH(AB1811,{"South";"SouthEast";"SouthWest";"North";"NorthEast";"East";"West";"NorthWest"},0),1,2,3,4,5,6,7,8)</f>
        <v>3</v>
      </c>
      <c r="AD1811" s="2">
        <f t="shared" si="322"/>
        <v>1</v>
      </c>
      <c r="AE1811">
        <v>1008.4</v>
      </c>
      <c r="AF1811" s="4" t="s">
        <v>2304</v>
      </c>
      <c r="AG1811" s="2">
        <f t="shared" si="323"/>
        <v>1</v>
      </c>
      <c r="AH1811" t="s">
        <v>2777</v>
      </c>
      <c r="AI1811" s="2">
        <f t="shared" si="324"/>
        <v>8</v>
      </c>
      <c r="AJ1811" s="2">
        <f t="shared" si="325"/>
        <v>1</v>
      </c>
      <c r="AK1811" s="3">
        <v>370.9999999939464</v>
      </c>
      <c r="AM1811" s="2">
        <v>1</v>
      </c>
      <c r="AN1811">
        <v>0</v>
      </c>
      <c r="AO1811">
        <v>1</v>
      </c>
      <c r="AP1811">
        <v>0</v>
      </c>
      <c r="AQ1811" s="2">
        <f>IF((2*G1811 + M1811 -P1811 + 3*W1811 + 2*Z1811+2*AD1811 + AG1811+2*AJ1811 + 4*AM1811) &gt;=8,1,0)</f>
        <v>1</v>
      </c>
    </row>
    <row r="1812" spans="1:43" x14ac:dyDescent="0.25">
      <c r="A1812" t="s">
        <v>27</v>
      </c>
      <c r="B1812" s="1">
        <v>45160</v>
      </c>
      <c r="C1812" s="7">
        <f t="shared" si="319"/>
        <v>2023</v>
      </c>
      <c r="D1812">
        <v>95.1</v>
      </c>
      <c r="E1812">
        <v>83.6</v>
      </c>
      <c r="F1812">
        <v>90.2</v>
      </c>
      <c r="G1812" s="2">
        <f t="shared" si="316"/>
        <v>1</v>
      </c>
      <c r="H1812">
        <v>92.1</v>
      </c>
      <c r="I1812">
        <v>81.7</v>
      </c>
      <c r="J1812">
        <v>87.2</v>
      </c>
      <c r="K1812">
        <v>48.3</v>
      </c>
      <c r="L1812">
        <v>23.9</v>
      </c>
      <c r="M1812" s="2">
        <f t="shared" si="320"/>
        <v>1</v>
      </c>
      <c r="N1812">
        <v>0</v>
      </c>
      <c r="P1812" s="2">
        <f t="shared" si="321"/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38.1</v>
      </c>
      <c r="W1812" s="2">
        <f t="shared" si="317"/>
        <v>1</v>
      </c>
      <c r="X1812">
        <v>21</v>
      </c>
      <c r="Z1812" s="2">
        <f t="shared" si="318"/>
        <v>1</v>
      </c>
      <c r="AA1812">
        <v>1.9</v>
      </c>
      <c r="AB1812" s="2" t="str">
        <f>CHOOSE(MATCH(AA1812,{0;11;80;111;161;191;241;281;341},1),"North","NorthEast","East","SouthEast","South","SouthWest","West","NorthWest","North")</f>
        <v>North</v>
      </c>
      <c r="AC1812" s="5">
        <f>CHOOSE(MATCH(AB1812,{"South";"SouthEast";"SouthWest";"North";"NorthEast";"East";"West";"NorthWest"},0),1,2,3,4,5,6,7,8)</f>
        <v>4</v>
      </c>
      <c r="AD1812" s="2">
        <f t="shared" si="322"/>
        <v>1</v>
      </c>
      <c r="AE1812">
        <v>1010.3</v>
      </c>
      <c r="AF1812" s="4" t="s">
        <v>1038</v>
      </c>
      <c r="AG1812" s="2">
        <f t="shared" si="323"/>
        <v>0</v>
      </c>
      <c r="AH1812" t="s">
        <v>2778</v>
      </c>
      <c r="AI1812" s="2">
        <f t="shared" si="324"/>
        <v>8</v>
      </c>
      <c r="AJ1812" s="2">
        <f t="shared" si="325"/>
        <v>1</v>
      </c>
      <c r="AK1812" s="3">
        <v>21711.000000005592</v>
      </c>
      <c r="AM1812" s="2">
        <v>1</v>
      </c>
      <c r="AN1812">
        <v>0</v>
      </c>
      <c r="AO1812">
        <v>61000</v>
      </c>
      <c r="AP1812">
        <v>0</v>
      </c>
      <c r="AQ1812" s="2">
        <f>IF((2*G1812 + M1812 -P1812 + 3*W1812 + 2*Z1812+2*AD1812 + AG1812+2*AJ1812 + 4*AM1812) &gt;=8,1,0)</f>
        <v>1</v>
      </c>
    </row>
    <row r="1813" spans="1:43" x14ac:dyDescent="0.25">
      <c r="A1813" t="s">
        <v>27</v>
      </c>
      <c r="B1813" s="1">
        <v>45164</v>
      </c>
      <c r="C1813" s="7">
        <f t="shared" si="319"/>
        <v>2023</v>
      </c>
      <c r="D1813">
        <v>92</v>
      </c>
      <c r="E1813">
        <v>82.8</v>
      </c>
      <c r="F1813">
        <v>86.5</v>
      </c>
      <c r="G1813" s="2">
        <f t="shared" si="316"/>
        <v>1</v>
      </c>
      <c r="H1813">
        <v>88.9</v>
      </c>
      <c r="I1813">
        <v>82.2</v>
      </c>
      <c r="J1813">
        <v>84.8</v>
      </c>
      <c r="K1813">
        <v>53.9</v>
      </c>
      <c r="L1813">
        <v>33.5</v>
      </c>
      <c r="M1813" s="2">
        <f t="shared" si="320"/>
        <v>1</v>
      </c>
      <c r="N1813">
        <v>0</v>
      </c>
      <c r="P1813" s="2">
        <f t="shared" si="321"/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34.4</v>
      </c>
      <c r="W1813" s="2">
        <f t="shared" si="317"/>
        <v>1</v>
      </c>
      <c r="X1813">
        <v>18.8</v>
      </c>
      <c r="Z1813" s="2">
        <f t="shared" si="318"/>
        <v>1</v>
      </c>
      <c r="AA1813">
        <v>351.1</v>
      </c>
      <c r="AB1813" s="2" t="str">
        <f>CHOOSE(MATCH(AA1813,{0;11;80;111;161;191;241;281;341},1),"North","NorthEast","East","SouthEast","South","SouthWest","West","NorthWest","North")</f>
        <v>North</v>
      </c>
      <c r="AC1813" s="5">
        <f>CHOOSE(MATCH(AB1813,{"South";"SouthEast";"SouthWest";"North";"NorthEast";"East";"West";"NorthWest"},0),1,2,3,4,5,6,7,8)</f>
        <v>4</v>
      </c>
      <c r="AD1813" s="2">
        <f t="shared" si="322"/>
        <v>1</v>
      </c>
      <c r="AE1813">
        <v>1010.1</v>
      </c>
      <c r="AF1813" s="4" t="s">
        <v>2779</v>
      </c>
      <c r="AG1813" s="2">
        <f t="shared" si="323"/>
        <v>0</v>
      </c>
      <c r="AH1813" t="s">
        <v>2780</v>
      </c>
      <c r="AI1813" s="2">
        <f t="shared" si="324"/>
        <v>8</v>
      </c>
      <c r="AJ1813" s="2">
        <f t="shared" si="325"/>
        <v>1</v>
      </c>
      <c r="AK1813" s="3">
        <v>108.0000000062864</v>
      </c>
      <c r="AM1813" s="2">
        <v>0</v>
      </c>
      <c r="AN1813">
        <v>0</v>
      </c>
      <c r="AO1813">
        <v>0.05</v>
      </c>
      <c r="AP1813">
        <v>0</v>
      </c>
      <c r="AQ1813" s="2">
        <f>IF((2*G1813 + M1813 -P1813 + 3*W1813 + 2*Z1813+2*AD1813 + AG1813+2*AJ1813 + 4*AM1813) &gt;=8,1,0)</f>
        <v>1</v>
      </c>
    </row>
    <row r="1814" spans="1:43" x14ac:dyDescent="0.25">
      <c r="A1814" t="s">
        <v>27</v>
      </c>
      <c r="B1814" s="1">
        <v>45164</v>
      </c>
      <c r="C1814" s="7">
        <f t="shared" si="319"/>
        <v>2023</v>
      </c>
      <c r="D1814">
        <v>92</v>
      </c>
      <c r="E1814">
        <v>82.8</v>
      </c>
      <c r="F1814">
        <v>86.5</v>
      </c>
      <c r="G1814" s="2">
        <f t="shared" si="316"/>
        <v>1</v>
      </c>
      <c r="H1814">
        <v>88.9</v>
      </c>
      <c r="I1814">
        <v>82.2</v>
      </c>
      <c r="J1814">
        <v>84.8</v>
      </c>
      <c r="K1814">
        <v>53.9</v>
      </c>
      <c r="L1814">
        <v>33.5</v>
      </c>
      <c r="M1814" s="2">
        <f t="shared" si="320"/>
        <v>1</v>
      </c>
      <c r="N1814">
        <v>0</v>
      </c>
      <c r="P1814" s="2">
        <f t="shared" si="321"/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34.4</v>
      </c>
      <c r="W1814" s="2">
        <f t="shared" si="317"/>
        <v>1</v>
      </c>
      <c r="X1814">
        <v>18.8</v>
      </c>
      <c r="Z1814" s="2">
        <f t="shared" si="318"/>
        <v>1</v>
      </c>
      <c r="AA1814">
        <v>351.1</v>
      </c>
      <c r="AB1814" s="2" t="str">
        <f>CHOOSE(MATCH(AA1814,{0;11;80;111;161;191;241;281;341},1),"North","NorthEast","East","SouthEast","South","SouthWest","West","NorthWest","North")</f>
        <v>North</v>
      </c>
      <c r="AC1814" s="5">
        <f>CHOOSE(MATCH(AB1814,{"South";"SouthEast";"SouthWest";"North";"NorthEast";"East";"West";"NorthWest"},0),1,2,3,4,5,6,7,8)</f>
        <v>4</v>
      </c>
      <c r="AD1814" s="2">
        <f t="shared" si="322"/>
        <v>1</v>
      </c>
      <c r="AE1814">
        <v>1010.1</v>
      </c>
      <c r="AF1814" s="4" t="s">
        <v>2781</v>
      </c>
      <c r="AG1814" s="2">
        <f t="shared" si="323"/>
        <v>0</v>
      </c>
      <c r="AH1814" t="s">
        <v>2782</v>
      </c>
      <c r="AI1814" s="2">
        <f t="shared" si="324"/>
        <v>8</v>
      </c>
      <c r="AJ1814" s="2">
        <f t="shared" si="325"/>
        <v>1</v>
      </c>
      <c r="AK1814" s="3">
        <v>4484.0000000002328</v>
      </c>
      <c r="AM1814" s="2">
        <v>1</v>
      </c>
      <c r="AN1814">
        <v>100</v>
      </c>
      <c r="AO1814">
        <v>0</v>
      </c>
      <c r="AP1814">
        <v>0</v>
      </c>
      <c r="AQ1814" s="2">
        <f>IF((2*G1814 + M1814 -P1814 + 3*W1814 + 2*Z1814+2*AD1814 + AG1814+2*AJ1814 + 4*AM1814) &gt;=8,1,0)</f>
        <v>1</v>
      </c>
    </row>
    <row r="1815" spans="1:43" x14ac:dyDescent="0.25">
      <c r="A1815" t="s">
        <v>27</v>
      </c>
      <c r="B1815" s="1">
        <v>45164</v>
      </c>
      <c r="C1815" s="7">
        <f t="shared" si="319"/>
        <v>2023</v>
      </c>
      <c r="D1815">
        <v>92</v>
      </c>
      <c r="E1815">
        <v>82.8</v>
      </c>
      <c r="F1815">
        <v>86.5</v>
      </c>
      <c r="G1815" s="2">
        <f t="shared" si="316"/>
        <v>1</v>
      </c>
      <c r="H1815">
        <v>88.9</v>
      </c>
      <c r="I1815">
        <v>82.2</v>
      </c>
      <c r="J1815">
        <v>84.8</v>
      </c>
      <c r="K1815">
        <v>53.9</v>
      </c>
      <c r="L1815">
        <v>33.5</v>
      </c>
      <c r="M1815" s="2">
        <f t="shared" si="320"/>
        <v>1</v>
      </c>
      <c r="N1815">
        <v>0</v>
      </c>
      <c r="P1815" s="2">
        <f t="shared" si="321"/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34.4</v>
      </c>
      <c r="W1815" s="2">
        <f t="shared" si="317"/>
        <v>1</v>
      </c>
      <c r="X1815">
        <v>18.8</v>
      </c>
      <c r="Z1815" s="2">
        <f t="shared" si="318"/>
        <v>1</v>
      </c>
      <c r="AA1815">
        <v>351.1</v>
      </c>
      <c r="AB1815" s="2" t="str">
        <f>CHOOSE(MATCH(AA1815,{0;11;80;111;161;191;241;281;341},1),"North","NorthEast","East","SouthEast","South","SouthWest","West","NorthWest","North")</f>
        <v>North</v>
      </c>
      <c r="AC1815" s="5">
        <f>CHOOSE(MATCH(AB1815,{"South";"SouthEast";"SouthWest";"North";"NorthEast";"East";"West";"NorthWest"},0),1,2,3,4,5,6,7,8)</f>
        <v>4</v>
      </c>
      <c r="AD1815" s="2">
        <f t="shared" si="322"/>
        <v>1</v>
      </c>
      <c r="AE1815">
        <v>1010.1</v>
      </c>
      <c r="AF1815" s="4" t="s">
        <v>2783</v>
      </c>
      <c r="AG1815" s="2">
        <f t="shared" si="323"/>
        <v>0</v>
      </c>
      <c r="AH1815" t="s">
        <v>2784</v>
      </c>
      <c r="AI1815" s="2">
        <f t="shared" si="324"/>
        <v>8</v>
      </c>
      <c r="AJ1815" s="2">
        <f t="shared" si="325"/>
        <v>1</v>
      </c>
      <c r="AK1815" s="3">
        <v>706.99999999953434</v>
      </c>
      <c r="AM1815" s="2">
        <v>1</v>
      </c>
      <c r="AN1815">
        <v>1</v>
      </c>
      <c r="AO1815">
        <v>0</v>
      </c>
      <c r="AP1815">
        <v>0</v>
      </c>
      <c r="AQ1815" s="2">
        <f>IF((2*G1815 + M1815 -P1815 + 3*W1815 + 2*Z1815+2*AD1815 + AG1815+2*AJ1815 + 4*AM1815) &gt;=8,1,0)</f>
        <v>1</v>
      </c>
    </row>
    <row r="1816" spans="1:43" x14ac:dyDescent="0.25">
      <c r="A1816" t="s">
        <v>27</v>
      </c>
      <c r="B1816" s="1">
        <v>45164</v>
      </c>
      <c r="C1816" s="7">
        <f t="shared" si="319"/>
        <v>2023</v>
      </c>
      <c r="D1816">
        <v>92</v>
      </c>
      <c r="E1816">
        <v>82.8</v>
      </c>
      <c r="F1816">
        <v>86.5</v>
      </c>
      <c r="G1816" s="2">
        <f t="shared" si="316"/>
        <v>1</v>
      </c>
      <c r="H1816">
        <v>88.9</v>
      </c>
      <c r="I1816">
        <v>82.2</v>
      </c>
      <c r="J1816">
        <v>84.8</v>
      </c>
      <c r="K1816">
        <v>53.9</v>
      </c>
      <c r="L1816">
        <v>33.5</v>
      </c>
      <c r="M1816" s="2">
        <f t="shared" si="320"/>
        <v>1</v>
      </c>
      <c r="N1816">
        <v>0</v>
      </c>
      <c r="P1816" s="2">
        <f t="shared" si="321"/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34.4</v>
      </c>
      <c r="W1816" s="2">
        <f t="shared" si="317"/>
        <v>1</v>
      </c>
      <c r="X1816">
        <v>18.8</v>
      </c>
      <c r="Z1816" s="2">
        <f t="shared" si="318"/>
        <v>1</v>
      </c>
      <c r="AA1816">
        <v>351.1</v>
      </c>
      <c r="AB1816" s="2" t="str">
        <f>CHOOSE(MATCH(AA1816,{0;11;80;111;161;191;241;281;341},1),"North","NorthEast","East","SouthEast","South","SouthWest","West","NorthWest","North")</f>
        <v>North</v>
      </c>
      <c r="AC1816" s="5">
        <f>CHOOSE(MATCH(AB1816,{"South";"SouthEast";"SouthWest";"North";"NorthEast";"East";"West";"NorthWest"},0),1,2,3,4,5,6,7,8)</f>
        <v>4</v>
      </c>
      <c r="AD1816" s="2">
        <f t="shared" si="322"/>
        <v>1</v>
      </c>
      <c r="AE1816">
        <v>1010.1</v>
      </c>
      <c r="AF1816" s="4" t="s">
        <v>2785</v>
      </c>
      <c r="AG1816" s="2">
        <f t="shared" si="323"/>
        <v>0</v>
      </c>
      <c r="AH1816" t="s">
        <v>2786</v>
      </c>
      <c r="AI1816" s="2">
        <f t="shared" si="324"/>
        <v>8</v>
      </c>
      <c r="AJ1816" s="2">
        <f t="shared" si="325"/>
        <v>1</v>
      </c>
      <c r="AK1816" s="3">
        <v>59.00000000372529</v>
      </c>
      <c r="AM1816" s="2">
        <v>0</v>
      </c>
      <c r="AN1816">
        <v>0</v>
      </c>
      <c r="AO1816">
        <v>0.5</v>
      </c>
      <c r="AP1816">
        <v>0</v>
      </c>
      <c r="AQ1816" s="2">
        <f>IF((2*G1816 + M1816 -P1816 + 3*W1816 + 2*Z1816+2*AD1816 + AG1816+2*AJ1816 + 4*AM1816) &gt;=8,1,0)</f>
        <v>1</v>
      </c>
    </row>
    <row r="1817" spans="1:43" x14ac:dyDescent="0.25">
      <c r="A1817" t="s">
        <v>27</v>
      </c>
      <c r="B1817" s="1">
        <v>45165</v>
      </c>
      <c r="C1817" s="7">
        <f t="shared" si="319"/>
        <v>2023</v>
      </c>
      <c r="D1817">
        <v>91.3</v>
      </c>
      <c r="E1817">
        <v>79.8</v>
      </c>
      <c r="F1817">
        <v>85.6</v>
      </c>
      <c r="G1817" s="2">
        <f t="shared" si="316"/>
        <v>1</v>
      </c>
      <c r="H1817">
        <v>89.1</v>
      </c>
      <c r="I1817">
        <v>79.5</v>
      </c>
      <c r="J1817">
        <v>84</v>
      </c>
      <c r="K1817">
        <v>52.9</v>
      </c>
      <c r="L1817">
        <v>33</v>
      </c>
      <c r="M1817" s="2">
        <f t="shared" si="320"/>
        <v>1</v>
      </c>
      <c r="N1817">
        <v>0</v>
      </c>
      <c r="P1817" s="2">
        <f t="shared" si="321"/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30.4</v>
      </c>
      <c r="W1817" s="2">
        <f t="shared" si="317"/>
        <v>1</v>
      </c>
      <c r="X1817">
        <v>15.9</v>
      </c>
      <c r="Z1817" s="2">
        <f t="shared" si="318"/>
        <v>0</v>
      </c>
      <c r="AA1817">
        <v>12.3</v>
      </c>
      <c r="AB1817" s="2" t="str">
        <f>CHOOSE(MATCH(AA1817,{0;11;80;111;161;191;241;281;341},1),"North","NorthEast","East","SouthEast","South","SouthWest","West","NorthWest","North")</f>
        <v>NorthEast</v>
      </c>
      <c r="AC1817" s="5">
        <f>CHOOSE(MATCH(AB1817,{"South";"SouthEast";"SouthWest";"North";"NorthEast";"East";"West";"NorthWest"},0),1,2,3,4,5,6,7,8)</f>
        <v>5</v>
      </c>
      <c r="AD1817" s="2">
        <f t="shared" si="322"/>
        <v>1</v>
      </c>
      <c r="AE1817">
        <v>1009.1</v>
      </c>
      <c r="AF1817" s="4" t="s">
        <v>2787</v>
      </c>
      <c r="AG1817" s="2">
        <f t="shared" si="323"/>
        <v>1</v>
      </c>
      <c r="AH1817" t="s">
        <v>2788</v>
      </c>
      <c r="AI1817" s="2">
        <f t="shared" si="324"/>
        <v>8</v>
      </c>
      <c r="AJ1817" s="2">
        <f t="shared" si="325"/>
        <v>1</v>
      </c>
      <c r="AK1817" s="3">
        <v>117.9999999969732</v>
      </c>
      <c r="AM1817" s="2">
        <v>0</v>
      </c>
      <c r="AN1817">
        <v>0</v>
      </c>
      <c r="AO1817">
        <v>2</v>
      </c>
      <c r="AP1817">
        <v>0</v>
      </c>
      <c r="AQ1817" s="2">
        <f>IF((2*G1817 + M1817 -P1817 + 3*W1817 + 2*Z1817+2*AD1817 + AG1817+2*AJ1817 + 4*AM1817) &gt;=8,1,0)</f>
        <v>1</v>
      </c>
    </row>
    <row r="1818" spans="1:43" x14ac:dyDescent="0.25">
      <c r="A1818" t="s">
        <v>27</v>
      </c>
      <c r="B1818" s="1">
        <v>45173</v>
      </c>
      <c r="C1818" s="7">
        <f t="shared" si="319"/>
        <v>2023</v>
      </c>
      <c r="D1818">
        <v>84.1</v>
      </c>
      <c r="E1818">
        <v>70.5</v>
      </c>
      <c r="F1818">
        <v>76.599999999999994</v>
      </c>
      <c r="G1818" s="2">
        <f t="shared" si="316"/>
        <v>1</v>
      </c>
      <c r="H1818">
        <v>82.1</v>
      </c>
      <c r="I1818">
        <v>70.5</v>
      </c>
      <c r="J1818">
        <v>76.400000000000006</v>
      </c>
      <c r="K1818">
        <v>53.3</v>
      </c>
      <c r="L1818">
        <v>45.7</v>
      </c>
      <c r="M1818" s="2">
        <f t="shared" si="320"/>
        <v>1</v>
      </c>
      <c r="N1818">
        <v>1E-3</v>
      </c>
      <c r="P1818" s="2">
        <f t="shared" si="321"/>
        <v>1</v>
      </c>
      <c r="Q1818">
        <v>100</v>
      </c>
      <c r="R1818">
        <v>4.17</v>
      </c>
      <c r="S1818" t="s">
        <v>87</v>
      </c>
      <c r="T1818">
        <v>0</v>
      </c>
      <c r="U1818">
        <v>0</v>
      </c>
      <c r="V1818">
        <v>34.200000000000003</v>
      </c>
      <c r="W1818" s="2">
        <f t="shared" si="317"/>
        <v>1</v>
      </c>
      <c r="X1818">
        <v>19.7</v>
      </c>
      <c r="Z1818" s="2">
        <f t="shared" si="318"/>
        <v>1</v>
      </c>
      <c r="AA1818">
        <v>358.6</v>
      </c>
      <c r="AB1818" s="2" t="str">
        <f>CHOOSE(MATCH(AA1818,{0;11;80;111;161;191;241;281;341},1),"North","NorthEast","East","SouthEast","South","SouthWest","West","NorthWest","North")</f>
        <v>North</v>
      </c>
      <c r="AC1818" s="5">
        <f>CHOOSE(MATCH(AB1818,{"South";"SouthEast";"SouthWest";"North";"NorthEast";"East";"West";"NorthWest"},0),1,2,3,4,5,6,7,8)</f>
        <v>4</v>
      </c>
      <c r="AD1818" s="2">
        <f t="shared" si="322"/>
        <v>1</v>
      </c>
      <c r="AE1818">
        <v>1009.9</v>
      </c>
      <c r="AF1818" s="4" t="s">
        <v>1712</v>
      </c>
      <c r="AG1818" s="2">
        <f t="shared" si="323"/>
        <v>0</v>
      </c>
      <c r="AH1818" t="s">
        <v>2789</v>
      </c>
      <c r="AI1818" s="2">
        <f t="shared" si="324"/>
        <v>9</v>
      </c>
      <c r="AJ1818" s="2">
        <f t="shared" si="325"/>
        <v>0</v>
      </c>
      <c r="AK1818" s="3">
        <v>3066.9999999913848</v>
      </c>
      <c r="AM1818" s="2">
        <v>1</v>
      </c>
      <c r="AN1818">
        <v>0</v>
      </c>
      <c r="AO1818">
        <v>30</v>
      </c>
      <c r="AP1818">
        <v>0</v>
      </c>
      <c r="AQ1818" s="2">
        <f>IF((2*G1818 + M1818 -P1818 + 3*W1818 + 2*Z1818+2*AD1818 + AG1818+2*AJ1818 + 4*AM1818) &gt;=8,1,0)</f>
        <v>1</v>
      </c>
    </row>
    <row r="1819" spans="1:43" x14ac:dyDescent="0.25">
      <c r="A1819" t="s">
        <v>27</v>
      </c>
      <c r="B1819" s="1">
        <v>45173</v>
      </c>
      <c r="C1819" s="7">
        <f t="shared" si="319"/>
        <v>2023</v>
      </c>
      <c r="D1819">
        <v>84.1</v>
      </c>
      <c r="E1819">
        <v>70.5</v>
      </c>
      <c r="F1819">
        <v>76.599999999999994</v>
      </c>
      <c r="G1819" s="2">
        <f t="shared" si="316"/>
        <v>1</v>
      </c>
      <c r="H1819">
        <v>82.1</v>
      </c>
      <c r="I1819">
        <v>70.5</v>
      </c>
      <c r="J1819">
        <v>76.400000000000006</v>
      </c>
      <c r="K1819">
        <v>53.3</v>
      </c>
      <c r="L1819">
        <v>45.7</v>
      </c>
      <c r="M1819" s="2">
        <f t="shared" si="320"/>
        <v>1</v>
      </c>
      <c r="N1819">
        <v>1E-3</v>
      </c>
      <c r="P1819" s="2">
        <f t="shared" si="321"/>
        <v>1</v>
      </c>
      <c r="Q1819">
        <v>100</v>
      </c>
      <c r="R1819">
        <v>4.17</v>
      </c>
      <c r="S1819" t="s">
        <v>87</v>
      </c>
      <c r="T1819">
        <v>0</v>
      </c>
      <c r="U1819">
        <v>0</v>
      </c>
      <c r="V1819">
        <v>34.200000000000003</v>
      </c>
      <c r="W1819" s="2">
        <f t="shared" si="317"/>
        <v>1</v>
      </c>
      <c r="X1819">
        <v>19.7</v>
      </c>
      <c r="Z1819" s="2">
        <f t="shared" si="318"/>
        <v>1</v>
      </c>
      <c r="AA1819">
        <v>358.6</v>
      </c>
      <c r="AB1819" s="2" t="str">
        <f>CHOOSE(MATCH(AA1819,{0;11;80;111;161;191;241;281;341},1),"North","NorthEast","East","SouthEast","South","SouthWest","West","NorthWest","North")</f>
        <v>North</v>
      </c>
      <c r="AC1819" s="5">
        <f>CHOOSE(MATCH(AB1819,{"South";"SouthEast";"SouthWest";"North";"NorthEast";"East";"West";"NorthWest"},0),1,2,3,4,5,6,7,8)</f>
        <v>4</v>
      </c>
      <c r="AD1819" s="2">
        <f t="shared" si="322"/>
        <v>1</v>
      </c>
      <c r="AE1819">
        <v>1009.9</v>
      </c>
      <c r="AF1819" s="4" t="s">
        <v>1991</v>
      </c>
      <c r="AG1819" s="2">
        <f t="shared" si="323"/>
        <v>1</v>
      </c>
      <c r="AH1819" t="s">
        <v>2790</v>
      </c>
      <c r="AI1819" s="2">
        <f t="shared" si="324"/>
        <v>9</v>
      </c>
      <c r="AJ1819" s="2">
        <f t="shared" si="325"/>
        <v>0</v>
      </c>
      <c r="AK1819" s="3">
        <v>146.00000000442381</v>
      </c>
      <c r="AM1819" s="2">
        <v>0</v>
      </c>
      <c r="AN1819">
        <v>0.1</v>
      </c>
      <c r="AO1819">
        <v>0</v>
      </c>
      <c r="AP1819">
        <v>0</v>
      </c>
      <c r="AQ1819" s="2">
        <f>IF((2*G1819 + M1819 -P1819 + 3*W1819 + 2*Z1819+2*AD1819 + AG1819+2*AJ1819 + 4*AM1819) &gt;=8,1,0)</f>
        <v>1</v>
      </c>
    </row>
    <row r="1820" spans="1:43" x14ac:dyDescent="0.25">
      <c r="A1820" t="s">
        <v>27</v>
      </c>
      <c r="B1820" s="1">
        <v>45173</v>
      </c>
      <c r="C1820" s="7">
        <f t="shared" si="319"/>
        <v>2023</v>
      </c>
      <c r="D1820">
        <v>84.1</v>
      </c>
      <c r="E1820">
        <v>70.5</v>
      </c>
      <c r="F1820">
        <v>76.599999999999994</v>
      </c>
      <c r="G1820" s="2">
        <f t="shared" si="316"/>
        <v>1</v>
      </c>
      <c r="H1820">
        <v>82.1</v>
      </c>
      <c r="I1820">
        <v>70.5</v>
      </c>
      <c r="J1820">
        <v>76.400000000000006</v>
      </c>
      <c r="K1820">
        <v>53.3</v>
      </c>
      <c r="L1820">
        <v>45.7</v>
      </c>
      <c r="M1820" s="2">
        <f t="shared" si="320"/>
        <v>1</v>
      </c>
      <c r="N1820">
        <v>1E-3</v>
      </c>
      <c r="P1820" s="2">
        <f t="shared" si="321"/>
        <v>1</v>
      </c>
      <c r="Q1820">
        <v>100</v>
      </c>
      <c r="R1820">
        <v>4.17</v>
      </c>
      <c r="S1820" t="s">
        <v>87</v>
      </c>
      <c r="T1820">
        <v>0</v>
      </c>
      <c r="U1820">
        <v>0</v>
      </c>
      <c r="V1820">
        <v>34.200000000000003</v>
      </c>
      <c r="W1820" s="2">
        <f t="shared" si="317"/>
        <v>1</v>
      </c>
      <c r="X1820">
        <v>19.7</v>
      </c>
      <c r="Z1820" s="2">
        <f t="shared" si="318"/>
        <v>1</v>
      </c>
      <c r="AA1820">
        <v>358.6</v>
      </c>
      <c r="AB1820" s="2" t="str">
        <f>CHOOSE(MATCH(AA1820,{0;11;80;111;161;191;241;281;341},1),"North","NorthEast","East","SouthEast","South","SouthWest","West","NorthWest","North")</f>
        <v>North</v>
      </c>
      <c r="AC1820" s="5">
        <f>CHOOSE(MATCH(AB1820,{"South";"SouthEast";"SouthWest";"North";"NorthEast";"East";"West";"NorthWest"},0),1,2,3,4,5,6,7,8)</f>
        <v>4</v>
      </c>
      <c r="AD1820" s="2">
        <f t="shared" si="322"/>
        <v>1</v>
      </c>
      <c r="AE1820">
        <v>1009.9</v>
      </c>
      <c r="AF1820" s="4" t="s">
        <v>2550</v>
      </c>
      <c r="AG1820" s="2">
        <f t="shared" si="323"/>
        <v>1</v>
      </c>
      <c r="AH1820" t="s">
        <v>2791</v>
      </c>
      <c r="AI1820" s="2">
        <f t="shared" si="324"/>
        <v>9</v>
      </c>
      <c r="AJ1820" s="2">
        <f t="shared" si="325"/>
        <v>0</v>
      </c>
      <c r="AK1820" s="3">
        <v>164.0000000002328</v>
      </c>
      <c r="AM1820" s="2">
        <v>0</v>
      </c>
      <c r="AN1820">
        <v>0.05</v>
      </c>
      <c r="AO1820">
        <v>0</v>
      </c>
      <c r="AP1820">
        <v>0</v>
      </c>
      <c r="AQ1820" s="2">
        <f>IF((2*G1820 + M1820 -P1820 + 3*W1820 + 2*Z1820+2*AD1820 + AG1820+2*AJ1820 + 4*AM1820) &gt;=8,1,0)</f>
        <v>1</v>
      </c>
    </row>
    <row r="1821" spans="1:43" x14ac:dyDescent="0.25">
      <c r="A1821" t="s">
        <v>27</v>
      </c>
      <c r="B1821" s="1">
        <v>45224</v>
      </c>
      <c r="C1821" s="7">
        <f t="shared" si="319"/>
        <v>2023</v>
      </c>
      <c r="D1821">
        <v>77.900000000000006</v>
      </c>
      <c r="E1821">
        <v>60.4</v>
      </c>
      <c r="F1821">
        <v>69.2</v>
      </c>
      <c r="G1821" s="2">
        <f t="shared" si="316"/>
        <v>0</v>
      </c>
      <c r="H1821">
        <v>77.900000000000006</v>
      </c>
      <c r="I1821">
        <v>60.4</v>
      </c>
      <c r="J1821">
        <v>69.2</v>
      </c>
      <c r="K1821">
        <v>61.8</v>
      </c>
      <c r="L1821">
        <v>77.900000000000006</v>
      </c>
      <c r="M1821" s="2">
        <f t="shared" si="320"/>
        <v>0</v>
      </c>
      <c r="N1821">
        <v>0</v>
      </c>
      <c r="P1821" s="2">
        <f t="shared" si="321"/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17.2</v>
      </c>
      <c r="W1821" s="2">
        <f t="shared" si="317"/>
        <v>1</v>
      </c>
      <c r="X1821">
        <v>9.5</v>
      </c>
      <c r="Z1821" s="2">
        <f t="shared" si="318"/>
        <v>0</v>
      </c>
      <c r="AA1821">
        <v>206.7</v>
      </c>
      <c r="AB1821" s="2" t="str">
        <f>CHOOSE(MATCH(AA1821,{0;11;80;111;161;191;241;281;341},1),"North","NorthEast","East","SouthEast","South","SouthWest","West","NorthWest","North")</f>
        <v>SouthWest</v>
      </c>
      <c r="AC1821" s="5">
        <f>CHOOSE(MATCH(AB1821,{"South";"SouthEast";"SouthWest";"North";"NorthEast";"East";"West";"NorthWest"},0),1,2,3,4,5,6,7,8)</f>
        <v>3</v>
      </c>
      <c r="AD1821" s="2">
        <f t="shared" si="322"/>
        <v>1</v>
      </c>
      <c r="AE1821">
        <v>1013.3</v>
      </c>
      <c r="AF1821" s="4" t="s">
        <v>2031</v>
      </c>
      <c r="AG1821" s="2">
        <f t="shared" si="323"/>
        <v>1</v>
      </c>
      <c r="AH1821" t="s">
        <v>2792</v>
      </c>
      <c r="AI1821" s="2">
        <f t="shared" si="324"/>
        <v>10</v>
      </c>
      <c r="AJ1821" s="2">
        <f t="shared" si="325"/>
        <v>0</v>
      </c>
      <c r="AK1821" s="3">
        <v>313.99999999674043</v>
      </c>
      <c r="AM1821" s="2">
        <v>0</v>
      </c>
      <c r="AN1821">
        <v>0</v>
      </c>
      <c r="AO1821">
        <v>1.5</v>
      </c>
      <c r="AP1821">
        <v>0</v>
      </c>
      <c r="AQ1821" s="2">
        <f>IF((2*G1821 + M1821 -P1821 + 3*W1821 + 2*Z1821+2*AD1821 + AG1821+2*AJ1821 + 4*AM1821) &gt;=8,1,0)</f>
        <v>0</v>
      </c>
    </row>
    <row r="1822" spans="1:43" x14ac:dyDescent="0.25">
      <c r="A1822" t="s">
        <v>27</v>
      </c>
      <c r="B1822" s="1">
        <v>45235</v>
      </c>
      <c r="C1822" s="7">
        <f t="shared" si="319"/>
        <v>2023</v>
      </c>
      <c r="D1822">
        <v>77</v>
      </c>
      <c r="E1822">
        <v>57.4</v>
      </c>
      <c r="F1822">
        <v>67.8</v>
      </c>
      <c r="G1822" s="2">
        <f t="shared" si="316"/>
        <v>0</v>
      </c>
      <c r="H1822">
        <v>77</v>
      </c>
      <c r="I1822">
        <v>57.4</v>
      </c>
      <c r="J1822">
        <v>67.8</v>
      </c>
      <c r="K1822">
        <v>52.6</v>
      </c>
      <c r="L1822">
        <v>59.3</v>
      </c>
      <c r="M1822" s="2">
        <f t="shared" si="320"/>
        <v>0</v>
      </c>
      <c r="N1822">
        <v>0</v>
      </c>
      <c r="P1822" s="2">
        <f t="shared" si="321"/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27.5</v>
      </c>
      <c r="W1822" s="2">
        <f t="shared" si="317"/>
        <v>1</v>
      </c>
      <c r="X1822">
        <v>12.5</v>
      </c>
      <c r="Z1822" s="2">
        <f t="shared" si="318"/>
        <v>0</v>
      </c>
      <c r="AA1822">
        <v>222</v>
      </c>
      <c r="AB1822" s="2" t="str">
        <f>CHOOSE(MATCH(AA1822,{0;11;80;111;161;191;241;281;341},1),"North","NorthEast","East","SouthEast","South","SouthWest","West","NorthWest","North")</f>
        <v>SouthWest</v>
      </c>
      <c r="AC1822" s="5">
        <f>CHOOSE(MATCH(AB1822,{"South";"SouthEast";"SouthWest";"North";"NorthEast";"East";"West";"NorthWest"},0),1,2,3,4,5,6,7,8)</f>
        <v>3</v>
      </c>
      <c r="AD1822" s="2">
        <f t="shared" si="322"/>
        <v>1</v>
      </c>
      <c r="AE1822">
        <v>1010.4</v>
      </c>
      <c r="AF1822" s="4" t="s">
        <v>2592</v>
      </c>
      <c r="AG1822" s="2">
        <f t="shared" si="323"/>
        <v>0</v>
      </c>
      <c r="AH1822" t="s">
        <v>2793</v>
      </c>
      <c r="AI1822" s="2">
        <f t="shared" si="324"/>
        <v>11</v>
      </c>
      <c r="AJ1822" s="2">
        <f t="shared" si="325"/>
        <v>0</v>
      </c>
      <c r="AK1822" s="3">
        <v>127.0000000053551</v>
      </c>
      <c r="AM1822" s="2">
        <v>0</v>
      </c>
      <c r="AN1822">
        <v>0</v>
      </c>
      <c r="AO1822">
        <v>2000</v>
      </c>
      <c r="AP1822">
        <v>0</v>
      </c>
      <c r="AQ1822" s="2">
        <f>IF((2*G1822 + M1822 -P1822 + 3*W1822 + 2*Z1822+2*AD1822 + AG1822+2*AJ1822 + 4*AM1822) &gt;=8,1,0)</f>
        <v>0</v>
      </c>
    </row>
    <row r="1823" spans="1:43" x14ac:dyDescent="0.25">
      <c r="A1823" t="s">
        <v>27</v>
      </c>
      <c r="B1823" s="1">
        <v>45306</v>
      </c>
      <c r="C1823" s="7">
        <f t="shared" si="319"/>
        <v>2024</v>
      </c>
      <c r="D1823">
        <v>57.9</v>
      </c>
      <c r="E1823">
        <v>42.4</v>
      </c>
      <c r="F1823">
        <v>50.7</v>
      </c>
      <c r="G1823" s="2">
        <f t="shared" si="316"/>
        <v>0</v>
      </c>
      <c r="H1823">
        <v>57.9</v>
      </c>
      <c r="I1823">
        <v>39.299999999999997</v>
      </c>
      <c r="J1823">
        <v>50</v>
      </c>
      <c r="K1823">
        <v>41.2</v>
      </c>
      <c r="L1823">
        <v>70.599999999999994</v>
      </c>
      <c r="M1823" s="2">
        <f t="shared" si="320"/>
        <v>0</v>
      </c>
      <c r="N1823">
        <v>8.9999999999999993E-3</v>
      </c>
      <c r="O1823">
        <f>AVERAGE(N1823:N1860)</f>
        <v>5.3157894736842112E-3</v>
      </c>
      <c r="P1823" s="2">
        <f t="shared" si="321"/>
        <v>1</v>
      </c>
      <c r="Q1823">
        <v>100</v>
      </c>
      <c r="R1823">
        <v>4.17</v>
      </c>
      <c r="S1823" t="s">
        <v>87</v>
      </c>
      <c r="T1823">
        <v>0</v>
      </c>
      <c r="U1823">
        <v>0</v>
      </c>
      <c r="V1823">
        <v>25.9</v>
      </c>
      <c r="W1823" s="2">
        <f t="shared" si="317"/>
        <v>1</v>
      </c>
      <c r="X1823">
        <v>8.6999999999999993</v>
      </c>
      <c r="Y1823">
        <f>AVERAGE(X1823:X1860)</f>
        <v>15.957894736842107</v>
      </c>
      <c r="Z1823" s="2">
        <f t="shared" si="318"/>
        <v>0</v>
      </c>
      <c r="AA1823">
        <v>229.3</v>
      </c>
      <c r="AB1823" s="2" t="str">
        <f>CHOOSE(MATCH(AA1823,{0;11;80;111;161;191;241;281;341},1),"North","NorthEast","East","SouthEast","South","SouthWest","West","NorthWest","North")</f>
        <v>SouthWest</v>
      </c>
      <c r="AC1823" s="5">
        <f>CHOOSE(MATCH(AB1823,{"South";"SouthEast";"SouthWest";"North";"NorthEast";"East";"West";"NorthWest"},0),1,2,3,4,5,6,7,8)</f>
        <v>3</v>
      </c>
      <c r="AD1823" s="2">
        <f t="shared" si="322"/>
        <v>1</v>
      </c>
      <c r="AE1823">
        <v>1011.6</v>
      </c>
      <c r="AF1823" s="4" t="s">
        <v>2411</v>
      </c>
      <c r="AG1823" s="2">
        <f t="shared" si="323"/>
        <v>1</v>
      </c>
      <c r="AH1823" t="s">
        <v>2794</v>
      </c>
      <c r="AI1823" s="2">
        <f t="shared" si="324"/>
        <v>1</v>
      </c>
      <c r="AJ1823" s="2">
        <f t="shared" si="325"/>
        <v>0</v>
      </c>
      <c r="AK1823" s="3">
        <v>121.0000000067521</v>
      </c>
      <c r="AL1823" s="3">
        <f>AVERAGE(AK1823:AK1860)</f>
        <v>2284.0263157903742</v>
      </c>
      <c r="AM1823" s="2">
        <v>0</v>
      </c>
      <c r="AN1823">
        <v>0</v>
      </c>
      <c r="AO1823">
        <v>2</v>
      </c>
      <c r="AP1823">
        <v>0</v>
      </c>
      <c r="AQ1823" s="2">
        <f>IF((2*G1823 + M1823 -P1823 + 3*W1823 + 2*Z1823+2*AD1823 + AG1823+2*AJ1823 + 4*AM1823) &gt;=8,1,0)</f>
        <v>0</v>
      </c>
    </row>
    <row r="1824" spans="1:43" x14ac:dyDescent="0.25">
      <c r="A1824" t="s">
        <v>27</v>
      </c>
      <c r="B1824" s="1">
        <v>45332</v>
      </c>
      <c r="C1824" s="7">
        <f t="shared" si="319"/>
        <v>2024</v>
      </c>
      <c r="D1824">
        <v>63.7</v>
      </c>
      <c r="E1824">
        <v>47.3</v>
      </c>
      <c r="F1824">
        <v>56.3</v>
      </c>
      <c r="G1824" s="2">
        <f t="shared" si="316"/>
        <v>0</v>
      </c>
      <c r="H1824">
        <v>63.7</v>
      </c>
      <c r="I1824">
        <v>47.3</v>
      </c>
      <c r="J1824">
        <v>56.3</v>
      </c>
      <c r="K1824">
        <v>48.1</v>
      </c>
      <c r="L1824">
        <v>74.8</v>
      </c>
      <c r="M1824" s="2">
        <f t="shared" si="320"/>
        <v>0</v>
      </c>
      <c r="N1824">
        <v>0</v>
      </c>
      <c r="P1824" s="2">
        <f t="shared" si="321"/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22.4</v>
      </c>
      <c r="W1824" s="2">
        <f t="shared" si="317"/>
        <v>1</v>
      </c>
      <c r="X1824">
        <v>11</v>
      </c>
      <c r="Z1824" s="2">
        <f t="shared" si="318"/>
        <v>0</v>
      </c>
      <c r="AA1824">
        <v>196.3</v>
      </c>
      <c r="AB1824" s="2" t="str">
        <f>CHOOSE(MATCH(AA1824,{0;11;80;111;161;191;241;281;341},1),"North","NorthEast","East","SouthEast","South","SouthWest","West","NorthWest","North")</f>
        <v>SouthWest</v>
      </c>
      <c r="AC1824" s="5">
        <f>CHOOSE(MATCH(AB1824,{"South";"SouthEast";"SouthWest";"North";"NorthEast";"East";"West";"NorthWest"},0),1,2,3,4,5,6,7,8)</f>
        <v>3</v>
      </c>
      <c r="AD1824" s="2">
        <f t="shared" si="322"/>
        <v>1</v>
      </c>
      <c r="AE1824">
        <v>1014.4</v>
      </c>
      <c r="AF1824" s="4" t="s">
        <v>2234</v>
      </c>
      <c r="AG1824" s="2">
        <f t="shared" si="323"/>
        <v>1</v>
      </c>
      <c r="AH1824" t="s">
        <v>2795</v>
      </c>
      <c r="AI1824" s="2">
        <f t="shared" si="324"/>
        <v>2</v>
      </c>
      <c r="AJ1824" s="2">
        <f t="shared" si="325"/>
        <v>0</v>
      </c>
      <c r="AK1824" s="3">
        <v>311.99999999022111</v>
      </c>
      <c r="AM1824" s="2">
        <v>0</v>
      </c>
      <c r="AN1824">
        <v>1</v>
      </c>
      <c r="AO1824">
        <v>3</v>
      </c>
      <c r="AP1824">
        <v>0</v>
      </c>
      <c r="AQ1824" s="2">
        <f>IF((2*G1824 + M1824 -P1824 + 3*W1824 + 2*Z1824+2*AD1824 + AG1824+2*AJ1824 + 4*AM1824) &gt;=8,1,0)</f>
        <v>0</v>
      </c>
    </row>
    <row r="1825" spans="1:43" x14ac:dyDescent="0.25">
      <c r="A1825" t="s">
        <v>27</v>
      </c>
      <c r="B1825" s="1">
        <v>45379</v>
      </c>
      <c r="C1825" s="7">
        <f t="shared" si="319"/>
        <v>2024</v>
      </c>
      <c r="D1825">
        <v>74</v>
      </c>
      <c r="E1825">
        <v>57.8</v>
      </c>
      <c r="F1825">
        <v>65.400000000000006</v>
      </c>
      <c r="G1825" s="2">
        <f t="shared" si="316"/>
        <v>0</v>
      </c>
      <c r="H1825">
        <v>74</v>
      </c>
      <c r="I1825">
        <v>57.8</v>
      </c>
      <c r="J1825">
        <v>65.400000000000006</v>
      </c>
      <c r="K1825">
        <v>51.7</v>
      </c>
      <c r="L1825">
        <v>63.3</v>
      </c>
      <c r="M1825" s="2">
        <f t="shared" si="320"/>
        <v>0</v>
      </c>
      <c r="N1825">
        <v>0</v>
      </c>
      <c r="P1825" s="2">
        <f t="shared" si="321"/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28.2</v>
      </c>
      <c r="W1825" s="2">
        <f t="shared" si="317"/>
        <v>1</v>
      </c>
      <c r="X1825">
        <v>10.7</v>
      </c>
      <c r="Z1825" s="2">
        <f t="shared" si="318"/>
        <v>0</v>
      </c>
      <c r="AA1825">
        <v>11.3</v>
      </c>
      <c r="AB1825" s="2" t="str">
        <f>CHOOSE(MATCH(AA1825,{0;11;80;111;161;191;241;281;341},1),"North","NorthEast","East","SouthEast","South","SouthWest","West","NorthWest","North")</f>
        <v>NorthEast</v>
      </c>
      <c r="AC1825" s="5">
        <f>CHOOSE(MATCH(AB1825,{"South";"SouthEast";"SouthWest";"North";"NorthEast";"East";"West";"NorthWest"},0),1,2,3,4,5,6,7,8)</f>
        <v>5</v>
      </c>
      <c r="AD1825" s="2">
        <f t="shared" si="322"/>
        <v>1</v>
      </c>
      <c r="AE1825">
        <v>1010.7</v>
      </c>
      <c r="AF1825" s="4" t="s">
        <v>2796</v>
      </c>
      <c r="AG1825" s="2">
        <f t="shared" si="323"/>
        <v>1</v>
      </c>
      <c r="AH1825" t="s">
        <v>2797</v>
      </c>
      <c r="AI1825" s="2">
        <f t="shared" si="324"/>
        <v>3</v>
      </c>
      <c r="AJ1825" s="2">
        <f t="shared" si="325"/>
        <v>0</v>
      </c>
      <c r="AK1825" s="3">
        <v>2.9999999993015081</v>
      </c>
      <c r="AM1825" s="2">
        <v>0</v>
      </c>
      <c r="AN1825">
        <v>0</v>
      </c>
      <c r="AO1825">
        <v>20</v>
      </c>
      <c r="AP1825">
        <v>0</v>
      </c>
      <c r="AQ1825" s="2">
        <f>IF((2*G1825 + M1825 -P1825 + 3*W1825 + 2*Z1825+2*AD1825 + AG1825+2*AJ1825 + 4*AM1825) &gt;=8,1,0)</f>
        <v>0</v>
      </c>
    </row>
    <row r="1826" spans="1:43" x14ac:dyDescent="0.25">
      <c r="A1826" t="s">
        <v>27</v>
      </c>
      <c r="B1826" s="1">
        <v>45389</v>
      </c>
      <c r="C1826" s="7">
        <f t="shared" si="319"/>
        <v>2024</v>
      </c>
      <c r="D1826">
        <v>75.900000000000006</v>
      </c>
      <c r="E1826">
        <v>54.4</v>
      </c>
      <c r="F1826">
        <v>63.7</v>
      </c>
      <c r="G1826" s="2">
        <f t="shared" si="316"/>
        <v>0</v>
      </c>
      <c r="H1826">
        <v>75.900000000000006</v>
      </c>
      <c r="I1826">
        <v>54.4</v>
      </c>
      <c r="J1826">
        <v>63.7</v>
      </c>
      <c r="K1826">
        <v>46.3</v>
      </c>
      <c r="L1826">
        <v>54.7</v>
      </c>
      <c r="M1826" s="2">
        <f t="shared" si="320"/>
        <v>0</v>
      </c>
      <c r="N1826">
        <v>8.0000000000000002E-3</v>
      </c>
      <c r="P1826" s="2">
        <f t="shared" si="321"/>
        <v>1</v>
      </c>
      <c r="Q1826">
        <v>100</v>
      </c>
      <c r="R1826">
        <v>4.17</v>
      </c>
      <c r="S1826" t="s">
        <v>87</v>
      </c>
      <c r="T1826">
        <v>0</v>
      </c>
      <c r="U1826">
        <v>0</v>
      </c>
      <c r="V1826">
        <v>35.6</v>
      </c>
      <c r="W1826" s="2">
        <f t="shared" si="317"/>
        <v>1</v>
      </c>
      <c r="X1826">
        <v>20</v>
      </c>
      <c r="Z1826" s="2">
        <f t="shared" si="318"/>
        <v>1</v>
      </c>
      <c r="AA1826">
        <v>8.6999999999999993</v>
      </c>
      <c r="AB1826" s="2" t="str">
        <f>CHOOSE(MATCH(AA1826,{0;11;80;111;161;191;241;281;341},1),"North","NorthEast","East","SouthEast","South","SouthWest","West","NorthWest","North")</f>
        <v>North</v>
      </c>
      <c r="AC1826" s="5">
        <f>CHOOSE(MATCH(AB1826,{"South";"SouthEast";"SouthWest";"North";"NorthEast";"East";"West";"NorthWest"},0),1,2,3,4,5,6,7,8)</f>
        <v>4</v>
      </c>
      <c r="AD1826" s="2">
        <f t="shared" si="322"/>
        <v>1</v>
      </c>
      <c r="AE1826">
        <v>1016.4</v>
      </c>
      <c r="AF1826" s="4" t="s">
        <v>1994</v>
      </c>
      <c r="AG1826" s="2">
        <f t="shared" si="323"/>
        <v>1</v>
      </c>
      <c r="AH1826" t="s">
        <v>2798</v>
      </c>
      <c r="AI1826" s="2">
        <f t="shared" si="324"/>
        <v>4</v>
      </c>
      <c r="AJ1826" s="2">
        <f t="shared" si="325"/>
        <v>0</v>
      </c>
      <c r="AK1826" s="3">
        <v>98.999999997904524</v>
      </c>
      <c r="AM1826" s="2">
        <v>0</v>
      </c>
      <c r="AN1826">
        <v>0.8</v>
      </c>
      <c r="AO1826">
        <v>0</v>
      </c>
      <c r="AP1826">
        <v>0</v>
      </c>
      <c r="AQ1826" s="2">
        <f>IF((2*G1826 + M1826 -P1826 + 3*W1826 + 2*Z1826+2*AD1826 + AG1826+2*AJ1826 + 4*AM1826) &gt;=8,1,0)</f>
        <v>0</v>
      </c>
    </row>
    <row r="1827" spans="1:43" x14ac:dyDescent="0.25">
      <c r="A1827" t="s">
        <v>27</v>
      </c>
      <c r="B1827" s="1">
        <v>45390</v>
      </c>
      <c r="C1827" s="7">
        <f t="shared" si="319"/>
        <v>2024</v>
      </c>
      <c r="D1827">
        <v>70.099999999999994</v>
      </c>
      <c r="E1827">
        <v>57.9</v>
      </c>
      <c r="F1827">
        <v>63.9</v>
      </c>
      <c r="G1827" s="2">
        <f t="shared" si="316"/>
        <v>0</v>
      </c>
      <c r="H1827">
        <v>70.099999999999994</v>
      </c>
      <c r="I1827">
        <v>57.9</v>
      </c>
      <c r="J1827">
        <v>63.9</v>
      </c>
      <c r="K1827">
        <v>40.4</v>
      </c>
      <c r="L1827">
        <v>43.8</v>
      </c>
      <c r="M1827" s="2">
        <f t="shared" si="320"/>
        <v>1</v>
      </c>
      <c r="N1827">
        <v>1E-3</v>
      </c>
      <c r="P1827" s="2">
        <f t="shared" si="321"/>
        <v>1</v>
      </c>
      <c r="Q1827">
        <v>100</v>
      </c>
      <c r="R1827">
        <v>4.17</v>
      </c>
      <c r="S1827" t="s">
        <v>87</v>
      </c>
      <c r="T1827">
        <v>0</v>
      </c>
      <c r="U1827">
        <v>0</v>
      </c>
      <c r="V1827">
        <v>37</v>
      </c>
      <c r="W1827" s="2">
        <f t="shared" si="317"/>
        <v>1</v>
      </c>
      <c r="X1827">
        <v>23.9</v>
      </c>
      <c r="Z1827" s="2">
        <f t="shared" si="318"/>
        <v>1</v>
      </c>
      <c r="AA1827">
        <v>2.1</v>
      </c>
      <c r="AB1827" s="2" t="str">
        <f>CHOOSE(MATCH(AA1827,{0;11;80;111;161;191;241;281;341},1),"North","NorthEast","East","SouthEast","South","SouthWest","West","NorthWest","North")</f>
        <v>North</v>
      </c>
      <c r="AC1827" s="5">
        <f>CHOOSE(MATCH(AB1827,{"South";"SouthEast";"SouthWest";"North";"NorthEast";"East";"West";"NorthWest"},0),1,2,3,4,5,6,7,8)</f>
        <v>4</v>
      </c>
      <c r="AD1827" s="2">
        <f t="shared" si="322"/>
        <v>1</v>
      </c>
      <c r="AE1827">
        <v>1018.2</v>
      </c>
      <c r="AF1827" s="4" t="s">
        <v>2288</v>
      </c>
      <c r="AG1827" s="2">
        <f t="shared" si="323"/>
        <v>0</v>
      </c>
      <c r="AH1827" t="s">
        <v>2799</v>
      </c>
      <c r="AI1827" s="2">
        <f t="shared" si="324"/>
        <v>4</v>
      </c>
      <c r="AJ1827" s="2">
        <f t="shared" si="325"/>
        <v>0</v>
      </c>
      <c r="AK1827" s="3">
        <v>1723.0000000004659</v>
      </c>
      <c r="AM1827" s="2">
        <v>1</v>
      </c>
      <c r="AN1827">
        <v>0</v>
      </c>
      <c r="AO1827">
        <v>6</v>
      </c>
      <c r="AP1827">
        <v>0</v>
      </c>
      <c r="AQ1827" s="2">
        <f>IF((2*G1827 + M1827 -P1827 + 3*W1827 + 2*Z1827+2*AD1827 + AG1827+2*AJ1827 + 4*AM1827) &gt;=8,1,0)</f>
        <v>1</v>
      </c>
    </row>
    <row r="1828" spans="1:43" x14ac:dyDescent="0.25">
      <c r="A1828" t="s">
        <v>27</v>
      </c>
      <c r="B1828" s="1">
        <v>45417</v>
      </c>
      <c r="C1828" s="7">
        <f t="shared" si="319"/>
        <v>2024</v>
      </c>
      <c r="D1828">
        <v>72.3</v>
      </c>
      <c r="E1828">
        <v>58.5</v>
      </c>
      <c r="F1828">
        <v>64.099999999999994</v>
      </c>
      <c r="G1828" s="2">
        <f t="shared" si="316"/>
        <v>0</v>
      </c>
      <c r="H1828">
        <v>72.3</v>
      </c>
      <c r="I1828">
        <v>58.5</v>
      </c>
      <c r="J1828">
        <v>64.099999999999994</v>
      </c>
      <c r="K1828">
        <v>48.3</v>
      </c>
      <c r="L1828">
        <v>57.7</v>
      </c>
      <c r="M1828" s="2">
        <f t="shared" si="320"/>
        <v>0</v>
      </c>
      <c r="N1828">
        <v>1.4E-2</v>
      </c>
      <c r="P1828" s="2">
        <f t="shared" si="321"/>
        <v>0</v>
      </c>
      <c r="Q1828">
        <v>100</v>
      </c>
      <c r="R1828">
        <v>8.33</v>
      </c>
      <c r="S1828" t="s">
        <v>87</v>
      </c>
      <c r="T1828">
        <v>0</v>
      </c>
      <c r="U1828">
        <v>0</v>
      </c>
      <c r="V1828">
        <v>32.9</v>
      </c>
      <c r="W1828" s="2">
        <f t="shared" si="317"/>
        <v>1</v>
      </c>
      <c r="X1828">
        <v>20.9</v>
      </c>
      <c r="Z1828" s="2">
        <f t="shared" si="318"/>
        <v>1</v>
      </c>
      <c r="AA1828">
        <v>7.9</v>
      </c>
      <c r="AB1828" s="2" t="str">
        <f>CHOOSE(MATCH(AA1828,{0;11;80;111;161;191;241;281;341},1),"North","NorthEast","East","SouthEast","South","SouthWest","West","NorthWest","North")</f>
        <v>North</v>
      </c>
      <c r="AC1828" s="5">
        <f>CHOOSE(MATCH(AB1828,{"South";"SouthEast";"SouthWest";"North";"NorthEast";"East";"West";"NorthWest"},0),1,2,3,4,5,6,7,8)</f>
        <v>4</v>
      </c>
      <c r="AD1828" s="2">
        <f t="shared" si="322"/>
        <v>1</v>
      </c>
      <c r="AE1828">
        <v>1014.1</v>
      </c>
      <c r="AF1828" s="4" t="s">
        <v>2131</v>
      </c>
      <c r="AG1828" s="2">
        <f t="shared" si="323"/>
        <v>1</v>
      </c>
      <c r="AH1828" t="s">
        <v>2800</v>
      </c>
      <c r="AI1828" s="2">
        <f t="shared" si="324"/>
        <v>5</v>
      </c>
      <c r="AJ1828" s="2">
        <f t="shared" si="325"/>
        <v>0</v>
      </c>
      <c r="AK1828" s="3">
        <v>227.00000000651929</v>
      </c>
      <c r="AM1828" s="2">
        <v>0</v>
      </c>
      <c r="AN1828">
        <v>0</v>
      </c>
      <c r="AO1828">
        <v>3</v>
      </c>
      <c r="AP1828">
        <v>0</v>
      </c>
      <c r="AQ1828" s="2">
        <f>IF((2*G1828 + M1828 -P1828 + 3*W1828 + 2*Z1828+2*AD1828 + AG1828+2*AJ1828 + 4*AM1828) &gt;=8,1,0)</f>
        <v>1</v>
      </c>
    </row>
    <row r="1829" spans="1:43" x14ac:dyDescent="0.25">
      <c r="A1829" t="s">
        <v>27</v>
      </c>
      <c r="B1829" s="1">
        <v>45419</v>
      </c>
      <c r="C1829" s="7">
        <f t="shared" si="319"/>
        <v>2024</v>
      </c>
      <c r="D1829">
        <v>78.900000000000006</v>
      </c>
      <c r="E1829">
        <v>56.1</v>
      </c>
      <c r="F1829">
        <v>68.099999999999994</v>
      </c>
      <c r="G1829" s="2">
        <f t="shared" si="316"/>
        <v>0</v>
      </c>
      <c r="H1829">
        <v>78.900000000000006</v>
      </c>
      <c r="I1829">
        <v>56.1</v>
      </c>
      <c r="J1829">
        <v>68.099999999999994</v>
      </c>
      <c r="K1829">
        <v>48</v>
      </c>
      <c r="L1829">
        <v>50.5</v>
      </c>
      <c r="M1829" s="2">
        <f t="shared" si="320"/>
        <v>0</v>
      </c>
      <c r="N1829">
        <v>0</v>
      </c>
      <c r="P1829" s="2">
        <f t="shared" si="321"/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25.1</v>
      </c>
      <c r="W1829" s="2">
        <f t="shared" si="317"/>
        <v>1</v>
      </c>
      <c r="X1829">
        <v>11</v>
      </c>
      <c r="Z1829" s="2">
        <f t="shared" si="318"/>
        <v>0</v>
      </c>
      <c r="AA1829">
        <v>180.9</v>
      </c>
      <c r="AB1829" s="2" t="str">
        <f>CHOOSE(MATCH(AA1829,{0;11;80;111;161;191;241;281;341},1),"North","NorthEast","East","SouthEast","South","SouthWest","West","NorthWest","North")</f>
        <v>South</v>
      </c>
      <c r="AC1829" s="5">
        <f>CHOOSE(MATCH(AB1829,{"South";"SouthEast";"SouthWest";"North";"NorthEast";"East";"West";"NorthWest"},0),1,2,3,4,5,6,7,8)</f>
        <v>1</v>
      </c>
      <c r="AD1829" s="2">
        <f t="shared" si="322"/>
        <v>0</v>
      </c>
      <c r="AE1829">
        <v>1014.8</v>
      </c>
      <c r="AF1829" s="4" t="s">
        <v>2801</v>
      </c>
      <c r="AG1829" s="2">
        <f t="shared" si="323"/>
        <v>0</v>
      </c>
      <c r="AH1829" t="s">
        <v>2802</v>
      </c>
      <c r="AI1829" s="2">
        <f t="shared" si="324"/>
        <v>5</v>
      </c>
      <c r="AJ1829" s="2">
        <f t="shared" si="325"/>
        <v>0</v>
      </c>
      <c r="AK1829" s="3">
        <v>177.00000000069849</v>
      </c>
      <c r="AM1829" s="2">
        <v>0</v>
      </c>
      <c r="AN1829">
        <v>0</v>
      </c>
      <c r="AO1829">
        <v>1</v>
      </c>
      <c r="AP1829">
        <v>0</v>
      </c>
      <c r="AQ1829" s="2">
        <f>IF((2*G1829 + M1829 -P1829 + 3*W1829 + 2*Z1829+2*AD1829 + AG1829+2*AJ1829 + 4*AM1829) &gt;=8,1,0)</f>
        <v>0</v>
      </c>
    </row>
    <row r="1830" spans="1:43" x14ac:dyDescent="0.25">
      <c r="A1830" t="s">
        <v>27</v>
      </c>
      <c r="B1830" s="1">
        <v>45425</v>
      </c>
      <c r="C1830" s="7">
        <f t="shared" si="319"/>
        <v>2024</v>
      </c>
      <c r="D1830">
        <v>76.900000000000006</v>
      </c>
      <c r="E1830">
        <v>56.1</v>
      </c>
      <c r="F1830">
        <v>65.7</v>
      </c>
      <c r="G1830" s="2">
        <f t="shared" si="316"/>
        <v>0</v>
      </c>
      <c r="H1830">
        <v>76.900000000000006</v>
      </c>
      <c r="I1830">
        <v>56.1</v>
      </c>
      <c r="J1830">
        <v>65.7</v>
      </c>
      <c r="K1830">
        <v>47.2</v>
      </c>
      <c r="L1830">
        <v>52.6</v>
      </c>
      <c r="M1830" s="2">
        <f t="shared" si="320"/>
        <v>0</v>
      </c>
      <c r="N1830">
        <v>8.9999999999999993E-3</v>
      </c>
      <c r="P1830" s="2">
        <f t="shared" si="321"/>
        <v>1</v>
      </c>
      <c r="Q1830">
        <v>100</v>
      </c>
      <c r="R1830">
        <v>4.17</v>
      </c>
      <c r="S1830" t="s">
        <v>87</v>
      </c>
      <c r="T1830">
        <v>0</v>
      </c>
      <c r="U1830">
        <v>0</v>
      </c>
      <c r="V1830">
        <v>21.4</v>
      </c>
      <c r="W1830" s="2">
        <f t="shared" si="317"/>
        <v>1</v>
      </c>
      <c r="X1830">
        <v>11.5</v>
      </c>
      <c r="Z1830" s="2">
        <f t="shared" si="318"/>
        <v>0</v>
      </c>
      <c r="AA1830">
        <v>42.4</v>
      </c>
      <c r="AB1830" s="2" t="str">
        <f>CHOOSE(MATCH(AA1830,{0;11;80;111;161;191;241;281;341},1),"North","NorthEast","East","SouthEast","South","SouthWest","West","NorthWest","North")</f>
        <v>NorthEast</v>
      </c>
      <c r="AC1830" s="5">
        <f>CHOOSE(MATCH(AB1830,{"South";"SouthEast";"SouthWest";"North";"NorthEast";"East";"West";"NorthWest"},0),1,2,3,4,5,6,7,8)</f>
        <v>5</v>
      </c>
      <c r="AD1830" s="2">
        <f t="shared" si="322"/>
        <v>1</v>
      </c>
      <c r="AE1830">
        <v>1015.5</v>
      </c>
      <c r="AF1830" s="4" t="s">
        <v>1072</v>
      </c>
      <c r="AG1830" s="2">
        <f t="shared" si="323"/>
        <v>1</v>
      </c>
      <c r="AH1830" t="s">
        <v>2803</v>
      </c>
      <c r="AI1830" s="2">
        <f t="shared" si="324"/>
        <v>5</v>
      </c>
      <c r="AJ1830" s="2">
        <f t="shared" si="325"/>
        <v>0</v>
      </c>
      <c r="AK1830" s="3">
        <v>354.99999999417918</v>
      </c>
      <c r="AM1830" s="2">
        <v>0</v>
      </c>
      <c r="AN1830">
        <v>0</v>
      </c>
      <c r="AO1830">
        <v>5</v>
      </c>
      <c r="AP1830">
        <v>0</v>
      </c>
      <c r="AQ1830" s="2">
        <f>IF((2*G1830 + M1830 -P1830 + 3*W1830 + 2*Z1830+2*AD1830 + AG1830+2*AJ1830 + 4*AM1830) &gt;=8,1,0)</f>
        <v>0</v>
      </c>
    </row>
    <row r="1831" spans="1:43" x14ac:dyDescent="0.25">
      <c r="A1831" t="s">
        <v>27</v>
      </c>
      <c r="B1831" s="1">
        <v>45437</v>
      </c>
      <c r="C1831" s="7">
        <f t="shared" si="319"/>
        <v>2024</v>
      </c>
      <c r="D1831">
        <v>81.400000000000006</v>
      </c>
      <c r="E1831">
        <v>60.6</v>
      </c>
      <c r="F1831">
        <v>72.599999999999994</v>
      </c>
      <c r="G1831" s="2">
        <f t="shared" si="316"/>
        <v>0</v>
      </c>
      <c r="H1831">
        <v>80.5</v>
      </c>
      <c r="I1831">
        <v>60.6</v>
      </c>
      <c r="J1831">
        <v>72.400000000000006</v>
      </c>
      <c r="K1831">
        <v>51.4</v>
      </c>
      <c r="L1831">
        <v>49.7</v>
      </c>
      <c r="M1831" s="2">
        <f t="shared" si="320"/>
        <v>0</v>
      </c>
      <c r="N1831">
        <v>0</v>
      </c>
      <c r="P1831" s="2">
        <f t="shared" si="321"/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24.3</v>
      </c>
      <c r="W1831" s="2">
        <f t="shared" si="317"/>
        <v>1</v>
      </c>
      <c r="X1831">
        <v>14.7</v>
      </c>
      <c r="Z1831" s="2">
        <f t="shared" si="318"/>
        <v>0</v>
      </c>
      <c r="AA1831">
        <v>44.3</v>
      </c>
      <c r="AB1831" s="2" t="str">
        <f>CHOOSE(MATCH(AA1831,{0;11;80;111;161;191;241;281;341},1),"North","NorthEast","East","SouthEast","South","SouthWest","West","NorthWest","North")</f>
        <v>NorthEast</v>
      </c>
      <c r="AC1831" s="5">
        <f>CHOOSE(MATCH(AB1831,{"South";"SouthEast";"SouthWest";"North";"NorthEast";"East";"West";"NorthWest"},0),1,2,3,4,5,6,7,8)</f>
        <v>5</v>
      </c>
      <c r="AD1831" s="2">
        <f t="shared" si="322"/>
        <v>1</v>
      </c>
      <c r="AE1831">
        <v>1014.8</v>
      </c>
      <c r="AF1831" s="4" t="s">
        <v>2804</v>
      </c>
      <c r="AG1831" s="2">
        <f t="shared" si="323"/>
        <v>1</v>
      </c>
      <c r="AH1831" t="s">
        <v>2805</v>
      </c>
      <c r="AI1831" s="2">
        <f t="shared" si="324"/>
        <v>5</v>
      </c>
      <c r="AJ1831" s="2">
        <f t="shared" si="325"/>
        <v>0</v>
      </c>
      <c r="AK1831" s="3">
        <v>415.9999999939464</v>
      </c>
      <c r="AM1831" s="2">
        <v>1</v>
      </c>
      <c r="AN1831">
        <v>0</v>
      </c>
      <c r="AO1831">
        <v>2.5</v>
      </c>
      <c r="AP1831">
        <v>0</v>
      </c>
      <c r="AQ1831" s="2">
        <f>IF((2*G1831 + M1831 -P1831 + 3*W1831 + 2*Z1831+2*AD1831 + AG1831+2*AJ1831 + 4*AM1831) &gt;=8,1,0)</f>
        <v>1</v>
      </c>
    </row>
    <row r="1832" spans="1:43" x14ac:dyDescent="0.25">
      <c r="A1832" t="s">
        <v>27</v>
      </c>
      <c r="B1832" s="1">
        <v>45437</v>
      </c>
      <c r="C1832" s="7">
        <f t="shared" si="319"/>
        <v>2024</v>
      </c>
      <c r="D1832">
        <v>81.400000000000006</v>
      </c>
      <c r="E1832">
        <v>60.6</v>
      </c>
      <c r="F1832">
        <v>72.599999999999994</v>
      </c>
      <c r="G1832" s="2">
        <f t="shared" si="316"/>
        <v>0</v>
      </c>
      <c r="H1832">
        <v>80.5</v>
      </c>
      <c r="I1832">
        <v>60.6</v>
      </c>
      <c r="J1832">
        <v>72.400000000000006</v>
      </c>
      <c r="K1832">
        <v>51.4</v>
      </c>
      <c r="L1832">
        <v>49.7</v>
      </c>
      <c r="M1832" s="2">
        <f t="shared" si="320"/>
        <v>0</v>
      </c>
      <c r="N1832">
        <v>0</v>
      </c>
      <c r="P1832" s="2">
        <f t="shared" si="321"/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24.3</v>
      </c>
      <c r="W1832" s="2">
        <f t="shared" si="317"/>
        <v>1</v>
      </c>
      <c r="X1832">
        <v>14.7</v>
      </c>
      <c r="Z1832" s="2">
        <f t="shared" si="318"/>
        <v>0</v>
      </c>
      <c r="AA1832">
        <v>44.3</v>
      </c>
      <c r="AB1832" s="2" t="str">
        <f>CHOOSE(MATCH(AA1832,{0;11;80;111;161;191;241;281;341},1),"North","NorthEast","East","SouthEast","South","SouthWest","West","NorthWest","North")</f>
        <v>NorthEast</v>
      </c>
      <c r="AC1832" s="5">
        <f>CHOOSE(MATCH(AB1832,{"South";"SouthEast";"SouthWest";"North";"NorthEast";"East";"West";"NorthWest"},0),1,2,3,4,5,6,7,8)</f>
        <v>5</v>
      </c>
      <c r="AD1832" s="2">
        <f t="shared" si="322"/>
        <v>1</v>
      </c>
      <c r="AE1832">
        <v>1014.8</v>
      </c>
      <c r="AF1832" s="4" t="s">
        <v>2599</v>
      </c>
      <c r="AG1832" s="2">
        <f t="shared" si="323"/>
        <v>1</v>
      </c>
      <c r="AH1832" t="s">
        <v>2806</v>
      </c>
      <c r="AI1832" s="2">
        <f t="shared" si="324"/>
        <v>5</v>
      </c>
      <c r="AJ1832" s="2">
        <f t="shared" si="325"/>
        <v>0</v>
      </c>
      <c r="AK1832" s="3">
        <v>1736.0000000009311</v>
      </c>
      <c r="AM1832" s="2">
        <v>1</v>
      </c>
      <c r="AN1832">
        <v>0</v>
      </c>
      <c r="AO1832">
        <v>15</v>
      </c>
      <c r="AP1832">
        <v>0</v>
      </c>
      <c r="AQ1832" s="2">
        <f>IF((2*G1832 + M1832 -P1832 + 3*W1832 + 2*Z1832+2*AD1832 + AG1832+2*AJ1832 + 4*AM1832) &gt;=8,1,0)</f>
        <v>1</v>
      </c>
    </row>
    <row r="1833" spans="1:43" x14ac:dyDescent="0.25">
      <c r="A1833" t="s">
        <v>27</v>
      </c>
      <c r="B1833" s="1">
        <v>45442</v>
      </c>
      <c r="C1833" s="7">
        <f t="shared" si="319"/>
        <v>2024</v>
      </c>
      <c r="D1833">
        <v>81.2</v>
      </c>
      <c r="E1833">
        <v>60.3</v>
      </c>
      <c r="F1833">
        <v>71.3</v>
      </c>
      <c r="G1833" s="2">
        <f t="shared" si="316"/>
        <v>0</v>
      </c>
      <c r="H1833">
        <v>80.400000000000006</v>
      </c>
      <c r="I1833">
        <v>60.3</v>
      </c>
      <c r="J1833">
        <v>71.3</v>
      </c>
      <c r="K1833">
        <v>53</v>
      </c>
      <c r="L1833">
        <v>54.1</v>
      </c>
      <c r="M1833" s="2">
        <f t="shared" si="320"/>
        <v>0</v>
      </c>
      <c r="N1833">
        <v>0</v>
      </c>
      <c r="P1833" s="2">
        <f t="shared" si="321"/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23.5</v>
      </c>
      <c r="W1833" s="2">
        <f t="shared" si="317"/>
        <v>1</v>
      </c>
      <c r="X1833">
        <v>14.2</v>
      </c>
      <c r="Z1833" s="2">
        <f t="shared" si="318"/>
        <v>0</v>
      </c>
      <c r="AA1833">
        <v>179.7</v>
      </c>
      <c r="AB1833" s="2" t="str">
        <f>CHOOSE(MATCH(AA1833,{0;11;80;111;161;191;241;281;341},1),"North","NorthEast","East","SouthEast","South","SouthWest","West","NorthWest","North")</f>
        <v>South</v>
      </c>
      <c r="AC1833" s="5">
        <f>CHOOSE(MATCH(AB1833,{"South";"SouthEast";"SouthWest";"North";"NorthEast";"East";"West";"NorthWest"},0),1,2,3,4,5,6,7,8)</f>
        <v>1</v>
      </c>
      <c r="AD1833" s="2">
        <f t="shared" si="322"/>
        <v>0</v>
      </c>
      <c r="AE1833">
        <v>1010.6</v>
      </c>
      <c r="AF1833" s="4" t="s">
        <v>1116</v>
      </c>
      <c r="AG1833" s="2">
        <f t="shared" si="323"/>
        <v>1</v>
      </c>
      <c r="AH1833" t="s">
        <v>2807</v>
      </c>
      <c r="AI1833" s="2">
        <f t="shared" si="324"/>
        <v>5</v>
      </c>
      <c r="AJ1833" s="2">
        <f t="shared" si="325"/>
        <v>0</v>
      </c>
      <c r="AK1833" s="3">
        <v>310.00000000465661</v>
      </c>
      <c r="AM1833" s="2">
        <v>0</v>
      </c>
      <c r="AN1833">
        <v>0</v>
      </c>
      <c r="AO1833">
        <v>3</v>
      </c>
      <c r="AP1833">
        <v>0</v>
      </c>
      <c r="AQ1833" s="2">
        <f>IF((2*G1833 + M1833 -P1833 + 3*W1833 + 2*Z1833+2*AD1833 + AG1833+2*AJ1833 + 4*AM1833) &gt;=8,1,0)</f>
        <v>0</v>
      </c>
    </row>
    <row r="1834" spans="1:43" x14ac:dyDescent="0.25">
      <c r="A1834" t="s">
        <v>27</v>
      </c>
      <c r="B1834" s="1">
        <v>45447</v>
      </c>
      <c r="C1834" s="7">
        <f t="shared" si="319"/>
        <v>2024</v>
      </c>
      <c r="D1834">
        <v>96.7</v>
      </c>
      <c r="E1834">
        <v>67.900000000000006</v>
      </c>
      <c r="F1834">
        <v>83.4</v>
      </c>
      <c r="G1834" s="2">
        <f t="shared" si="316"/>
        <v>1</v>
      </c>
      <c r="H1834">
        <v>94</v>
      </c>
      <c r="I1834">
        <v>67.900000000000006</v>
      </c>
      <c r="J1834">
        <v>82.1</v>
      </c>
      <c r="K1834">
        <v>50.4</v>
      </c>
      <c r="L1834">
        <v>33.4</v>
      </c>
      <c r="M1834" s="2">
        <f t="shared" si="320"/>
        <v>1</v>
      </c>
      <c r="N1834">
        <v>0</v>
      </c>
      <c r="P1834" s="2">
        <f t="shared" si="321"/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28.9</v>
      </c>
      <c r="W1834" s="2">
        <f t="shared" si="317"/>
        <v>1</v>
      </c>
      <c r="X1834">
        <v>10</v>
      </c>
      <c r="Z1834" s="2">
        <f t="shared" si="318"/>
        <v>0</v>
      </c>
      <c r="AA1834">
        <v>346.7</v>
      </c>
      <c r="AB1834" s="2" t="str">
        <f>CHOOSE(MATCH(AA1834,{0;11;80;111;161;191;241;281;341},1),"North","NorthEast","East","SouthEast","South","SouthWest","West","NorthWest","North")</f>
        <v>North</v>
      </c>
      <c r="AC1834" s="5">
        <f>CHOOSE(MATCH(AB1834,{"South";"SouthEast";"SouthWest";"North";"NorthEast";"East";"West";"NorthWest"},0),1,2,3,4,5,6,7,8)</f>
        <v>4</v>
      </c>
      <c r="AD1834" s="2">
        <f t="shared" si="322"/>
        <v>1</v>
      </c>
      <c r="AE1834">
        <v>1011.1</v>
      </c>
      <c r="AF1834" s="4" t="s">
        <v>1066</v>
      </c>
      <c r="AG1834" s="2">
        <f t="shared" si="323"/>
        <v>0</v>
      </c>
      <c r="AH1834" t="s">
        <v>2808</v>
      </c>
      <c r="AI1834" s="2">
        <f t="shared" si="324"/>
        <v>6</v>
      </c>
      <c r="AJ1834" s="2">
        <f t="shared" si="325"/>
        <v>1</v>
      </c>
      <c r="AK1834" s="3">
        <v>420.00000000698492</v>
      </c>
      <c r="AM1834" s="2">
        <v>1</v>
      </c>
      <c r="AN1834">
        <v>0</v>
      </c>
      <c r="AO1834">
        <v>1000</v>
      </c>
      <c r="AP1834">
        <v>0</v>
      </c>
      <c r="AQ1834" s="2">
        <f>IF((2*G1834 + M1834 -P1834 + 3*W1834 + 2*Z1834+2*AD1834 + AG1834+2*AJ1834 + 4*AM1834) &gt;=8,1,0)</f>
        <v>1</v>
      </c>
    </row>
    <row r="1835" spans="1:43" x14ac:dyDescent="0.25">
      <c r="A1835" t="s">
        <v>27</v>
      </c>
      <c r="B1835" s="1">
        <v>45459</v>
      </c>
      <c r="C1835" s="7">
        <f t="shared" si="319"/>
        <v>2024</v>
      </c>
      <c r="D1835">
        <v>89</v>
      </c>
      <c r="E1835">
        <v>68.5</v>
      </c>
      <c r="F1835">
        <v>79.400000000000006</v>
      </c>
      <c r="G1835" s="2">
        <f t="shared" si="316"/>
        <v>1</v>
      </c>
      <c r="H1835">
        <v>86.4</v>
      </c>
      <c r="I1835">
        <v>68.5</v>
      </c>
      <c r="J1835">
        <v>78.599999999999994</v>
      </c>
      <c r="K1835">
        <v>54.6</v>
      </c>
      <c r="L1835">
        <v>44.2</v>
      </c>
      <c r="M1835" s="2">
        <f t="shared" si="320"/>
        <v>1</v>
      </c>
      <c r="N1835">
        <v>0</v>
      </c>
      <c r="P1835" s="2">
        <f t="shared" si="321"/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17.899999999999999</v>
      </c>
      <c r="W1835" s="2">
        <f t="shared" si="317"/>
        <v>1</v>
      </c>
      <c r="X1835">
        <v>11.9</v>
      </c>
      <c r="Z1835" s="2">
        <f t="shared" si="318"/>
        <v>0</v>
      </c>
      <c r="AA1835">
        <v>120.9</v>
      </c>
      <c r="AB1835" s="2" t="str">
        <f>CHOOSE(MATCH(AA1835,{0;11;80;111;161;191;241;281;341},1),"North","NorthEast","East","SouthEast","South","SouthWest","West","NorthWest","North")</f>
        <v>SouthEast</v>
      </c>
      <c r="AC1835" s="5">
        <f>CHOOSE(MATCH(AB1835,{"South";"SouthEast";"SouthWest";"North";"NorthEast";"East";"West";"NorthWest"},0),1,2,3,4,5,6,7,8)</f>
        <v>2</v>
      </c>
      <c r="AD1835" s="2">
        <f t="shared" si="322"/>
        <v>0</v>
      </c>
      <c r="AE1835">
        <v>1010.8</v>
      </c>
      <c r="AF1835" s="4" t="s">
        <v>1224</v>
      </c>
      <c r="AG1835" s="2">
        <f t="shared" si="323"/>
        <v>1</v>
      </c>
      <c r="AH1835" t="s">
        <v>2809</v>
      </c>
      <c r="AI1835" s="2">
        <f t="shared" si="324"/>
        <v>6</v>
      </c>
      <c r="AJ1835" s="2">
        <f t="shared" si="325"/>
        <v>1</v>
      </c>
      <c r="AK1835" s="3">
        <v>229.00000000256111</v>
      </c>
      <c r="AM1835" s="2">
        <v>0</v>
      </c>
      <c r="AN1835">
        <v>0</v>
      </c>
      <c r="AO1835">
        <v>0.2</v>
      </c>
      <c r="AP1835">
        <v>0</v>
      </c>
      <c r="AQ1835" s="2">
        <f>IF((2*G1835 + M1835 -P1835 + 3*W1835 + 2*Z1835+2*AD1835 + AG1835+2*AJ1835 + 4*AM1835) &gt;=8,1,0)</f>
        <v>1</v>
      </c>
    </row>
    <row r="1836" spans="1:43" x14ac:dyDescent="0.25">
      <c r="A1836" t="s">
        <v>27</v>
      </c>
      <c r="B1836" s="1">
        <v>45462</v>
      </c>
      <c r="C1836" s="7">
        <f t="shared" si="319"/>
        <v>2024</v>
      </c>
      <c r="D1836">
        <v>95.1</v>
      </c>
      <c r="E1836">
        <v>82.1</v>
      </c>
      <c r="F1836">
        <v>88.3</v>
      </c>
      <c r="G1836" s="2">
        <f t="shared" si="316"/>
        <v>1</v>
      </c>
      <c r="H1836">
        <v>91</v>
      </c>
      <c r="I1836">
        <v>80.5</v>
      </c>
      <c r="J1836">
        <v>85.4</v>
      </c>
      <c r="K1836">
        <v>46.8</v>
      </c>
      <c r="L1836">
        <v>24.3</v>
      </c>
      <c r="M1836" s="2">
        <f t="shared" si="320"/>
        <v>1</v>
      </c>
      <c r="N1836">
        <v>0</v>
      </c>
      <c r="P1836" s="2">
        <f t="shared" si="321"/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36.5</v>
      </c>
      <c r="W1836" s="2">
        <f t="shared" si="317"/>
        <v>1</v>
      </c>
      <c r="X1836">
        <v>21.9</v>
      </c>
      <c r="Z1836" s="2">
        <f t="shared" si="318"/>
        <v>1</v>
      </c>
      <c r="AA1836">
        <v>1.1000000000000001</v>
      </c>
      <c r="AB1836" s="2" t="str">
        <f>CHOOSE(MATCH(AA1836,{0;11;80;111;161;191;241;281;341},1),"North","NorthEast","East","SouthEast","South","SouthWest","West","NorthWest","North")</f>
        <v>North</v>
      </c>
      <c r="AC1836" s="5">
        <f>CHOOSE(MATCH(AB1836,{"South";"SouthEast";"SouthWest";"North";"NorthEast";"East";"West";"NorthWest"},0),1,2,3,4,5,6,7,8)</f>
        <v>4</v>
      </c>
      <c r="AD1836" s="2">
        <f t="shared" si="322"/>
        <v>1</v>
      </c>
      <c r="AE1836">
        <v>1013.8</v>
      </c>
      <c r="AF1836" s="4" t="s">
        <v>2810</v>
      </c>
      <c r="AG1836" s="2">
        <f t="shared" si="323"/>
        <v>1</v>
      </c>
      <c r="AH1836" t="s">
        <v>2811</v>
      </c>
      <c r="AI1836" s="2">
        <f t="shared" si="324"/>
        <v>6</v>
      </c>
      <c r="AJ1836" s="2">
        <f t="shared" si="325"/>
        <v>1</v>
      </c>
      <c r="AK1836" s="3">
        <v>805.00000000465661</v>
      </c>
      <c r="AM1836" s="2">
        <v>1</v>
      </c>
      <c r="AN1836">
        <v>0</v>
      </c>
      <c r="AO1836">
        <v>2</v>
      </c>
      <c r="AP1836">
        <v>0</v>
      </c>
      <c r="AQ1836" s="2">
        <f>IF((2*G1836 + M1836 -P1836 + 3*W1836 + 2*Z1836+2*AD1836 + AG1836+2*AJ1836 + 4*AM1836) &gt;=8,1,0)</f>
        <v>1</v>
      </c>
    </row>
    <row r="1837" spans="1:43" x14ac:dyDescent="0.25">
      <c r="A1837" t="s">
        <v>27</v>
      </c>
      <c r="B1837" s="1">
        <v>45462</v>
      </c>
      <c r="C1837" s="7">
        <f t="shared" si="319"/>
        <v>2024</v>
      </c>
      <c r="D1837">
        <v>95.1</v>
      </c>
      <c r="E1837">
        <v>82.1</v>
      </c>
      <c r="F1837">
        <v>88.3</v>
      </c>
      <c r="G1837" s="2">
        <f t="shared" si="316"/>
        <v>1</v>
      </c>
      <c r="H1837">
        <v>91</v>
      </c>
      <c r="I1837">
        <v>80.5</v>
      </c>
      <c r="J1837">
        <v>85.4</v>
      </c>
      <c r="K1837">
        <v>46.8</v>
      </c>
      <c r="L1837">
        <v>24.3</v>
      </c>
      <c r="M1837" s="2">
        <f t="shared" si="320"/>
        <v>1</v>
      </c>
      <c r="N1837">
        <v>0</v>
      </c>
      <c r="P1837" s="2">
        <f t="shared" si="321"/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36.5</v>
      </c>
      <c r="W1837" s="2">
        <f t="shared" si="317"/>
        <v>1</v>
      </c>
      <c r="X1837">
        <v>21.9</v>
      </c>
      <c r="Z1837" s="2">
        <f t="shared" si="318"/>
        <v>1</v>
      </c>
      <c r="AA1837">
        <v>1.1000000000000001</v>
      </c>
      <c r="AB1837" s="2" t="str">
        <f>CHOOSE(MATCH(AA1837,{0;11;80;111;161;191;241;281;341},1),"North","NorthEast","East","SouthEast","South","SouthWest","West","NorthWest","North")</f>
        <v>North</v>
      </c>
      <c r="AC1837" s="5">
        <f>CHOOSE(MATCH(AB1837,{"South";"SouthEast";"SouthWest";"North";"NorthEast";"East";"West";"NorthWest"},0),1,2,3,4,5,6,7,8)</f>
        <v>4</v>
      </c>
      <c r="AD1837" s="2">
        <f t="shared" si="322"/>
        <v>1</v>
      </c>
      <c r="AE1837">
        <v>1013.8</v>
      </c>
      <c r="AF1837" s="4" t="s">
        <v>1817</v>
      </c>
      <c r="AG1837" s="2">
        <f t="shared" si="323"/>
        <v>1</v>
      </c>
      <c r="AH1837" t="s">
        <v>2812</v>
      </c>
      <c r="AI1837" s="2">
        <f t="shared" si="324"/>
        <v>6</v>
      </c>
      <c r="AJ1837" s="2">
        <f t="shared" si="325"/>
        <v>1</v>
      </c>
      <c r="AK1837" s="3">
        <v>9177.0000000006985</v>
      </c>
      <c r="AM1837" s="2">
        <v>1</v>
      </c>
      <c r="AN1837">
        <v>1000</v>
      </c>
      <c r="AO1837">
        <v>0</v>
      </c>
      <c r="AP1837">
        <v>0</v>
      </c>
      <c r="AQ1837" s="2">
        <f>IF((2*G1837 + M1837 -P1837 + 3*W1837 + 2*Z1837+2*AD1837 + AG1837+2*AJ1837 + 4*AM1837) &gt;=8,1,0)</f>
        <v>1</v>
      </c>
    </row>
    <row r="1838" spans="1:43" x14ac:dyDescent="0.25">
      <c r="A1838" t="s">
        <v>27</v>
      </c>
      <c r="B1838" s="1">
        <v>45464</v>
      </c>
      <c r="C1838" s="7">
        <f t="shared" si="319"/>
        <v>2024</v>
      </c>
      <c r="D1838">
        <v>94.9</v>
      </c>
      <c r="E1838">
        <v>84.9</v>
      </c>
      <c r="F1838">
        <v>89.1</v>
      </c>
      <c r="G1838" s="2">
        <f t="shared" si="316"/>
        <v>1</v>
      </c>
      <c r="H1838">
        <v>92.5</v>
      </c>
      <c r="I1838">
        <v>82.2</v>
      </c>
      <c r="J1838">
        <v>86.7</v>
      </c>
      <c r="K1838">
        <v>51.6</v>
      </c>
      <c r="L1838">
        <v>28.2</v>
      </c>
      <c r="M1838" s="2">
        <f t="shared" si="320"/>
        <v>1</v>
      </c>
      <c r="N1838">
        <v>0</v>
      </c>
      <c r="P1838" s="2">
        <f t="shared" si="321"/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48.3</v>
      </c>
      <c r="W1838" s="2">
        <f t="shared" si="317"/>
        <v>1</v>
      </c>
      <c r="X1838">
        <v>22.2</v>
      </c>
      <c r="Z1838" s="2">
        <f t="shared" si="318"/>
        <v>1</v>
      </c>
      <c r="AA1838">
        <v>5.9</v>
      </c>
      <c r="AB1838" s="2" t="str">
        <f>CHOOSE(MATCH(AA1838,{0;11;80;111;161;191;241;281;341},1),"North","NorthEast","East","SouthEast","South","SouthWest","West","NorthWest","North")</f>
        <v>North</v>
      </c>
      <c r="AC1838" s="5">
        <f>CHOOSE(MATCH(AB1838,{"South";"SouthEast";"SouthWest";"North";"NorthEast";"East";"West";"NorthWest"},0),1,2,3,4,5,6,7,8)</f>
        <v>4</v>
      </c>
      <c r="AD1838" s="2">
        <f t="shared" si="322"/>
        <v>1</v>
      </c>
      <c r="AE1838">
        <v>1011.6</v>
      </c>
      <c r="AF1838" s="4" t="s">
        <v>1857</v>
      </c>
      <c r="AG1838" s="2">
        <f t="shared" si="323"/>
        <v>1</v>
      </c>
      <c r="AH1838" t="s">
        <v>2813</v>
      </c>
      <c r="AI1838" s="2">
        <f t="shared" si="324"/>
        <v>6</v>
      </c>
      <c r="AJ1838" s="2">
        <f t="shared" si="325"/>
        <v>1</v>
      </c>
      <c r="AK1838" s="3">
        <v>6866.9999999937136</v>
      </c>
      <c r="AM1838" s="2">
        <v>1</v>
      </c>
      <c r="AN1838">
        <v>0</v>
      </c>
      <c r="AO1838">
        <v>150</v>
      </c>
      <c r="AP1838">
        <v>0</v>
      </c>
      <c r="AQ1838" s="2">
        <f>IF((2*G1838 + M1838 -P1838 + 3*W1838 + 2*Z1838+2*AD1838 + AG1838+2*AJ1838 + 4*AM1838) &gt;=8,1,0)</f>
        <v>1</v>
      </c>
    </row>
    <row r="1839" spans="1:43" x14ac:dyDescent="0.25">
      <c r="A1839" t="s">
        <v>27</v>
      </c>
      <c r="B1839" s="1">
        <v>45465</v>
      </c>
      <c r="C1839" s="7">
        <f t="shared" si="319"/>
        <v>2024</v>
      </c>
      <c r="D1839">
        <v>93.1</v>
      </c>
      <c r="E1839">
        <v>80.7</v>
      </c>
      <c r="F1839">
        <v>86.5</v>
      </c>
      <c r="G1839" s="2">
        <f t="shared" si="316"/>
        <v>1</v>
      </c>
      <c r="H1839">
        <v>90.9</v>
      </c>
      <c r="I1839">
        <v>80.400000000000006</v>
      </c>
      <c r="J1839">
        <v>85.1</v>
      </c>
      <c r="K1839">
        <v>54.2</v>
      </c>
      <c r="L1839">
        <v>33.799999999999997</v>
      </c>
      <c r="M1839" s="2">
        <f t="shared" si="320"/>
        <v>1</v>
      </c>
      <c r="N1839">
        <v>0</v>
      </c>
      <c r="P1839" s="2">
        <f t="shared" si="321"/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32.6</v>
      </c>
      <c r="W1839" s="2">
        <f t="shared" si="317"/>
        <v>1</v>
      </c>
      <c r="X1839">
        <v>20.7</v>
      </c>
      <c r="Z1839" s="2">
        <f t="shared" si="318"/>
        <v>1</v>
      </c>
      <c r="AA1839">
        <v>8.3000000000000007</v>
      </c>
      <c r="AB1839" s="2" t="str">
        <f>CHOOSE(MATCH(AA1839,{0;11;80;111;161;191;241;281;341},1),"North","NorthEast","East","SouthEast","South","SouthWest","West","NorthWest","North")</f>
        <v>North</v>
      </c>
      <c r="AC1839" s="5">
        <f>CHOOSE(MATCH(AB1839,{"South";"SouthEast";"SouthWest";"North";"NorthEast";"East";"West";"NorthWest"},0),1,2,3,4,5,6,7,8)</f>
        <v>4</v>
      </c>
      <c r="AD1839" s="2">
        <f t="shared" si="322"/>
        <v>1</v>
      </c>
      <c r="AE1839">
        <v>1008.9</v>
      </c>
      <c r="AF1839" s="4" t="s">
        <v>2738</v>
      </c>
      <c r="AG1839" s="2">
        <f t="shared" si="323"/>
        <v>0</v>
      </c>
      <c r="AH1839" t="s">
        <v>2814</v>
      </c>
      <c r="AI1839" s="2">
        <f t="shared" si="324"/>
        <v>6</v>
      </c>
      <c r="AJ1839" s="2">
        <f t="shared" si="325"/>
        <v>1</v>
      </c>
      <c r="AK1839" s="3">
        <v>317.99999999930151</v>
      </c>
      <c r="AM1839" s="2">
        <v>0</v>
      </c>
      <c r="AN1839">
        <v>0</v>
      </c>
      <c r="AO1839">
        <v>0.5</v>
      </c>
      <c r="AP1839">
        <v>0</v>
      </c>
      <c r="AQ1839" s="2">
        <f>IF((2*G1839 + M1839 -P1839 + 3*W1839 + 2*Z1839+2*AD1839 + AG1839+2*AJ1839 + 4*AM1839) &gt;=8,1,0)</f>
        <v>1</v>
      </c>
    </row>
    <row r="1840" spans="1:43" x14ac:dyDescent="0.25">
      <c r="A1840" t="s">
        <v>27</v>
      </c>
      <c r="B1840" s="1">
        <v>45473</v>
      </c>
      <c r="C1840" s="7">
        <f t="shared" si="319"/>
        <v>2024</v>
      </c>
      <c r="D1840">
        <v>90.3</v>
      </c>
      <c r="E1840">
        <v>77.400000000000006</v>
      </c>
      <c r="F1840">
        <v>83.4</v>
      </c>
      <c r="G1840" s="2">
        <f t="shared" si="316"/>
        <v>1</v>
      </c>
      <c r="H1840">
        <v>87.1</v>
      </c>
      <c r="I1840">
        <v>77.400000000000006</v>
      </c>
      <c r="J1840">
        <v>81.8</v>
      </c>
      <c r="K1840">
        <v>49.6</v>
      </c>
      <c r="L1840">
        <v>31.7</v>
      </c>
      <c r="M1840" s="2">
        <f t="shared" si="320"/>
        <v>1</v>
      </c>
      <c r="N1840">
        <v>0</v>
      </c>
      <c r="P1840" s="2">
        <f t="shared" si="321"/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38.6</v>
      </c>
      <c r="W1840" s="2">
        <f t="shared" si="317"/>
        <v>1</v>
      </c>
      <c r="X1840">
        <v>23.8</v>
      </c>
      <c r="Z1840" s="2">
        <f t="shared" si="318"/>
        <v>1</v>
      </c>
      <c r="AA1840">
        <v>3</v>
      </c>
      <c r="AB1840" s="2" t="str">
        <f>CHOOSE(MATCH(AA1840,{0;11;80;111;161;191;241;281;341},1),"North","NorthEast","East","SouthEast","South","SouthWest","West","NorthWest","North")</f>
        <v>North</v>
      </c>
      <c r="AC1840" s="5">
        <f>CHOOSE(MATCH(AB1840,{"South";"SouthEast";"SouthWest";"North";"NorthEast";"East";"West";"NorthWest"},0),1,2,3,4,5,6,7,8)</f>
        <v>4</v>
      </c>
      <c r="AD1840" s="2">
        <f t="shared" si="322"/>
        <v>1</v>
      </c>
      <c r="AE1840">
        <v>1012.7</v>
      </c>
      <c r="AF1840" s="4" t="s">
        <v>2485</v>
      </c>
      <c r="AG1840" s="2">
        <f t="shared" si="323"/>
        <v>1</v>
      </c>
      <c r="AH1840" t="s">
        <v>2815</v>
      </c>
      <c r="AI1840" s="2">
        <f t="shared" si="324"/>
        <v>6</v>
      </c>
      <c r="AJ1840" s="2">
        <f t="shared" si="325"/>
        <v>1</v>
      </c>
      <c r="AK1840" s="3">
        <v>10116.000000002099</v>
      </c>
      <c r="AM1840" s="2">
        <v>1</v>
      </c>
      <c r="AN1840">
        <v>1090</v>
      </c>
      <c r="AO1840">
        <v>0</v>
      </c>
      <c r="AP1840">
        <v>0</v>
      </c>
      <c r="AQ1840" s="2">
        <f>IF((2*G1840 + M1840 -P1840 + 3*W1840 + 2*Z1840+2*AD1840 + AG1840+2*AJ1840 + 4*AM1840) &gt;=8,1,0)</f>
        <v>1</v>
      </c>
    </row>
    <row r="1841" spans="1:43" x14ac:dyDescent="0.25">
      <c r="A1841" t="s">
        <v>27</v>
      </c>
      <c r="B1841" s="1">
        <v>45473</v>
      </c>
      <c r="C1841" s="7">
        <f t="shared" si="319"/>
        <v>2024</v>
      </c>
      <c r="D1841">
        <v>90.3</v>
      </c>
      <c r="E1841">
        <v>77.400000000000006</v>
      </c>
      <c r="F1841">
        <v>83.4</v>
      </c>
      <c r="G1841" s="2">
        <f t="shared" si="316"/>
        <v>1</v>
      </c>
      <c r="H1841">
        <v>87.1</v>
      </c>
      <c r="I1841">
        <v>77.400000000000006</v>
      </c>
      <c r="J1841">
        <v>81.8</v>
      </c>
      <c r="K1841">
        <v>49.6</v>
      </c>
      <c r="L1841">
        <v>31.7</v>
      </c>
      <c r="M1841" s="2">
        <f t="shared" si="320"/>
        <v>1</v>
      </c>
      <c r="N1841">
        <v>0</v>
      </c>
      <c r="P1841" s="2">
        <f t="shared" si="321"/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38.6</v>
      </c>
      <c r="W1841" s="2">
        <f t="shared" si="317"/>
        <v>1</v>
      </c>
      <c r="X1841">
        <v>23.8</v>
      </c>
      <c r="Z1841" s="2">
        <f t="shared" si="318"/>
        <v>1</v>
      </c>
      <c r="AA1841">
        <v>3</v>
      </c>
      <c r="AB1841" s="2" t="str">
        <f>CHOOSE(MATCH(AA1841,{0;11;80;111;161;191;241;281;341},1),"North","NorthEast","East","SouthEast","South","SouthWest","West","NorthWest","North")</f>
        <v>North</v>
      </c>
      <c r="AC1841" s="5">
        <f>CHOOSE(MATCH(AB1841,{"South";"SouthEast";"SouthWest";"North";"NorthEast";"East";"West";"NorthWest"},0),1,2,3,4,5,6,7,8)</f>
        <v>4</v>
      </c>
      <c r="AD1841" s="2">
        <f t="shared" si="322"/>
        <v>1</v>
      </c>
      <c r="AE1841">
        <v>1012.7</v>
      </c>
      <c r="AF1841" s="4" t="s">
        <v>1842</v>
      </c>
      <c r="AG1841" s="2">
        <f t="shared" si="323"/>
        <v>0</v>
      </c>
      <c r="AH1841" t="s">
        <v>2816</v>
      </c>
      <c r="AI1841" s="2">
        <f t="shared" si="324"/>
        <v>6</v>
      </c>
      <c r="AJ1841" s="2">
        <f t="shared" si="325"/>
        <v>1</v>
      </c>
      <c r="AK1841" s="3">
        <v>20694.000000001401</v>
      </c>
      <c r="AM1841" s="2">
        <v>1</v>
      </c>
      <c r="AN1841">
        <v>2100</v>
      </c>
      <c r="AO1841">
        <v>900</v>
      </c>
      <c r="AP1841">
        <v>0</v>
      </c>
      <c r="AQ1841" s="2">
        <f>IF((2*G1841 + M1841 -P1841 + 3*W1841 + 2*Z1841+2*AD1841 + AG1841+2*AJ1841 + 4*AM1841) &gt;=8,1,0)</f>
        <v>1</v>
      </c>
    </row>
    <row r="1842" spans="1:43" x14ac:dyDescent="0.25">
      <c r="A1842" t="s">
        <v>27</v>
      </c>
      <c r="B1842" s="1">
        <v>45476</v>
      </c>
      <c r="C1842" s="7">
        <f t="shared" si="319"/>
        <v>2024</v>
      </c>
      <c r="D1842">
        <v>90.3</v>
      </c>
      <c r="E1842">
        <v>73.2</v>
      </c>
      <c r="F1842">
        <v>81.8</v>
      </c>
      <c r="G1842" s="2">
        <f t="shared" si="316"/>
        <v>1</v>
      </c>
      <c r="H1842">
        <v>90</v>
      </c>
      <c r="I1842">
        <v>73.2</v>
      </c>
      <c r="J1842">
        <v>82.2</v>
      </c>
      <c r="K1842">
        <v>61.6</v>
      </c>
      <c r="L1842">
        <v>51.6</v>
      </c>
      <c r="M1842" s="2">
        <f t="shared" si="320"/>
        <v>0</v>
      </c>
      <c r="N1842">
        <v>0</v>
      </c>
      <c r="P1842" s="2">
        <f t="shared" si="321"/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23</v>
      </c>
      <c r="W1842" s="2">
        <f t="shared" si="317"/>
        <v>1</v>
      </c>
      <c r="X1842">
        <v>13</v>
      </c>
      <c r="Z1842" s="2">
        <f t="shared" si="318"/>
        <v>0</v>
      </c>
      <c r="AA1842">
        <v>50.7</v>
      </c>
      <c r="AB1842" s="2" t="str">
        <f>CHOOSE(MATCH(AA1842,{0;11;80;111;161;191;241;281;341},1),"North","NorthEast","East","SouthEast","South","SouthWest","West","NorthWest","North")</f>
        <v>NorthEast</v>
      </c>
      <c r="AC1842" s="5">
        <f>CHOOSE(MATCH(AB1842,{"South";"SouthEast";"SouthWest";"North";"NorthEast";"East";"West";"NorthWest"},0),1,2,3,4,5,6,7,8)</f>
        <v>5</v>
      </c>
      <c r="AD1842" s="2">
        <f t="shared" si="322"/>
        <v>1</v>
      </c>
      <c r="AE1842">
        <v>1000.6</v>
      </c>
      <c r="AF1842" s="4" t="s">
        <v>2732</v>
      </c>
      <c r="AG1842" s="2">
        <f t="shared" si="323"/>
        <v>1</v>
      </c>
      <c r="AH1842" t="s">
        <v>2817</v>
      </c>
      <c r="AI1842" s="2">
        <f t="shared" si="324"/>
        <v>7</v>
      </c>
      <c r="AJ1842" s="2">
        <f t="shared" si="325"/>
        <v>1</v>
      </c>
      <c r="AK1842" s="3">
        <v>4713.000000002794</v>
      </c>
      <c r="AM1842" s="2">
        <v>1</v>
      </c>
      <c r="AN1842">
        <v>0</v>
      </c>
      <c r="AO1842">
        <v>70</v>
      </c>
      <c r="AP1842">
        <v>0</v>
      </c>
      <c r="AQ1842" s="2">
        <f>IF((2*G1842 + M1842 -P1842 + 3*W1842 + 2*Z1842+2*AD1842 + AG1842+2*AJ1842 + 4*AM1842) &gt;=8,1,0)</f>
        <v>1</v>
      </c>
    </row>
    <row r="1843" spans="1:43" x14ac:dyDescent="0.25">
      <c r="A1843" t="s">
        <v>27</v>
      </c>
      <c r="B1843" s="1">
        <v>45488</v>
      </c>
      <c r="C1843" s="7">
        <f t="shared" si="319"/>
        <v>2024</v>
      </c>
      <c r="D1843">
        <v>96.7</v>
      </c>
      <c r="E1843">
        <v>80.2</v>
      </c>
      <c r="F1843">
        <v>89.1</v>
      </c>
      <c r="G1843" s="2">
        <f t="shared" si="316"/>
        <v>1</v>
      </c>
      <c r="H1843">
        <v>92.2</v>
      </c>
      <c r="I1843">
        <v>79.400000000000006</v>
      </c>
      <c r="J1843">
        <v>85.9</v>
      </c>
      <c r="K1843">
        <v>43.2</v>
      </c>
      <c r="L1843">
        <v>21.1</v>
      </c>
      <c r="M1843" s="2">
        <f t="shared" si="320"/>
        <v>1</v>
      </c>
      <c r="N1843">
        <v>0</v>
      </c>
      <c r="P1843" s="2">
        <f t="shared" si="321"/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34.4</v>
      </c>
      <c r="W1843" s="2">
        <f t="shared" si="317"/>
        <v>1</v>
      </c>
      <c r="X1843">
        <v>17.600000000000001</v>
      </c>
      <c r="Z1843" s="2">
        <f t="shared" si="318"/>
        <v>1</v>
      </c>
      <c r="AA1843">
        <v>13.5</v>
      </c>
      <c r="AB1843" s="2" t="str">
        <f>CHOOSE(MATCH(AA1843,{0;11;80;111;161;191;241;281;341},1),"North","NorthEast","East","SouthEast","South","SouthWest","West","NorthWest","North")</f>
        <v>NorthEast</v>
      </c>
      <c r="AC1843" s="5">
        <f>CHOOSE(MATCH(AB1843,{"South";"SouthEast";"SouthWest";"North";"NorthEast";"East";"West";"NorthWest"},0),1,2,3,4,5,6,7,8)</f>
        <v>5</v>
      </c>
      <c r="AD1843" s="2">
        <f t="shared" si="322"/>
        <v>1</v>
      </c>
      <c r="AE1843">
        <v>1009.1</v>
      </c>
      <c r="AF1843" s="4" t="s">
        <v>1086</v>
      </c>
      <c r="AG1843" s="2">
        <f t="shared" si="323"/>
        <v>0</v>
      </c>
      <c r="AH1843" t="s">
        <v>2818</v>
      </c>
      <c r="AI1843" s="2">
        <f t="shared" si="324"/>
        <v>7</v>
      </c>
      <c r="AJ1843" s="2">
        <f t="shared" si="325"/>
        <v>1</v>
      </c>
      <c r="AK1843" s="3">
        <v>2594.9999999930151</v>
      </c>
      <c r="AM1843" s="2">
        <v>1</v>
      </c>
      <c r="AN1843">
        <v>0</v>
      </c>
      <c r="AO1843">
        <v>300</v>
      </c>
      <c r="AP1843">
        <v>0</v>
      </c>
      <c r="AQ1843" s="2">
        <f>IF((2*G1843 + M1843 -P1843 + 3*W1843 + 2*Z1843+2*AD1843 + AG1843+2*AJ1843 + 4*AM1843) &gt;=8,1,0)</f>
        <v>1</v>
      </c>
    </row>
    <row r="1844" spans="1:43" x14ac:dyDescent="0.25">
      <c r="A1844" t="s">
        <v>27</v>
      </c>
      <c r="B1844" s="1">
        <v>45492</v>
      </c>
      <c r="C1844" s="7">
        <f t="shared" si="319"/>
        <v>2024</v>
      </c>
      <c r="D1844">
        <v>98.5</v>
      </c>
      <c r="E1844">
        <v>87.4</v>
      </c>
      <c r="F1844">
        <v>92.7</v>
      </c>
      <c r="G1844" s="2">
        <f t="shared" si="316"/>
        <v>1</v>
      </c>
      <c r="H1844">
        <v>96.9</v>
      </c>
      <c r="I1844">
        <v>86</v>
      </c>
      <c r="J1844">
        <v>90.6</v>
      </c>
      <c r="K1844">
        <v>53.8</v>
      </c>
      <c r="L1844">
        <v>27.3</v>
      </c>
      <c r="M1844" s="2">
        <f t="shared" si="320"/>
        <v>1</v>
      </c>
      <c r="N1844">
        <v>0</v>
      </c>
      <c r="P1844" s="2">
        <f t="shared" si="321"/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40.9</v>
      </c>
      <c r="W1844" s="2">
        <f t="shared" si="317"/>
        <v>1</v>
      </c>
      <c r="X1844">
        <v>22</v>
      </c>
      <c r="Z1844" s="2">
        <f t="shared" si="318"/>
        <v>1</v>
      </c>
      <c r="AA1844">
        <v>13.4</v>
      </c>
      <c r="AB1844" s="2" t="str">
        <f>CHOOSE(MATCH(AA1844,{0;11;80;111;161;191;241;281;341},1),"North","NorthEast","East","SouthEast","South","SouthWest","West","NorthWest","North")</f>
        <v>NorthEast</v>
      </c>
      <c r="AC1844" s="5">
        <f>CHOOSE(MATCH(AB1844,{"South";"SouthEast";"SouthWest";"North";"NorthEast";"East";"West";"NorthWest"},0),1,2,3,4,5,6,7,8)</f>
        <v>5</v>
      </c>
      <c r="AD1844" s="2">
        <f t="shared" si="322"/>
        <v>1</v>
      </c>
      <c r="AE1844">
        <v>1009.3</v>
      </c>
      <c r="AF1844" s="4" t="s">
        <v>2819</v>
      </c>
      <c r="AG1844" s="2">
        <f t="shared" si="323"/>
        <v>1</v>
      </c>
      <c r="AH1844" t="s">
        <v>2820</v>
      </c>
      <c r="AI1844" s="2">
        <f t="shared" si="324"/>
        <v>7</v>
      </c>
      <c r="AJ1844" s="2">
        <f t="shared" si="325"/>
        <v>1</v>
      </c>
      <c r="AK1844" s="3">
        <v>65.999999995110556</v>
      </c>
      <c r="AM1844" s="2">
        <v>0</v>
      </c>
      <c r="AN1844">
        <v>0</v>
      </c>
      <c r="AO1844">
        <v>0.1</v>
      </c>
      <c r="AP1844">
        <v>0</v>
      </c>
      <c r="AQ1844" s="2">
        <f>IF((2*G1844 + M1844 -P1844 + 3*W1844 + 2*Z1844+2*AD1844 + AG1844+2*AJ1844 + 4*AM1844) &gt;=8,1,0)</f>
        <v>1</v>
      </c>
    </row>
    <row r="1845" spans="1:43" x14ac:dyDescent="0.25">
      <c r="A1845" t="s">
        <v>27</v>
      </c>
      <c r="B1845" s="1">
        <v>45496</v>
      </c>
      <c r="C1845" s="7">
        <f t="shared" si="319"/>
        <v>2024</v>
      </c>
      <c r="D1845">
        <v>97</v>
      </c>
      <c r="E1845">
        <v>78.5</v>
      </c>
      <c r="F1845">
        <v>87.3</v>
      </c>
      <c r="G1845" s="2">
        <f t="shared" si="316"/>
        <v>1</v>
      </c>
      <c r="H1845">
        <v>97.1</v>
      </c>
      <c r="I1845">
        <v>78.5</v>
      </c>
      <c r="J1845">
        <v>87.6</v>
      </c>
      <c r="K1845">
        <v>61.2</v>
      </c>
      <c r="L1845">
        <v>42.7</v>
      </c>
      <c r="M1845" s="2">
        <f t="shared" si="320"/>
        <v>1</v>
      </c>
      <c r="N1845">
        <v>0</v>
      </c>
      <c r="P1845" s="2">
        <f t="shared" si="321"/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30</v>
      </c>
      <c r="W1845" s="2">
        <f t="shared" si="317"/>
        <v>1</v>
      </c>
      <c r="X1845">
        <v>15.1</v>
      </c>
      <c r="Z1845" s="2">
        <f t="shared" si="318"/>
        <v>0</v>
      </c>
      <c r="AA1845">
        <v>28</v>
      </c>
      <c r="AB1845" s="2" t="str">
        <f>CHOOSE(MATCH(AA1845,{0;11;80;111;161;191;241;281;341},1),"North","NorthEast","East","SouthEast","South","SouthWest","West","NorthWest","North")</f>
        <v>NorthEast</v>
      </c>
      <c r="AC1845" s="5">
        <f>CHOOSE(MATCH(AB1845,{"South";"SouthEast";"SouthWest";"North";"NorthEast";"East";"West";"NorthWest"},0),1,2,3,4,5,6,7,8)</f>
        <v>5</v>
      </c>
      <c r="AD1845" s="2">
        <f t="shared" si="322"/>
        <v>1</v>
      </c>
      <c r="AE1845">
        <v>1008.1</v>
      </c>
      <c r="AF1845" s="4" t="s">
        <v>1992</v>
      </c>
      <c r="AG1845" s="2">
        <f t="shared" si="323"/>
        <v>1</v>
      </c>
      <c r="AH1845" t="s">
        <v>2821</v>
      </c>
      <c r="AI1845" s="2">
        <f t="shared" si="324"/>
        <v>7</v>
      </c>
      <c r="AJ1845" s="2">
        <f t="shared" si="325"/>
        <v>1</v>
      </c>
      <c r="AK1845" s="3">
        <v>126.0000000020955</v>
      </c>
      <c r="AM1845" s="2">
        <v>0</v>
      </c>
      <c r="AN1845">
        <v>0</v>
      </c>
      <c r="AO1845">
        <v>0.01</v>
      </c>
      <c r="AP1845">
        <v>0</v>
      </c>
      <c r="AQ1845" s="2">
        <f>IF((2*G1845 + M1845 -P1845 + 3*W1845 + 2*Z1845+2*AD1845 + AG1845+2*AJ1845 + 4*AM1845) &gt;=8,1,0)</f>
        <v>1</v>
      </c>
    </row>
    <row r="1846" spans="1:43" x14ac:dyDescent="0.25">
      <c r="A1846" t="s">
        <v>27</v>
      </c>
      <c r="B1846" s="1">
        <v>45505</v>
      </c>
      <c r="C1846" s="7">
        <f t="shared" si="319"/>
        <v>2024</v>
      </c>
      <c r="D1846">
        <v>91.5</v>
      </c>
      <c r="E1846">
        <v>77.599999999999994</v>
      </c>
      <c r="F1846">
        <v>83.8</v>
      </c>
      <c r="G1846" s="2">
        <f t="shared" si="316"/>
        <v>1</v>
      </c>
      <c r="H1846">
        <v>88.4</v>
      </c>
      <c r="I1846">
        <v>77.599999999999994</v>
      </c>
      <c r="J1846">
        <v>82.3</v>
      </c>
      <c r="K1846">
        <v>49.7</v>
      </c>
      <c r="L1846">
        <v>31.4</v>
      </c>
      <c r="M1846" s="2">
        <f t="shared" si="320"/>
        <v>1</v>
      </c>
      <c r="N1846">
        <v>0</v>
      </c>
      <c r="P1846" s="2">
        <f t="shared" si="321"/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33.9</v>
      </c>
      <c r="W1846" s="2">
        <f t="shared" si="317"/>
        <v>1</v>
      </c>
      <c r="X1846">
        <v>20.6</v>
      </c>
      <c r="Z1846" s="2">
        <f t="shared" si="318"/>
        <v>1</v>
      </c>
      <c r="AA1846">
        <v>13.8</v>
      </c>
      <c r="AB1846" s="2" t="str">
        <f>CHOOSE(MATCH(AA1846,{0;11;80;111;161;191;241;281;341},1),"North","NorthEast","East","SouthEast","South","SouthWest","West","NorthWest","North")</f>
        <v>NorthEast</v>
      </c>
      <c r="AC1846" s="5">
        <f>CHOOSE(MATCH(AB1846,{"South";"SouthEast";"SouthWest";"North";"NorthEast";"East";"West";"NorthWest"},0),1,2,3,4,5,6,7,8)</f>
        <v>5</v>
      </c>
      <c r="AD1846" s="2">
        <f t="shared" si="322"/>
        <v>1</v>
      </c>
      <c r="AE1846">
        <v>1010.6</v>
      </c>
      <c r="AF1846" s="4" t="s">
        <v>1270</v>
      </c>
      <c r="AG1846" s="2">
        <f t="shared" si="323"/>
        <v>0</v>
      </c>
      <c r="AH1846" t="s">
        <v>2822</v>
      </c>
      <c r="AI1846" s="2">
        <f t="shared" si="324"/>
        <v>8</v>
      </c>
      <c r="AJ1846" s="2">
        <f t="shared" si="325"/>
        <v>1</v>
      </c>
      <c r="AK1846" s="3">
        <v>4893.000000002794</v>
      </c>
      <c r="AM1846" s="2">
        <v>1</v>
      </c>
      <c r="AN1846">
        <v>0</v>
      </c>
      <c r="AO1846">
        <v>180</v>
      </c>
      <c r="AP1846">
        <v>0</v>
      </c>
      <c r="AQ1846" s="2">
        <f>IF((2*G1846 + M1846 -P1846 + 3*W1846 + 2*Z1846+2*AD1846 + AG1846+2*AJ1846 + 4*AM1846) &gt;=8,1,0)</f>
        <v>1</v>
      </c>
    </row>
    <row r="1847" spans="1:43" x14ac:dyDescent="0.25">
      <c r="A1847" t="s">
        <v>27</v>
      </c>
      <c r="B1847" s="1">
        <v>45506</v>
      </c>
      <c r="C1847" s="7">
        <f t="shared" si="319"/>
        <v>2024</v>
      </c>
      <c r="D1847">
        <v>94</v>
      </c>
      <c r="E1847">
        <v>72.900000000000006</v>
      </c>
      <c r="F1847">
        <v>83.8</v>
      </c>
      <c r="G1847" s="2">
        <f t="shared" si="316"/>
        <v>1</v>
      </c>
      <c r="H1847">
        <v>91.1</v>
      </c>
      <c r="I1847">
        <v>72.900000000000006</v>
      </c>
      <c r="J1847">
        <v>82.3</v>
      </c>
      <c r="K1847">
        <v>47.8</v>
      </c>
      <c r="L1847">
        <v>29.3</v>
      </c>
      <c r="M1847" s="2">
        <f t="shared" si="320"/>
        <v>1</v>
      </c>
      <c r="N1847">
        <v>0</v>
      </c>
      <c r="P1847" s="2">
        <f t="shared" si="321"/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22.8</v>
      </c>
      <c r="W1847" s="2">
        <f t="shared" si="317"/>
        <v>1</v>
      </c>
      <c r="X1847">
        <v>16.2</v>
      </c>
      <c r="Z1847" s="2">
        <f t="shared" si="318"/>
        <v>1</v>
      </c>
      <c r="AA1847">
        <v>33.799999999999997</v>
      </c>
      <c r="AB1847" s="2" t="str">
        <f>CHOOSE(MATCH(AA1847,{0;11;80;111;161;191;241;281;341},1),"North","NorthEast","East","SouthEast","South","SouthWest","West","NorthWest","North")</f>
        <v>NorthEast</v>
      </c>
      <c r="AC1847" s="5">
        <f>CHOOSE(MATCH(AB1847,{"South";"SouthEast";"SouthWest";"North";"NorthEast";"East";"West";"NorthWest"},0),1,2,3,4,5,6,7,8)</f>
        <v>5</v>
      </c>
      <c r="AD1847" s="2">
        <f t="shared" si="322"/>
        <v>1</v>
      </c>
      <c r="AE1847">
        <v>1008.3</v>
      </c>
      <c r="AF1847" s="4" t="s">
        <v>2664</v>
      </c>
      <c r="AG1847" s="2">
        <f t="shared" si="323"/>
        <v>1</v>
      </c>
      <c r="AH1847" t="s">
        <v>2823</v>
      </c>
      <c r="AI1847" s="2">
        <f t="shared" si="324"/>
        <v>8</v>
      </c>
      <c r="AJ1847" s="2">
        <f t="shared" si="325"/>
        <v>1</v>
      </c>
      <c r="AK1847" s="3">
        <v>1967.0000000100119</v>
      </c>
      <c r="AM1847" s="2">
        <v>1</v>
      </c>
      <c r="AN1847">
        <v>12</v>
      </c>
      <c r="AO1847">
        <v>0</v>
      </c>
      <c r="AP1847">
        <v>0</v>
      </c>
      <c r="AQ1847" s="2">
        <f>IF((2*G1847 + M1847 -P1847 + 3*W1847 + 2*Z1847+2*AD1847 + AG1847+2*AJ1847 + 4*AM1847) &gt;=8,1,0)</f>
        <v>1</v>
      </c>
    </row>
    <row r="1848" spans="1:43" x14ac:dyDescent="0.25">
      <c r="A1848" t="s">
        <v>27</v>
      </c>
      <c r="B1848" s="1">
        <v>45508</v>
      </c>
      <c r="C1848" s="7">
        <f t="shared" si="319"/>
        <v>2024</v>
      </c>
      <c r="D1848">
        <v>96.7</v>
      </c>
      <c r="E1848">
        <v>73.400000000000006</v>
      </c>
      <c r="F1848">
        <v>85.4</v>
      </c>
      <c r="G1848" s="2">
        <f t="shared" si="316"/>
        <v>1</v>
      </c>
      <c r="H1848">
        <v>96.6</v>
      </c>
      <c r="I1848">
        <v>73.400000000000006</v>
      </c>
      <c r="J1848">
        <v>85.1</v>
      </c>
      <c r="K1848">
        <v>55.8</v>
      </c>
      <c r="L1848">
        <v>37.4</v>
      </c>
      <c r="M1848" s="2">
        <f t="shared" si="320"/>
        <v>1</v>
      </c>
      <c r="N1848">
        <v>0</v>
      </c>
      <c r="P1848" s="2">
        <f t="shared" si="321"/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18.3</v>
      </c>
      <c r="W1848" s="2">
        <f t="shared" si="317"/>
        <v>1</v>
      </c>
      <c r="X1848">
        <v>12.4</v>
      </c>
      <c r="Z1848" s="2">
        <f t="shared" si="318"/>
        <v>0</v>
      </c>
      <c r="AA1848">
        <v>71</v>
      </c>
      <c r="AB1848" s="2" t="str">
        <f>CHOOSE(MATCH(AA1848,{0;11;80;111;161;191;241;281;341},1),"North","NorthEast","East","SouthEast","South","SouthWest","West","NorthWest","North")</f>
        <v>NorthEast</v>
      </c>
      <c r="AC1848" s="5">
        <f>CHOOSE(MATCH(AB1848,{"South";"SouthEast";"SouthWest";"North";"NorthEast";"East";"West";"NorthWest"},0),1,2,3,4,5,6,7,8)</f>
        <v>5</v>
      </c>
      <c r="AD1848" s="2">
        <f t="shared" si="322"/>
        <v>1</v>
      </c>
      <c r="AE1848">
        <v>1006.3</v>
      </c>
      <c r="AF1848" s="4" t="s">
        <v>1948</v>
      </c>
      <c r="AG1848" s="2">
        <f t="shared" si="323"/>
        <v>1</v>
      </c>
      <c r="AH1848" t="s">
        <v>2824</v>
      </c>
      <c r="AI1848" s="2">
        <f t="shared" si="324"/>
        <v>8</v>
      </c>
      <c r="AJ1848" s="2">
        <f t="shared" si="325"/>
        <v>1</v>
      </c>
      <c r="AK1848" s="3">
        <v>400.00000000465661</v>
      </c>
      <c r="AM1848" s="2">
        <v>1</v>
      </c>
      <c r="AN1848">
        <v>0</v>
      </c>
      <c r="AO1848">
        <v>0.05</v>
      </c>
      <c r="AP1848">
        <v>0</v>
      </c>
      <c r="AQ1848" s="2">
        <f>IF((2*G1848 + M1848 -P1848 + 3*W1848 + 2*Z1848+2*AD1848 + AG1848+2*AJ1848 + 4*AM1848) &gt;=8,1,0)</f>
        <v>1</v>
      </c>
    </row>
    <row r="1849" spans="1:43" x14ac:dyDescent="0.25">
      <c r="A1849" t="s">
        <v>27</v>
      </c>
      <c r="B1849" s="1">
        <v>45515</v>
      </c>
      <c r="C1849" s="7">
        <f t="shared" si="319"/>
        <v>2024</v>
      </c>
      <c r="D1849">
        <v>92.9</v>
      </c>
      <c r="E1849">
        <v>77.599999999999994</v>
      </c>
      <c r="F1849">
        <v>86</v>
      </c>
      <c r="G1849" s="2">
        <f t="shared" si="316"/>
        <v>1</v>
      </c>
      <c r="H1849">
        <v>90.6</v>
      </c>
      <c r="I1849">
        <v>77.599999999999994</v>
      </c>
      <c r="J1849">
        <v>84.6</v>
      </c>
      <c r="K1849">
        <v>54.2</v>
      </c>
      <c r="L1849">
        <v>34.299999999999997</v>
      </c>
      <c r="M1849" s="2">
        <f t="shared" si="320"/>
        <v>1</v>
      </c>
      <c r="N1849">
        <v>0</v>
      </c>
      <c r="P1849" s="2">
        <f t="shared" si="321"/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38</v>
      </c>
      <c r="W1849" s="2">
        <f t="shared" si="317"/>
        <v>1</v>
      </c>
      <c r="X1849">
        <v>21</v>
      </c>
      <c r="Z1849" s="2">
        <f t="shared" si="318"/>
        <v>1</v>
      </c>
      <c r="AA1849">
        <v>9</v>
      </c>
      <c r="AB1849" s="2" t="str">
        <f>CHOOSE(MATCH(AA1849,{0;11;80;111;161;191;241;281;341},1),"North","NorthEast","East","SouthEast","South","SouthWest","West","NorthWest","North")</f>
        <v>North</v>
      </c>
      <c r="AC1849" s="5">
        <f>CHOOSE(MATCH(AB1849,{"South";"SouthEast";"SouthWest";"North";"NorthEast";"East";"West";"NorthWest"},0),1,2,3,4,5,6,7,8)</f>
        <v>4</v>
      </c>
      <c r="AD1849" s="2">
        <f t="shared" si="322"/>
        <v>1</v>
      </c>
      <c r="AE1849">
        <v>1014.3</v>
      </c>
      <c r="AF1849" s="4" t="s">
        <v>1237</v>
      </c>
      <c r="AG1849" s="2">
        <f t="shared" si="323"/>
        <v>1</v>
      </c>
      <c r="AH1849" t="s">
        <v>2825</v>
      </c>
      <c r="AI1849" s="2">
        <f t="shared" si="324"/>
        <v>8</v>
      </c>
      <c r="AJ1849" s="2">
        <f t="shared" si="325"/>
        <v>1</v>
      </c>
      <c r="AK1849" s="3">
        <v>10420.000000008151</v>
      </c>
      <c r="AM1849" s="2">
        <v>1</v>
      </c>
      <c r="AN1849">
        <v>0</v>
      </c>
      <c r="AO1849">
        <v>120</v>
      </c>
      <c r="AP1849">
        <v>0</v>
      </c>
      <c r="AQ1849" s="2">
        <f>IF((2*G1849 + M1849 -P1849 + 3*W1849 + 2*Z1849+2*AD1849 + AG1849+2*AJ1849 + 4*AM1849) &gt;=8,1,0)</f>
        <v>1</v>
      </c>
    </row>
    <row r="1850" spans="1:43" x14ac:dyDescent="0.25">
      <c r="A1850" t="s">
        <v>27</v>
      </c>
      <c r="B1850" s="1">
        <v>45517</v>
      </c>
      <c r="C1850" s="7">
        <f t="shared" si="319"/>
        <v>2024</v>
      </c>
      <c r="D1850">
        <v>96.8</v>
      </c>
      <c r="E1850">
        <v>81</v>
      </c>
      <c r="F1850">
        <v>88.1</v>
      </c>
      <c r="G1850" s="2">
        <f t="shared" si="316"/>
        <v>1</v>
      </c>
      <c r="H1850">
        <v>93.6</v>
      </c>
      <c r="I1850">
        <v>80.400000000000006</v>
      </c>
      <c r="J1850">
        <v>86.2</v>
      </c>
      <c r="K1850">
        <v>52.3</v>
      </c>
      <c r="L1850">
        <v>29.9</v>
      </c>
      <c r="M1850" s="2">
        <f t="shared" si="320"/>
        <v>1</v>
      </c>
      <c r="N1850">
        <v>0</v>
      </c>
      <c r="P1850" s="2">
        <f t="shared" si="321"/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33.4</v>
      </c>
      <c r="W1850" s="2">
        <f t="shared" ref="W1850:W1860" si="326">IF(V1850&lt;=10,0,1)</f>
        <v>1</v>
      </c>
      <c r="X1850">
        <v>16.600000000000001</v>
      </c>
      <c r="Z1850" s="2">
        <f t="shared" ref="Z1850:Z1860" si="327">IF(X1850&gt;=16,1,0)</f>
        <v>1</v>
      </c>
      <c r="AA1850">
        <v>11.2</v>
      </c>
      <c r="AB1850" s="2" t="str">
        <f>CHOOSE(MATCH(AA1850,{0;11;80;111;161;191;241;281;341},1),"North","NorthEast","East","SouthEast","South","SouthWest","West","NorthWest","North")</f>
        <v>NorthEast</v>
      </c>
      <c r="AC1850" s="5">
        <f>CHOOSE(MATCH(AB1850,{"South";"SouthEast";"SouthWest";"North";"NorthEast";"East";"West";"NorthWest"},0),1,2,3,4,5,6,7,8)</f>
        <v>5</v>
      </c>
      <c r="AD1850" s="2">
        <f t="shared" si="322"/>
        <v>1</v>
      </c>
      <c r="AE1850">
        <v>1009.5</v>
      </c>
      <c r="AF1850" s="4" t="s">
        <v>2334</v>
      </c>
      <c r="AG1850" s="2">
        <f t="shared" si="323"/>
        <v>0</v>
      </c>
      <c r="AH1850" t="s">
        <v>2826</v>
      </c>
      <c r="AI1850" s="2">
        <f t="shared" si="324"/>
        <v>8</v>
      </c>
      <c r="AJ1850" s="2">
        <f t="shared" si="325"/>
        <v>1</v>
      </c>
      <c r="AK1850" s="3">
        <v>1422.999999996973</v>
      </c>
      <c r="AM1850" s="2">
        <v>1</v>
      </c>
      <c r="AN1850">
        <v>0</v>
      </c>
      <c r="AO1850">
        <v>30</v>
      </c>
      <c r="AP1850">
        <v>0</v>
      </c>
      <c r="AQ1850" s="2">
        <f>IF((2*G1850 + M1850 -P1850 + 3*W1850 + 2*Z1850+2*AD1850 + AG1850+2*AJ1850 + 4*AM1850) &gt;=8,1,0)</f>
        <v>1</v>
      </c>
    </row>
    <row r="1851" spans="1:43" x14ac:dyDescent="0.25">
      <c r="A1851" t="s">
        <v>27</v>
      </c>
      <c r="B1851" s="1">
        <v>45523</v>
      </c>
      <c r="C1851" s="7">
        <f t="shared" ref="C1851:C1860" si="328">YEAR(B1851)</f>
        <v>2024</v>
      </c>
      <c r="D1851">
        <v>93.2</v>
      </c>
      <c r="E1851">
        <v>75.8</v>
      </c>
      <c r="F1851">
        <v>83.7</v>
      </c>
      <c r="G1851" s="2">
        <f t="shared" si="316"/>
        <v>1</v>
      </c>
      <c r="H1851">
        <v>92.8</v>
      </c>
      <c r="I1851">
        <v>75.8</v>
      </c>
      <c r="J1851">
        <v>83.8</v>
      </c>
      <c r="K1851">
        <v>61.2</v>
      </c>
      <c r="L1851">
        <v>48.2</v>
      </c>
      <c r="M1851" s="2">
        <f t="shared" ref="M1851:M1860" si="329">IF(L1851&lt;=49.3,1,0)</f>
        <v>1</v>
      </c>
      <c r="N1851">
        <v>0</v>
      </c>
      <c r="P1851" s="2">
        <f t="shared" ref="P1851:P1860" si="330">IF(N1851&lt;=0.01,1,0)</f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24.4</v>
      </c>
      <c r="W1851" s="2">
        <f t="shared" si="326"/>
        <v>1</v>
      </c>
      <c r="X1851">
        <v>13.6</v>
      </c>
      <c r="Z1851" s="2">
        <f t="shared" si="327"/>
        <v>0</v>
      </c>
      <c r="AA1851">
        <v>155</v>
      </c>
      <c r="AB1851" s="2" t="str">
        <f>CHOOSE(MATCH(AA1851,{0;11;80;111;161;191;241;281;341},1),"North","NorthEast","East","SouthEast","South","SouthWest","West","NorthWest","North")</f>
        <v>SouthEast</v>
      </c>
      <c r="AC1851" s="5">
        <f>CHOOSE(MATCH(AB1851,{"South";"SouthEast";"SouthWest";"North";"NorthEast";"East";"West";"NorthWest"},0),1,2,3,4,5,6,7,8)</f>
        <v>2</v>
      </c>
      <c r="AD1851" s="2">
        <f t="shared" ref="AD1851:AD1860" si="331">IF(OR(AC1851=3,AC1851=4,AC1851=5,AC1851=8),1,0)</f>
        <v>0</v>
      </c>
      <c r="AE1851">
        <v>1009</v>
      </c>
      <c r="AF1851" s="4" t="s">
        <v>1064</v>
      </c>
      <c r="AG1851" s="2">
        <f t="shared" ref="AG1851:AG1860" si="332">IF(TIMEVALUE(AF1851)&lt;=TIME(12,30,0),0,1)</f>
        <v>1</v>
      </c>
      <c r="AH1851" t="s">
        <v>2827</v>
      </c>
      <c r="AI1851" s="2">
        <f t="shared" ref="AI1851:AI1860" si="333">MONTH(AH1851)</f>
        <v>8</v>
      </c>
      <c r="AJ1851" s="2">
        <f t="shared" ref="AJ1851:AJ1860" si="334">IF(OR(AI1851=6,AI1851=7,AI1851=8),1,0)</f>
        <v>1</v>
      </c>
      <c r="AK1851" s="3">
        <v>600.99999999976717</v>
      </c>
      <c r="AM1851" s="2">
        <v>1</v>
      </c>
      <c r="AN1851">
        <v>0</v>
      </c>
      <c r="AO1851">
        <v>1</v>
      </c>
      <c r="AP1851">
        <v>0</v>
      </c>
      <c r="AQ1851" s="2">
        <f>IF((2*G1851 + M1851 -P1851 + 3*W1851 + 2*Z1851+2*AD1851 + AG1851+2*AJ1851 + 4*AM1851) &gt;=8,1,0)</f>
        <v>1</v>
      </c>
    </row>
    <row r="1852" spans="1:43" x14ac:dyDescent="0.25">
      <c r="A1852" t="s">
        <v>27</v>
      </c>
      <c r="B1852" s="1">
        <v>45526</v>
      </c>
      <c r="C1852" s="7">
        <f t="shared" si="328"/>
        <v>2024</v>
      </c>
      <c r="D1852">
        <v>94.9</v>
      </c>
      <c r="E1852">
        <v>74.900000000000006</v>
      </c>
      <c r="F1852">
        <v>85</v>
      </c>
      <c r="G1852" s="2">
        <f t="shared" ref="G1852:G1860" si="335">IF(F1852&lt;=73.6,0,1)</f>
        <v>1</v>
      </c>
      <c r="H1852">
        <v>92.5</v>
      </c>
      <c r="I1852">
        <v>74.900000000000006</v>
      </c>
      <c r="J1852">
        <v>83.9</v>
      </c>
      <c r="K1852">
        <v>58.2</v>
      </c>
      <c r="L1852">
        <v>43.9</v>
      </c>
      <c r="M1852" s="2">
        <f t="shared" si="329"/>
        <v>1</v>
      </c>
      <c r="N1852">
        <v>0</v>
      </c>
      <c r="P1852" s="2">
        <f t="shared" si="330"/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25.9</v>
      </c>
      <c r="W1852" s="2">
        <f t="shared" si="326"/>
        <v>1</v>
      </c>
      <c r="X1852">
        <v>14.3</v>
      </c>
      <c r="Z1852" s="2">
        <f t="shared" si="327"/>
        <v>0</v>
      </c>
      <c r="AA1852">
        <v>15.9</v>
      </c>
      <c r="AB1852" s="2" t="str">
        <f>CHOOSE(MATCH(AA1852,{0;11;80;111;161;191;241;281;341},1),"North","NorthEast","East","SouthEast","South","SouthWest","West","NorthWest","North")</f>
        <v>NorthEast</v>
      </c>
      <c r="AC1852" s="5">
        <f>CHOOSE(MATCH(AB1852,{"South";"SouthEast";"SouthWest";"North";"NorthEast";"East";"West";"NorthWest"},0),1,2,3,4,5,6,7,8)</f>
        <v>5</v>
      </c>
      <c r="AD1852" s="2">
        <f t="shared" si="331"/>
        <v>1</v>
      </c>
      <c r="AE1852">
        <v>1007.9</v>
      </c>
      <c r="AF1852" s="4" t="s">
        <v>1778</v>
      </c>
      <c r="AG1852" s="2">
        <f t="shared" si="332"/>
        <v>1</v>
      </c>
      <c r="AH1852" t="s">
        <v>2828</v>
      </c>
      <c r="AI1852" s="2">
        <f t="shared" si="333"/>
        <v>8</v>
      </c>
      <c r="AJ1852" s="2">
        <f t="shared" si="334"/>
        <v>1</v>
      </c>
      <c r="AK1852" s="3">
        <v>254.0000000002328</v>
      </c>
      <c r="AM1852" s="2">
        <v>0</v>
      </c>
      <c r="AN1852">
        <v>0</v>
      </c>
      <c r="AO1852">
        <v>3</v>
      </c>
      <c r="AP1852">
        <v>0</v>
      </c>
      <c r="AQ1852" s="2">
        <f>IF((2*G1852 + M1852 -P1852 + 3*W1852 + 2*Z1852+2*AD1852 + AG1852+2*AJ1852 + 4*AM1852) &gt;=8,1,0)</f>
        <v>1</v>
      </c>
    </row>
    <row r="1853" spans="1:43" x14ac:dyDescent="0.25">
      <c r="A1853" t="s">
        <v>27</v>
      </c>
      <c r="B1853" s="1">
        <v>45530</v>
      </c>
      <c r="C1853" s="7">
        <f t="shared" si="328"/>
        <v>2024</v>
      </c>
      <c r="D1853">
        <v>92.1</v>
      </c>
      <c r="E1853">
        <v>81</v>
      </c>
      <c r="F1853">
        <v>85.8</v>
      </c>
      <c r="G1853" s="2">
        <f t="shared" si="335"/>
        <v>1</v>
      </c>
      <c r="H1853">
        <v>90.5</v>
      </c>
      <c r="I1853">
        <v>80.7</v>
      </c>
      <c r="J1853">
        <v>84.4</v>
      </c>
      <c r="K1853">
        <v>53.6</v>
      </c>
      <c r="L1853">
        <v>33.5</v>
      </c>
      <c r="M1853" s="2">
        <f t="shared" si="329"/>
        <v>1</v>
      </c>
      <c r="N1853">
        <v>0</v>
      </c>
      <c r="P1853" s="2">
        <f t="shared" si="330"/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30.7</v>
      </c>
      <c r="W1853" s="2">
        <f t="shared" si="326"/>
        <v>1</v>
      </c>
      <c r="X1853">
        <v>19.899999999999999</v>
      </c>
      <c r="Z1853" s="2">
        <f t="shared" si="327"/>
        <v>1</v>
      </c>
      <c r="AA1853">
        <v>10</v>
      </c>
      <c r="AB1853" s="2" t="str">
        <f>CHOOSE(MATCH(AA1853,{0;11;80;111;161;191;241;281;341},1),"North","NorthEast","East","SouthEast","South","SouthWest","West","NorthWest","North")</f>
        <v>North</v>
      </c>
      <c r="AC1853" s="5">
        <f>CHOOSE(MATCH(AB1853,{"South";"SouthEast";"SouthWest";"North";"NorthEast";"East";"West";"NorthWest"},0),1,2,3,4,5,6,7,8)</f>
        <v>4</v>
      </c>
      <c r="AD1853" s="2">
        <f t="shared" si="331"/>
        <v>1</v>
      </c>
      <c r="AE1853">
        <v>1008.6</v>
      </c>
      <c r="AF1853" s="4" t="s">
        <v>1887</v>
      </c>
      <c r="AG1853" s="2">
        <f t="shared" si="332"/>
        <v>1</v>
      </c>
      <c r="AH1853" t="s">
        <v>2829</v>
      </c>
      <c r="AI1853" s="2">
        <f t="shared" si="333"/>
        <v>8</v>
      </c>
      <c r="AJ1853" s="2">
        <f t="shared" si="334"/>
        <v>1</v>
      </c>
      <c r="AK1853" s="3">
        <v>295.00000000814907</v>
      </c>
      <c r="AM1853" s="2">
        <v>0</v>
      </c>
      <c r="AN1853">
        <v>0</v>
      </c>
      <c r="AO1853">
        <v>20</v>
      </c>
      <c r="AP1853">
        <v>0</v>
      </c>
      <c r="AQ1853" s="2">
        <f>IF((2*G1853 + M1853 -P1853 + 3*W1853 + 2*Z1853+2*AD1853 + AG1853+2*AJ1853 + 4*AM1853) &gt;=8,1,0)</f>
        <v>1</v>
      </c>
    </row>
    <row r="1854" spans="1:43" x14ac:dyDescent="0.25">
      <c r="A1854" t="s">
        <v>27</v>
      </c>
      <c r="B1854" s="1">
        <v>45532</v>
      </c>
      <c r="C1854" s="7">
        <f t="shared" si="328"/>
        <v>2024</v>
      </c>
      <c r="D1854">
        <v>92.1</v>
      </c>
      <c r="E1854">
        <v>76.900000000000006</v>
      </c>
      <c r="F1854">
        <v>83.5</v>
      </c>
      <c r="G1854" s="2">
        <f t="shared" si="335"/>
        <v>1</v>
      </c>
      <c r="H1854">
        <v>89.5</v>
      </c>
      <c r="I1854">
        <v>76.900000000000006</v>
      </c>
      <c r="J1854">
        <v>82.5</v>
      </c>
      <c r="K1854">
        <v>54.7</v>
      </c>
      <c r="L1854">
        <v>38.4</v>
      </c>
      <c r="M1854" s="2">
        <f t="shared" si="329"/>
        <v>1</v>
      </c>
      <c r="N1854">
        <v>0</v>
      </c>
      <c r="P1854" s="2">
        <f t="shared" si="330"/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24.4</v>
      </c>
      <c r="W1854" s="2">
        <f t="shared" si="326"/>
        <v>1</v>
      </c>
      <c r="X1854">
        <v>14.6</v>
      </c>
      <c r="Z1854" s="2">
        <f t="shared" si="327"/>
        <v>0</v>
      </c>
      <c r="AA1854">
        <v>2.4</v>
      </c>
      <c r="AB1854" s="2" t="str">
        <f>CHOOSE(MATCH(AA1854,{0;11;80;111;161;191;241;281;341},1),"North","NorthEast","East","SouthEast","South","SouthWest","West","NorthWest","North")</f>
        <v>North</v>
      </c>
      <c r="AC1854" s="5">
        <f>CHOOSE(MATCH(AB1854,{"South";"SouthEast";"SouthWest";"North";"NorthEast";"East";"West";"NorthWest"},0),1,2,3,4,5,6,7,8)</f>
        <v>4</v>
      </c>
      <c r="AD1854" s="2">
        <f t="shared" si="331"/>
        <v>1</v>
      </c>
      <c r="AE1854">
        <v>1013.7</v>
      </c>
      <c r="AF1854" s="4" t="s">
        <v>1964</v>
      </c>
      <c r="AG1854" s="2">
        <f t="shared" si="332"/>
        <v>1</v>
      </c>
      <c r="AH1854" t="s">
        <v>2830</v>
      </c>
      <c r="AI1854" s="2">
        <f t="shared" si="333"/>
        <v>8</v>
      </c>
      <c r="AJ1854" s="2">
        <f t="shared" si="334"/>
        <v>1</v>
      </c>
      <c r="AK1854" s="3">
        <v>31.999999999534339</v>
      </c>
      <c r="AM1854" s="2">
        <v>0</v>
      </c>
      <c r="AN1854">
        <v>0</v>
      </c>
      <c r="AO1854">
        <v>3</v>
      </c>
      <c r="AP1854">
        <v>0</v>
      </c>
      <c r="AQ1854" s="2">
        <f>IF((2*G1854 + M1854 -P1854 + 3*W1854 + 2*Z1854+2*AD1854 + AG1854+2*AJ1854 + 4*AM1854) &gt;=8,1,0)</f>
        <v>1</v>
      </c>
    </row>
    <row r="1855" spans="1:43" x14ac:dyDescent="0.25">
      <c r="A1855" t="s">
        <v>27</v>
      </c>
      <c r="B1855" s="1">
        <v>45533</v>
      </c>
      <c r="C1855" s="7">
        <f t="shared" si="328"/>
        <v>2024</v>
      </c>
      <c r="D1855">
        <v>88.8</v>
      </c>
      <c r="E1855">
        <v>73.3</v>
      </c>
      <c r="F1855">
        <v>80.8</v>
      </c>
      <c r="G1855" s="2">
        <f t="shared" si="335"/>
        <v>1</v>
      </c>
      <c r="H1855">
        <v>87.4</v>
      </c>
      <c r="I1855">
        <v>73.3</v>
      </c>
      <c r="J1855">
        <v>80.5</v>
      </c>
      <c r="K1855">
        <v>58.1</v>
      </c>
      <c r="L1855">
        <v>46.8</v>
      </c>
      <c r="M1855" s="2">
        <f t="shared" si="329"/>
        <v>1</v>
      </c>
      <c r="N1855">
        <v>1E-3</v>
      </c>
      <c r="P1855" s="2">
        <f t="shared" si="330"/>
        <v>1</v>
      </c>
      <c r="Q1855">
        <v>100</v>
      </c>
      <c r="R1855">
        <v>4.17</v>
      </c>
      <c r="S1855" t="s">
        <v>87</v>
      </c>
      <c r="T1855">
        <v>0</v>
      </c>
      <c r="U1855">
        <v>0</v>
      </c>
      <c r="V1855">
        <v>20.8</v>
      </c>
      <c r="W1855" s="2">
        <f t="shared" si="326"/>
        <v>1</v>
      </c>
      <c r="X1855">
        <v>8.1</v>
      </c>
      <c r="Z1855" s="2">
        <f t="shared" si="327"/>
        <v>0</v>
      </c>
      <c r="AA1855">
        <v>129.19999999999999</v>
      </c>
      <c r="AB1855" s="2" t="str">
        <f>CHOOSE(MATCH(AA1855,{0;11;80;111;161;191;241;281;341},1),"North","NorthEast","East","SouthEast","South","SouthWest","West","NorthWest","North")</f>
        <v>SouthEast</v>
      </c>
      <c r="AC1855" s="5">
        <f>CHOOSE(MATCH(AB1855,{"South";"SouthEast";"SouthWest";"North";"NorthEast";"East";"West";"NorthWest"},0),1,2,3,4,5,6,7,8)</f>
        <v>2</v>
      </c>
      <c r="AD1855" s="2">
        <f t="shared" si="331"/>
        <v>0</v>
      </c>
      <c r="AE1855">
        <v>1012.9</v>
      </c>
      <c r="AF1855" s="4" t="s">
        <v>2831</v>
      </c>
      <c r="AG1855" s="2">
        <f t="shared" si="332"/>
        <v>1</v>
      </c>
      <c r="AH1855" t="s">
        <v>2832</v>
      </c>
      <c r="AI1855" s="2">
        <f t="shared" si="333"/>
        <v>8</v>
      </c>
      <c r="AJ1855" s="2">
        <f t="shared" si="334"/>
        <v>1</v>
      </c>
      <c r="AK1855" s="3">
        <v>121.9999999995343</v>
      </c>
      <c r="AM1855" s="2">
        <v>0</v>
      </c>
      <c r="AN1855">
        <v>0.1</v>
      </c>
      <c r="AO1855">
        <v>0</v>
      </c>
      <c r="AP1855">
        <v>0</v>
      </c>
      <c r="AQ1855" s="2">
        <f>IF((2*G1855 + M1855 -P1855 + 3*W1855 + 2*Z1855+2*AD1855 + AG1855+2*AJ1855 + 4*AM1855) &gt;=8,1,0)</f>
        <v>1</v>
      </c>
    </row>
    <row r="1856" spans="1:43" x14ac:dyDescent="0.25">
      <c r="A1856" t="s">
        <v>27</v>
      </c>
      <c r="B1856" s="1">
        <v>45533</v>
      </c>
      <c r="C1856" s="7">
        <f t="shared" si="328"/>
        <v>2024</v>
      </c>
      <c r="D1856">
        <v>88.8</v>
      </c>
      <c r="E1856">
        <v>73.3</v>
      </c>
      <c r="F1856">
        <v>80.8</v>
      </c>
      <c r="G1856" s="2">
        <f t="shared" si="335"/>
        <v>1</v>
      </c>
      <c r="H1856">
        <v>87.4</v>
      </c>
      <c r="I1856">
        <v>73.3</v>
      </c>
      <c r="J1856">
        <v>80.5</v>
      </c>
      <c r="K1856">
        <v>58.1</v>
      </c>
      <c r="L1856">
        <v>46.8</v>
      </c>
      <c r="M1856" s="2">
        <f t="shared" si="329"/>
        <v>1</v>
      </c>
      <c r="N1856">
        <v>1E-3</v>
      </c>
      <c r="P1856" s="2">
        <f t="shared" si="330"/>
        <v>1</v>
      </c>
      <c r="Q1856">
        <v>100</v>
      </c>
      <c r="R1856">
        <v>4.17</v>
      </c>
      <c r="S1856" t="s">
        <v>87</v>
      </c>
      <c r="T1856">
        <v>0</v>
      </c>
      <c r="U1856">
        <v>0</v>
      </c>
      <c r="V1856">
        <v>20.8</v>
      </c>
      <c r="W1856" s="2">
        <f t="shared" si="326"/>
        <v>1</v>
      </c>
      <c r="X1856">
        <v>8.1</v>
      </c>
      <c r="Z1856" s="2">
        <f t="shared" si="327"/>
        <v>0</v>
      </c>
      <c r="AA1856">
        <v>129.19999999999999</v>
      </c>
      <c r="AB1856" s="2" t="str">
        <f>CHOOSE(MATCH(AA1856,{0;11;80;111;161;191;241;281;341},1),"North","NorthEast","East","SouthEast","South","SouthWest","West","NorthWest","North")</f>
        <v>SouthEast</v>
      </c>
      <c r="AC1856" s="5">
        <f>CHOOSE(MATCH(AB1856,{"South";"SouthEast";"SouthWest";"North";"NorthEast";"East";"West";"NorthWest"},0),1,2,3,4,5,6,7,8)</f>
        <v>2</v>
      </c>
      <c r="AD1856" s="2">
        <f t="shared" si="331"/>
        <v>0</v>
      </c>
      <c r="AE1856">
        <v>1012.9</v>
      </c>
      <c r="AF1856" s="4" t="s">
        <v>2155</v>
      </c>
      <c r="AG1856" s="2">
        <f t="shared" si="332"/>
        <v>1</v>
      </c>
      <c r="AH1856" t="s">
        <v>2833</v>
      </c>
      <c r="AI1856" s="2">
        <f t="shared" si="333"/>
        <v>8</v>
      </c>
      <c r="AJ1856" s="2">
        <f t="shared" si="334"/>
        <v>1</v>
      </c>
      <c r="AK1856" s="3">
        <v>3097.9999999981369</v>
      </c>
      <c r="AM1856" s="2">
        <v>1</v>
      </c>
      <c r="AN1856">
        <v>10</v>
      </c>
      <c r="AO1856">
        <v>0</v>
      </c>
      <c r="AP1856">
        <v>0</v>
      </c>
      <c r="AQ1856" s="2">
        <f>IF((2*G1856 + M1856 -P1856 + 3*W1856 + 2*Z1856+2*AD1856 + AG1856+2*AJ1856 + 4*AM1856) &gt;=8,1,0)</f>
        <v>1</v>
      </c>
    </row>
    <row r="1857" spans="1:43" x14ac:dyDescent="0.25">
      <c r="A1857" t="s">
        <v>27</v>
      </c>
      <c r="B1857" s="1">
        <v>45534</v>
      </c>
      <c r="C1857" s="7">
        <f t="shared" si="328"/>
        <v>2024</v>
      </c>
      <c r="D1857">
        <v>89.4</v>
      </c>
      <c r="E1857">
        <v>71.400000000000006</v>
      </c>
      <c r="F1857">
        <v>78.2</v>
      </c>
      <c r="G1857" s="2">
        <f t="shared" si="335"/>
        <v>1</v>
      </c>
      <c r="H1857">
        <v>89.3</v>
      </c>
      <c r="I1857">
        <v>71.400000000000006</v>
      </c>
      <c r="J1857">
        <v>78.3</v>
      </c>
      <c r="K1857">
        <v>64.3</v>
      </c>
      <c r="L1857">
        <v>63.7</v>
      </c>
      <c r="M1857" s="2">
        <f t="shared" si="329"/>
        <v>0</v>
      </c>
      <c r="N1857">
        <v>0.153</v>
      </c>
      <c r="P1857" s="2">
        <f t="shared" si="330"/>
        <v>0</v>
      </c>
      <c r="Q1857">
        <v>100</v>
      </c>
      <c r="R1857">
        <v>8.33</v>
      </c>
      <c r="S1857" t="s">
        <v>87</v>
      </c>
      <c r="T1857">
        <v>0</v>
      </c>
      <c r="U1857">
        <v>0</v>
      </c>
      <c r="V1857">
        <v>18.399999999999999</v>
      </c>
      <c r="W1857" s="2">
        <f t="shared" si="326"/>
        <v>1</v>
      </c>
      <c r="X1857">
        <v>9.1999999999999993</v>
      </c>
      <c r="Z1857" s="2">
        <f t="shared" si="327"/>
        <v>0</v>
      </c>
      <c r="AA1857">
        <v>21.5</v>
      </c>
      <c r="AB1857" s="2" t="str">
        <f>CHOOSE(MATCH(AA1857,{0;11;80;111;161;191;241;281;341},1),"North","NorthEast","East","SouthEast","South","SouthWest","West","NorthWest","North")</f>
        <v>NorthEast</v>
      </c>
      <c r="AC1857" s="5">
        <f>CHOOSE(MATCH(AB1857,{"South";"SouthEast";"SouthWest";"North";"NorthEast";"East";"West";"NorthWest"},0),1,2,3,4,5,6,7,8)</f>
        <v>5</v>
      </c>
      <c r="AD1857" s="2">
        <f t="shared" si="331"/>
        <v>1</v>
      </c>
      <c r="AE1857">
        <v>1012</v>
      </c>
      <c r="AF1857" s="4" t="s">
        <v>2834</v>
      </c>
      <c r="AG1857" s="2">
        <f t="shared" si="332"/>
        <v>1</v>
      </c>
      <c r="AH1857" t="s">
        <v>2835</v>
      </c>
      <c r="AI1857" s="2">
        <f t="shared" si="333"/>
        <v>8</v>
      </c>
      <c r="AJ1857" s="2">
        <f t="shared" si="334"/>
        <v>1</v>
      </c>
      <c r="AK1857" s="3">
        <v>1071.000000002095</v>
      </c>
      <c r="AM1857" s="2">
        <v>1</v>
      </c>
      <c r="AN1857">
        <v>0</v>
      </c>
      <c r="AO1857">
        <v>15</v>
      </c>
      <c r="AP1857">
        <v>0</v>
      </c>
      <c r="AQ1857" s="2">
        <f>IF((2*G1857 + M1857 -P1857 + 3*W1857 + 2*Z1857+2*AD1857 + AG1857+2*AJ1857 + 4*AM1857) &gt;=8,1,0)</f>
        <v>1</v>
      </c>
    </row>
    <row r="1858" spans="1:43" x14ac:dyDescent="0.25">
      <c r="A1858" t="s">
        <v>27</v>
      </c>
      <c r="B1858" s="1">
        <v>45543</v>
      </c>
      <c r="C1858" s="7">
        <f t="shared" si="328"/>
        <v>2024</v>
      </c>
      <c r="D1858">
        <v>85.8</v>
      </c>
      <c r="E1858">
        <v>74.8</v>
      </c>
      <c r="F1858">
        <v>79.7</v>
      </c>
      <c r="G1858" s="2">
        <f t="shared" si="335"/>
        <v>1</v>
      </c>
      <c r="H1858">
        <v>85.1</v>
      </c>
      <c r="I1858">
        <v>74.8</v>
      </c>
      <c r="J1858">
        <v>79.8</v>
      </c>
      <c r="K1858">
        <v>60.1</v>
      </c>
      <c r="L1858">
        <v>52</v>
      </c>
      <c r="M1858" s="2">
        <f t="shared" si="329"/>
        <v>0</v>
      </c>
      <c r="N1858">
        <v>4.0000000000000001E-3</v>
      </c>
      <c r="P1858" s="2">
        <f t="shared" si="330"/>
        <v>1</v>
      </c>
      <c r="Q1858">
        <v>100</v>
      </c>
      <c r="R1858">
        <v>4.17</v>
      </c>
      <c r="S1858" t="s">
        <v>87</v>
      </c>
      <c r="T1858">
        <v>0</v>
      </c>
      <c r="U1858">
        <v>0</v>
      </c>
      <c r="V1858">
        <v>27.1</v>
      </c>
      <c r="W1858" s="2">
        <f t="shared" si="326"/>
        <v>1</v>
      </c>
      <c r="X1858">
        <v>14</v>
      </c>
      <c r="Z1858" s="2">
        <f t="shared" si="327"/>
        <v>0</v>
      </c>
      <c r="AA1858">
        <v>15.1</v>
      </c>
      <c r="AB1858" s="2" t="str">
        <f>CHOOSE(MATCH(AA1858,{0;11;80;111;161;191;241;281;341},1),"North","NorthEast","East","SouthEast","South","SouthWest","West","NorthWest","North")</f>
        <v>NorthEast</v>
      </c>
      <c r="AC1858" s="5">
        <f>CHOOSE(MATCH(AB1858,{"South";"SouthEast";"SouthWest";"North";"NorthEast";"East";"West";"NorthWest"},0),1,2,3,4,5,6,7,8)</f>
        <v>5</v>
      </c>
      <c r="AD1858" s="2">
        <f t="shared" si="331"/>
        <v>1</v>
      </c>
      <c r="AE1858">
        <v>1014.7</v>
      </c>
      <c r="AF1858" s="4" t="s">
        <v>1105</v>
      </c>
      <c r="AG1858" s="2">
        <f t="shared" si="332"/>
        <v>1</v>
      </c>
      <c r="AH1858" t="s">
        <v>2836</v>
      </c>
      <c r="AI1858" s="2">
        <f t="shared" si="333"/>
        <v>9</v>
      </c>
      <c r="AJ1858" s="2">
        <f t="shared" si="334"/>
        <v>0</v>
      </c>
      <c r="AK1858" s="3">
        <v>75.00000000349246</v>
      </c>
      <c r="AM1858" s="2">
        <v>0</v>
      </c>
      <c r="AN1858">
        <v>0</v>
      </c>
      <c r="AO1858">
        <v>0.2</v>
      </c>
      <c r="AP1858">
        <v>0</v>
      </c>
      <c r="AQ1858" s="2">
        <f>IF((2*G1858 + M1858 -P1858 + 3*W1858 + 2*Z1858+2*AD1858 + AG1858+2*AJ1858 + 4*AM1858) &gt;=8,1,0)</f>
        <v>0</v>
      </c>
    </row>
    <row r="1859" spans="1:43" x14ac:dyDescent="0.25">
      <c r="A1859" t="s">
        <v>27</v>
      </c>
      <c r="B1859" s="1">
        <v>45556</v>
      </c>
      <c r="C1859" s="7">
        <f t="shared" si="328"/>
        <v>2024</v>
      </c>
      <c r="D1859">
        <v>77.900000000000006</v>
      </c>
      <c r="E1859">
        <v>67.099999999999994</v>
      </c>
      <c r="F1859">
        <v>71.900000000000006</v>
      </c>
      <c r="G1859" s="2">
        <f t="shared" si="335"/>
        <v>0</v>
      </c>
      <c r="H1859">
        <v>77.900000000000006</v>
      </c>
      <c r="I1859">
        <v>67.099999999999994</v>
      </c>
      <c r="J1859">
        <v>71.900000000000006</v>
      </c>
      <c r="K1859">
        <v>54.1</v>
      </c>
      <c r="L1859">
        <v>54.7</v>
      </c>
      <c r="M1859" s="2">
        <f t="shared" si="329"/>
        <v>0</v>
      </c>
      <c r="N1859">
        <v>2E-3</v>
      </c>
      <c r="P1859" s="2">
        <f t="shared" si="330"/>
        <v>1</v>
      </c>
      <c r="Q1859">
        <v>100</v>
      </c>
      <c r="R1859">
        <v>4.17</v>
      </c>
      <c r="S1859" t="s">
        <v>87</v>
      </c>
      <c r="T1859">
        <v>0</v>
      </c>
      <c r="U1859">
        <v>0</v>
      </c>
      <c r="V1859">
        <v>30.4</v>
      </c>
      <c r="W1859" s="2">
        <f t="shared" si="326"/>
        <v>1</v>
      </c>
      <c r="X1859">
        <v>17.8</v>
      </c>
      <c r="Z1859" s="2">
        <f t="shared" si="327"/>
        <v>1</v>
      </c>
      <c r="AA1859">
        <v>6.1</v>
      </c>
      <c r="AB1859" s="2" t="str">
        <f>CHOOSE(MATCH(AA1859,{0;11;80;111;161;191;241;281;341},1),"North","NorthEast","East","SouthEast","South","SouthWest","West","NorthWest","North")</f>
        <v>North</v>
      </c>
      <c r="AC1859" s="5">
        <f>CHOOSE(MATCH(AB1859,{"South";"SouthEast";"SouthWest";"North";"NorthEast";"East";"West";"NorthWest"},0),1,2,3,4,5,6,7,8)</f>
        <v>4</v>
      </c>
      <c r="AD1859" s="2">
        <f t="shared" si="331"/>
        <v>1</v>
      </c>
      <c r="AE1859">
        <v>1017.4</v>
      </c>
      <c r="AF1859" s="4" t="s">
        <v>1717</v>
      </c>
      <c r="AG1859" s="2">
        <f t="shared" si="332"/>
        <v>1</v>
      </c>
      <c r="AH1859" t="s">
        <v>2837</v>
      </c>
      <c r="AI1859" s="2">
        <f t="shared" si="333"/>
        <v>9</v>
      </c>
      <c r="AJ1859" s="2">
        <f t="shared" si="334"/>
        <v>0</v>
      </c>
      <c r="AK1859" s="3">
        <v>152.99999999580899</v>
      </c>
      <c r="AM1859" s="2">
        <v>0</v>
      </c>
      <c r="AN1859">
        <v>0</v>
      </c>
      <c r="AO1859">
        <v>0.05</v>
      </c>
      <c r="AP1859">
        <v>0</v>
      </c>
      <c r="AQ1859" s="2">
        <f>IF((2*G1859 + M1859 -P1859 + 3*W1859 + 2*Z1859+2*AD1859 + AG1859+2*AJ1859 + 4*AM1859) &gt;=8,1,0)</f>
        <v>0</v>
      </c>
    </row>
    <row r="1860" spans="1:43" x14ac:dyDescent="0.25">
      <c r="A1860" t="s">
        <v>27</v>
      </c>
      <c r="B1860" s="1">
        <v>45620</v>
      </c>
      <c r="C1860" s="7">
        <f t="shared" si="328"/>
        <v>2024</v>
      </c>
      <c r="D1860">
        <v>54.9</v>
      </c>
      <c r="E1860">
        <v>44.4</v>
      </c>
      <c r="F1860">
        <v>49.2</v>
      </c>
      <c r="G1860" s="2">
        <f t="shared" si="335"/>
        <v>0</v>
      </c>
      <c r="H1860">
        <v>54.9</v>
      </c>
      <c r="I1860">
        <v>40.9</v>
      </c>
      <c r="J1860">
        <v>47.3</v>
      </c>
      <c r="K1860">
        <v>28.6</v>
      </c>
      <c r="L1860">
        <v>45.3</v>
      </c>
      <c r="M1860" s="2">
        <f t="shared" si="329"/>
        <v>1</v>
      </c>
      <c r="N1860">
        <v>0</v>
      </c>
      <c r="P1860" s="2">
        <f t="shared" si="330"/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30.4</v>
      </c>
      <c r="W1860" s="2">
        <f t="shared" si="326"/>
        <v>1</v>
      </c>
      <c r="X1860">
        <v>14.8</v>
      </c>
      <c r="Z1860" s="2">
        <f t="shared" si="327"/>
        <v>0</v>
      </c>
      <c r="AA1860">
        <v>356.3</v>
      </c>
      <c r="AB1860" s="2" t="str">
        <f>CHOOSE(MATCH(AA1860,{0;11;80;111;161;191;241;281;341},1),"North","NorthEast","East","SouthEast","South","SouthWest","West","NorthWest","North")</f>
        <v>North</v>
      </c>
      <c r="AC1860" s="5">
        <f>CHOOSE(MATCH(AB1860,{"South";"SouthEast";"SouthWest";"North";"NorthEast";"East";"West";"NorthWest"},0),1,2,3,4,5,6,7,8)</f>
        <v>4</v>
      </c>
      <c r="AD1860" s="2">
        <f t="shared" si="331"/>
        <v>1</v>
      </c>
      <c r="AE1860">
        <v>1033.0999999999999</v>
      </c>
      <c r="AF1860" s="4" t="s">
        <v>2838</v>
      </c>
      <c r="AG1860" s="2">
        <f t="shared" si="332"/>
        <v>0</v>
      </c>
      <c r="AH1860" t="s">
        <v>2839</v>
      </c>
      <c r="AI1860" s="2">
        <f t="shared" si="333"/>
        <v>11</v>
      </c>
      <c r="AJ1860" s="2">
        <f t="shared" si="334"/>
        <v>0</v>
      </c>
      <c r="AK1860" s="3">
        <v>384.00000000488939</v>
      </c>
      <c r="AM1860" s="2">
        <v>1</v>
      </c>
      <c r="AN1860">
        <v>0</v>
      </c>
      <c r="AO1860">
        <v>3000</v>
      </c>
      <c r="AP1860">
        <v>0</v>
      </c>
      <c r="AQ1860" s="2">
        <f>IF((2*G1860 + M1860 -P1860 + 3*W1860 + 2*Z1860+2*AD1860 + AG1860+2*AJ1860 + 4*AM1860) &gt;=8,1,0)</f>
        <v>1</v>
      </c>
    </row>
    <row r="1861" spans="1:43" x14ac:dyDescent="0.25">
      <c r="Z1861"/>
      <c r="AB1861"/>
      <c r="AC1861"/>
      <c r="AD1861" s="6"/>
      <c r="AM1861"/>
    </row>
    <row r="1862" spans="1:43" x14ac:dyDescent="0.25">
      <c r="Z1862"/>
      <c r="AB1862"/>
      <c r="AC1862"/>
      <c r="AD1862" s="6"/>
      <c r="AM1862"/>
    </row>
    <row r="1863" spans="1:43" x14ac:dyDescent="0.25">
      <c r="Z1863"/>
      <c r="AB1863"/>
      <c r="AC1863"/>
      <c r="AD1863" s="6"/>
      <c r="AM1863"/>
    </row>
    <row r="1864" spans="1:43" x14ac:dyDescent="0.25">
      <c r="Z1864"/>
      <c r="AB1864"/>
      <c r="AC1864"/>
      <c r="AD1864" s="6"/>
      <c r="AM1864"/>
    </row>
    <row r="1865" spans="1:43" x14ac:dyDescent="0.25">
      <c r="Z1865"/>
      <c r="AB1865"/>
      <c r="AC1865"/>
      <c r="AD1865" s="6"/>
      <c r="AM1865"/>
    </row>
    <row r="1866" spans="1:43" x14ac:dyDescent="0.25">
      <c r="Z1866"/>
      <c r="AB1866"/>
      <c r="AC1866"/>
      <c r="AD1866" s="6"/>
      <c r="AM1866"/>
    </row>
    <row r="1867" spans="1:43" x14ac:dyDescent="0.25">
      <c r="Z1867"/>
      <c r="AB1867"/>
      <c r="AC1867"/>
      <c r="AD1867" s="6"/>
      <c r="AM1867"/>
    </row>
    <row r="1868" spans="1:43" x14ac:dyDescent="0.25">
      <c r="Z1868"/>
      <c r="AB1868"/>
      <c r="AC1868"/>
      <c r="AD1868" s="6"/>
      <c r="AM1868"/>
    </row>
    <row r="1869" spans="1:43" x14ac:dyDescent="0.25">
      <c r="Z1869"/>
      <c r="AB1869"/>
      <c r="AC1869"/>
      <c r="AD1869" s="6"/>
      <c r="AM1869"/>
    </row>
    <row r="1870" spans="1:43" x14ac:dyDescent="0.25">
      <c r="Z1870"/>
      <c r="AB1870"/>
      <c r="AC1870"/>
      <c r="AD1870" s="6"/>
      <c r="AM1870"/>
    </row>
    <row r="1871" spans="1:43" x14ac:dyDescent="0.25">
      <c r="Z1871"/>
      <c r="AB1871"/>
      <c r="AC1871"/>
      <c r="AD1871" s="6"/>
      <c r="AM1871"/>
    </row>
    <row r="1872" spans="1:43" x14ac:dyDescent="0.25">
      <c r="Z1872"/>
      <c r="AB1872"/>
      <c r="AC1872"/>
      <c r="AD1872" s="6"/>
      <c r="AM1872"/>
    </row>
    <row r="1873" spans="26:39" x14ac:dyDescent="0.25">
      <c r="Z1873"/>
      <c r="AB1873"/>
      <c r="AC1873"/>
      <c r="AD1873" s="6"/>
      <c r="AM1873"/>
    </row>
    <row r="1874" spans="26:39" x14ac:dyDescent="0.25">
      <c r="Z1874"/>
      <c r="AB1874"/>
      <c r="AC1874"/>
      <c r="AD1874" s="6"/>
      <c r="AM1874"/>
    </row>
    <row r="1875" spans="26:39" x14ac:dyDescent="0.25">
      <c r="Z1875"/>
      <c r="AB1875"/>
      <c r="AC1875"/>
      <c r="AD1875" s="6"/>
      <c r="AM1875"/>
    </row>
    <row r="1876" spans="26:39" x14ac:dyDescent="0.25">
      <c r="Z1876"/>
      <c r="AB1876"/>
      <c r="AC1876"/>
      <c r="AD1876" s="6"/>
      <c r="AM1876"/>
    </row>
    <row r="1877" spans="26:39" x14ac:dyDescent="0.25">
      <c r="Z1877"/>
      <c r="AB1877"/>
      <c r="AC1877"/>
      <c r="AD1877" s="6"/>
      <c r="AM1877"/>
    </row>
    <row r="1878" spans="26:39" x14ac:dyDescent="0.25">
      <c r="Z1878"/>
      <c r="AB1878"/>
      <c r="AC1878"/>
      <c r="AD1878" s="6"/>
      <c r="AM1878"/>
    </row>
    <row r="1879" spans="26:39" x14ac:dyDescent="0.25">
      <c r="Z1879"/>
      <c r="AB1879"/>
      <c r="AC1879"/>
      <c r="AD1879" s="6"/>
      <c r="AM1879"/>
    </row>
    <row r="1880" spans="26:39" x14ac:dyDescent="0.25">
      <c r="Z1880"/>
      <c r="AB1880"/>
      <c r="AC1880"/>
      <c r="AD1880" s="6"/>
      <c r="AM1880"/>
    </row>
    <row r="1881" spans="26:39" x14ac:dyDescent="0.25">
      <c r="Z1881"/>
      <c r="AB1881"/>
      <c r="AC1881"/>
      <c r="AD1881" s="6"/>
      <c r="AM1881"/>
    </row>
    <row r="1882" spans="26:39" x14ac:dyDescent="0.25">
      <c r="Z1882"/>
      <c r="AB1882"/>
      <c r="AC1882"/>
      <c r="AD1882" s="6"/>
      <c r="AM1882"/>
    </row>
    <row r="1883" spans="26:39" x14ac:dyDescent="0.25">
      <c r="Z1883"/>
      <c r="AB1883"/>
      <c r="AC1883"/>
      <c r="AD1883" s="6"/>
      <c r="AM1883"/>
    </row>
    <row r="1884" spans="26:39" x14ac:dyDescent="0.25">
      <c r="Z1884"/>
      <c r="AB1884"/>
      <c r="AC1884"/>
      <c r="AD1884" s="6"/>
      <c r="AM1884"/>
    </row>
    <row r="1885" spans="26:39" x14ac:dyDescent="0.25">
      <c r="Z1885"/>
      <c r="AB1885"/>
      <c r="AC1885"/>
      <c r="AD1885" s="6"/>
      <c r="AM1885"/>
    </row>
    <row r="1886" spans="26:39" x14ac:dyDescent="0.25">
      <c r="Z1886"/>
      <c r="AB1886"/>
      <c r="AC1886"/>
      <c r="AD1886" s="6"/>
      <c r="AM1886"/>
    </row>
    <row r="1887" spans="26:39" x14ac:dyDescent="0.25">
      <c r="Z1887"/>
      <c r="AB1887"/>
      <c r="AC1887"/>
      <c r="AD1887" s="6"/>
      <c r="AM1887"/>
    </row>
    <row r="1888" spans="26:39" x14ac:dyDescent="0.25">
      <c r="Z1888"/>
      <c r="AB1888"/>
      <c r="AC1888"/>
      <c r="AD1888" s="6"/>
      <c r="AM1888"/>
    </row>
    <row r="1889" spans="26:39" x14ac:dyDescent="0.25">
      <c r="Z1889"/>
      <c r="AB1889"/>
      <c r="AC1889"/>
      <c r="AD1889" s="6"/>
      <c r="AM1889"/>
    </row>
    <row r="1890" spans="26:39" x14ac:dyDescent="0.25">
      <c r="Z1890"/>
      <c r="AB1890"/>
      <c r="AC1890"/>
      <c r="AD1890" s="6"/>
      <c r="AM1890"/>
    </row>
    <row r="1891" spans="26:39" x14ac:dyDescent="0.25">
      <c r="Z1891"/>
      <c r="AB1891"/>
      <c r="AC1891"/>
      <c r="AD1891" s="6"/>
      <c r="AM1891"/>
    </row>
    <row r="1892" spans="26:39" x14ac:dyDescent="0.25">
      <c r="Z1892"/>
      <c r="AB1892"/>
      <c r="AC1892"/>
      <c r="AD1892" s="6"/>
      <c r="AM1892"/>
    </row>
    <row r="1893" spans="26:39" x14ac:dyDescent="0.25">
      <c r="Z1893"/>
      <c r="AB1893"/>
      <c r="AC1893"/>
      <c r="AD1893" s="6"/>
      <c r="AM1893"/>
    </row>
    <row r="1894" spans="26:39" x14ac:dyDescent="0.25">
      <c r="Z1894"/>
      <c r="AB1894"/>
      <c r="AC1894"/>
      <c r="AD1894" s="6"/>
      <c r="AM1894"/>
    </row>
    <row r="1895" spans="26:39" x14ac:dyDescent="0.25">
      <c r="Z1895"/>
      <c r="AB1895"/>
      <c r="AC1895"/>
      <c r="AD1895" s="6"/>
      <c r="AM1895"/>
    </row>
    <row r="1896" spans="26:39" x14ac:dyDescent="0.25">
      <c r="Z1896"/>
      <c r="AB1896"/>
      <c r="AC1896"/>
      <c r="AD1896" s="6"/>
      <c r="AM1896"/>
    </row>
    <row r="1897" spans="26:39" x14ac:dyDescent="0.25">
      <c r="Z1897"/>
      <c r="AB1897"/>
      <c r="AC1897"/>
      <c r="AD1897" s="6"/>
      <c r="AM1897"/>
    </row>
    <row r="1898" spans="26:39" x14ac:dyDescent="0.25">
      <c r="Z1898"/>
      <c r="AB1898"/>
      <c r="AC1898"/>
      <c r="AD1898" s="6"/>
      <c r="AM1898"/>
    </row>
    <row r="1899" spans="26:39" x14ac:dyDescent="0.25">
      <c r="Z1899"/>
      <c r="AB1899"/>
      <c r="AC1899"/>
      <c r="AD1899" s="6"/>
      <c r="AM1899"/>
    </row>
    <row r="1900" spans="26:39" x14ac:dyDescent="0.25">
      <c r="Z1900"/>
      <c r="AB1900"/>
      <c r="AC1900"/>
      <c r="AD1900" s="6"/>
      <c r="AM1900"/>
    </row>
    <row r="1901" spans="26:39" x14ac:dyDescent="0.25">
      <c r="Z1901"/>
      <c r="AB1901"/>
      <c r="AC1901"/>
      <c r="AD1901" s="6"/>
      <c r="AM1901"/>
    </row>
    <row r="1902" spans="26:39" x14ac:dyDescent="0.25">
      <c r="Z1902"/>
      <c r="AB1902"/>
      <c r="AC1902"/>
      <c r="AD1902" s="6"/>
      <c r="AM1902"/>
    </row>
    <row r="1903" spans="26:39" x14ac:dyDescent="0.25">
      <c r="Z1903"/>
      <c r="AB1903"/>
      <c r="AC1903"/>
      <c r="AD1903" s="6"/>
      <c r="AM1903"/>
    </row>
    <row r="1904" spans="26:39" x14ac:dyDescent="0.25">
      <c r="Z1904"/>
      <c r="AB1904"/>
      <c r="AC1904"/>
      <c r="AD1904" s="6"/>
      <c r="AM1904"/>
    </row>
    <row r="1905" spans="26:39" x14ac:dyDescent="0.25">
      <c r="Z1905"/>
      <c r="AB1905"/>
      <c r="AC1905"/>
      <c r="AD1905" s="6"/>
      <c r="AM1905"/>
    </row>
    <row r="1906" spans="26:39" x14ac:dyDescent="0.25">
      <c r="Z1906"/>
      <c r="AB1906"/>
      <c r="AC1906"/>
      <c r="AD1906" s="6"/>
      <c r="AM1906"/>
    </row>
    <row r="1907" spans="26:39" x14ac:dyDescent="0.25">
      <c r="Z1907"/>
      <c r="AB1907"/>
      <c r="AC1907"/>
      <c r="AD1907" s="6"/>
      <c r="AM1907"/>
    </row>
    <row r="1908" spans="26:39" x14ac:dyDescent="0.25">
      <c r="Z1908"/>
      <c r="AB1908"/>
      <c r="AC1908"/>
      <c r="AD1908" s="6"/>
      <c r="AM1908"/>
    </row>
    <row r="1909" spans="26:39" x14ac:dyDescent="0.25">
      <c r="Z1909"/>
      <c r="AB1909"/>
      <c r="AC1909"/>
      <c r="AD1909" s="6"/>
      <c r="AM1909"/>
    </row>
    <row r="1910" spans="26:39" x14ac:dyDescent="0.25">
      <c r="Z1910"/>
      <c r="AB1910"/>
      <c r="AC1910"/>
      <c r="AD1910" s="6"/>
      <c r="AM1910"/>
    </row>
    <row r="1911" spans="26:39" x14ac:dyDescent="0.25">
      <c r="Z1911"/>
      <c r="AB1911"/>
      <c r="AC1911"/>
      <c r="AD1911" s="6"/>
      <c r="AM1911"/>
    </row>
    <row r="1912" spans="26:39" x14ac:dyDescent="0.25">
      <c r="Z1912"/>
      <c r="AB1912"/>
      <c r="AC1912"/>
      <c r="AD1912" s="6"/>
      <c r="AM1912"/>
    </row>
    <row r="1913" spans="26:39" x14ac:dyDescent="0.25">
      <c r="Z1913"/>
      <c r="AB1913"/>
      <c r="AC1913"/>
      <c r="AD1913" s="6"/>
      <c r="AM1913"/>
    </row>
    <row r="1914" spans="26:39" x14ac:dyDescent="0.25">
      <c r="Z1914"/>
      <c r="AB1914"/>
      <c r="AC1914"/>
      <c r="AD1914" s="6"/>
      <c r="AM1914"/>
    </row>
    <row r="1915" spans="26:39" x14ac:dyDescent="0.25">
      <c r="Z1915"/>
      <c r="AB1915"/>
      <c r="AC1915"/>
      <c r="AD1915" s="6"/>
      <c r="AM1915"/>
    </row>
    <row r="1916" spans="26:39" x14ac:dyDescent="0.25">
      <c r="Z1916"/>
      <c r="AB1916"/>
      <c r="AC1916"/>
      <c r="AD1916" s="6"/>
      <c r="AM1916"/>
    </row>
    <row r="1917" spans="26:39" x14ac:dyDescent="0.25">
      <c r="Z1917"/>
      <c r="AB1917"/>
      <c r="AC1917"/>
      <c r="AD1917" s="6"/>
      <c r="AM1917"/>
    </row>
    <row r="1918" spans="26:39" x14ac:dyDescent="0.25">
      <c r="Z1918"/>
      <c r="AB1918"/>
      <c r="AC1918"/>
      <c r="AD1918" s="6"/>
      <c r="AM1918"/>
    </row>
    <row r="1919" spans="26:39" x14ac:dyDescent="0.25">
      <c r="Z1919"/>
      <c r="AB1919"/>
      <c r="AC1919"/>
      <c r="AD1919" s="6"/>
      <c r="AM1919"/>
    </row>
    <row r="1920" spans="26:39" x14ac:dyDescent="0.25">
      <c r="Z1920"/>
      <c r="AB1920"/>
      <c r="AC1920"/>
      <c r="AD1920" s="6"/>
      <c r="AM1920"/>
    </row>
    <row r="1921" spans="26:39" x14ac:dyDescent="0.25">
      <c r="Z1921"/>
      <c r="AB1921"/>
      <c r="AC1921"/>
      <c r="AD1921" s="6"/>
      <c r="AM1921"/>
    </row>
    <row r="1922" spans="26:39" x14ac:dyDescent="0.25">
      <c r="Z1922"/>
      <c r="AB1922"/>
      <c r="AC1922"/>
      <c r="AD1922" s="6"/>
      <c r="AM1922"/>
    </row>
    <row r="1923" spans="26:39" x14ac:dyDescent="0.25">
      <c r="Z1923"/>
      <c r="AB1923"/>
      <c r="AC1923"/>
      <c r="AD1923" s="6"/>
      <c r="AM1923"/>
    </row>
    <row r="1924" spans="26:39" x14ac:dyDescent="0.25">
      <c r="Z1924"/>
      <c r="AB1924"/>
      <c r="AC1924"/>
      <c r="AD1924" s="6"/>
      <c r="AM1924"/>
    </row>
    <row r="1925" spans="26:39" x14ac:dyDescent="0.25">
      <c r="Z1925"/>
      <c r="AB1925"/>
      <c r="AC1925"/>
      <c r="AD1925" s="6"/>
      <c r="AM1925"/>
    </row>
    <row r="1926" spans="26:39" x14ac:dyDescent="0.25">
      <c r="Z1926"/>
      <c r="AB1926"/>
      <c r="AC1926"/>
      <c r="AD1926" s="6"/>
      <c r="AM1926"/>
    </row>
    <row r="1927" spans="26:39" x14ac:dyDescent="0.25">
      <c r="Z1927"/>
      <c r="AB1927"/>
      <c r="AC1927"/>
      <c r="AD1927" s="6"/>
      <c r="AM1927"/>
    </row>
    <row r="1928" spans="26:39" x14ac:dyDescent="0.25">
      <c r="Z1928"/>
      <c r="AB1928"/>
      <c r="AC1928"/>
      <c r="AD1928" s="6"/>
      <c r="AM1928"/>
    </row>
    <row r="1929" spans="26:39" x14ac:dyDescent="0.25">
      <c r="Z1929"/>
      <c r="AB1929"/>
      <c r="AC1929"/>
      <c r="AD1929" s="6"/>
      <c r="AM1929"/>
    </row>
    <row r="1930" spans="26:39" x14ac:dyDescent="0.25">
      <c r="Z1930"/>
      <c r="AB1930"/>
      <c r="AC1930"/>
      <c r="AD1930" s="6"/>
      <c r="AM1930"/>
    </row>
    <row r="1931" spans="26:39" x14ac:dyDescent="0.25">
      <c r="Z1931"/>
      <c r="AB1931"/>
      <c r="AC1931"/>
      <c r="AD1931" s="6"/>
      <c r="AM1931"/>
    </row>
    <row r="1932" spans="26:39" x14ac:dyDescent="0.25">
      <c r="Z1932"/>
      <c r="AB1932"/>
      <c r="AC1932"/>
      <c r="AD1932" s="6"/>
      <c r="AM1932"/>
    </row>
    <row r="1933" spans="26:39" x14ac:dyDescent="0.25">
      <c r="Z1933"/>
      <c r="AB1933"/>
      <c r="AC1933"/>
      <c r="AD1933" s="6"/>
      <c r="AM1933"/>
    </row>
    <row r="1934" spans="26:39" x14ac:dyDescent="0.25">
      <c r="Z1934"/>
      <c r="AB1934"/>
      <c r="AC1934"/>
      <c r="AD1934" s="6"/>
      <c r="AM1934"/>
    </row>
    <row r="1935" spans="26:39" x14ac:dyDescent="0.25">
      <c r="Z1935"/>
      <c r="AB1935"/>
      <c r="AC1935"/>
      <c r="AD1935" s="6"/>
      <c r="AM1935"/>
    </row>
    <row r="1936" spans="26:39" x14ac:dyDescent="0.25">
      <c r="Z1936"/>
      <c r="AB1936"/>
      <c r="AC1936"/>
      <c r="AD1936" s="6"/>
      <c r="AM1936"/>
    </row>
    <row r="1937" spans="26:39" x14ac:dyDescent="0.25">
      <c r="Z1937"/>
      <c r="AB1937"/>
      <c r="AC1937"/>
      <c r="AD1937" s="6"/>
      <c r="AM1937"/>
    </row>
    <row r="1938" spans="26:39" x14ac:dyDescent="0.25">
      <c r="Z1938"/>
      <c r="AB1938"/>
      <c r="AC1938"/>
      <c r="AD1938" s="6"/>
      <c r="AM1938"/>
    </row>
    <row r="1939" spans="26:39" x14ac:dyDescent="0.25">
      <c r="Z1939"/>
      <c r="AB1939"/>
      <c r="AC1939"/>
      <c r="AD1939" s="6"/>
      <c r="AM1939"/>
    </row>
    <row r="1940" spans="26:39" x14ac:dyDescent="0.25">
      <c r="Z1940"/>
      <c r="AB1940"/>
      <c r="AC1940"/>
      <c r="AD1940" s="6"/>
      <c r="AM1940"/>
    </row>
    <row r="1941" spans="26:39" x14ac:dyDescent="0.25">
      <c r="Z1941"/>
      <c r="AB1941"/>
      <c r="AC1941"/>
      <c r="AD1941" s="6"/>
      <c r="AM1941"/>
    </row>
    <row r="1942" spans="26:39" x14ac:dyDescent="0.25">
      <c r="Z1942"/>
      <c r="AB1942"/>
      <c r="AC1942"/>
      <c r="AD1942" s="6"/>
      <c r="AM1942"/>
    </row>
    <row r="1943" spans="26:39" x14ac:dyDescent="0.25">
      <c r="Z1943"/>
      <c r="AB1943"/>
      <c r="AC1943"/>
      <c r="AD1943" s="6"/>
      <c r="AM1943"/>
    </row>
    <row r="1944" spans="26:39" x14ac:dyDescent="0.25">
      <c r="Z1944"/>
      <c r="AB1944"/>
      <c r="AC1944"/>
      <c r="AD1944" s="6"/>
      <c r="AM1944"/>
    </row>
    <row r="1945" spans="26:39" x14ac:dyDescent="0.25">
      <c r="Z1945"/>
      <c r="AB1945"/>
      <c r="AC1945"/>
      <c r="AD1945" s="6"/>
      <c r="AM1945"/>
    </row>
    <row r="1946" spans="26:39" x14ac:dyDescent="0.25">
      <c r="Z1946"/>
      <c r="AB1946"/>
      <c r="AC1946"/>
      <c r="AD1946" s="6"/>
      <c r="AM1946"/>
    </row>
    <row r="1947" spans="26:39" x14ac:dyDescent="0.25">
      <c r="Z1947"/>
      <c r="AB1947"/>
      <c r="AC1947"/>
      <c r="AD1947" s="6"/>
      <c r="AM1947"/>
    </row>
    <row r="1948" spans="26:39" x14ac:dyDescent="0.25">
      <c r="Z1948"/>
      <c r="AB1948"/>
      <c r="AC1948"/>
      <c r="AD1948" s="6"/>
      <c r="AM1948"/>
    </row>
    <row r="1949" spans="26:39" x14ac:dyDescent="0.25">
      <c r="Z1949"/>
      <c r="AB1949"/>
      <c r="AC1949"/>
      <c r="AD1949" s="6"/>
      <c r="AM1949"/>
    </row>
    <row r="1950" spans="26:39" x14ac:dyDescent="0.25">
      <c r="Z1950"/>
      <c r="AB1950"/>
      <c r="AC1950"/>
      <c r="AD1950" s="6"/>
      <c r="AM1950"/>
    </row>
    <row r="1951" spans="26:39" x14ac:dyDescent="0.25">
      <c r="Z1951"/>
      <c r="AB1951"/>
      <c r="AC1951"/>
      <c r="AD1951" s="6"/>
      <c r="AM1951"/>
    </row>
    <row r="1952" spans="26:39" x14ac:dyDescent="0.25">
      <c r="Z1952"/>
      <c r="AB1952"/>
      <c r="AC1952"/>
      <c r="AD1952" s="6"/>
      <c r="AM1952"/>
    </row>
    <row r="1953" spans="26:39" x14ac:dyDescent="0.25">
      <c r="Z1953"/>
      <c r="AB1953"/>
      <c r="AC1953"/>
      <c r="AD1953" s="6"/>
      <c r="AM1953"/>
    </row>
    <row r="1954" spans="26:39" x14ac:dyDescent="0.25">
      <c r="Z1954"/>
      <c r="AB1954"/>
      <c r="AC1954"/>
      <c r="AD1954" s="6"/>
      <c r="AM1954"/>
    </row>
    <row r="1955" spans="26:39" x14ac:dyDescent="0.25">
      <c r="Z1955"/>
      <c r="AB1955"/>
      <c r="AC1955"/>
      <c r="AD1955" s="6"/>
      <c r="AM1955"/>
    </row>
    <row r="1956" spans="26:39" x14ac:dyDescent="0.25">
      <c r="Z1956"/>
      <c r="AB1956"/>
      <c r="AC1956"/>
      <c r="AD1956" s="6"/>
      <c r="AM1956"/>
    </row>
    <row r="1957" spans="26:39" x14ac:dyDescent="0.25">
      <c r="Z1957"/>
      <c r="AB1957"/>
      <c r="AC1957"/>
      <c r="AD1957" s="6"/>
      <c r="AM1957"/>
    </row>
    <row r="1958" spans="26:39" x14ac:dyDescent="0.25">
      <c r="Z1958"/>
      <c r="AB1958"/>
      <c r="AC1958"/>
      <c r="AD1958" s="6"/>
      <c r="AM1958"/>
    </row>
    <row r="1959" spans="26:39" x14ac:dyDescent="0.25">
      <c r="Z1959"/>
      <c r="AB1959"/>
      <c r="AC1959"/>
      <c r="AD1959" s="6"/>
      <c r="AM1959"/>
    </row>
    <row r="1960" spans="26:39" x14ac:dyDescent="0.25">
      <c r="Z1960"/>
      <c r="AB1960"/>
      <c r="AC1960"/>
      <c r="AD1960" s="6"/>
      <c r="AM1960"/>
    </row>
    <row r="1961" spans="26:39" x14ac:dyDescent="0.25">
      <c r="Z1961"/>
      <c r="AB1961"/>
      <c r="AC1961"/>
      <c r="AD1961" s="6"/>
      <c r="AM1961"/>
    </row>
    <row r="1962" spans="26:39" x14ac:dyDescent="0.25">
      <c r="Z1962"/>
      <c r="AB1962"/>
      <c r="AC1962"/>
      <c r="AD1962" s="6"/>
      <c r="AM1962"/>
    </row>
    <row r="1963" spans="26:39" x14ac:dyDescent="0.25">
      <c r="Z1963"/>
      <c r="AB1963"/>
      <c r="AC1963"/>
      <c r="AD1963" s="6"/>
      <c r="AM1963"/>
    </row>
    <row r="1964" spans="26:39" x14ac:dyDescent="0.25">
      <c r="Z1964"/>
      <c r="AB1964"/>
      <c r="AC1964"/>
      <c r="AD1964" s="6"/>
      <c r="AM1964"/>
    </row>
    <row r="1965" spans="26:39" x14ac:dyDescent="0.25">
      <c r="Z1965"/>
      <c r="AB1965"/>
      <c r="AC1965"/>
      <c r="AD1965" s="6"/>
      <c r="AM1965"/>
    </row>
    <row r="1966" spans="26:39" x14ac:dyDescent="0.25">
      <c r="Z1966"/>
      <c r="AB1966"/>
      <c r="AC1966"/>
      <c r="AD1966" s="6"/>
      <c r="AM1966"/>
    </row>
    <row r="1967" spans="26:39" x14ac:dyDescent="0.25">
      <c r="Z1967"/>
      <c r="AB1967"/>
      <c r="AC1967"/>
      <c r="AD1967" s="6"/>
      <c r="AM1967"/>
    </row>
    <row r="1968" spans="26:39" x14ac:dyDescent="0.25">
      <c r="Z1968"/>
      <c r="AB1968"/>
      <c r="AC1968"/>
      <c r="AD1968" s="6"/>
      <c r="AM1968"/>
    </row>
    <row r="1969" spans="26:39" x14ac:dyDescent="0.25">
      <c r="Z1969"/>
      <c r="AB1969"/>
      <c r="AC1969"/>
      <c r="AD1969" s="6"/>
      <c r="AM1969"/>
    </row>
    <row r="1970" spans="26:39" x14ac:dyDescent="0.25">
      <c r="Z1970"/>
      <c r="AB1970"/>
      <c r="AC1970"/>
      <c r="AD1970" s="6"/>
      <c r="AM1970"/>
    </row>
    <row r="1971" spans="26:39" x14ac:dyDescent="0.25">
      <c r="Z1971"/>
      <c r="AB1971"/>
      <c r="AC1971"/>
      <c r="AD1971" s="6"/>
      <c r="AM1971"/>
    </row>
    <row r="1972" spans="26:39" x14ac:dyDescent="0.25">
      <c r="Z1972"/>
      <c r="AB1972"/>
      <c r="AC1972"/>
      <c r="AD1972" s="6"/>
      <c r="AM1972"/>
    </row>
    <row r="1973" spans="26:39" x14ac:dyDescent="0.25">
      <c r="Z1973"/>
      <c r="AB1973"/>
      <c r="AC1973"/>
      <c r="AD1973" s="6"/>
      <c r="AM1973"/>
    </row>
    <row r="1974" spans="26:39" x14ac:dyDescent="0.25">
      <c r="Z1974"/>
      <c r="AB1974"/>
      <c r="AC1974"/>
      <c r="AD1974" s="6"/>
      <c r="AM1974"/>
    </row>
    <row r="1975" spans="26:39" x14ac:dyDescent="0.25">
      <c r="Z1975"/>
      <c r="AB1975"/>
      <c r="AC1975"/>
      <c r="AD1975" s="6"/>
      <c r="AM1975"/>
    </row>
    <row r="1976" spans="26:39" x14ac:dyDescent="0.25">
      <c r="Z1976"/>
      <c r="AB1976"/>
      <c r="AC1976"/>
      <c r="AD1976" s="6"/>
      <c r="AM1976"/>
    </row>
    <row r="1977" spans="26:39" x14ac:dyDescent="0.25">
      <c r="Z1977"/>
      <c r="AB1977"/>
      <c r="AC1977"/>
      <c r="AD1977" s="6"/>
      <c r="AM1977"/>
    </row>
    <row r="1978" spans="26:39" x14ac:dyDescent="0.25">
      <c r="Z1978"/>
      <c r="AB1978"/>
      <c r="AC1978"/>
      <c r="AD1978" s="6"/>
      <c r="AM1978"/>
    </row>
    <row r="1979" spans="26:39" x14ac:dyDescent="0.25">
      <c r="Z1979"/>
      <c r="AB1979"/>
      <c r="AC1979"/>
      <c r="AD1979" s="6"/>
      <c r="AM1979"/>
    </row>
    <row r="1980" spans="26:39" x14ac:dyDescent="0.25">
      <c r="Z1980"/>
      <c r="AB1980"/>
      <c r="AC1980"/>
      <c r="AD1980" s="6"/>
      <c r="AM1980"/>
    </row>
    <row r="1981" spans="26:39" x14ac:dyDescent="0.25">
      <c r="Z1981"/>
      <c r="AB1981"/>
      <c r="AC1981"/>
      <c r="AD1981" s="6"/>
      <c r="AM1981"/>
    </row>
    <row r="1982" spans="26:39" x14ac:dyDescent="0.25">
      <c r="Z1982"/>
      <c r="AB1982"/>
      <c r="AC1982"/>
      <c r="AD1982" s="6"/>
      <c r="AM1982"/>
    </row>
    <row r="1983" spans="26:39" x14ac:dyDescent="0.25">
      <c r="Z1983"/>
      <c r="AB1983"/>
      <c r="AC1983"/>
      <c r="AD1983" s="6"/>
      <c r="AM1983"/>
    </row>
    <row r="1984" spans="26:39" x14ac:dyDescent="0.25">
      <c r="Z1984"/>
      <c r="AB1984"/>
      <c r="AC1984"/>
      <c r="AD1984" s="6"/>
      <c r="AM1984"/>
    </row>
    <row r="1985" spans="26:39" x14ac:dyDescent="0.25">
      <c r="Z1985"/>
      <c r="AB1985"/>
      <c r="AC1985"/>
      <c r="AD1985" s="6"/>
      <c r="AM1985"/>
    </row>
    <row r="1986" spans="26:39" x14ac:dyDescent="0.25">
      <c r="Z1986"/>
      <c r="AB1986"/>
      <c r="AC1986"/>
      <c r="AD1986" s="6"/>
      <c r="AM1986"/>
    </row>
    <row r="1987" spans="26:39" x14ac:dyDescent="0.25">
      <c r="Z1987"/>
      <c r="AB1987"/>
      <c r="AC1987"/>
      <c r="AD1987" s="6"/>
      <c r="AM1987"/>
    </row>
    <row r="1988" spans="26:39" x14ac:dyDescent="0.25">
      <c r="Z1988"/>
      <c r="AB1988"/>
      <c r="AC1988"/>
      <c r="AD1988" s="6"/>
      <c r="AM1988"/>
    </row>
    <row r="1989" spans="26:39" x14ac:dyDescent="0.25">
      <c r="Z1989"/>
      <c r="AB1989"/>
      <c r="AC1989"/>
      <c r="AD1989" s="6"/>
      <c r="AM1989"/>
    </row>
    <row r="1990" spans="26:39" x14ac:dyDescent="0.25">
      <c r="Z1990"/>
      <c r="AB1990"/>
      <c r="AC1990"/>
      <c r="AD1990" s="6"/>
      <c r="AM1990"/>
    </row>
    <row r="1991" spans="26:39" x14ac:dyDescent="0.25">
      <c r="Z1991"/>
      <c r="AB1991"/>
      <c r="AC1991"/>
      <c r="AD1991" s="6"/>
      <c r="AM1991"/>
    </row>
    <row r="1992" spans="26:39" x14ac:dyDescent="0.25">
      <c r="Z1992"/>
      <c r="AB1992"/>
      <c r="AC1992"/>
      <c r="AD1992" s="6"/>
      <c r="AM1992"/>
    </row>
    <row r="1993" spans="26:39" x14ac:dyDescent="0.25">
      <c r="Z1993"/>
      <c r="AB1993"/>
      <c r="AC1993"/>
      <c r="AD1993" s="6"/>
      <c r="AM1993"/>
    </row>
    <row r="1994" spans="26:39" x14ac:dyDescent="0.25">
      <c r="Z1994"/>
      <c r="AB1994"/>
      <c r="AC1994"/>
      <c r="AD1994" s="6"/>
      <c r="AM1994"/>
    </row>
    <row r="1995" spans="26:39" x14ac:dyDescent="0.25">
      <c r="Z1995"/>
      <c r="AB1995"/>
      <c r="AC1995"/>
      <c r="AD1995" s="6"/>
      <c r="AM1995"/>
    </row>
    <row r="1996" spans="26:39" x14ac:dyDescent="0.25">
      <c r="Z1996"/>
      <c r="AB1996"/>
      <c r="AC1996"/>
      <c r="AD1996" s="6"/>
      <c r="AM1996"/>
    </row>
    <row r="1997" spans="26:39" x14ac:dyDescent="0.25">
      <c r="Z1997"/>
      <c r="AB1997"/>
      <c r="AC1997"/>
      <c r="AD1997" s="6"/>
      <c r="AM1997"/>
    </row>
    <row r="1998" spans="26:39" x14ac:dyDescent="0.25">
      <c r="Z1998"/>
      <c r="AB1998"/>
      <c r="AC1998"/>
      <c r="AD1998" s="6"/>
      <c r="AM1998"/>
    </row>
    <row r="1999" spans="26:39" x14ac:dyDescent="0.25">
      <c r="Z1999"/>
      <c r="AB1999"/>
      <c r="AC1999"/>
      <c r="AD1999" s="6"/>
      <c r="AM1999"/>
    </row>
    <row r="2000" spans="26:39" x14ac:dyDescent="0.25">
      <c r="Z2000"/>
      <c r="AB2000"/>
      <c r="AC2000"/>
      <c r="AD2000" s="6"/>
      <c r="AM2000"/>
    </row>
    <row r="2001" spans="26:39" x14ac:dyDescent="0.25">
      <c r="Z2001"/>
      <c r="AB2001"/>
      <c r="AC2001"/>
      <c r="AD2001" s="6"/>
      <c r="AM2001"/>
    </row>
    <row r="2002" spans="26:39" x14ac:dyDescent="0.25">
      <c r="Z2002"/>
      <c r="AB2002"/>
      <c r="AC2002"/>
      <c r="AD2002" s="6"/>
      <c r="AM2002"/>
    </row>
    <row r="2003" spans="26:39" x14ac:dyDescent="0.25">
      <c r="Z2003"/>
      <c r="AB2003"/>
      <c r="AC2003"/>
      <c r="AD2003" s="6"/>
      <c r="AM2003"/>
    </row>
    <row r="2004" spans="26:39" x14ac:dyDescent="0.25">
      <c r="Z2004"/>
      <c r="AB2004"/>
      <c r="AC2004"/>
      <c r="AD2004" s="6"/>
      <c r="AM2004"/>
    </row>
    <row r="2005" spans="26:39" x14ac:dyDescent="0.25">
      <c r="Z2005"/>
      <c r="AB2005"/>
      <c r="AC2005"/>
      <c r="AD2005" s="6"/>
      <c r="AM2005"/>
    </row>
    <row r="2006" spans="26:39" x14ac:dyDescent="0.25">
      <c r="Z2006"/>
      <c r="AB2006"/>
      <c r="AC2006"/>
      <c r="AD2006" s="6"/>
      <c r="AM2006"/>
    </row>
    <row r="2007" spans="26:39" x14ac:dyDescent="0.25">
      <c r="Z2007"/>
      <c r="AB2007"/>
      <c r="AC2007"/>
      <c r="AD2007" s="6"/>
      <c r="AM2007"/>
    </row>
    <row r="2008" spans="26:39" x14ac:dyDescent="0.25">
      <c r="Z2008"/>
      <c r="AB2008"/>
      <c r="AC2008"/>
      <c r="AD2008" s="6"/>
      <c r="AM2008"/>
    </row>
    <row r="2009" spans="26:39" x14ac:dyDescent="0.25">
      <c r="Z2009"/>
      <c r="AB2009"/>
      <c r="AC2009"/>
      <c r="AD2009" s="6"/>
      <c r="AM2009"/>
    </row>
    <row r="2010" spans="26:39" x14ac:dyDescent="0.25">
      <c r="Z2010"/>
      <c r="AB2010"/>
      <c r="AC2010"/>
      <c r="AD2010" s="6"/>
      <c r="AM2010"/>
    </row>
    <row r="2011" spans="26:39" x14ac:dyDescent="0.25">
      <c r="Z2011"/>
      <c r="AB2011"/>
      <c r="AC2011"/>
      <c r="AD2011" s="6"/>
      <c r="AM2011"/>
    </row>
    <row r="2012" spans="26:39" x14ac:dyDescent="0.25">
      <c r="Z2012"/>
      <c r="AB2012"/>
      <c r="AC2012"/>
      <c r="AD2012" s="6"/>
      <c r="AM2012"/>
    </row>
    <row r="2013" spans="26:39" x14ac:dyDescent="0.25">
      <c r="Z2013"/>
      <c r="AB2013"/>
      <c r="AC2013"/>
      <c r="AD2013" s="6"/>
      <c r="AM2013"/>
    </row>
    <row r="2014" spans="26:39" x14ac:dyDescent="0.25">
      <c r="Z2014"/>
      <c r="AB2014"/>
      <c r="AC2014"/>
      <c r="AD2014" s="6"/>
      <c r="AM2014"/>
    </row>
    <row r="2015" spans="26:39" x14ac:dyDescent="0.25">
      <c r="Z2015"/>
      <c r="AB2015"/>
      <c r="AC2015"/>
      <c r="AD2015" s="6"/>
      <c r="AM2015"/>
    </row>
    <row r="2016" spans="26:39" x14ac:dyDescent="0.25">
      <c r="Z2016"/>
      <c r="AB2016"/>
      <c r="AC2016"/>
      <c r="AD2016" s="6"/>
      <c r="AM2016"/>
    </row>
    <row r="2017" spans="26:39" x14ac:dyDescent="0.25">
      <c r="Z2017"/>
      <c r="AB2017"/>
      <c r="AC2017"/>
      <c r="AD2017" s="6"/>
      <c r="AM2017"/>
    </row>
    <row r="2018" spans="26:39" x14ac:dyDescent="0.25">
      <c r="Z2018"/>
      <c r="AB2018"/>
      <c r="AC2018"/>
      <c r="AD2018" s="6"/>
      <c r="AM2018"/>
    </row>
    <row r="2019" spans="26:39" x14ac:dyDescent="0.25">
      <c r="Z2019"/>
      <c r="AB2019"/>
      <c r="AC2019"/>
      <c r="AD2019" s="6"/>
      <c r="AM2019"/>
    </row>
    <row r="2020" spans="26:39" x14ac:dyDescent="0.25">
      <c r="Z2020"/>
      <c r="AB2020"/>
      <c r="AC2020"/>
      <c r="AD2020" s="6"/>
      <c r="AM2020"/>
    </row>
    <row r="2021" spans="26:39" x14ac:dyDescent="0.25">
      <c r="Z2021"/>
      <c r="AB2021"/>
      <c r="AC2021"/>
      <c r="AD2021" s="6"/>
      <c r="AM2021"/>
    </row>
    <row r="2022" spans="26:39" x14ac:dyDescent="0.25">
      <c r="Z2022"/>
      <c r="AB2022"/>
      <c r="AC2022"/>
      <c r="AD2022" s="6"/>
      <c r="AM2022"/>
    </row>
    <row r="2023" spans="26:39" x14ac:dyDescent="0.25">
      <c r="Z2023"/>
      <c r="AB2023"/>
      <c r="AC2023"/>
      <c r="AD2023" s="6"/>
      <c r="AM2023"/>
    </row>
    <row r="2024" spans="26:39" x14ac:dyDescent="0.25">
      <c r="Z2024"/>
      <c r="AB2024"/>
      <c r="AC2024"/>
      <c r="AD2024" s="6"/>
      <c r="AM2024"/>
    </row>
    <row r="2025" spans="26:39" x14ac:dyDescent="0.25">
      <c r="Z2025"/>
      <c r="AB2025"/>
      <c r="AC2025"/>
      <c r="AD2025" s="6"/>
      <c r="AM2025"/>
    </row>
    <row r="2026" spans="26:39" x14ac:dyDescent="0.25">
      <c r="Z2026"/>
      <c r="AB2026"/>
      <c r="AC2026"/>
      <c r="AD2026" s="6"/>
      <c r="AM2026"/>
    </row>
    <row r="2027" spans="26:39" x14ac:dyDescent="0.25">
      <c r="Z2027"/>
      <c r="AB2027"/>
      <c r="AC2027"/>
      <c r="AD2027" s="6"/>
      <c r="AM2027"/>
    </row>
    <row r="2028" spans="26:39" x14ac:dyDescent="0.25">
      <c r="Z2028"/>
      <c r="AB2028"/>
      <c r="AC2028"/>
      <c r="AD2028" s="6"/>
      <c r="AM2028"/>
    </row>
    <row r="2029" spans="26:39" x14ac:dyDescent="0.25">
      <c r="Z2029"/>
      <c r="AB2029"/>
      <c r="AC2029"/>
      <c r="AD2029" s="6"/>
      <c r="AM2029"/>
    </row>
    <row r="2030" spans="26:39" x14ac:dyDescent="0.25">
      <c r="Z2030"/>
      <c r="AB2030"/>
      <c r="AC2030"/>
      <c r="AD2030" s="6"/>
      <c r="AM2030"/>
    </row>
    <row r="2031" spans="26:39" x14ac:dyDescent="0.25">
      <c r="Z2031"/>
      <c r="AB2031"/>
      <c r="AC2031"/>
      <c r="AD2031" s="6"/>
      <c r="AM2031"/>
    </row>
    <row r="2032" spans="26:39" x14ac:dyDescent="0.25">
      <c r="Z2032"/>
      <c r="AB2032"/>
      <c r="AC2032"/>
      <c r="AD2032" s="6"/>
      <c r="AM2032"/>
    </row>
    <row r="2033" spans="26:39" x14ac:dyDescent="0.25">
      <c r="Z2033"/>
      <c r="AB2033"/>
      <c r="AC2033"/>
      <c r="AD2033" s="6"/>
      <c r="AM2033"/>
    </row>
    <row r="2034" spans="26:39" x14ac:dyDescent="0.25">
      <c r="Z2034"/>
      <c r="AB2034"/>
      <c r="AC2034"/>
      <c r="AD2034" s="6"/>
      <c r="AM2034"/>
    </row>
    <row r="2035" spans="26:39" x14ac:dyDescent="0.25">
      <c r="Z2035"/>
      <c r="AB2035"/>
      <c r="AC2035"/>
      <c r="AD2035" s="6"/>
      <c r="AM2035"/>
    </row>
    <row r="2036" spans="26:39" x14ac:dyDescent="0.25">
      <c r="Z2036"/>
      <c r="AB2036"/>
      <c r="AC2036"/>
      <c r="AD2036" s="6"/>
      <c r="AM2036"/>
    </row>
    <row r="2037" spans="26:39" x14ac:dyDescent="0.25">
      <c r="Z2037"/>
      <c r="AB2037"/>
      <c r="AC2037"/>
      <c r="AD2037" s="6"/>
      <c r="AM2037"/>
    </row>
    <row r="2038" spans="26:39" x14ac:dyDescent="0.25">
      <c r="Z2038"/>
      <c r="AB2038"/>
      <c r="AC2038"/>
      <c r="AD2038" s="6"/>
      <c r="AM2038"/>
    </row>
    <row r="2039" spans="26:39" x14ac:dyDescent="0.25">
      <c r="Z2039"/>
      <c r="AB2039"/>
      <c r="AC2039"/>
      <c r="AD2039" s="6"/>
      <c r="AM2039"/>
    </row>
    <row r="2040" spans="26:39" x14ac:dyDescent="0.25">
      <c r="Z2040"/>
      <c r="AB2040"/>
      <c r="AC2040"/>
      <c r="AD2040" s="6"/>
      <c r="AM2040"/>
    </row>
    <row r="2041" spans="26:39" x14ac:dyDescent="0.25">
      <c r="Z2041"/>
      <c r="AB2041"/>
      <c r="AC2041"/>
      <c r="AD2041" s="6"/>
      <c r="AM2041"/>
    </row>
    <row r="2042" spans="26:39" x14ac:dyDescent="0.25">
      <c r="Z2042"/>
      <c r="AB2042"/>
      <c r="AC2042"/>
      <c r="AD2042" s="6"/>
      <c r="AM2042"/>
    </row>
    <row r="2043" spans="26:39" x14ac:dyDescent="0.25">
      <c r="Z2043"/>
      <c r="AB2043"/>
      <c r="AC2043"/>
      <c r="AD2043" s="6"/>
      <c r="AM2043"/>
    </row>
    <row r="2044" spans="26:39" x14ac:dyDescent="0.25">
      <c r="Z2044"/>
      <c r="AB2044"/>
      <c r="AC2044"/>
      <c r="AD2044" s="6"/>
      <c r="AM2044"/>
    </row>
    <row r="2045" spans="26:39" x14ac:dyDescent="0.25">
      <c r="Z2045"/>
      <c r="AB2045"/>
      <c r="AC2045"/>
      <c r="AD2045" s="6"/>
      <c r="AM2045"/>
    </row>
    <row r="2046" spans="26:39" x14ac:dyDescent="0.25">
      <c r="Z2046"/>
      <c r="AB2046"/>
      <c r="AC2046"/>
      <c r="AD2046" s="6"/>
      <c r="AM2046"/>
    </row>
    <row r="2047" spans="26:39" x14ac:dyDescent="0.25">
      <c r="Z2047"/>
      <c r="AB2047"/>
      <c r="AC2047"/>
      <c r="AD2047" s="6"/>
      <c r="AM2047"/>
    </row>
    <row r="2048" spans="26:39" x14ac:dyDescent="0.25">
      <c r="Z2048"/>
      <c r="AB2048"/>
      <c r="AC2048"/>
      <c r="AD2048" s="6"/>
      <c r="AM2048"/>
    </row>
    <row r="2049" spans="26:39" x14ac:dyDescent="0.25">
      <c r="Z2049"/>
      <c r="AB2049"/>
      <c r="AC2049"/>
      <c r="AD2049" s="6"/>
      <c r="AM2049"/>
    </row>
    <row r="2050" spans="26:39" x14ac:dyDescent="0.25">
      <c r="Z2050"/>
      <c r="AB2050"/>
      <c r="AC2050"/>
      <c r="AD2050" s="6"/>
      <c r="AM2050"/>
    </row>
    <row r="2051" spans="26:39" x14ac:dyDescent="0.25">
      <c r="Z2051"/>
      <c r="AB2051"/>
      <c r="AC2051"/>
      <c r="AD2051" s="6"/>
      <c r="AM2051"/>
    </row>
    <row r="2052" spans="26:39" x14ac:dyDescent="0.25">
      <c r="Z2052"/>
      <c r="AB2052"/>
      <c r="AC2052"/>
      <c r="AD2052" s="6"/>
      <c r="AM2052"/>
    </row>
    <row r="2053" spans="26:39" x14ac:dyDescent="0.25">
      <c r="Z2053"/>
      <c r="AB2053"/>
      <c r="AC2053"/>
      <c r="AD2053" s="6"/>
      <c r="AM2053"/>
    </row>
    <row r="2054" spans="26:39" x14ac:dyDescent="0.25">
      <c r="Z2054"/>
      <c r="AB2054"/>
      <c r="AC2054"/>
      <c r="AD2054" s="6"/>
      <c r="AM2054"/>
    </row>
    <row r="2055" spans="26:39" x14ac:dyDescent="0.25">
      <c r="Z2055"/>
      <c r="AB2055"/>
      <c r="AC2055"/>
      <c r="AD2055" s="6"/>
      <c r="AM2055"/>
    </row>
    <row r="2056" spans="26:39" x14ac:dyDescent="0.25">
      <c r="Z2056"/>
      <c r="AB2056"/>
      <c r="AC2056"/>
      <c r="AD2056" s="6"/>
      <c r="AM2056"/>
    </row>
    <row r="2057" spans="26:39" x14ac:dyDescent="0.25">
      <c r="Z2057"/>
      <c r="AB2057"/>
      <c r="AC2057"/>
      <c r="AD2057" s="6"/>
      <c r="AM2057"/>
    </row>
    <row r="2058" spans="26:39" x14ac:dyDescent="0.25">
      <c r="Z2058"/>
      <c r="AB2058"/>
      <c r="AC2058"/>
      <c r="AD2058" s="6"/>
      <c r="AM2058"/>
    </row>
    <row r="2059" spans="26:39" x14ac:dyDescent="0.25">
      <c r="Z2059"/>
      <c r="AB2059"/>
      <c r="AC2059"/>
      <c r="AD2059" s="6"/>
      <c r="AM2059"/>
    </row>
    <row r="2060" spans="26:39" x14ac:dyDescent="0.25">
      <c r="Z2060"/>
      <c r="AB2060"/>
      <c r="AC2060"/>
      <c r="AD2060" s="6"/>
      <c r="AM2060"/>
    </row>
    <row r="2061" spans="26:39" x14ac:dyDescent="0.25">
      <c r="Z2061"/>
      <c r="AB2061"/>
      <c r="AC2061"/>
      <c r="AD2061" s="6"/>
      <c r="AM2061"/>
    </row>
    <row r="2062" spans="26:39" x14ac:dyDescent="0.25">
      <c r="Z2062"/>
      <c r="AB2062"/>
      <c r="AC2062"/>
      <c r="AD2062" s="6"/>
      <c r="AM2062"/>
    </row>
    <row r="2063" spans="26:39" x14ac:dyDescent="0.25">
      <c r="Z2063"/>
      <c r="AB2063"/>
      <c r="AC2063"/>
      <c r="AD2063" s="6"/>
      <c r="AM2063"/>
    </row>
    <row r="2064" spans="26:39" x14ac:dyDescent="0.25">
      <c r="Z2064"/>
      <c r="AB2064"/>
      <c r="AC2064"/>
      <c r="AD2064" s="6"/>
      <c r="AM2064"/>
    </row>
    <row r="2065" spans="26:39" x14ac:dyDescent="0.25">
      <c r="Z2065"/>
      <c r="AB2065"/>
      <c r="AC2065"/>
      <c r="AD2065" s="6"/>
      <c r="AM2065"/>
    </row>
    <row r="2066" spans="26:39" x14ac:dyDescent="0.25">
      <c r="Z2066"/>
      <c r="AB2066"/>
      <c r="AC2066"/>
      <c r="AD2066" s="6"/>
      <c r="AM2066"/>
    </row>
    <row r="2067" spans="26:39" x14ac:dyDescent="0.25">
      <c r="Z2067"/>
      <c r="AB2067"/>
      <c r="AC2067"/>
      <c r="AD2067" s="6"/>
      <c r="AM2067"/>
    </row>
    <row r="2068" spans="26:39" x14ac:dyDescent="0.25">
      <c r="Z2068"/>
      <c r="AB2068"/>
      <c r="AC2068"/>
      <c r="AD2068" s="6"/>
      <c r="AM2068"/>
    </row>
    <row r="2069" spans="26:39" x14ac:dyDescent="0.25">
      <c r="Z2069"/>
      <c r="AB2069"/>
      <c r="AC2069"/>
      <c r="AD2069" s="6"/>
      <c r="AM2069"/>
    </row>
    <row r="2070" spans="26:39" x14ac:dyDescent="0.25">
      <c r="Z2070"/>
      <c r="AB2070"/>
      <c r="AC2070"/>
      <c r="AD2070" s="6"/>
      <c r="AM2070"/>
    </row>
    <row r="2071" spans="26:39" x14ac:dyDescent="0.25">
      <c r="Z2071"/>
      <c r="AB2071"/>
      <c r="AC2071"/>
      <c r="AD2071" s="6"/>
      <c r="AM2071"/>
    </row>
    <row r="2072" spans="26:39" x14ac:dyDescent="0.25">
      <c r="Z2072"/>
      <c r="AB2072"/>
      <c r="AC2072"/>
      <c r="AD2072" s="6"/>
      <c r="AM2072"/>
    </row>
    <row r="2073" spans="26:39" x14ac:dyDescent="0.25">
      <c r="Z2073"/>
      <c r="AB2073"/>
      <c r="AC2073"/>
      <c r="AD2073" s="6"/>
      <c r="AM2073"/>
    </row>
    <row r="2074" spans="26:39" x14ac:dyDescent="0.25">
      <c r="Z2074"/>
      <c r="AB2074"/>
      <c r="AC2074"/>
      <c r="AD2074" s="6"/>
      <c r="AM2074"/>
    </row>
    <row r="2075" spans="26:39" x14ac:dyDescent="0.25">
      <c r="Z2075"/>
      <c r="AB2075"/>
      <c r="AC2075"/>
      <c r="AD2075" s="6"/>
      <c r="AM2075"/>
    </row>
    <row r="2076" spans="26:39" x14ac:dyDescent="0.25">
      <c r="Z2076"/>
      <c r="AB2076"/>
      <c r="AC2076"/>
      <c r="AD2076" s="6"/>
      <c r="AM2076"/>
    </row>
    <row r="2077" spans="26:39" x14ac:dyDescent="0.25">
      <c r="Z2077"/>
      <c r="AB2077"/>
      <c r="AC2077"/>
      <c r="AD2077" s="6"/>
      <c r="AM2077"/>
    </row>
    <row r="2078" spans="26:39" x14ac:dyDescent="0.25">
      <c r="Z2078"/>
      <c r="AB2078"/>
      <c r="AC2078"/>
      <c r="AD2078" s="6"/>
      <c r="AM2078"/>
    </row>
    <row r="2079" spans="26:39" x14ac:dyDescent="0.25">
      <c r="Z2079"/>
      <c r="AB2079"/>
      <c r="AC2079"/>
      <c r="AD2079" s="6"/>
      <c r="AM2079"/>
    </row>
    <row r="2080" spans="26:39" x14ac:dyDescent="0.25">
      <c r="Z2080"/>
      <c r="AB2080"/>
      <c r="AC2080"/>
      <c r="AD2080" s="6"/>
      <c r="AM2080"/>
    </row>
    <row r="2081" spans="26:39" x14ac:dyDescent="0.25">
      <c r="Z2081"/>
      <c r="AB2081"/>
      <c r="AC2081"/>
      <c r="AD2081" s="6"/>
      <c r="AM2081"/>
    </row>
    <row r="2082" spans="26:39" x14ac:dyDescent="0.25">
      <c r="Z2082"/>
      <c r="AB2082"/>
      <c r="AC2082"/>
      <c r="AD2082" s="6"/>
      <c r="AM2082"/>
    </row>
    <row r="2083" spans="26:39" x14ac:dyDescent="0.25">
      <c r="Z2083"/>
      <c r="AB2083"/>
      <c r="AC2083"/>
      <c r="AD2083" s="6"/>
      <c r="AM2083"/>
    </row>
    <row r="2084" spans="26:39" x14ac:dyDescent="0.25">
      <c r="Z2084"/>
      <c r="AB2084"/>
      <c r="AC2084"/>
      <c r="AD2084" s="6"/>
      <c r="AM2084"/>
    </row>
    <row r="2085" spans="26:39" x14ac:dyDescent="0.25">
      <c r="Z2085"/>
      <c r="AB2085"/>
      <c r="AC2085"/>
      <c r="AD2085" s="6"/>
      <c r="AM2085"/>
    </row>
    <row r="2086" spans="26:39" x14ac:dyDescent="0.25">
      <c r="Z2086"/>
      <c r="AB2086"/>
      <c r="AC2086"/>
      <c r="AD2086" s="6"/>
      <c r="AM2086"/>
    </row>
    <row r="2087" spans="26:39" x14ac:dyDescent="0.25">
      <c r="Z2087"/>
      <c r="AB2087"/>
      <c r="AC2087"/>
      <c r="AD2087" s="6"/>
      <c r="AM2087"/>
    </row>
    <row r="2088" spans="26:39" x14ac:dyDescent="0.25">
      <c r="Z2088"/>
      <c r="AB2088"/>
      <c r="AC2088"/>
      <c r="AD2088" s="6"/>
      <c r="AM2088"/>
    </row>
    <row r="2089" spans="26:39" x14ac:dyDescent="0.25">
      <c r="Z2089"/>
      <c r="AB2089"/>
      <c r="AC2089"/>
      <c r="AD2089" s="6"/>
      <c r="AM2089"/>
    </row>
    <row r="2090" spans="26:39" x14ac:dyDescent="0.25">
      <c r="Z2090"/>
      <c r="AB2090"/>
      <c r="AC2090"/>
      <c r="AD2090" s="6"/>
      <c r="AM2090"/>
    </row>
    <row r="2091" spans="26:39" x14ac:dyDescent="0.25">
      <c r="Z2091"/>
      <c r="AB2091"/>
      <c r="AC2091"/>
      <c r="AD2091" s="6"/>
      <c r="AM2091"/>
    </row>
    <row r="2092" spans="26:39" x14ac:dyDescent="0.25">
      <c r="Z2092"/>
      <c r="AB2092"/>
      <c r="AC2092"/>
      <c r="AD2092" s="6"/>
      <c r="AM2092"/>
    </row>
    <row r="2093" spans="26:39" x14ac:dyDescent="0.25">
      <c r="Z2093"/>
      <c r="AB2093"/>
      <c r="AC2093"/>
      <c r="AD2093" s="6"/>
      <c r="AM2093"/>
    </row>
    <row r="2094" spans="26:39" x14ac:dyDescent="0.25">
      <c r="Z2094"/>
      <c r="AB2094"/>
      <c r="AC2094"/>
      <c r="AD2094" s="6"/>
      <c r="AM2094"/>
    </row>
    <row r="2095" spans="26:39" x14ac:dyDescent="0.25">
      <c r="Z2095"/>
      <c r="AB2095"/>
      <c r="AC2095"/>
      <c r="AD2095" s="6"/>
      <c r="AM2095"/>
    </row>
    <row r="2096" spans="26:39" x14ac:dyDescent="0.25">
      <c r="Z2096"/>
      <c r="AB2096"/>
      <c r="AC2096"/>
      <c r="AD2096" s="6"/>
      <c r="AM2096"/>
    </row>
    <row r="2097" spans="26:39" x14ac:dyDescent="0.25">
      <c r="Z2097"/>
      <c r="AB2097"/>
      <c r="AC2097"/>
      <c r="AD2097" s="6"/>
      <c r="AM2097"/>
    </row>
    <row r="2098" spans="26:39" x14ac:dyDescent="0.25">
      <c r="Z2098"/>
      <c r="AB2098"/>
      <c r="AC2098"/>
      <c r="AD2098" s="6"/>
      <c r="AM2098"/>
    </row>
    <row r="2099" spans="26:39" x14ac:dyDescent="0.25">
      <c r="Z2099"/>
      <c r="AB2099"/>
      <c r="AC2099"/>
      <c r="AD2099" s="6"/>
      <c r="AM2099"/>
    </row>
    <row r="2100" spans="26:39" x14ac:dyDescent="0.25">
      <c r="Z2100"/>
      <c r="AB2100"/>
      <c r="AC2100"/>
      <c r="AD2100" s="6"/>
      <c r="AM2100"/>
    </row>
    <row r="2101" spans="26:39" x14ac:dyDescent="0.25">
      <c r="Z2101"/>
      <c r="AB2101"/>
      <c r="AC2101"/>
      <c r="AD2101" s="6"/>
      <c r="AM2101"/>
    </row>
    <row r="2102" spans="26:39" x14ac:dyDescent="0.25">
      <c r="Z2102"/>
      <c r="AB2102"/>
      <c r="AC2102"/>
      <c r="AD2102" s="6"/>
      <c r="AM2102"/>
    </row>
    <row r="2103" spans="26:39" x14ac:dyDescent="0.25">
      <c r="Z2103"/>
      <c r="AB2103"/>
      <c r="AC2103"/>
      <c r="AD2103" s="6"/>
      <c r="AM2103"/>
    </row>
    <row r="2104" spans="26:39" x14ac:dyDescent="0.25">
      <c r="Z2104"/>
      <c r="AB2104"/>
      <c r="AC2104"/>
      <c r="AD2104" s="6"/>
      <c r="AM2104"/>
    </row>
    <row r="2105" spans="26:39" x14ac:dyDescent="0.25">
      <c r="Z2105"/>
      <c r="AB2105"/>
      <c r="AC2105"/>
      <c r="AD2105" s="6"/>
      <c r="AM2105"/>
    </row>
    <row r="2106" spans="26:39" x14ac:dyDescent="0.25">
      <c r="Z2106"/>
      <c r="AB2106"/>
      <c r="AC2106"/>
      <c r="AD2106" s="6"/>
      <c r="AM2106"/>
    </row>
    <row r="2107" spans="26:39" x14ac:dyDescent="0.25">
      <c r="Z2107"/>
      <c r="AB2107"/>
      <c r="AC2107"/>
      <c r="AD2107" s="6"/>
      <c r="AM2107"/>
    </row>
    <row r="2108" spans="26:39" x14ac:dyDescent="0.25">
      <c r="Z2108"/>
      <c r="AB2108"/>
      <c r="AC2108"/>
      <c r="AD2108" s="6"/>
      <c r="AM2108"/>
    </row>
    <row r="2109" spans="26:39" x14ac:dyDescent="0.25">
      <c r="Z2109"/>
      <c r="AB2109"/>
      <c r="AC2109"/>
      <c r="AD2109" s="6"/>
      <c r="AM2109"/>
    </row>
    <row r="2110" spans="26:39" x14ac:dyDescent="0.25">
      <c r="Z2110"/>
      <c r="AB2110"/>
      <c r="AC2110"/>
      <c r="AD2110" s="6"/>
      <c r="AM2110"/>
    </row>
    <row r="2111" spans="26:39" x14ac:dyDescent="0.25">
      <c r="Z2111"/>
      <c r="AB2111"/>
      <c r="AC2111"/>
      <c r="AD2111" s="6"/>
      <c r="AM2111"/>
    </row>
    <row r="2112" spans="26:39" x14ac:dyDescent="0.25">
      <c r="Z2112"/>
      <c r="AB2112"/>
      <c r="AC2112"/>
      <c r="AD2112" s="6"/>
      <c r="AM2112"/>
    </row>
    <row r="2113" spans="26:39" x14ac:dyDescent="0.25">
      <c r="Z2113"/>
      <c r="AB2113"/>
      <c r="AC2113"/>
      <c r="AD2113" s="6"/>
      <c r="AM2113"/>
    </row>
    <row r="2114" spans="26:39" x14ac:dyDescent="0.25">
      <c r="Z2114"/>
      <c r="AB2114"/>
      <c r="AC2114"/>
      <c r="AD2114" s="6"/>
      <c r="AM2114"/>
    </row>
    <row r="2115" spans="26:39" x14ac:dyDescent="0.25">
      <c r="Z2115"/>
      <c r="AB2115"/>
      <c r="AC2115"/>
      <c r="AD2115" s="6"/>
      <c r="AM2115"/>
    </row>
    <row r="2116" spans="26:39" x14ac:dyDescent="0.25">
      <c r="Z2116"/>
      <c r="AB2116"/>
      <c r="AC2116"/>
      <c r="AD2116" s="6"/>
      <c r="AM2116"/>
    </row>
    <row r="2117" spans="26:39" x14ac:dyDescent="0.25">
      <c r="Z2117"/>
      <c r="AB2117"/>
      <c r="AC2117"/>
      <c r="AD2117" s="6"/>
      <c r="AM2117"/>
    </row>
    <row r="2118" spans="26:39" x14ac:dyDescent="0.25">
      <c r="Z2118"/>
      <c r="AB2118"/>
      <c r="AC2118"/>
      <c r="AD2118" s="6"/>
      <c r="AM2118"/>
    </row>
    <row r="2119" spans="26:39" x14ac:dyDescent="0.25">
      <c r="Z2119"/>
      <c r="AB2119"/>
      <c r="AC2119"/>
      <c r="AD2119" s="6"/>
      <c r="AM2119"/>
    </row>
    <row r="2120" spans="26:39" x14ac:dyDescent="0.25">
      <c r="Z2120"/>
      <c r="AB2120"/>
      <c r="AC2120"/>
      <c r="AD2120" s="6"/>
      <c r="AM2120"/>
    </row>
    <row r="2121" spans="26:39" x14ac:dyDescent="0.25">
      <c r="Z2121"/>
      <c r="AB2121"/>
      <c r="AC2121"/>
      <c r="AD2121" s="6"/>
      <c r="AM2121"/>
    </row>
    <row r="2122" spans="26:39" x14ac:dyDescent="0.25">
      <c r="Z2122"/>
      <c r="AB2122"/>
      <c r="AC2122"/>
      <c r="AD2122" s="6"/>
      <c r="AM2122"/>
    </row>
    <row r="2123" spans="26:39" x14ac:dyDescent="0.25">
      <c r="Z2123"/>
      <c r="AB2123"/>
      <c r="AC2123"/>
      <c r="AD2123" s="6"/>
      <c r="AM2123"/>
    </row>
    <row r="2124" spans="26:39" x14ac:dyDescent="0.25">
      <c r="Z2124"/>
      <c r="AB2124"/>
      <c r="AC2124"/>
      <c r="AD2124" s="6"/>
      <c r="AM2124"/>
    </row>
    <row r="2125" spans="26:39" x14ac:dyDescent="0.25">
      <c r="Z2125"/>
      <c r="AB2125"/>
      <c r="AC2125"/>
      <c r="AD2125" s="6"/>
      <c r="AM2125"/>
    </row>
    <row r="2126" spans="26:39" x14ac:dyDescent="0.25">
      <c r="Z2126"/>
      <c r="AB2126"/>
      <c r="AC2126"/>
      <c r="AD2126" s="6"/>
      <c r="AM2126"/>
    </row>
    <row r="2127" spans="26:39" x14ac:dyDescent="0.25">
      <c r="Z2127"/>
      <c r="AB2127"/>
      <c r="AC2127"/>
      <c r="AD2127" s="6"/>
      <c r="AM2127"/>
    </row>
    <row r="2128" spans="26:39" x14ac:dyDescent="0.25">
      <c r="Z2128"/>
      <c r="AB2128"/>
      <c r="AC2128"/>
      <c r="AD2128" s="6"/>
      <c r="AM2128"/>
    </row>
    <row r="2129" spans="26:39" x14ac:dyDescent="0.25">
      <c r="Z2129"/>
      <c r="AB2129"/>
      <c r="AC2129"/>
      <c r="AD2129" s="6"/>
      <c r="AM2129"/>
    </row>
    <row r="2130" spans="26:39" x14ac:dyDescent="0.25">
      <c r="Z2130"/>
      <c r="AB2130"/>
      <c r="AC2130"/>
      <c r="AD2130" s="6"/>
      <c r="AM2130"/>
    </row>
    <row r="2131" spans="26:39" x14ac:dyDescent="0.25">
      <c r="Z2131"/>
      <c r="AB2131"/>
      <c r="AC2131"/>
      <c r="AD2131" s="6"/>
      <c r="AM2131"/>
    </row>
    <row r="2132" spans="26:39" x14ac:dyDescent="0.25">
      <c r="Z2132"/>
      <c r="AB2132"/>
      <c r="AC2132"/>
      <c r="AD2132" s="6"/>
      <c r="AM2132"/>
    </row>
    <row r="2133" spans="26:39" x14ac:dyDescent="0.25">
      <c r="Z2133"/>
      <c r="AB2133"/>
      <c r="AC2133"/>
      <c r="AD2133" s="6"/>
      <c r="AM2133"/>
    </row>
    <row r="2134" spans="26:39" x14ac:dyDescent="0.25">
      <c r="Z2134"/>
      <c r="AB2134"/>
      <c r="AC2134"/>
      <c r="AD2134" s="6"/>
      <c r="AM2134"/>
    </row>
    <row r="2135" spans="26:39" x14ac:dyDescent="0.25">
      <c r="Z2135"/>
      <c r="AB2135"/>
      <c r="AC2135"/>
      <c r="AD2135" s="6"/>
      <c r="AM2135"/>
    </row>
    <row r="2136" spans="26:39" x14ac:dyDescent="0.25">
      <c r="Z2136"/>
      <c r="AB2136"/>
      <c r="AC2136"/>
      <c r="AD2136" s="6"/>
      <c r="AM2136"/>
    </row>
    <row r="2137" spans="26:39" x14ac:dyDescent="0.25">
      <c r="Z2137"/>
      <c r="AB2137"/>
      <c r="AC2137"/>
      <c r="AD2137" s="6"/>
      <c r="AM2137"/>
    </row>
    <row r="2138" spans="26:39" x14ac:dyDescent="0.25">
      <c r="Z2138"/>
      <c r="AB2138"/>
      <c r="AC2138"/>
      <c r="AD2138" s="6"/>
      <c r="AM2138"/>
    </row>
    <row r="2139" spans="26:39" x14ac:dyDescent="0.25">
      <c r="Z2139"/>
      <c r="AB2139"/>
      <c r="AC2139"/>
      <c r="AD2139" s="6"/>
      <c r="AM2139"/>
    </row>
    <row r="2140" spans="26:39" x14ac:dyDescent="0.25">
      <c r="Z2140"/>
      <c r="AB2140"/>
      <c r="AC2140"/>
      <c r="AD2140" s="6"/>
      <c r="AM2140"/>
    </row>
    <row r="2141" spans="26:39" x14ac:dyDescent="0.25">
      <c r="Z2141"/>
      <c r="AB2141"/>
      <c r="AC2141"/>
      <c r="AD2141" s="6"/>
      <c r="AM2141"/>
    </row>
    <row r="2142" spans="26:39" x14ac:dyDescent="0.25">
      <c r="Z2142"/>
      <c r="AB2142"/>
      <c r="AC2142"/>
      <c r="AD2142" s="6"/>
      <c r="AM2142"/>
    </row>
    <row r="2143" spans="26:39" x14ac:dyDescent="0.25">
      <c r="Z2143"/>
      <c r="AB2143"/>
      <c r="AC2143"/>
      <c r="AD2143" s="6"/>
      <c r="AM2143"/>
    </row>
    <row r="2144" spans="26:39" x14ac:dyDescent="0.25">
      <c r="Z2144"/>
      <c r="AB2144"/>
      <c r="AC2144"/>
      <c r="AD2144" s="6"/>
      <c r="AM2144"/>
    </row>
    <row r="2145" spans="26:39" x14ac:dyDescent="0.25">
      <c r="Z2145"/>
      <c r="AB2145"/>
      <c r="AC2145"/>
      <c r="AD2145" s="6"/>
      <c r="AM2145"/>
    </row>
    <row r="2146" spans="26:39" x14ac:dyDescent="0.25">
      <c r="Z2146"/>
      <c r="AB2146"/>
      <c r="AC2146"/>
      <c r="AD2146" s="6"/>
      <c r="AM2146"/>
    </row>
    <row r="2147" spans="26:39" x14ac:dyDescent="0.25">
      <c r="Z2147"/>
      <c r="AB2147"/>
      <c r="AC2147"/>
      <c r="AD2147" s="6"/>
      <c r="AM2147"/>
    </row>
    <row r="2148" spans="26:39" x14ac:dyDescent="0.25">
      <c r="Z2148"/>
      <c r="AB2148"/>
      <c r="AC2148"/>
      <c r="AD2148" s="6"/>
      <c r="AM2148"/>
    </row>
    <row r="2149" spans="26:39" x14ac:dyDescent="0.25">
      <c r="Z2149"/>
      <c r="AB2149"/>
      <c r="AC2149"/>
      <c r="AD2149" s="6"/>
      <c r="AM2149"/>
    </row>
    <row r="2150" spans="26:39" x14ac:dyDescent="0.25">
      <c r="Z2150"/>
      <c r="AB2150"/>
      <c r="AC2150"/>
      <c r="AD2150" s="6"/>
      <c r="AM2150"/>
    </row>
    <row r="2151" spans="26:39" x14ac:dyDescent="0.25">
      <c r="Z2151"/>
      <c r="AB2151"/>
      <c r="AC2151"/>
      <c r="AD2151" s="6"/>
      <c r="AM2151"/>
    </row>
    <row r="2152" spans="26:39" x14ac:dyDescent="0.25">
      <c r="Z2152"/>
      <c r="AB2152"/>
      <c r="AC2152"/>
      <c r="AD2152" s="6"/>
      <c r="AM2152"/>
    </row>
    <row r="2153" spans="26:39" x14ac:dyDescent="0.25">
      <c r="Z2153"/>
      <c r="AB2153"/>
      <c r="AC2153"/>
      <c r="AD2153" s="6"/>
      <c r="AM2153"/>
    </row>
    <row r="2154" spans="26:39" x14ac:dyDescent="0.25">
      <c r="Z2154"/>
      <c r="AB2154"/>
      <c r="AC2154"/>
      <c r="AD2154" s="6"/>
      <c r="AM2154"/>
    </row>
    <row r="2155" spans="26:39" x14ac:dyDescent="0.25">
      <c r="Z2155"/>
      <c r="AB2155"/>
      <c r="AC2155"/>
      <c r="AD2155" s="6"/>
      <c r="AM2155"/>
    </row>
    <row r="2156" spans="26:39" x14ac:dyDescent="0.25">
      <c r="Z2156"/>
      <c r="AB2156"/>
      <c r="AC2156"/>
      <c r="AD2156" s="6"/>
      <c r="AM2156"/>
    </row>
    <row r="2157" spans="26:39" x14ac:dyDescent="0.25">
      <c r="Z2157"/>
      <c r="AB2157"/>
      <c r="AC2157"/>
      <c r="AD2157" s="6"/>
      <c r="AM2157"/>
    </row>
    <row r="2158" spans="26:39" x14ac:dyDescent="0.25">
      <c r="Z2158"/>
      <c r="AB2158"/>
      <c r="AC2158"/>
      <c r="AD2158" s="6"/>
      <c r="AM2158"/>
    </row>
    <row r="2159" spans="26:39" x14ac:dyDescent="0.25">
      <c r="Z2159"/>
      <c r="AB2159"/>
      <c r="AC2159"/>
      <c r="AD2159" s="6"/>
      <c r="AM2159"/>
    </row>
    <row r="2160" spans="26:39" x14ac:dyDescent="0.25">
      <c r="Z2160"/>
      <c r="AB2160"/>
      <c r="AC2160"/>
      <c r="AD2160" s="6"/>
      <c r="AM2160"/>
    </row>
    <row r="2161" spans="26:39" x14ac:dyDescent="0.25">
      <c r="Z2161"/>
      <c r="AB2161"/>
      <c r="AC2161"/>
      <c r="AD2161" s="6"/>
      <c r="AM2161"/>
    </row>
    <row r="2162" spans="26:39" x14ac:dyDescent="0.25">
      <c r="Z2162"/>
      <c r="AB2162"/>
      <c r="AC2162"/>
      <c r="AD2162" s="6"/>
      <c r="AM2162"/>
    </row>
    <row r="2163" spans="26:39" x14ac:dyDescent="0.25">
      <c r="Z2163"/>
      <c r="AB2163"/>
      <c r="AC2163"/>
      <c r="AD2163" s="6"/>
      <c r="AM2163"/>
    </row>
    <row r="2164" spans="26:39" x14ac:dyDescent="0.25">
      <c r="Z2164"/>
      <c r="AB2164"/>
      <c r="AC2164"/>
      <c r="AD2164" s="6"/>
      <c r="AM2164"/>
    </row>
    <row r="2165" spans="26:39" x14ac:dyDescent="0.25">
      <c r="Z2165"/>
      <c r="AB2165"/>
      <c r="AC2165"/>
      <c r="AD2165" s="6"/>
      <c r="AM2165"/>
    </row>
    <row r="2166" spans="26:39" x14ac:dyDescent="0.25">
      <c r="Z2166"/>
      <c r="AB2166"/>
      <c r="AC2166"/>
      <c r="AD2166" s="6"/>
      <c r="AM2166"/>
    </row>
    <row r="2167" spans="26:39" x14ac:dyDescent="0.25">
      <c r="Z2167"/>
      <c r="AB2167"/>
      <c r="AC2167"/>
      <c r="AD2167" s="6"/>
      <c r="AM2167"/>
    </row>
    <row r="2168" spans="26:39" x14ac:dyDescent="0.25">
      <c r="Z2168"/>
      <c r="AB2168"/>
      <c r="AC2168"/>
      <c r="AD2168" s="6"/>
      <c r="AM2168"/>
    </row>
    <row r="2169" spans="26:39" x14ac:dyDescent="0.25">
      <c r="Z2169"/>
      <c r="AB2169"/>
      <c r="AC2169"/>
      <c r="AD2169" s="6"/>
      <c r="AM2169"/>
    </row>
    <row r="2170" spans="26:39" x14ac:dyDescent="0.25">
      <c r="Z2170"/>
      <c r="AB2170"/>
      <c r="AC2170"/>
      <c r="AD2170" s="6"/>
      <c r="AM2170"/>
    </row>
    <row r="2171" spans="26:39" x14ac:dyDescent="0.25">
      <c r="Z2171"/>
      <c r="AB2171"/>
      <c r="AC2171"/>
      <c r="AD2171" s="6"/>
      <c r="AM2171"/>
    </row>
    <row r="2172" spans="26:39" x14ac:dyDescent="0.25">
      <c r="Z2172"/>
      <c r="AB2172"/>
      <c r="AC2172"/>
      <c r="AD2172" s="6"/>
      <c r="AM2172"/>
    </row>
    <row r="2173" spans="26:39" x14ac:dyDescent="0.25">
      <c r="Z2173"/>
      <c r="AB2173"/>
      <c r="AC2173"/>
      <c r="AD2173" s="6"/>
      <c r="AM2173"/>
    </row>
    <row r="2174" spans="26:39" x14ac:dyDescent="0.25">
      <c r="Z2174"/>
      <c r="AB2174"/>
      <c r="AC2174"/>
      <c r="AD2174" s="6"/>
      <c r="AM2174"/>
    </row>
    <row r="2175" spans="26:39" x14ac:dyDescent="0.25">
      <c r="Z2175"/>
      <c r="AB2175"/>
      <c r="AC2175"/>
      <c r="AD2175" s="6"/>
      <c r="AM2175"/>
    </row>
    <row r="2176" spans="26:39" x14ac:dyDescent="0.25">
      <c r="Z2176"/>
      <c r="AB2176"/>
      <c r="AC2176"/>
      <c r="AD2176" s="6"/>
      <c r="AM2176"/>
    </row>
    <row r="2177" spans="26:39" x14ac:dyDescent="0.25">
      <c r="Z2177"/>
      <c r="AB2177"/>
      <c r="AC2177"/>
      <c r="AD2177" s="6"/>
      <c r="AM2177"/>
    </row>
    <row r="2178" spans="26:39" x14ac:dyDescent="0.25">
      <c r="Z2178"/>
      <c r="AB2178"/>
      <c r="AC2178"/>
      <c r="AD2178" s="6"/>
      <c r="AM2178"/>
    </row>
    <row r="2179" spans="26:39" x14ac:dyDescent="0.25">
      <c r="Z2179"/>
      <c r="AB2179"/>
      <c r="AC2179"/>
      <c r="AD2179" s="6"/>
      <c r="AM2179"/>
    </row>
    <row r="2180" spans="26:39" x14ac:dyDescent="0.25">
      <c r="Z2180"/>
      <c r="AB2180"/>
      <c r="AC2180"/>
      <c r="AD2180" s="6"/>
      <c r="AM2180"/>
    </row>
    <row r="2181" spans="26:39" x14ac:dyDescent="0.25">
      <c r="Z2181"/>
      <c r="AB2181"/>
      <c r="AC2181"/>
      <c r="AD2181" s="6"/>
      <c r="AM2181"/>
    </row>
    <row r="2182" spans="26:39" x14ac:dyDescent="0.25">
      <c r="Z2182"/>
      <c r="AB2182"/>
      <c r="AC2182"/>
      <c r="AD2182" s="6"/>
      <c r="AM2182"/>
    </row>
    <row r="2183" spans="26:39" x14ac:dyDescent="0.25">
      <c r="Z2183"/>
      <c r="AB2183"/>
      <c r="AC2183"/>
      <c r="AD2183" s="6"/>
      <c r="AM2183"/>
    </row>
    <row r="2184" spans="26:39" x14ac:dyDescent="0.25">
      <c r="Z2184"/>
      <c r="AB2184"/>
      <c r="AC2184"/>
      <c r="AD2184" s="6"/>
      <c r="AM2184"/>
    </row>
    <row r="2185" spans="26:39" x14ac:dyDescent="0.25">
      <c r="Z2185"/>
      <c r="AB2185"/>
      <c r="AC2185"/>
      <c r="AD2185" s="6"/>
      <c r="AM2185"/>
    </row>
    <row r="2186" spans="26:39" x14ac:dyDescent="0.25">
      <c r="Z2186"/>
      <c r="AB2186"/>
      <c r="AC2186"/>
      <c r="AD2186" s="6"/>
      <c r="AM2186"/>
    </row>
    <row r="2187" spans="26:39" x14ac:dyDescent="0.25">
      <c r="Z2187"/>
      <c r="AB2187"/>
      <c r="AC2187"/>
      <c r="AD2187" s="6"/>
      <c r="AM2187"/>
    </row>
    <row r="2188" spans="26:39" x14ac:dyDescent="0.25">
      <c r="Z2188"/>
      <c r="AB2188"/>
      <c r="AC2188"/>
      <c r="AD2188" s="6"/>
      <c r="AM2188"/>
    </row>
    <row r="2189" spans="26:39" x14ac:dyDescent="0.25">
      <c r="Z2189"/>
      <c r="AB2189"/>
      <c r="AC2189"/>
      <c r="AD2189" s="6"/>
      <c r="AM2189"/>
    </row>
    <row r="2190" spans="26:39" x14ac:dyDescent="0.25">
      <c r="Z2190"/>
      <c r="AB2190"/>
      <c r="AC2190"/>
      <c r="AD2190" s="6"/>
      <c r="AM2190"/>
    </row>
    <row r="2191" spans="26:39" x14ac:dyDescent="0.25">
      <c r="Z2191"/>
      <c r="AB2191"/>
      <c r="AC2191"/>
      <c r="AD2191" s="6"/>
      <c r="AM2191"/>
    </row>
    <row r="2192" spans="26:39" x14ac:dyDescent="0.25">
      <c r="Z2192"/>
      <c r="AB2192"/>
      <c r="AC2192"/>
      <c r="AD2192" s="6"/>
      <c r="AM2192"/>
    </row>
    <row r="2193" spans="26:39" x14ac:dyDescent="0.25">
      <c r="Z2193"/>
      <c r="AB2193"/>
      <c r="AC2193"/>
      <c r="AD2193" s="6"/>
      <c r="AM2193"/>
    </row>
    <row r="2194" spans="26:39" x14ac:dyDescent="0.25">
      <c r="Z2194"/>
      <c r="AB2194"/>
      <c r="AC2194"/>
      <c r="AD2194" s="6"/>
      <c r="AM2194"/>
    </row>
    <row r="2195" spans="26:39" x14ac:dyDescent="0.25">
      <c r="Z2195"/>
      <c r="AB2195"/>
      <c r="AC2195"/>
      <c r="AD2195" s="6"/>
      <c r="AM2195"/>
    </row>
    <row r="2196" spans="26:39" x14ac:dyDescent="0.25">
      <c r="Z2196"/>
      <c r="AB2196"/>
      <c r="AC2196"/>
      <c r="AD2196" s="6"/>
      <c r="AM2196"/>
    </row>
    <row r="2197" spans="26:39" x14ac:dyDescent="0.25">
      <c r="Z2197"/>
      <c r="AB2197"/>
      <c r="AC2197"/>
      <c r="AD2197" s="6"/>
      <c r="AM2197"/>
    </row>
    <row r="2198" spans="26:39" x14ac:dyDescent="0.25">
      <c r="Z2198"/>
      <c r="AB2198"/>
      <c r="AC2198"/>
      <c r="AD2198" s="6"/>
      <c r="AM2198"/>
    </row>
    <row r="2199" spans="26:39" x14ac:dyDescent="0.25">
      <c r="Z2199"/>
      <c r="AB2199"/>
      <c r="AC2199"/>
      <c r="AD2199" s="6"/>
      <c r="AM2199"/>
    </row>
    <row r="2200" spans="26:39" x14ac:dyDescent="0.25">
      <c r="Z2200"/>
      <c r="AB2200"/>
      <c r="AC2200"/>
      <c r="AD2200" s="6"/>
      <c r="AM2200"/>
    </row>
    <row r="2201" spans="26:39" x14ac:dyDescent="0.25">
      <c r="Z2201"/>
      <c r="AB2201"/>
      <c r="AC2201"/>
      <c r="AD2201" s="6"/>
      <c r="AM2201"/>
    </row>
    <row r="2202" spans="26:39" x14ac:dyDescent="0.25">
      <c r="Z2202"/>
      <c r="AB2202"/>
      <c r="AC2202"/>
      <c r="AD2202" s="6"/>
      <c r="AM2202"/>
    </row>
    <row r="2203" spans="26:39" x14ac:dyDescent="0.25">
      <c r="Z2203"/>
      <c r="AB2203"/>
      <c r="AC2203"/>
      <c r="AD2203" s="6"/>
      <c r="AM2203"/>
    </row>
    <row r="2204" spans="26:39" x14ac:dyDescent="0.25">
      <c r="Z2204"/>
      <c r="AB2204"/>
      <c r="AC2204"/>
      <c r="AD2204" s="6"/>
      <c r="AM2204"/>
    </row>
    <row r="2205" spans="26:39" x14ac:dyDescent="0.25">
      <c r="Z2205"/>
      <c r="AB2205"/>
      <c r="AC2205"/>
      <c r="AD2205" s="6"/>
      <c r="AM2205"/>
    </row>
    <row r="2206" spans="26:39" x14ac:dyDescent="0.25">
      <c r="Z2206"/>
      <c r="AB2206"/>
      <c r="AC2206"/>
      <c r="AD2206" s="6"/>
      <c r="AM2206"/>
    </row>
    <row r="2207" spans="26:39" x14ac:dyDescent="0.25">
      <c r="Z2207"/>
      <c r="AB2207"/>
      <c r="AC2207"/>
      <c r="AD2207" s="6"/>
      <c r="AM2207"/>
    </row>
    <row r="2208" spans="26:39" x14ac:dyDescent="0.25">
      <c r="Z2208"/>
      <c r="AB2208"/>
      <c r="AC2208"/>
      <c r="AD2208" s="6"/>
      <c r="AM2208"/>
    </row>
    <row r="2209" spans="26:39" x14ac:dyDescent="0.25">
      <c r="Z2209"/>
      <c r="AB2209"/>
      <c r="AC2209"/>
      <c r="AD2209" s="6"/>
      <c r="AM2209"/>
    </row>
    <row r="2210" spans="26:39" x14ac:dyDescent="0.25">
      <c r="Z2210"/>
      <c r="AB2210"/>
      <c r="AC2210"/>
      <c r="AD2210" s="6"/>
      <c r="AM2210"/>
    </row>
    <row r="2211" spans="26:39" x14ac:dyDescent="0.25">
      <c r="Z2211"/>
      <c r="AB2211"/>
      <c r="AC2211"/>
      <c r="AD2211" s="6"/>
      <c r="AM2211"/>
    </row>
    <row r="2212" spans="26:39" x14ac:dyDescent="0.25">
      <c r="Z2212"/>
      <c r="AB2212"/>
      <c r="AC2212"/>
      <c r="AD2212" s="6"/>
      <c r="AM2212"/>
    </row>
    <row r="2213" spans="26:39" x14ac:dyDescent="0.25">
      <c r="Z2213"/>
      <c r="AB2213"/>
      <c r="AC2213"/>
      <c r="AD2213" s="6"/>
      <c r="AM2213"/>
    </row>
    <row r="2214" spans="26:39" x14ac:dyDescent="0.25">
      <c r="Z2214"/>
      <c r="AB2214"/>
      <c r="AC2214"/>
      <c r="AD2214" s="6"/>
      <c r="AM2214"/>
    </row>
    <row r="2215" spans="26:39" x14ac:dyDescent="0.25">
      <c r="Z2215"/>
      <c r="AB2215"/>
      <c r="AC2215"/>
      <c r="AD2215" s="6"/>
      <c r="AM2215"/>
    </row>
    <row r="2216" spans="26:39" x14ac:dyDescent="0.25">
      <c r="Z2216"/>
      <c r="AB2216"/>
      <c r="AC2216"/>
      <c r="AD2216" s="6"/>
      <c r="AM2216"/>
    </row>
    <row r="2217" spans="26:39" x14ac:dyDescent="0.25">
      <c r="Z2217"/>
      <c r="AB2217"/>
      <c r="AC2217"/>
      <c r="AD2217" s="6"/>
      <c r="AM2217"/>
    </row>
    <row r="2218" spans="26:39" x14ac:dyDescent="0.25">
      <c r="Z2218"/>
      <c r="AB2218"/>
      <c r="AC2218"/>
      <c r="AD2218" s="6"/>
      <c r="AM2218"/>
    </row>
    <row r="2219" spans="26:39" x14ac:dyDescent="0.25">
      <c r="Z2219"/>
      <c r="AB2219"/>
      <c r="AC2219"/>
      <c r="AD2219" s="6"/>
      <c r="AM2219"/>
    </row>
    <row r="2220" spans="26:39" x14ac:dyDescent="0.25">
      <c r="Z2220"/>
      <c r="AB2220"/>
      <c r="AC2220"/>
      <c r="AD2220" s="6"/>
      <c r="AM2220"/>
    </row>
    <row r="2221" spans="26:39" x14ac:dyDescent="0.25">
      <c r="Z2221"/>
      <c r="AB2221"/>
      <c r="AC2221"/>
      <c r="AD2221" s="6"/>
      <c r="AM2221"/>
    </row>
    <row r="2222" spans="26:39" x14ac:dyDescent="0.25">
      <c r="Z2222"/>
      <c r="AB2222"/>
      <c r="AC2222"/>
      <c r="AD2222" s="6"/>
      <c r="AM2222"/>
    </row>
    <row r="2223" spans="26:39" x14ac:dyDescent="0.25">
      <c r="Z2223"/>
      <c r="AB2223"/>
      <c r="AC2223"/>
      <c r="AD2223" s="6"/>
      <c r="AM2223"/>
    </row>
    <row r="2224" spans="26:39" x14ac:dyDescent="0.25">
      <c r="Z2224"/>
      <c r="AB2224"/>
      <c r="AC2224"/>
      <c r="AD2224" s="6"/>
      <c r="AM2224"/>
    </row>
    <row r="2225" spans="26:39" x14ac:dyDescent="0.25">
      <c r="Z2225"/>
      <c r="AB2225"/>
      <c r="AC2225"/>
      <c r="AD2225" s="6"/>
      <c r="AM2225"/>
    </row>
    <row r="2226" spans="26:39" x14ac:dyDescent="0.25">
      <c r="Z2226"/>
      <c r="AB2226"/>
      <c r="AC2226"/>
      <c r="AD2226" s="6"/>
      <c r="AM2226"/>
    </row>
    <row r="2227" spans="26:39" x14ac:dyDescent="0.25">
      <c r="Z2227"/>
      <c r="AB2227"/>
      <c r="AC2227"/>
      <c r="AD2227" s="6"/>
      <c r="AM2227"/>
    </row>
    <row r="2228" spans="26:39" x14ac:dyDescent="0.25">
      <c r="Z2228"/>
      <c r="AB2228"/>
      <c r="AC2228"/>
      <c r="AD2228" s="6"/>
      <c r="AM2228"/>
    </row>
    <row r="2229" spans="26:39" x14ac:dyDescent="0.25">
      <c r="Z2229"/>
      <c r="AB2229"/>
      <c r="AC2229"/>
      <c r="AD2229" s="6"/>
      <c r="AM2229"/>
    </row>
    <row r="2230" spans="26:39" x14ac:dyDescent="0.25">
      <c r="Z2230"/>
      <c r="AB2230"/>
      <c r="AC2230"/>
      <c r="AD2230" s="6"/>
      <c r="AM2230"/>
    </row>
    <row r="2231" spans="26:39" x14ac:dyDescent="0.25">
      <c r="Z2231"/>
      <c r="AB2231"/>
      <c r="AC2231"/>
      <c r="AD2231" s="6"/>
      <c r="AM2231"/>
    </row>
    <row r="2232" spans="26:39" x14ac:dyDescent="0.25">
      <c r="Z2232"/>
      <c r="AB2232"/>
      <c r="AC2232"/>
      <c r="AD2232" s="6"/>
      <c r="AM2232"/>
    </row>
    <row r="2233" spans="26:39" x14ac:dyDescent="0.25">
      <c r="Z2233"/>
      <c r="AB2233"/>
      <c r="AC2233"/>
      <c r="AD2233" s="6"/>
      <c r="AM2233"/>
    </row>
    <row r="2234" spans="26:39" x14ac:dyDescent="0.25">
      <c r="Z2234"/>
      <c r="AB2234"/>
      <c r="AC2234"/>
      <c r="AD2234" s="6"/>
      <c r="AM2234"/>
    </row>
    <row r="2235" spans="26:39" x14ac:dyDescent="0.25">
      <c r="Z2235"/>
      <c r="AB2235"/>
      <c r="AC2235"/>
      <c r="AD2235" s="6"/>
      <c r="AM2235"/>
    </row>
    <row r="2236" spans="26:39" x14ac:dyDescent="0.25">
      <c r="Z2236"/>
      <c r="AB2236"/>
      <c r="AC2236"/>
      <c r="AD2236" s="6"/>
      <c r="AM2236"/>
    </row>
    <row r="2237" spans="26:39" x14ac:dyDescent="0.25">
      <c r="Z2237"/>
      <c r="AB2237"/>
      <c r="AC2237"/>
      <c r="AD2237" s="6"/>
      <c r="AM2237"/>
    </row>
    <row r="2238" spans="26:39" x14ac:dyDescent="0.25">
      <c r="Z2238"/>
      <c r="AB2238"/>
      <c r="AC2238"/>
      <c r="AD2238" s="6"/>
      <c r="AM2238"/>
    </row>
    <row r="2239" spans="26:39" x14ac:dyDescent="0.25">
      <c r="Z2239"/>
      <c r="AB2239"/>
      <c r="AC2239"/>
      <c r="AD2239" s="6"/>
      <c r="AM2239"/>
    </row>
    <row r="2240" spans="26:39" x14ac:dyDescent="0.25">
      <c r="Z2240"/>
      <c r="AB2240"/>
      <c r="AC2240"/>
      <c r="AD2240" s="6"/>
      <c r="AM2240"/>
    </row>
    <row r="2241" spans="26:39" x14ac:dyDescent="0.25">
      <c r="Z2241"/>
      <c r="AB2241"/>
      <c r="AC2241"/>
      <c r="AD2241" s="6"/>
      <c r="AM2241"/>
    </row>
    <row r="2242" spans="26:39" x14ac:dyDescent="0.25">
      <c r="Z2242"/>
      <c r="AB2242"/>
      <c r="AC2242"/>
      <c r="AD2242" s="6"/>
      <c r="AM2242"/>
    </row>
    <row r="2243" spans="26:39" x14ac:dyDescent="0.25">
      <c r="Z2243"/>
      <c r="AB2243"/>
      <c r="AC2243"/>
      <c r="AD2243" s="6"/>
      <c r="AM2243"/>
    </row>
    <row r="2244" spans="26:39" x14ac:dyDescent="0.25">
      <c r="Z2244"/>
      <c r="AB2244"/>
      <c r="AC2244"/>
      <c r="AD2244" s="6"/>
      <c r="AM2244"/>
    </row>
    <row r="2245" spans="26:39" x14ac:dyDescent="0.25">
      <c r="Z2245"/>
      <c r="AB2245"/>
      <c r="AC2245"/>
      <c r="AD2245" s="6"/>
      <c r="AM2245"/>
    </row>
    <row r="2246" spans="26:39" x14ac:dyDescent="0.25">
      <c r="Z2246"/>
      <c r="AB2246"/>
      <c r="AC2246"/>
      <c r="AD2246" s="6"/>
      <c r="AM2246"/>
    </row>
    <row r="2247" spans="26:39" x14ac:dyDescent="0.25">
      <c r="Z2247"/>
      <c r="AB2247"/>
      <c r="AC2247"/>
      <c r="AD2247" s="6"/>
      <c r="AM2247"/>
    </row>
    <row r="2248" spans="26:39" x14ac:dyDescent="0.25">
      <c r="Z2248"/>
      <c r="AB2248"/>
      <c r="AC2248"/>
      <c r="AD2248" s="6"/>
      <c r="AM2248"/>
    </row>
    <row r="2249" spans="26:39" x14ac:dyDescent="0.25">
      <c r="Z2249"/>
      <c r="AB2249"/>
      <c r="AC2249"/>
      <c r="AD2249" s="6"/>
      <c r="AM2249"/>
    </row>
    <row r="2250" spans="26:39" x14ac:dyDescent="0.25">
      <c r="Z2250"/>
      <c r="AB2250"/>
      <c r="AC2250"/>
      <c r="AD2250" s="6"/>
      <c r="AM2250"/>
    </row>
    <row r="2251" spans="26:39" x14ac:dyDescent="0.25">
      <c r="Z2251"/>
      <c r="AB2251"/>
      <c r="AC2251"/>
      <c r="AD2251" s="6"/>
      <c r="AM2251"/>
    </row>
    <row r="2252" spans="26:39" x14ac:dyDescent="0.25">
      <c r="Z2252"/>
      <c r="AB2252"/>
      <c r="AC2252"/>
      <c r="AD2252" s="6"/>
      <c r="AM2252"/>
    </row>
    <row r="2253" spans="26:39" x14ac:dyDescent="0.25">
      <c r="Z2253"/>
      <c r="AB2253"/>
      <c r="AC2253"/>
      <c r="AD2253" s="6"/>
      <c r="AM2253"/>
    </row>
    <row r="2254" spans="26:39" x14ac:dyDescent="0.25">
      <c r="Z2254"/>
      <c r="AB2254"/>
      <c r="AC2254"/>
      <c r="AD2254" s="6"/>
      <c r="AM2254"/>
    </row>
    <row r="2255" spans="26:39" x14ac:dyDescent="0.25">
      <c r="Z2255"/>
      <c r="AB2255"/>
      <c r="AC2255"/>
      <c r="AD2255" s="6"/>
      <c r="AM2255"/>
    </row>
    <row r="2256" spans="26:39" x14ac:dyDescent="0.25">
      <c r="Z2256"/>
      <c r="AB2256"/>
      <c r="AC2256"/>
      <c r="AD2256" s="6"/>
      <c r="AM2256"/>
    </row>
    <row r="2257" spans="26:39" x14ac:dyDescent="0.25">
      <c r="Z2257"/>
      <c r="AB2257"/>
      <c r="AC2257"/>
      <c r="AD2257" s="6"/>
      <c r="AM2257"/>
    </row>
    <row r="2258" spans="26:39" x14ac:dyDescent="0.25">
      <c r="Z2258"/>
      <c r="AB2258"/>
      <c r="AC2258"/>
      <c r="AD2258" s="6"/>
      <c r="AM2258"/>
    </row>
    <row r="2259" spans="26:39" x14ac:dyDescent="0.25">
      <c r="Z2259"/>
      <c r="AB2259"/>
      <c r="AC2259"/>
      <c r="AD2259" s="6"/>
      <c r="AM2259"/>
    </row>
    <row r="2260" spans="26:39" x14ac:dyDescent="0.25">
      <c r="Z2260"/>
      <c r="AB2260"/>
      <c r="AC2260"/>
      <c r="AD2260" s="6"/>
      <c r="AM2260"/>
    </row>
    <row r="2261" spans="26:39" x14ac:dyDescent="0.25">
      <c r="Z2261"/>
      <c r="AB2261"/>
      <c r="AC2261"/>
      <c r="AD2261" s="6"/>
      <c r="AM2261"/>
    </row>
    <row r="2262" spans="26:39" x14ac:dyDescent="0.25">
      <c r="Z2262"/>
      <c r="AB2262"/>
      <c r="AC2262"/>
      <c r="AD2262" s="6"/>
      <c r="AM2262"/>
    </row>
    <row r="2263" spans="26:39" x14ac:dyDescent="0.25">
      <c r="Z2263"/>
      <c r="AB2263"/>
      <c r="AC2263"/>
      <c r="AD2263" s="6"/>
      <c r="AM2263"/>
    </row>
    <row r="2264" spans="26:39" x14ac:dyDescent="0.25">
      <c r="Z2264"/>
      <c r="AB2264"/>
      <c r="AC2264"/>
      <c r="AD2264" s="6"/>
      <c r="AM2264"/>
    </row>
    <row r="2265" spans="26:39" x14ac:dyDescent="0.25">
      <c r="Z2265"/>
      <c r="AB2265"/>
      <c r="AC2265"/>
      <c r="AD2265" s="6"/>
      <c r="AM2265"/>
    </row>
    <row r="2266" spans="26:39" x14ac:dyDescent="0.25">
      <c r="Z2266"/>
      <c r="AB2266"/>
      <c r="AC2266"/>
      <c r="AD2266" s="6"/>
      <c r="AM2266"/>
    </row>
    <row r="2267" spans="26:39" x14ac:dyDescent="0.25">
      <c r="Z2267"/>
      <c r="AB2267"/>
      <c r="AC2267"/>
      <c r="AD2267" s="6"/>
      <c r="AM2267"/>
    </row>
    <row r="2268" spans="26:39" x14ac:dyDescent="0.25">
      <c r="Z2268"/>
      <c r="AB2268"/>
      <c r="AC2268"/>
      <c r="AD2268" s="6"/>
      <c r="AM2268"/>
    </row>
    <row r="2269" spans="26:39" x14ac:dyDescent="0.25">
      <c r="Z2269"/>
      <c r="AB2269"/>
      <c r="AC2269"/>
      <c r="AD2269" s="6"/>
      <c r="AM2269"/>
    </row>
    <row r="2270" spans="26:39" x14ac:dyDescent="0.25">
      <c r="Z2270"/>
      <c r="AB2270"/>
      <c r="AC2270"/>
      <c r="AD2270" s="6"/>
      <c r="AM2270"/>
    </row>
    <row r="2271" spans="26:39" x14ac:dyDescent="0.25">
      <c r="Z2271"/>
      <c r="AB2271"/>
      <c r="AC2271"/>
      <c r="AD2271" s="6"/>
      <c r="AM2271"/>
    </row>
    <row r="2272" spans="26:39" x14ac:dyDescent="0.25">
      <c r="Z2272"/>
      <c r="AB2272"/>
      <c r="AC2272"/>
      <c r="AD2272" s="6"/>
      <c r="AM2272"/>
    </row>
    <row r="2273" spans="26:39" x14ac:dyDescent="0.25">
      <c r="Z2273"/>
      <c r="AB2273"/>
      <c r="AC2273"/>
      <c r="AD2273" s="6"/>
      <c r="AM2273"/>
    </row>
    <row r="2274" spans="26:39" x14ac:dyDescent="0.25">
      <c r="Z2274"/>
      <c r="AB2274"/>
      <c r="AC2274"/>
      <c r="AD2274" s="6"/>
      <c r="AM2274"/>
    </row>
    <row r="2275" spans="26:39" x14ac:dyDescent="0.25">
      <c r="Z2275"/>
      <c r="AB2275"/>
      <c r="AC2275"/>
      <c r="AD2275" s="6"/>
      <c r="AM2275"/>
    </row>
    <row r="2276" spans="26:39" x14ac:dyDescent="0.25">
      <c r="Z2276"/>
      <c r="AB2276"/>
      <c r="AC2276"/>
      <c r="AD2276" s="6"/>
      <c r="AM2276"/>
    </row>
    <row r="2277" spans="26:39" x14ac:dyDescent="0.25">
      <c r="Z2277"/>
      <c r="AB2277"/>
      <c r="AC2277"/>
      <c r="AD2277" s="6"/>
      <c r="AM2277"/>
    </row>
    <row r="2278" spans="26:39" x14ac:dyDescent="0.25">
      <c r="Z2278"/>
      <c r="AB2278"/>
      <c r="AC2278"/>
      <c r="AD2278" s="6"/>
      <c r="AM2278"/>
    </row>
    <row r="2279" spans="26:39" x14ac:dyDescent="0.25">
      <c r="Z2279"/>
      <c r="AB2279"/>
      <c r="AC2279"/>
      <c r="AD2279" s="6"/>
      <c r="AM2279"/>
    </row>
    <row r="2280" spans="26:39" x14ac:dyDescent="0.25">
      <c r="Z2280"/>
      <c r="AB2280"/>
      <c r="AC2280"/>
      <c r="AD2280" s="6"/>
      <c r="AM2280"/>
    </row>
    <row r="2281" spans="26:39" x14ac:dyDescent="0.25">
      <c r="Z2281"/>
      <c r="AB2281"/>
      <c r="AC2281"/>
      <c r="AD2281" s="6"/>
      <c r="AM2281"/>
    </row>
    <row r="2282" spans="26:39" x14ac:dyDescent="0.25">
      <c r="Z2282"/>
      <c r="AB2282"/>
      <c r="AC2282"/>
      <c r="AD2282" s="6"/>
      <c r="AM2282"/>
    </row>
    <row r="2283" spans="26:39" x14ac:dyDescent="0.25">
      <c r="Z2283"/>
      <c r="AB2283"/>
      <c r="AC2283"/>
      <c r="AD2283" s="6"/>
      <c r="AM2283"/>
    </row>
    <row r="2284" spans="26:39" x14ac:dyDescent="0.25">
      <c r="Z2284"/>
      <c r="AB2284"/>
      <c r="AC2284"/>
      <c r="AD2284" s="6"/>
      <c r="AM2284"/>
    </row>
    <row r="2285" spans="26:39" x14ac:dyDescent="0.25">
      <c r="Z2285"/>
      <c r="AB2285"/>
      <c r="AC2285"/>
      <c r="AD2285" s="6"/>
      <c r="AM2285"/>
    </row>
    <row r="2286" spans="26:39" x14ac:dyDescent="0.25">
      <c r="Z2286"/>
      <c r="AB2286"/>
      <c r="AC2286"/>
      <c r="AD2286" s="6"/>
      <c r="AM2286"/>
    </row>
    <row r="2287" spans="26:39" x14ac:dyDescent="0.25">
      <c r="Z2287"/>
      <c r="AB2287"/>
      <c r="AC2287"/>
      <c r="AD2287" s="6"/>
      <c r="AM2287"/>
    </row>
    <row r="2288" spans="26:39" x14ac:dyDescent="0.25">
      <c r="Z2288"/>
      <c r="AB2288"/>
      <c r="AC2288"/>
      <c r="AD2288" s="6"/>
      <c r="AM2288"/>
    </row>
    <row r="2289" spans="26:39" x14ac:dyDescent="0.25">
      <c r="Z2289"/>
      <c r="AB2289"/>
      <c r="AC2289"/>
      <c r="AD2289" s="6"/>
      <c r="AM2289"/>
    </row>
    <row r="2290" spans="26:39" x14ac:dyDescent="0.25">
      <c r="Z2290"/>
      <c r="AB2290"/>
      <c r="AC2290"/>
      <c r="AD2290" s="6"/>
      <c r="AM2290"/>
    </row>
    <row r="2291" spans="26:39" x14ac:dyDescent="0.25">
      <c r="Z2291"/>
      <c r="AB2291"/>
      <c r="AC2291"/>
      <c r="AD2291" s="6"/>
      <c r="AM2291"/>
    </row>
    <row r="2292" spans="26:39" x14ac:dyDescent="0.25">
      <c r="Z2292"/>
      <c r="AB2292"/>
      <c r="AC2292"/>
      <c r="AD2292" s="6"/>
      <c r="AM2292"/>
    </row>
    <row r="2293" spans="26:39" x14ac:dyDescent="0.25">
      <c r="Z2293"/>
      <c r="AB2293"/>
      <c r="AC2293"/>
      <c r="AD2293" s="6"/>
      <c r="AM2293"/>
    </row>
    <row r="2294" spans="26:39" x14ac:dyDescent="0.25">
      <c r="Z2294"/>
      <c r="AB2294"/>
      <c r="AC2294"/>
      <c r="AD2294" s="6"/>
      <c r="AM2294"/>
    </row>
    <row r="2295" spans="26:39" x14ac:dyDescent="0.25">
      <c r="Z2295"/>
      <c r="AB2295"/>
      <c r="AC2295"/>
      <c r="AD2295" s="6"/>
      <c r="AM2295"/>
    </row>
    <row r="2296" spans="26:39" x14ac:dyDescent="0.25">
      <c r="Z2296"/>
      <c r="AB2296"/>
      <c r="AC2296"/>
      <c r="AD2296" s="6"/>
      <c r="AM2296"/>
    </row>
    <row r="2297" spans="26:39" x14ac:dyDescent="0.25">
      <c r="Z2297"/>
      <c r="AB2297"/>
      <c r="AC2297"/>
      <c r="AD2297" s="6"/>
      <c r="AM2297"/>
    </row>
    <row r="2298" spans="26:39" x14ac:dyDescent="0.25">
      <c r="Z2298"/>
      <c r="AB2298"/>
      <c r="AC2298"/>
      <c r="AD2298" s="6"/>
      <c r="AM2298"/>
    </row>
    <row r="2299" spans="26:39" x14ac:dyDescent="0.25">
      <c r="Z2299"/>
      <c r="AB2299"/>
      <c r="AC2299"/>
      <c r="AD2299" s="6"/>
      <c r="AM2299"/>
    </row>
    <row r="2300" spans="26:39" x14ac:dyDescent="0.25">
      <c r="Z2300"/>
      <c r="AB2300"/>
      <c r="AC2300"/>
      <c r="AD2300" s="6"/>
      <c r="AM2300"/>
    </row>
    <row r="2301" spans="26:39" x14ac:dyDescent="0.25">
      <c r="Z2301"/>
      <c r="AB2301"/>
      <c r="AC2301"/>
      <c r="AD2301" s="6"/>
      <c r="AM2301"/>
    </row>
    <row r="2302" spans="26:39" x14ac:dyDescent="0.25">
      <c r="Z2302"/>
      <c r="AB2302"/>
      <c r="AC2302"/>
      <c r="AD2302" s="6"/>
      <c r="AM2302"/>
    </row>
    <row r="2303" spans="26:39" x14ac:dyDescent="0.25">
      <c r="Z2303"/>
      <c r="AB2303"/>
      <c r="AC2303"/>
      <c r="AD2303" s="6"/>
      <c r="AM2303"/>
    </row>
    <row r="2304" spans="26:39" x14ac:dyDescent="0.25">
      <c r="Z2304"/>
      <c r="AB2304"/>
      <c r="AC2304"/>
      <c r="AD2304" s="6"/>
      <c r="AM2304"/>
    </row>
    <row r="2305" spans="26:39" x14ac:dyDescent="0.25">
      <c r="Z2305"/>
      <c r="AB2305"/>
      <c r="AC2305"/>
      <c r="AD2305" s="6"/>
      <c r="AM2305"/>
    </row>
    <row r="2306" spans="26:39" x14ac:dyDescent="0.25">
      <c r="Z2306"/>
      <c r="AB2306"/>
      <c r="AC2306"/>
      <c r="AD2306" s="6"/>
      <c r="AM2306"/>
    </row>
    <row r="2307" spans="26:39" x14ac:dyDescent="0.25">
      <c r="Z2307"/>
      <c r="AB2307"/>
      <c r="AC2307"/>
      <c r="AD2307" s="6"/>
      <c r="AM2307"/>
    </row>
    <row r="2308" spans="26:39" x14ac:dyDescent="0.25">
      <c r="Z2308"/>
      <c r="AB2308"/>
      <c r="AC2308"/>
      <c r="AD2308" s="6"/>
      <c r="AM2308"/>
    </row>
    <row r="2309" spans="26:39" x14ac:dyDescent="0.25">
      <c r="Z2309"/>
      <c r="AB2309"/>
      <c r="AC2309"/>
      <c r="AD2309" s="6"/>
      <c r="AM2309"/>
    </row>
    <row r="2310" spans="26:39" x14ac:dyDescent="0.25">
      <c r="Z2310"/>
      <c r="AB2310"/>
      <c r="AC2310"/>
      <c r="AD2310" s="6"/>
      <c r="AM2310"/>
    </row>
    <row r="2311" spans="26:39" x14ac:dyDescent="0.25">
      <c r="Z2311"/>
      <c r="AB2311"/>
      <c r="AC2311"/>
      <c r="AD2311" s="6"/>
      <c r="AM2311"/>
    </row>
    <row r="2312" spans="26:39" x14ac:dyDescent="0.25">
      <c r="Z2312"/>
      <c r="AB2312"/>
      <c r="AC2312"/>
      <c r="AD2312" s="6"/>
      <c r="AM2312"/>
    </row>
    <row r="2313" spans="26:39" x14ac:dyDescent="0.25">
      <c r="Z2313"/>
      <c r="AB2313"/>
      <c r="AC2313"/>
      <c r="AD2313" s="6"/>
      <c r="AM2313"/>
    </row>
    <row r="2314" spans="26:39" x14ac:dyDescent="0.25">
      <c r="Z2314"/>
      <c r="AB2314"/>
      <c r="AC2314"/>
      <c r="AD2314" s="6"/>
      <c r="AM2314"/>
    </row>
    <row r="2315" spans="26:39" x14ac:dyDescent="0.25">
      <c r="Z2315"/>
      <c r="AB2315"/>
      <c r="AC2315"/>
      <c r="AD2315" s="6"/>
      <c r="AM2315"/>
    </row>
    <row r="2316" spans="26:39" x14ac:dyDescent="0.25">
      <c r="Z2316"/>
      <c r="AB2316"/>
      <c r="AC2316"/>
      <c r="AD2316" s="6"/>
      <c r="AM2316"/>
    </row>
    <row r="2317" spans="26:39" x14ac:dyDescent="0.25">
      <c r="Z2317"/>
      <c r="AB2317"/>
      <c r="AC2317"/>
      <c r="AD2317" s="6"/>
      <c r="AM2317"/>
    </row>
    <row r="2318" spans="26:39" x14ac:dyDescent="0.25">
      <c r="Z2318"/>
      <c r="AB2318"/>
      <c r="AC2318"/>
      <c r="AD2318" s="6"/>
      <c r="AM2318"/>
    </row>
    <row r="2319" spans="26:39" x14ac:dyDescent="0.25">
      <c r="Z2319"/>
      <c r="AB2319"/>
      <c r="AC2319"/>
      <c r="AD2319" s="6"/>
      <c r="AM2319"/>
    </row>
    <row r="2320" spans="26:39" x14ac:dyDescent="0.25">
      <c r="Z2320"/>
      <c r="AB2320"/>
      <c r="AC2320"/>
      <c r="AD2320" s="6"/>
      <c r="AM2320"/>
    </row>
    <row r="2321" spans="26:39" x14ac:dyDescent="0.25">
      <c r="Z2321"/>
      <c r="AB2321"/>
      <c r="AC2321"/>
      <c r="AD2321" s="6"/>
      <c r="AM2321"/>
    </row>
    <row r="2322" spans="26:39" x14ac:dyDescent="0.25">
      <c r="Z2322"/>
      <c r="AB2322"/>
      <c r="AC2322"/>
      <c r="AD2322" s="6"/>
      <c r="AM2322"/>
    </row>
    <row r="2323" spans="26:39" x14ac:dyDescent="0.25">
      <c r="Z2323"/>
      <c r="AB2323"/>
      <c r="AC2323"/>
      <c r="AD2323" s="6"/>
      <c r="AM2323"/>
    </row>
    <row r="2324" spans="26:39" x14ac:dyDescent="0.25">
      <c r="Z2324"/>
      <c r="AB2324"/>
      <c r="AC2324"/>
      <c r="AD2324" s="6"/>
      <c r="AM2324"/>
    </row>
    <row r="2325" spans="26:39" x14ac:dyDescent="0.25">
      <c r="Z2325"/>
      <c r="AB2325"/>
      <c r="AC2325"/>
      <c r="AD2325" s="6"/>
      <c r="AM2325"/>
    </row>
    <row r="2326" spans="26:39" x14ac:dyDescent="0.25">
      <c r="Z2326"/>
      <c r="AB2326"/>
      <c r="AC2326"/>
      <c r="AD2326" s="6"/>
      <c r="AM2326"/>
    </row>
    <row r="2327" spans="26:39" x14ac:dyDescent="0.25">
      <c r="Z2327"/>
      <c r="AB2327"/>
      <c r="AC2327"/>
      <c r="AD2327" s="6"/>
      <c r="AM2327"/>
    </row>
    <row r="2328" spans="26:39" x14ac:dyDescent="0.25">
      <c r="Z2328"/>
      <c r="AB2328"/>
      <c r="AC2328"/>
      <c r="AD2328" s="6"/>
      <c r="AM2328"/>
    </row>
    <row r="2329" spans="26:39" x14ac:dyDescent="0.25">
      <c r="Z2329"/>
      <c r="AB2329"/>
      <c r="AC2329"/>
      <c r="AD2329" s="6"/>
      <c r="AM2329"/>
    </row>
    <row r="2330" spans="26:39" x14ac:dyDescent="0.25">
      <c r="Z2330"/>
      <c r="AB2330"/>
      <c r="AC2330"/>
      <c r="AD2330" s="6"/>
      <c r="AM2330"/>
    </row>
    <row r="2331" spans="26:39" x14ac:dyDescent="0.25">
      <c r="Z2331"/>
      <c r="AB2331"/>
      <c r="AC2331"/>
      <c r="AD2331" s="6"/>
      <c r="AM2331"/>
    </row>
    <row r="2332" spans="26:39" x14ac:dyDescent="0.25">
      <c r="Z2332"/>
      <c r="AB2332"/>
      <c r="AC2332"/>
      <c r="AD2332" s="6"/>
      <c r="AM2332"/>
    </row>
    <row r="2333" spans="26:39" x14ac:dyDescent="0.25">
      <c r="Z2333"/>
      <c r="AB2333"/>
      <c r="AC2333"/>
      <c r="AD2333" s="6"/>
      <c r="AM2333"/>
    </row>
    <row r="2334" spans="26:39" x14ac:dyDescent="0.25">
      <c r="Z2334"/>
      <c r="AB2334"/>
      <c r="AC2334"/>
      <c r="AD2334" s="6"/>
      <c r="AM2334"/>
    </row>
    <row r="2335" spans="26:39" x14ac:dyDescent="0.25">
      <c r="Z2335"/>
      <c r="AB2335"/>
      <c r="AC2335"/>
      <c r="AD2335" s="6"/>
      <c r="AM2335"/>
    </row>
    <row r="2336" spans="26:39" x14ac:dyDescent="0.25">
      <c r="Z2336"/>
      <c r="AB2336"/>
      <c r="AC2336"/>
      <c r="AD2336" s="6"/>
      <c r="AM2336"/>
    </row>
    <row r="2337" spans="26:39" x14ac:dyDescent="0.25">
      <c r="Z2337"/>
      <c r="AB2337"/>
      <c r="AC2337"/>
      <c r="AD2337" s="6"/>
      <c r="AM2337"/>
    </row>
    <row r="2338" spans="26:39" x14ac:dyDescent="0.25">
      <c r="Z2338"/>
      <c r="AB2338"/>
      <c r="AC2338"/>
      <c r="AD2338" s="6"/>
      <c r="AM2338"/>
    </row>
    <row r="2339" spans="26:39" x14ac:dyDescent="0.25">
      <c r="Z2339"/>
      <c r="AB2339"/>
      <c r="AC2339"/>
      <c r="AD2339" s="6"/>
      <c r="AM2339"/>
    </row>
    <row r="2340" spans="26:39" x14ac:dyDescent="0.25">
      <c r="Z2340"/>
      <c r="AB2340"/>
      <c r="AC2340"/>
      <c r="AD2340" s="6"/>
      <c r="AM2340"/>
    </row>
    <row r="2341" spans="26:39" x14ac:dyDescent="0.25">
      <c r="Z2341"/>
      <c r="AB2341"/>
      <c r="AC2341"/>
      <c r="AD2341" s="6"/>
      <c r="AM2341"/>
    </row>
    <row r="2342" spans="26:39" x14ac:dyDescent="0.25">
      <c r="Z2342"/>
      <c r="AB2342"/>
      <c r="AC2342"/>
      <c r="AD2342" s="6"/>
      <c r="AM2342"/>
    </row>
    <row r="2343" spans="26:39" x14ac:dyDescent="0.25">
      <c r="Z2343"/>
      <c r="AB2343"/>
      <c r="AC2343"/>
      <c r="AD2343" s="6"/>
      <c r="AM2343"/>
    </row>
    <row r="2344" spans="26:39" x14ac:dyDescent="0.25">
      <c r="Z2344"/>
      <c r="AB2344"/>
      <c r="AC2344"/>
      <c r="AD2344" s="6"/>
      <c r="AM2344"/>
    </row>
    <row r="2345" spans="26:39" x14ac:dyDescent="0.25">
      <c r="Z2345"/>
      <c r="AB2345"/>
      <c r="AC2345"/>
      <c r="AD2345" s="6"/>
      <c r="AM2345"/>
    </row>
    <row r="2346" spans="26:39" x14ac:dyDescent="0.25">
      <c r="Z2346"/>
      <c r="AB2346"/>
      <c r="AC2346"/>
      <c r="AD2346" s="6"/>
      <c r="AM2346"/>
    </row>
    <row r="2347" spans="26:39" x14ac:dyDescent="0.25">
      <c r="Z2347"/>
      <c r="AB2347"/>
      <c r="AC2347"/>
      <c r="AD2347" s="6"/>
      <c r="AM2347"/>
    </row>
    <row r="2348" spans="26:39" x14ac:dyDescent="0.25">
      <c r="Z2348"/>
      <c r="AB2348"/>
      <c r="AC2348"/>
      <c r="AD2348" s="6"/>
      <c r="AM2348"/>
    </row>
    <row r="2349" spans="26:39" x14ac:dyDescent="0.25">
      <c r="Z2349"/>
      <c r="AB2349"/>
      <c r="AC2349"/>
      <c r="AD2349" s="6"/>
      <c r="AM2349"/>
    </row>
    <row r="2350" spans="26:39" x14ac:dyDescent="0.25">
      <c r="Z2350"/>
      <c r="AB2350"/>
      <c r="AC2350"/>
      <c r="AD2350" s="6"/>
      <c r="AM2350"/>
    </row>
    <row r="2351" spans="26:39" x14ac:dyDescent="0.25">
      <c r="Z2351"/>
      <c r="AB2351"/>
      <c r="AC2351"/>
      <c r="AD2351" s="6"/>
      <c r="AM2351"/>
    </row>
    <row r="2352" spans="26:39" x14ac:dyDescent="0.25">
      <c r="Z2352"/>
      <c r="AB2352"/>
      <c r="AC2352"/>
      <c r="AD2352" s="6"/>
      <c r="AM2352"/>
    </row>
    <row r="2353" spans="26:39" x14ac:dyDescent="0.25">
      <c r="Z2353"/>
      <c r="AB2353"/>
      <c r="AC2353"/>
      <c r="AD2353" s="6"/>
      <c r="AM2353"/>
    </row>
    <row r="2354" spans="26:39" x14ac:dyDescent="0.25">
      <c r="Z2354"/>
      <c r="AB2354"/>
      <c r="AC2354"/>
      <c r="AD2354" s="6"/>
      <c r="AM2354"/>
    </row>
    <row r="2355" spans="26:39" x14ac:dyDescent="0.25">
      <c r="Z2355"/>
      <c r="AB2355"/>
      <c r="AC2355"/>
      <c r="AD2355" s="6"/>
      <c r="AM2355"/>
    </row>
    <row r="2356" spans="26:39" x14ac:dyDescent="0.25">
      <c r="Z2356"/>
      <c r="AB2356"/>
      <c r="AC2356"/>
      <c r="AD2356" s="6"/>
      <c r="AM2356"/>
    </row>
    <row r="2357" spans="26:39" x14ac:dyDescent="0.25">
      <c r="Z2357"/>
      <c r="AB2357"/>
      <c r="AC2357"/>
      <c r="AD2357" s="6"/>
      <c r="AM2357"/>
    </row>
    <row r="2358" spans="26:39" x14ac:dyDescent="0.25">
      <c r="Z2358"/>
      <c r="AB2358"/>
      <c r="AC2358"/>
      <c r="AD2358" s="6"/>
      <c r="AM2358"/>
    </row>
    <row r="2359" spans="26:39" x14ac:dyDescent="0.25">
      <c r="Z2359"/>
      <c r="AB2359"/>
      <c r="AC2359"/>
      <c r="AD2359" s="6"/>
      <c r="AM2359"/>
    </row>
    <row r="2360" spans="26:39" x14ac:dyDescent="0.25">
      <c r="Z2360"/>
      <c r="AB2360"/>
      <c r="AC2360"/>
      <c r="AD2360" s="6"/>
      <c r="AM2360"/>
    </row>
    <row r="2361" spans="26:39" x14ac:dyDescent="0.25">
      <c r="Z2361"/>
      <c r="AB2361"/>
      <c r="AC2361"/>
      <c r="AD2361" s="6"/>
      <c r="AM2361"/>
    </row>
    <row r="2362" spans="26:39" x14ac:dyDescent="0.25">
      <c r="Z2362"/>
      <c r="AB2362"/>
      <c r="AC2362"/>
      <c r="AD2362" s="6"/>
      <c r="AM2362"/>
    </row>
    <row r="2363" spans="26:39" x14ac:dyDescent="0.25">
      <c r="Z2363"/>
      <c r="AB2363"/>
      <c r="AC2363"/>
      <c r="AD2363" s="6"/>
      <c r="AM2363"/>
    </row>
    <row r="2364" spans="26:39" x14ac:dyDescent="0.25">
      <c r="Z2364"/>
      <c r="AB2364"/>
      <c r="AC2364"/>
      <c r="AD2364" s="6"/>
      <c r="AM2364"/>
    </row>
    <row r="2365" spans="26:39" x14ac:dyDescent="0.25">
      <c r="Z2365"/>
      <c r="AB2365"/>
      <c r="AC2365"/>
      <c r="AD2365" s="6"/>
      <c r="AM2365"/>
    </row>
    <row r="2366" spans="26:39" x14ac:dyDescent="0.25">
      <c r="Z2366"/>
      <c r="AB2366"/>
      <c r="AC2366"/>
      <c r="AD2366" s="6"/>
      <c r="AM2366"/>
    </row>
    <row r="2367" spans="26:39" x14ac:dyDescent="0.25">
      <c r="Z2367"/>
      <c r="AB2367"/>
      <c r="AC2367"/>
      <c r="AD2367" s="6"/>
      <c r="AM2367"/>
    </row>
    <row r="2368" spans="26:39" x14ac:dyDescent="0.25">
      <c r="Z2368"/>
      <c r="AB2368"/>
      <c r="AC2368"/>
      <c r="AD2368" s="6"/>
      <c r="AM2368"/>
    </row>
    <row r="2369" spans="26:39" x14ac:dyDescent="0.25">
      <c r="Z2369"/>
      <c r="AB2369"/>
      <c r="AC2369"/>
      <c r="AD2369" s="6"/>
      <c r="AM2369"/>
    </row>
    <row r="2370" spans="26:39" x14ac:dyDescent="0.25">
      <c r="Z2370"/>
      <c r="AB2370"/>
      <c r="AC2370"/>
      <c r="AD2370" s="6"/>
      <c r="AM2370"/>
    </row>
    <row r="2371" spans="26:39" x14ac:dyDescent="0.25">
      <c r="Z2371"/>
      <c r="AB2371"/>
      <c r="AC2371"/>
      <c r="AD2371" s="6"/>
      <c r="AM2371"/>
    </row>
    <row r="2372" spans="26:39" x14ac:dyDescent="0.25">
      <c r="Z2372"/>
      <c r="AB2372"/>
      <c r="AC2372"/>
      <c r="AD2372" s="6"/>
      <c r="AM2372"/>
    </row>
    <row r="2373" spans="26:39" x14ac:dyDescent="0.25">
      <c r="Z2373"/>
      <c r="AB2373"/>
      <c r="AC2373"/>
      <c r="AD2373" s="6"/>
      <c r="AM2373"/>
    </row>
    <row r="2374" spans="26:39" x14ac:dyDescent="0.25">
      <c r="Z2374"/>
      <c r="AB2374"/>
      <c r="AC2374"/>
      <c r="AD2374" s="6"/>
      <c r="AM2374"/>
    </row>
    <row r="2375" spans="26:39" x14ac:dyDescent="0.25">
      <c r="Z2375"/>
      <c r="AB2375"/>
      <c r="AC2375"/>
      <c r="AD2375" s="6"/>
      <c r="AM2375"/>
    </row>
    <row r="2376" spans="26:39" x14ac:dyDescent="0.25">
      <c r="Z2376"/>
      <c r="AB2376"/>
      <c r="AC2376"/>
      <c r="AD2376" s="6"/>
      <c r="AM2376"/>
    </row>
    <row r="2377" spans="26:39" x14ac:dyDescent="0.25">
      <c r="Z2377"/>
      <c r="AB2377"/>
      <c r="AC2377"/>
      <c r="AD2377" s="6"/>
      <c r="AM2377"/>
    </row>
    <row r="2378" spans="26:39" x14ac:dyDescent="0.25">
      <c r="Z2378"/>
      <c r="AB2378"/>
      <c r="AC2378"/>
      <c r="AD2378" s="6"/>
      <c r="AM2378"/>
    </row>
    <row r="2379" spans="26:39" x14ac:dyDescent="0.25">
      <c r="Z2379"/>
      <c r="AB2379"/>
      <c r="AC2379"/>
      <c r="AD2379" s="6"/>
      <c r="AM2379"/>
    </row>
    <row r="2380" spans="26:39" x14ac:dyDescent="0.25">
      <c r="Z2380"/>
      <c r="AB2380"/>
      <c r="AC2380"/>
      <c r="AD2380" s="6"/>
      <c r="AM2380"/>
    </row>
    <row r="2381" spans="26:39" x14ac:dyDescent="0.25">
      <c r="Z2381"/>
      <c r="AB2381"/>
      <c r="AC2381"/>
      <c r="AD2381" s="6"/>
      <c r="AM2381"/>
    </row>
    <row r="2382" spans="26:39" x14ac:dyDescent="0.25">
      <c r="Z2382"/>
      <c r="AB2382"/>
      <c r="AC2382"/>
      <c r="AD2382" s="6"/>
      <c r="AM2382"/>
    </row>
    <row r="2383" spans="26:39" x14ac:dyDescent="0.25">
      <c r="Z2383"/>
      <c r="AB2383"/>
      <c r="AC2383"/>
      <c r="AD2383" s="6"/>
      <c r="AM2383"/>
    </row>
    <row r="2384" spans="26:39" x14ac:dyDescent="0.25">
      <c r="Z2384"/>
      <c r="AB2384"/>
      <c r="AC2384"/>
      <c r="AD2384" s="6"/>
      <c r="AM2384"/>
    </row>
    <row r="2385" spans="26:39" x14ac:dyDescent="0.25">
      <c r="Z2385"/>
      <c r="AB2385"/>
      <c r="AC2385"/>
      <c r="AD2385" s="6"/>
      <c r="AM2385"/>
    </row>
    <row r="2386" spans="26:39" x14ac:dyDescent="0.25">
      <c r="Z2386"/>
      <c r="AB2386"/>
      <c r="AC2386"/>
      <c r="AD2386" s="6"/>
      <c r="AM2386"/>
    </row>
    <row r="2387" spans="26:39" x14ac:dyDescent="0.25">
      <c r="Z2387"/>
      <c r="AB2387"/>
      <c r="AC2387"/>
      <c r="AD2387" s="6"/>
      <c r="AM2387"/>
    </row>
    <row r="2388" spans="26:39" x14ac:dyDescent="0.25">
      <c r="Z2388"/>
      <c r="AB2388"/>
      <c r="AC2388"/>
      <c r="AD2388" s="6"/>
      <c r="AM2388"/>
    </row>
    <row r="2389" spans="26:39" x14ac:dyDescent="0.25">
      <c r="Z2389"/>
      <c r="AB2389"/>
      <c r="AC2389"/>
      <c r="AD2389" s="6"/>
      <c r="AM2389"/>
    </row>
    <row r="2390" spans="26:39" x14ac:dyDescent="0.25">
      <c r="Z2390"/>
      <c r="AB2390"/>
      <c r="AC2390"/>
      <c r="AD2390" s="6"/>
      <c r="AM2390"/>
    </row>
    <row r="2391" spans="26:39" x14ac:dyDescent="0.25">
      <c r="Z2391"/>
      <c r="AB2391"/>
      <c r="AC2391"/>
      <c r="AD2391" s="6"/>
      <c r="AM2391"/>
    </row>
    <row r="2392" spans="26:39" x14ac:dyDescent="0.25">
      <c r="Z2392"/>
      <c r="AB2392"/>
      <c r="AC2392"/>
      <c r="AD2392" s="6"/>
      <c r="AM2392"/>
    </row>
    <row r="2393" spans="26:39" x14ac:dyDescent="0.25">
      <c r="Z2393"/>
      <c r="AB2393"/>
      <c r="AC2393"/>
      <c r="AD2393" s="6"/>
      <c r="AM2393"/>
    </row>
    <row r="2394" spans="26:39" x14ac:dyDescent="0.25">
      <c r="Z2394"/>
      <c r="AB2394"/>
      <c r="AC2394"/>
      <c r="AD2394" s="6"/>
      <c r="AM2394"/>
    </row>
    <row r="2395" spans="26:39" x14ac:dyDescent="0.25">
      <c r="Z2395"/>
      <c r="AB2395"/>
      <c r="AC2395"/>
      <c r="AD2395" s="6"/>
      <c r="AM2395"/>
    </row>
    <row r="2396" spans="26:39" x14ac:dyDescent="0.25">
      <c r="Z2396"/>
      <c r="AB2396"/>
      <c r="AC2396"/>
      <c r="AD2396" s="6"/>
      <c r="AM2396"/>
    </row>
    <row r="2397" spans="26:39" x14ac:dyDescent="0.25">
      <c r="Z2397"/>
      <c r="AB2397"/>
      <c r="AC2397"/>
      <c r="AD2397" s="6"/>
      <c r="AM2397"/>
    </row>
    <row r="2398" spans="26:39" x14ac:dyDescent="0.25">
      <c r="Z2398"/>
      <c r="AB2398"/>
      <c r="AC2398"/>
      <c r="AD2398" s="6"/>
      <c r="AM2398"/>
    </row>
    <row r="2399" spans="26:39" x14ac:dyDescent="0.25">
      <c r="Z2399"/>
      <c r="AB2399"/>
      <c r="AC2399"/>
      <c r="AD2399" s="6"/>
      <c r="AM2399"/>
    </row>
    <row r="2400" spans="26:39" x14ac:dyDescent="0.25">
      <c r="Z2400"/>
      <c r="AB2400"/>
      <c r="AC2400"/>
      <c r="AD2400" s="6"/>
      <c r="AM2400"/>
    </row>
    <row r="2401" spans="26:39" x14ac:dyDescent="0.25">
      <c r="Z2401"/>
      <c r="AB2401"/>
      <c r="AC2401"/>
      <c r="AD2401" s="6"/>
      <c r="AM2401"/>
    </row>
    <row r="2402" spans="26:39" x14ac:dyDescent="0.25">
      <c r="Z2402"/>
      <c r="AB2402"/>
      <c r="AC2402"/>
      <c r="AD2402" s="6"/>
      <c r="AM2402"/>
    </row>
    <row r="2403" spans="26:39" x14ac:dyDescent="0.25">
      <c r="Z2403"/>
      <c r="AB2403"/>
      <c r="AC2403"/>
      <c r="AD2403" s="6"/>
      <c r="AM2403"/>
    </row>
    <row r="2404" spans="26:39" x14ac:dyDescent="0.25">
      <c r="Z2404"/>
      <c r="AB2404"/>
      <c r="AC2404"/>
      <c r="AD2404" s="6"/>
      <c r="AM2404"/>
    </row>
    <row r="2405" spans="26:39" x14ac:dyDescent="0.25">
      <c r="Z2405"/>
      <c r="AB2405"/>
      <c r="AC2405"/>
      <c r="AD2405" s="6"/>
      <c r="AM2405"/>
    </row>
    <row r="2406" spans="26:39" x14ac:dyDescent="0.25">
      <c r="Z2406"/>
      <c r="AB2406"/>
      <c r="AC2406"/>
      <c r="AD2406" s="6"/>
      <c r="AM2406"/>
    </row>
    <row r="2407" spans="26:39" x14ac:dyDescent="0.25">
      <c r="Z2407"/>
      <c r="AB2407"/>
      <c r="AC2407"/>
      <c r="AD2407" s="6"/>
      <c r="AM2407"/>
    </row>
    <row r="2408" spans="26:39" x14ac:dyDescent="0.25">
      <c r="Z2408"/>
      <c r="AB2408"/>
      <c r="AC2408"/>
      <c r="AD2408" s="6"/>
      <c r="AM2408"/>
    </row>
    <row r="2409" spans="26:39" x14ac:dyDescent="0.25">
      <c r="Z2409"/>
      <c r="AB2409"/>
      <c r="AC2409"/>
      <c r="AD2409" s="6"/>
      <c r="AM2409"/>
    </row>
    <row r="2410" spans="26:39" x14ac:dyDescent="0.25">
      <c r="Z2410"/>
      <c r="AB2410"/>
      <c r="AC2410"/>
      <c r="AD2410" s="6"/>
      <c r="AM2410"/>
    </row>
    <row r="2411" spans="26:39" x14ac:dyDescent="0.25">
      <c r="Z2411"/>
      <c r="AB2411"/>
      <c r="AC2411"/>
      <c r="AD2411" s="6"/>
      <c r="AM2411"/>
    </row>
    <row r="2412" spans="26:39" x14ac:dyDescent="0.25">
      <c r="Z2412"/>
      <c r="AB2412"/>
      <c r="AC2412"/>
      <c r="AD2412" s="6"/>
      <c r="AM2412"/>
    </row>
    <row r="2413" spans="26:39" x14ac:dyDescent="0.25">
      <c r="Z2413"/>
      <c r="AB2413"/>
      <c r="AC2413"/>
      <c r="AD2413" s="6"/>
      <c r="AM2413"/>
    </row>
    <row r="2414" spans="26:39" x14ac:dyDescent="0.25">
      <c r="Z2414"/>
      <c r="AB2414"/>
      <c r="AC2414"/>
      <c r="AD2414" s="6"/>
      <c r="AM2414"/>
    </row>
    <row r="2415" spans="26:39" x14ac:dyDescent="0.25">
      <c r="Z2415"/>
      <c r="AB2415"/>
      <c r="AC2415"/>
      <c r="AD2415" s="6"/>
      <c r="AM2415"/>
    </row>
    <row r="2416" spans="26:39" x14ac:dyDescent="0.25">
      <c r="Z2416"/>
      <c r="AB2416"/>
      <c r="AC2416"/>
      <c r="AD2416" s="6"/>
      <c r="AM2416"/>
    </row>
    <row r="2417" spans="26:39" x14ac:dyDescent="0.25">
      <c r="Z2417"/>
      <c r="AB2417"/>
      <c r="AC2417"/>
      <c r="AD2417" s="6"/>
      <c r="AM2417"/>
    </row>
    <row r="2418" spans="26:39" x14ac:dyDescent="0.25">
      <c r="Z2418"/>
      <c r="AB2418"/>
      <c r="AC2418"/>
      <c r="AD2418" s="6"/>
      <c r="AM2418"/>
    </row>
    <row r="2419" spans="26:39" x14ac:dyDescent="0.25">
      <c r="Z2419"/>
      <c r="AB2419"/>
      <c r="AC2419"/>
      <c r="AD2419" s="6"/>
      <c r="AM2419"/>
    </row>
    <row r="2420" spans="26:39" x14ac:dyDescent="0.25">
      <c r="Z2420"/>
      <c r="AB2420"/>
      <c r="AC2420"/>
      <c r="AD2420" s="6"/>
      <c r="AM2420"/>
    </row>
    <row r="2421" spans="26:39" x14ac:dyDescent="0.25">
      <c r="Z2421"/>
      <c r="AB2421"/>
      <c r="AC2421"/>
      <c r="AD2421" s="6"/>
      <c r="AM2421"/>
    </row>
    <row r="2422" spans="26:39" x14ac:dyDescent="0.25">
      <c r="Z2422"/>
      <c r="AB2422"/>
      <c r="AC2422"/>
      <c r="AD2422" s="6"/>
      <c r="AM2422"/>
    </row>
    <row r="2423" spans="26:39" x14ac:dyDescent="0.25">
      <c r="Z2423"/>
      <c r="AB2423"/>
      <c r="AC2423"/>
      <c r="AD2423" s="6"/>
      <c r="AM2423"/>
    </row>
    <row r="2424" spans="26:39" x14ac:dyDescent="0.25">
      <c r="Z2424"/>
      <c r="AB2424"/>
      <c r="AC2424"/>
      <c r="AD2424" s="6"/>
      <c r="AM2424"/>
    </row>
    <row r="2425" spans="26:39" x14ac:dyDescent="0.25">
      <c r="Z2425"/>
      <c r="AB2425"/>
      <c r="AC2425"/>
      <c r="AD2425" s="6"/>
      <c r="AM2425"/>
    </row>
    <row r="2426" spans="26:39" x14ac:dyDescent="0.25">
      <c r="Z2426"/>
      <c r="AB2426"/>
      <c r="AC2426"/>
      <c r="AD2426" s="6"/>
      <c r="AM2426"/>
    </row>
    <row r="2427" spans="26:39" x14ac:dyDescent="0.25">
      <c r="Z2427"/>
      <c r="AB2427"/>
      <c r="AC2427"/>
      <c r="AD2427" s="6"/>
      <c r="AM2427"/>
    </row>
    <row r="2428" spans="26:39" x14ac:dyDescent="0.25">
      <c r="Z2428"/>
      <c r="AB2428"/>
      <c r="AC2428"/>
      <c r="AD2428" s="6"/>
      <c r="AM2428"/>
    </row>
    <row r="2429" spans="26:39" x14ac:dyDescent="0.25">
      <c r="Z2429"/>
      <c r="AB2429"/>
      <c r="AC2429"/>
      <c r="AD2429" s="6"/>
      <c r="AM2429"/>
    </row>
    <row r="2430" spans="26:39" x14ac:dyDescent="0.25">
      <c r="Z2430"/>
      <c r="AB2430"/>
      <c r="AC2430"/>
      <c r="AD2430" s="6"/>
      <c r="AM2430"/>
    </row>
    <row r="2431" spans="26:39" x14ac:dyDescent="0.25">
      <c r="Z2431"/>
      <c r="AB2431"/>
      <c r="AC2431"/>
      <c r="AD2431" s="6"/>
      <c r="AM2431"/>
    </row>
    <row r="2432" spans="26:39" x14ac:dyDescent="0.25">
      <c r="Z2432"/>
      <c r="AB2432"/>
      <c r="AC2432"/>
      <c r="AD2432" s="6"/>
      <c r="AM2432"/>
    </row>
    <row r="2433" spans="26:39" x14ac:dyDescent="0.25">
      <c r="Z2433"/>
      <c r="AB2433"/>
      <c r="AC2433"/>
      <c r="AD2433" s="6"/>
      <c r="AM2433"/>
    </row>
    <row r="2434" spans="26:39" x14ac:dyDescent="0.25">
      <c r="Z2434"/>
      <c r="AB2434"/>
      <c r="AC2434"/>
      <c r="AD2434" s="6"/>
      <c r="AM2434"/>
    </row>
    <row r="2435" spans="26:39" x14ac:dyDescent="0.25">
      <c r="Z2435"/>
      <c r="AB2435"/>
      <c r="AC2435"/>
      <c r="AD2435" s="6"/>
      <c r="AM2435"/>
    </row>
    <row r="2436" spans="26:39" x14ac:dyDescent="0.25">
      <c r="Z2436"/>
      <c r="AB2436"/>
      <c r="AC2436"/>
      <c r="AD2436" s="6"/>
      <c r="AM2436"/>
    </row>
    <row r="2437" spans="26:39" x14ac:dyDescent="0.25">
      <c r="Z2437"/>
      <c r="AB2437"/>
      <c r="AC2437"/>
      <c r="AD2437" s="6"/>
      <c r="AM2437"/>
    </row>
    <row r="2438" spans="26:39" x14ac:dyDescent="0.25">
      <c r="Z2438"/>
      <c r="AB2438"/>
      <c r="AC2438"/>
      <c r="AD2438" s="6"/>
      <c r="AM2438"/>
    </row>
    <row r="2439" spans="26:39" x14ac:dyDescent="0.25">
      <c r="Z2439"/>
      <c r="AB2439"/>
      <c r="AC2439"/>
      <c r="AD2439" s="6"/>
      <c r="AM2439"/>
    </row>
    <row r="2440" spans="26:39" x14ac:dyDescent="0.25">
      <c r="Z2440"/>
      <c r="AB2440"/>
      <c r="AC2440"/>
      <c r="AD2440" s="6"/>
      <c r="AM2440"/>
    </row>
    <row r="2441" spans="26:39" x14ac:dyDescent="0.25">
      <c r="Z2441"/>
      <c r="AB2441"/>
      <c r="AC2441"/>
      <c r="AD2441" s="6"/>
      <c r="AM2441"/>
    </row>
    <row r="2442" spans="26:39" x14ac:dyDescent="0.25">
      <c r="Z2442"/>
      <c r="AB2442"/>
      <c r="AC2442"/>
      <c r="AD2442" s="6"/>
      <c r="AM2442"/>
    </row>
    <row r="2443" spans="26:39" x14ac:dyDescent="0.25">
      <c r="Z2443"/>
      <c r="AB2443"/>
      <c r="AC2443"/>
      <c r="AD2443" s="6"/>
      <c r="AM2443"/>
    </row>
    <row r="2444" spans="26:39" x14ac:dyDescent="0.25">
      <c r="Z2444"/>
      <c r="AB2444"/>
      <c r="AC2444"/>
      <c r="AD2444" s="6"/>
      <c r="AM2444"/>
    </row>
    <row r="2445" spans="26:39" x14ac:dyDescent="0.25">
      <c r="Z2445"/>
      <c r="AB2445"/>
      <c r="AC2445"/>
      <c r="AD2445" s="6"/>
      <c r="AM2445"/>
    </row>
    <row r="2446" spans="26:39" x14ac:dyDescent="0.25">
      <c r="Z2446"/>
      <c r="AB2446"/>
      <c r="AC2446"/>
      <c r="AD2446" s="6"/>
      <c r="AM2446"/>
    </row>
    <row r="2447" spans="26:39" x14ac:dyDescent="0.25">
      <c r="Z2447"/>
      <c r="AB2447"/>
      <c r="AC2447"/>
      <c r="AD2447" s="6"/>
      <c r="AM2447"/>
    </row>
    <row r="2448" spans="26:39" x14ac:dyDescent="0.25">
      <c r="Z2448"/>
      <c r="AB2448"/>
      <c r="AC2448"/>
      <c r="AD2448" s="6"/>
      <c r="AM2448"/>
    </row>
    <row r="2449" spans="26:39" x14ac:dyDescent="0.25">
      <c r="Z2449"/>
      <c r="AB2449"/>
      <c r="AC2449"/>
      <c r="AD2449" s="6"/>
      <c r="AM2449"/>
    </row>
    <row r="2450" spans="26:39" x14ac:dyDescent="0.25">
      <c r="Z2450"/>
      <c r="AB2450"/>
      <c r="AC2450"/>
      <c r="AD2450" s="6"/>
      <c r="AM2450"/>
    </row>
    <row r="2451" spans="26:39" x14ac:dyDescent="0.25">
      <c r="Z2451"/>
      <c r="AB2451"/>
      <c r="AC2451"/>
      <c r="AD2451" s="6"/>
      <c r="AM2451"/>
    </row>
    <row r="2452" spans="26:39" x14ac:dyDescent="0.25">
      <c r="Z2452"/>
      <c r="AB2452"/>
      <c r="AC2452"/>
      <c r="AD2452" s="6"/>
      <c r="AM2452"/>
    </row>
    <row r="2453" spans="26:39" x14ac:dyDescent="0.25">
      <c r="Z2453"/>
      <c r="AB2453"/>
      <c r="AC2453"/>
      <c r="AD2453" s="6"/>
      <c r="AM2453"/>
    </row>
    <row r="2454" spans="26:39" x14ac:dyDescent="0.25">
      <c r="Z2454"/>
      <c r="AB2454"/>
      <c r="AC2454"/>
      <c r="AD2454" s="6"/>
      <c r="AM2454"/>
    </row>
    <row r="2455" spans="26:39" x14ac:dyDescent="0.25">
      <c r="Z2455"/>
      <c r="AB2455"/>
      <c r="AC2455"/>
      <c r="AD2455" s="6"/>
      <c r="AM2455"/>
    </row>
    <row r="2456" spans="26:39" x14ac:dyDescent="0.25">
      <c r="Z2456"/>
      <c r="AB2456"/>
      <c r="AC2456"/>
      <c r="AD2456" s="6"/>
      <c r="AM2456"/>
    </row>
    <row r="2457" spans="26:39" x14ac:dyDescent="0.25">
      <c r="Z2457"/>
      <c r="AB2457"/>
      <c r="AC2457"/>
      <c r="AD2457" s="6"/>
      <c r="AM2457"/>
    </row>
    <row r="2458" spans="26:39" x14ac:dyDescent="0.25">
      <c r="Z2458"/>
      <c r="AB2458"/>
      <c r="AC2458"/>
      <c r="AD2458" s="6"/>
      <c r="AM2458"/>
    </row>
    <row r="2459" spans="26:39" x14ac:dyDescent="0.25">
      <c r="Z2459"/>
      <c r="AB2459"/>
      <c r="AC2459"/>
      <c r="AD2459" s="6"/>
      <c r="AM2459"/>
    </row>
    <row r="2460" spans="26:39" x14ac:dyDescent="0.25">
      <c r="Z2460"/>
      <c r="AB2460"/>
      <c r="AC2460"/>
      <c r="AD2460" s="6"/>
      <c r="AM2460"/>
    </row>
    <row r="2461" spans="26:39" x14ac:dyDescent="0.25">
      <c r="Z2461"/>
      <c r="AB2461"/>
      <c r="AC2461"/>
      <c r="AD2461" s="6"/>
      <c r="AM2461"/>
    </row>
    <row r="2462" spans="26:39" x14ac:dyDescent="0.25">
      <c r="Z2462"/>
      <c r="AB2462"/>
      <c r="AC2462"/>
      <c r="AD2462" s="6"/>
      <c r="AM2462"/>
    </row>
    <row r="2463" spans="26:39" x14ac:dyDescent="0.25">
      <c r="Z2463"/>
      <c r="AB2463"/>
      <c r="AC2463"/>
      <c r="AD2463" s="6"/>
      <c r="AM2463"/>
    </row>
    <row r="2464" spans="26:39" x14ac:dyDescent="0.25">
      <c r="Z2464"/>
      <c r="AB2464"/>
      <c r="AC2464"/>
      <c r="AD2464" s="6"/>
      <c r="AM2464"/>
    </row>
    <row r="2465" spans="26:39" x14ac:dyDescent="0.25">
      <c r="Z2465"/>
      <c r="AB2465"/>
      <c r="AC2465"/>
      <c r="AD2465" s="6"/>
      <c r="AM2465"/>
    </row>
    <row r="2466" spans="26:39" x14ac:dyDescent="0.25">
      <c r="Z2466"/>
      <c r="AB2466"/>
      <c r="AC2466"/>
      <c r="AD2466" s="6"/>
      <c r="AM2466"/>
    </row>
    <row r="2467" spans="26:39" x14ac:dyDescent="0.25">
      <c r="Z2467"/>
      <c r="AB2467"/>
      <c r="AC2467"/>
      <c r="AD2467" s="6"/>
      <c r="AM2467"/>
    </row>
    <row r="2468" spans="26:39" x14ac:dyDescent="0.25">
      <c r="Z2468"/>
      <c r="AB2468"/>
      <c r="AC2468"/>
      <c r="AD2468" s="6"/>
      <c r="AM2468"/>
    </row>
    <row r="2469" spans="26:39" x14ac:dyDescent="0.25">
      <c r="Z2469"/>
      <c r="AB2469"/>
      <c r="AC2469"/>
      <c r="AD2469" s="6"/>
      <c r="AM2469"/>
    </row>
    <row r="2470" spans="26:39" x14ac:dyDescent="0.25">
      <c r="Z2470"/>
      <c r="AB2470"/>
      <c r="AC2470"/>
      <c r="AD2470" s="6"/>
      <c r="AM2470"/>
    </row>
    <row r="2471" spans="26:39" x14ac:dyDescent="0.25">
      <c r="Z2471"/>
      <c r="AB2471"/>
      <c r="AC2471"/>
      <c r="AD2471" s="6"/>
      <c r="AM2471"/>
    </row>
    <row r="2472" spans="26:39" x14ac:dyDescent="0.25">
      <c r="Z2472"/>
      <c r="AB2472"/>
      <c r="AC2472"/>
      <c r="AD2472" s="6"/>
      <c r="AM2472"/>
    </row>
    <row r="2473" spans="26:39" x14ac:dyDescent="0.25">
      <c r="Z2473"/>
      <c r="AB2473"/>
      <c r="AC2473"/>
      <c r="AD2473" s="6"/>
      <c r="AM2473"/>
    </row>
    <row r="2474" spans="26:39" x14ac:dyDescent="0.25">
      <c r="Z2474"/>
      <c r="AB2474"/>
      <c r="AC2474"/>
      <c r="AD2474" s="6"/>
      <c r="AM2474"/>
    </row>
    <row r="2475" spans="26:39" x14ac:dyDescent="0.25">
      <c r="Z2475"/>
      <c r="AB2475"/>
      <c r="AC2475"/>
      <c r="AD2475" s="6"/>
      <c r="AM2475"/>
    </row>
    <row r="2476" spans="26:39" x14ac:dyDescent="0.25">
      <c r="Z2476"/>
      <c r="AB2476"/>
      <c r="AC2476"/>
      <c r="AD2476" s="6"/>
      <c r="AM2476"/>
    </row>
    <row r="2477" spans="26:39" x14ac:dyDescent="0.25">
      <c r="Z2477"/>
      <c r="AB2477"/>
      <c r="AC2477"/>
      <c r="AD2477" s="6"/>
      <c r="AM2477"/>
    </row>
    <row r="2478" spans="26:39" x14ac:dyDescent="0.25">
      <c r="Z2478"/>
      <c r="AB2478"/>
      <c r="AC2478"/>
      <c r="AD2478" s="6"/>
      <c r="AM2478"/>
    </row>
    <row r="2479" spans="26:39" x14ac:dyDescent="0.25">
      <c r="Z2479"/>
      <c r="AB2479"/>
      <c r="AC2479"/>
      <c r="AD2479" s="6"/>
      <c r="AM2479"/>
    </row>
    <row r="2480" spans="26:39" x14ac:dyDescent="0.25">
      <c r="Z2480"/>
      <c r="AB2480"/>
      <c r="AC2480"/>
      <c r="AD2480" s="6"/>
      <c r="AM2480"/>
    </row>
    <row r="2481" spans="26:39" x14ac:dyDescent="0.25">
      <c r="Z2481"/>
      <c r="AB2481"/>
      <c r="AC2481"/>
      <c r="AD2481" s="6"/>
      <c r="AM2481"/>
    </row>
    <row r="2482" spans="26:39" x14ac:dyDescent="0.25">
      <c r="Z2482"/>
      <c r="AB2482"/>
      <c r="AC2482"/>
      <c r="AD2482" s="6"/>
      <c r="AM2482"/>
    </row>
    <row r="2483" spans="26:39" x14ac:dyDescent="0.25">
      <c r="Z2483"/>
      <c r="AB2483"/>
      <c r="AC2483"/>
      <c r="AD2483" s="6"/>
      <c r="AM2483"/>
    </row>
    <row r="2484" spans="26:39" x14ac:dyDescent="0.25">
      <c r="Z2484"/>
      <c r="AB2484"/>
      <c r="AC2484"/>
      <c r="AD2484" s="6"/>
      <c r="AM2484"/>
    </row>
    <row r="2485" spans="26:39" x14ac:dyDescent="0.25">
      <c r="Z2485"/>
      <c r="AB2485"/>
      <c r="AC2485"/>
      <c r="AD2485" s="6"/>
      <c r="AM2485"/>
    </row>
    <row r="2486" spans="26:39" x14ac:dyDescent="0.25">
      <c r="Z2486"/>
      <c r="AB2486"/>
      <c r="AC2486"/>
      <c r="AD2486" s="6"/>
      <c r="AM2486"/>
    </row>
    <row r="2487" spans="26:39" x14ac:dyDescent="0.25">
      <c r="Z2487"/>
      <c r="AB2487"/>
      <c r="AC2487"/>
      <c r="AD2487" s="6"/>
      <c r="AM2487"/>
    </row>
    <row r="2488" spans="26:39" x14ac:dyDescent="0.25">
      <c r="Z2488"/>
      <c r="AB2488"/>
      <c r="AC2488"/>
      <c r="AD2488" s="6"/>
      <c r="AM2488"/>
    </row>
    <row r="2489" spans="26:39" x14ac:dyDescent="0.25">
      <c r="Z2489"/>
      <c r="AB2489"/>
      <c r="AC2489"/>
      <c r="AD2489" s="6"/>
      <c r="AM2489"/>
    </row>
    <row r="2490" spans="26:39" x14ac:dyDescent="0.25">
      <c r="Z2490"/>
      <c r="AB2490"/>
      <c r="AC2490"/>
      <c r="AD2490" s="6"/>
      <c r="AM2490"/>
    </row>
    <row r="2491" spans="26:39" x14ac:dyDescent="0.25">
      <c r="Z2491"/>
      <c r="AB2491"/>
      <c r="AC2491"/>
      <c r="AD2491" s="6"/>
      <c r="AM2491"/>
    </row>
    <row r="2492" spans="26:39" x14ac:dyDescent="0.25">
      <c r="Z2492"/>
      <c r="AB2492"/>
      <c r="AC2492"/>
      <c r="AD2492" s="6"/>
      <c r="AM2492"/>
    </row>
    <row r="2493" spans="26:39" x14ac:dyDescent="0.25">
      <c r="Z2493"/>
      <c r="AB2493"/>
      <c r="AC2493"/>
      <c r="AD2493" s="6"/>
      <c r="AM2493"/>
    </row>
    <row r="2494" spans="26:39" x14ac:dyDescent="0.25">
      <c r="Z2494"/>
      <c r="AB2494"/>
      <c r="AC2494"/>
      <c r="AD2494" s="6"/>
      <c r="AM2494"/>
    </row>
    <row r="2495" spans="26:39" x14ac:dyDescent="0.25">
      <c r="Z2495"/>
      <c r="AB2495"/>
      <c r="AC2495"/>
      <c r="AD2495" s="6"/>
      <c r="AM2495"/>
    </row>
    <row r="2496" spans="26:39" x14ac:dyDescent="0.25">
      <c r="Z2496"/>
      <c r="AB2496"/>
      <c r="AC2496"/>
      <c r="AD2496" s="6"/>
      <c r="AM2496"/>
    </row>
    <row r="2497" spans="26:39" x14ac:dyDescent="0.25">
      <c r="Z2497"/>
      <c r="AB2497"/>
      <c r="AC2497"/>
      <c r="AD2497" s="6"/>
      <c r="AM2497"/>
    </row>
    <row r="2498" spans="26:39" x14ac:dyDescent="0.25">
      <c r="Z2498"/>
      <c r="AB2498"/>
      <c r="AC2498"/>
      <c r="AD2498" s="6"/>
      <c r="AM2498"/>
    </row>
    <row r="2499" spans="26:39" x14ac:dyDescent="0.25">
      <c r="Z2499"/>
      <c r="AB2499"/>
      <c r="AC2499"/>
      <c r="AD2499" s="6"/>
      <c r="AM2499"/>
    </row>
    <row r="2500" spans="26:39" x14ac:dyDescent="0.25">
      <c r="Z2500"/>
      <c r="AB2500"/>
      <c r="AC2500"/>
      <c r="AD2500" s="6"/>
      <c r="AM2500"/>
    </row>
    <row r="2501" spans="26:39" x14ac:dyDescent="0.25">
      <c r="Z2501"/>
      <c r="AB2501"/>
      <c r="AC2501"/>
      <c r="AD2501" s="6"/>
      <c r="AM2501"/>
    </row>
    <row r="2502" spans="26:39" x14ac:dyDescent="0.25">
      <c r="Z2502"/>
      <c r="AB2502"/>
      <c r="AC2502"/>
      <c r="AD2502" s="6"/>
      <c r="AM2502"/>
    </row>
    <row r="2503" spans="26:39" x14ac:dyDescent="0.25">
      <c r="Z2503"/>
      <c r="AB2503"/>
      <c r="AC2503"/>
      <c r="AD2503" s="6"/>
      <c r="AM2503"/>
    </row>
    <row r="2504" spans="26:39" x14ac:dyDescent="0.25">
      <c r="Z2504"/>
      <c r="AB2504"/>
      <c r="AC2504"/>
      <c r="AD2504" s="6"/>
      <c r="AM2504"/>
    </row>
    <row r="2505" spans="26:39" x14ac:dyDescent="0.25">
      <c r="Z2505"/>
      <c r="AB2505"/>
      <c r="AC2505"/>
      <c r="AD2505" s="6"/>
      <c r="AM2505"/>
    </row>
    <row r="2506" spans="26:39" x14ac:dyDescent="0.25">
      <c r="Z2506"/>
      <c r="AB2506"/>
      <c r="AC2506"/>
      <c r="AD2506" s="6"/>
      <c r="AM2506"/>
    </row>
    <row r="2507" spans="26:39" x14ac:dyDescent="0.25">
      <c r="Z2507"/>
      <c r="AB2507"/>
      <c r="AC2507"/>
      <c r="AD2507" s="6"/>
      <c r="AM2507"/>
    </row>
    <row r="2508" spans="26:39" x14ac:dyDescent="0.25">
      <c r="Z2508"/>
      <c r="AB2508"/>
      <c r="AC2508"/>
      <c r="AD2508" s="6"/>
      <c r="AM2508"/>
    </row>
    <row r="2509" spans="26:39" x14ac:dyDescent="0.25">
      <c r="Z2509"/>
      <c r="AB2509"/>
      <c r="AC2509"/>
      <c r="AD2509" s="6"/>
      <c r="AM2509"/>
    </row>
    <row r="2510" spans="26:39" x14ac:dyDescent="0.25">
      <c r="Z2510"/>
      <c r="AB2510"/>
      <c r="AC2510"/>
      <c r="AD2510" s="6"/>
      <c r="AM2510"/>
    </row>
    <row r="2511" spans="26:39" x14ac:dyDescent="0.25">
      <c r="Z2511"/>
      <c r="AB2511"/>
      <c r="AC2511"/>
      <c r="AD2511" s="6"/>
      <c r="AM2511"/>
    </row>
    <row r="2512" spans="26:39" x14ac:dyDescent="0.25">
      <c r="Z2512"/>
      <c r="AB2512"/>
      <c r="AC2512"/>
      <c r="AD2512" s="6"/>
      <c r="AM2512"/>
    </row>
    <row r="2513" spans="26:39" x14ac:dyDescent="0.25">
      <c r="Z2513"/>
      <c r="AB2513"/>
      <c r="AC2513"/>
      <c r="AD2513" s="6"/>
      <c r="AM2513"/>
    </row>
    <row r="2514" spans="26:39" x14ac:dyDescent="0.25">
      <c r="Z2514"/>
      <c r="AB2514"/>
      <c r="AC2514"/>
      <c r="AD2514" s="6"/>
      <c r="AM2514"/>
    </row>
    <row r="2515" spans="26:39" x14ac:dyDescent="0.25">
      <c r="Z2515"/>
      <c r="AB2515"/>
      <c r="AC2515"/>
      <c r="AD2515" s="6"/>
      <c r="AM2515"/>
    </row>
    <row r="2516" spans="26:39" x14ac:dyDescent="0.25">
      <c r="Z2516"/>
      <c r="AB2516"/>
      <c r="AC2516"/>
      <c r="AD2516" s="6"/>
      <c r="AM2516"/>
    </row>
    <row r="2517" spans="26:39" x14ac:dyDescent="0.25">
      <c r="Z2517"/>
      <c r="AB2517"/>
      <c r="AC2517"/>
      <c r="AD2517" s="6"/>
      <c r="AM2517"/>
    </row>
    <row r="2518" spans="26:39" x14ac:dyDescent="0.25">
      <c r="Z2518"/>
      <c r="AB2518"/>
      <c r="AC2518"/>
      <c r="AD2518" s="6"/>
      <c r="AM2518"/>
    </row>
    <row r="2519" spans="26:39" x14ac:dyDescent="0.25">
      <c r="Z2519"/>
      <c r="AB2519"/>
      <c r="AC2519"/>
      <c r="AD2519" s="6"/>
      <c r="AM2519"/>
    </row>
    <row r="2520" spans="26:39" x14ac:dyDescent="0.25">
      <c r="Z2520"/>
      <c r="AB2520"/>
      <c r="AC2520"/>
      <c r="AD2520" s="6"/>
      <c r="AM2520"/>
    </row>
    <row r="2521" spans="26:39" x14ac:dyDescent="0.25">
      <c r="Z2521"/>
      <c r="AB2521"/>
      <c r="AC2521"/>
      <c r="AD2521" s="6"/>
      <c r="AM2521"/>
    </row>
    <row r="2522" spans="26:39" x14ac:dyDescent="0.25">
      <c r="Z2522"/>
      <c r="AB2522"/>
      <c r="AC2522"/>
      <c r="AD2522" s="6"/>
      <c r="AM2522"/>
    </row>
    <row r="2523" spans="26:39" x14ac:dyDescent="0.25">
      <c r="Z2523"/>
      <c r="AB2523"/>
      <c r="AC2523"/>
      <c r="AD2523" s="6"/>
      <c r="AM2523"/>
    </row>
    <row r="2524" spans="26:39" x14ac:dyDescent="0.25">
      <c r="Z2524"/>
      <c r="AB2524"/>
      <c r="AC2524"/>
      <c r="AD2524" s="6"/>
      <c r="AM2524"/>
    </row>
    <row r="2525" spans="26:39" x14ac:dyDescent="0.25">
      <c r="Z2525"/>
      <c r="AB2525"/>
      <c r="AC2525"/>
      <c r="AD2525" s="6"/>
      <c r="AM2525"/>
    </row>
    <row r="2526" spans="26:39" x14ac:dyDescent="0.25">
      <c r="Z2526"/>
      <c r="AB2526"/>
      <c r="AC2526"/>
      <c r="AD2526" s="6"/>
      <c r="AM2526"/>
    </row>
    <row r="2527" spans="26:39" x14ac:dyDescent="0.25">
      <c r="Z2527"/>
      <c r="AB2527"/>
      <c r="AC2527"/>
      <c r="AD2527" s="6"/>
      <c r="AM2527"/>
    </row>
    <row r="2528" spans="26:39" x14ac:dyDescent="0.25">
      <c r="Z2528"/>
      <c r="AB2528"/>
      <c r="AC2528"/>
      <c r="AD2528" s="6"/>
      <c r="AM2528"/>
    </row>
    <row r="2529" spans="26:39" x14ac:dyDescent="0.25">
      <c r="Z2529"/>
      <c r="AB2529"/>
      <c r="AC2529"/>
      <c r="AD2529" s="6"/>
      <c r="AM2529"/>
    </row>
    <row r="2530" spans="26:39" x14ac:dyDescent="0.25">
      <c r="Z2530"/>
      <c r="AB2530"/>
      <c r="AC2530"/>
      <c r="AD2530" s="6"/>
      <c r="AM2530"/>
    </row>
    <row r="2531" spans="26:39" x14ac:dyDescent="0.25">
      <c r="Z2531"/>
      <c r="AB2531"/>
      <c r="AC2531"/>
      <c r="AD2531" s="6"/>
      <c r="AM2531"/>
    </row>
    <row r="2532" spans="26:39" x14ac:dyDescent="0.25">
      <c r="Z2532"/>
      <c r="AB2532"/>
      <c r="AC2532"/>
      <c r="AD2532" s="6"/>
      <c r="AM2532"/>
    </row>
    <row r="2533" spans="26:39" x14ac:dyDescent="0.25">
      <c r="Z2533"/>
      <c r="AB2533"/>
      <c r="AC2533"/>
      <c r="AD2533" s="6"/>
      <c r="AM2533"/>
    </row>
    <row r="2534" spans="26:39" x14ac:dyDescent="0.25">
      <c r="Z2534"/>
      <c r="AB2534"/>
      <c r="AC2534"/>
      <c r="AD2534" s="6"/>
      <c r="AM2534"/>
    </row>
    <row r="2535" spans="26:39" x14ac:dyDescent="0.25">
      <c r="Z2535"/>
      <c r="AB2535"/>
      <c r="AC2535"/>
      <c r="AD2535" s="6"/>
      <c r="AM2535"/>
    </row>
    <row r="2536" spans="26:39" x14ac:dyDescent="0.25">
      <c r="Z2536"/>
      <c r="AB2536"/>
      <c r="AC2536"/>
      <c r="AD2536" s="6"/>
      <c r="AM2536"/>
    </row>
    <row r="2537" spans="26:39" x14ac:dyDescent="0.25">
      <c r="Z2537"/>
      <c r="AB2537"/>
      <c r="AC2537"/>
      <c r="AD2537" s="6"/>
      <c r="AM2537"/>
    </row>
    <row r="2538" spans="26:39" x14ac:dyDescent="0.25">
      <c r="Z2538"/>
      <c r="AB2538"/>
      <c r="AC2538"/>
      <c r="AD2538" s="6"/>
      <c r="AM2538"/>
    </row>
    <row r="2539" spans="26:39" x14ac:dyDescent="0.25">
      <c r="Z2539"/>
      <c r="AB2539"/>
      <c r="AC2539"/>
      <c r="AD2539" s="6"/>
      <c r="AM2539"/>
    </row>
    <row r="2540" spans="26:39" x14ac:dyDescent="0.25">
      <c r="Z2540"/>
      <c r="AB2540"/>
      <c r="AC2540"/>
      <c r="AD2540" s="6"/>
      <c r="AM2540"/>
    </row>
    <row r="2541" spans="26:39" x14ac:dyDescent="0.25">
      <c r="Z2541"/>
      <c r="AB2541"/>
      <c r="AC2541"/>
      <c r="AD2541" s="6"/>
      <c r="AM2541"/>
    </row>
    <row r="2542" spans="26:39" x14ac:dyDescent="0.25">
      <c r="Z2542"/>
      <c r="AB2542"/>
      <c r="AC2542"/>
      <c r="AD2542" s="6"/>
      <c r="AM2542"/>
    </row>
    <row r="2543" spans="26:39" x14ac:dyDescent="0.25">
      <c r="Z2543"/>
      <c r="AB2543"/>
      <c r="AC2543"/>
      <c r="AD2543" s="6"/>
      <c r="AM2543"/>
    </row>
    <row r="2544" spans="26:39" x14ac:dyDescent="0.25">
      <c r="Z2544"/>
      <c r="AB2544"/>
      <c r="AC2544"/>
      <c r="AD2544" s="6"/>
      <c r="AM2544"/>
    </row>
    <row r="2545" spans="26:39" x14ac:dyDescent="0.25">
      <c r="Z2545"/>
      <c r="AB2545"/>
      <c r="AC2545"/>
      <c r="AD2545" s="6"/>
      <c r="AM2545"/>
    </row>
    <row r="2546" spans="26:39" x14ac:dyDescent="0.25">
      <c r="Z2546"/>
      <c r="AB2546"/>
      <c r="AC2546"/>
      <c r="AD2546" s="6"/>
      <c r="AM2546"/>
    </row>
    <row r="2547" spans="26:39" x14ac:dyDescent="0.25">
      <c r="Z2547"/>
      <c r="AB2547"/>
      <c r="AC2547"/>
      <c r="AD2547" s="6"/>
      <c r="AM2547"/>
    </row>
    <row r="2548" spans="26:39" x14ac:dyDescent="0.25">
      <c r="Z2548"/>
      <c r="AB2548"/>
      <c r="AC2548"/>
      <c r="AD2548" s="6"/>
      <c r="AM2548"/>
    </row>
    <row r="2549" spans="26:39" x14ac:dyDescent="0.25">
      <c r="Z2549"/>
      <c r="AB2549"/>
      <c r="AC2549"/>
      <c r="AD2549" s="6"/>
      <c r="AM2549"/>
    </row>
    <row r="2550" spans="26:39" x14ac:dyDescent="0.25">
      <c r="Z2550"/>
      <c r="AB2550"/>
      <c r="AC2550"/>
      <c r="AD2550" s="6"/>
      <c r="AM2550"/>
    </row>
    <row r="2551" spans="26:39" x14ac:dyDescent="0.25">
      <c r="Z2551"/>
      <c r="AB2551"/>
      <c r="AC2551"/>
      <c r="AD2551" s="6"/>
      <c r="AM2551"/>
    </row>
    <row r="2552" spans="26:39" x14ac:dyDescent="0.25">
      <c r="Z2552"/>
      <c r="AB2552"/>
      <c r="AC2552"/>
      <c r="AD2552" s="6"/>
      <c r="AM2552"/>
    </row>
    <row r="2553" spans="26:39" x14ac:dyDescent="0.25">
      <c r="Z2553"/>
      <c r="AB2553"/>
      <c r="AC2553"/>
      <c r="AD2553" s="6"/>
      <c r="AM2553"/>
    </row>
    <row r="2554" spans="26:39" x14ac:dyDescent="0.25">
      <c r="Z2554"/>
      <c r="AB2554"/>
      <c r="AC2554"/>
      <c r="AD2554" s="6"/>
      <c r="AM2554"/>
    </row>
    <row r="2555" spans="26:39" x14ac:dyDescent="0.25">
      <c r="Z2555"/>
      <c r="AB2555"/>
      <c r="AC2555"/>
      <c r="AD2555" s="6"/>
      <c r="AM2555"/>
    </row>
    <row r="2556" spans="26:39" x14ac:dyDescent="0.25">
      <c r="Z2556"/>
      <c r="AB2556"/>
      <c r="AC2556"/>
      <c r="AD2556" s="6"/>
      <c r="AM2556"/>
    </row>
    <row r="2557" spans="26:39" x14ac:dyDescent="0.25">
      <c r="Z2557"/>
      <c r="AB2557"/>
      <c r="AC2557"/>
      <c r="AD2557" s="6"/>
      <c r="AM2557"/>
    </row>
    <row r="2558" spans="26:39" x14ac:dyDescent="0.25">
      <c r="Z2558"/>
      <c r="AB2558"/>
      <c r="AC2558"/>
      <c r="AD2558" s="6"/>
      <c r="AM2558"/>
    </row>
    <row r="2559" spans="26:39" x14ac:dyDescent="0.25">
      <c r="Z2559"/>
      <c r="AB2559"/>
      <c r="AC2559"/>
      <c r="AD2559" s="6"/>
      <c r="AM2559"/>
    </row>
    <row r="2560" spans="26:39" x14ac:dyDescent="0.25">
      <c r="Z2560"/>
      <c r="AB2560"/>
      <c r="AC2560"/>
      <c r="AD2560" s="6"/>
      <c r="AM2560"/>
    </row>
    <row r="2561" spans="26:39" x14ac:dyDescent="0.25">
      <c r="Z2561"/>
      <c r="AB2561"/>
      <c r="AC2561"/>
      <c r="AD2561" s="6"/>
      <c r="AM2561"/>
    </row>
    <row r="2562" spans="26:39" x14ac:dyDescent="0.25">
      <c r="Z2562"/>
      <c r="AB2562"/>
      <c r="AC2562"/>
      <c r="AD2562" s="6"/>
      <c r="AM2562"/>
    </row>
    <row r="2563" spans="26:39" x14ac:dyDescent="0.25">
      <c r="Z2563"/>
      <c r="AB2563"/>
      <c r="AC2563"/>
      <c r="AD2563" s="6"/>
      <c r="AM2563"/>
    </row>
    <row r="2564" spans="26:39" x14ac:dyDescent="0.25">
      <c r="Z2564"/>
      <c r="AB2564"/>
      <c r="AC2564"/>
      <c r="AD2564" s="6"/>
      <c r="AM2564"/>
    </row>
    <row r="2565" spans="26:39" x14ac:dyDescent="0.25">
      <c r="Z2565"/>
      <c r="AB2565"/>
      <c r="AC2565"/>
      <c r="AD2565" s="6"/>
      <c r="AM2565"/>
    </row>
    <row r="2566" spans="26:39" x14ac:dyDescent="0.25">
      <c r="Z2566"/>
      <c r="AB2566"/>
      <c r="AC2566"/>
      <c r="AD2566" s="6"/>
      <c r="AM2566"/>
    </row>
    <row r="2567" spans="26:39" x14ac:dyDescent="0.25">
      <c r="Z2567"/>
      <c r="AB2567"/>
      <c r="AC2567"/>
      <c r="AD2567" s="6"/>
      <c r="AM2567"/>
    </row>
    <row r="2568" spans="26:39" x14ac:dyDescent="0.25">
      <c r="Z2568"/>
      <c r="AB2568"/>
      <c r="AC2568"/>
      <c r="AD2568" s="6"/>
      <c r="AM2568"/>
    </row>
    <row r="2569" spans="26:39" x14ac:dyDescent="0.25">
      <c r="Z2569"/>
      <c r="AB2569"/>
      <c r="AC2569"/>
      <c r="AD2569" s="6"/>
      <c r="AM2569"/>
    </row>
    <row r="2570" spans="26:39" x14ac:dyDescent="0.25">
      <c r="Z2570"/>
      <c r="AB2570"/>
      <c r="AC2570"/>
      <c r="AD2570" s="6"/>
      <c r="AM2570"/>
    </row>
    <row r="2571" spans="26:39" x14ac:dyDescent="0.25">
      <c r="Z2571"/>
      <c r="AB2571"/>
      <c r="AC2571"/>
      <c r="AD2571" s="6"/>
      <c r="AM2571"/>
    </row>
    <row r="2572" spans="26:39" x14ac:dyDescent="0.25">
      <c r="Z2572"/>
      <c r="AB2572"/>
      <c r="AC2572"/>
      <c r="AD2572" s="6"/>
      <c r="AM2572"/>
    </row>
    <row r="2573" spans="26:39" x14ac:dyDescent="0.25">
      <c r="Z2573"/>
      <c r="AB2573"/>
      <c r="AC2573"/>
      <c r="AD2573" s="6"/>
      <c r="AM2573"/>
    </row>
    <row r="2574" spans="26:39" x14ac:dyDescent="0.25">
      <c r="Z2574"/>
      <c r="AB2574"/>
      <c r="AC2574"/>
      <c r="AD2574" s="6"/>
      <c r="AM2574"/>
    </row>
    <row r="2575" spans="26:39" x14ac:dyDescent="0.25">
      <c r="Z2575"/>
      <c r="AB2575"/>
      <c r="AC2575"/>
      <c r="AD2575" s="6"/>
      <c r="AM2575"/>
    </row>
    <row r="2576" spans="26:39" x14ac:dyDescent="0.25">
      <c r="Z2576"/>
      <c r="AB2576"/>
      <c r="AC2576"/>
      <c r="AD2576" s="6"/>
      <c r="AM2576"/>
    </row>
    <row r="2577" spans="26:39" x14ac:dyDescent="0.25">
      <c r="Z2577"/>
      <c r="AB2577"/>
      <c r="AC2577"/>
      <c r="AD2577" s="6"/>
      <c r="AM2577"/>
    </row>
    <row r="2578" spans="26:39" x14ac:dyDescent="0.25">
      <c r="Z2578"/>
      <c r="AB2578"/>
      <c r="AC2578"/>
      <c r="AD2578" s="6"/>
      <c r="AM2578"/>
    </row>
    <row r="2579" spans="26:39" x14ac:dyDescent="0.25">
      <c r="Z2579"/>
      <c r="AB2579"/>
      <c r="AC2579"/>
      <c r="AD2579" s="6"/>
      <c r="AM2579"/>
    </row>
    <row r="2580" spans="26:39" x14ac:dyDescent="0.25">
      <c r="Z2580"/>
      <c r="AB2580"/>
      <c r="AC2580"/>
      <c r="AD2580" s="6"/>
      <c r="AM2580"/>
    </row>
    <row r="2581" spans="26:39" x14ac:dyDescent="0.25">
      <c r="Z2581"/>
      <c r="AB2581"/>
      <c r="AC2581"/>
      <c r="AD2581" s="6"/>
      <c r="AM2581"/>
    </row>
    <row r="2582" spans="26:39" x14ac:dyDescent="0.25">
      <c r="Z2582"/>
      <c r="AB2582"/>
      <c r="AC2582"/>
      <c r="AD2582" s="6"/>
      <c r="AM2582"/>
    </row>
    <row r="2583" spans="26:39" x14ac:dyDescent="0.25">
      <c r="Z2583"/>
      <c r="AB2583"/>
      <c r="AC2583"/>
      <c r="AD2583" s="6"/>
      <c r="AM2583"/>
    </row>
    <row r="2584" spans="26:39" x14ac:dyDescent="0.25">
      <c r="Z2584"/>
      <c r="AB2584"/>
      <c r="AC2584"/>
      <c r="AD2584" s="6"/>
      <c r="AM2584"/>
    </row>
    <row r="2585" spans="26:39" x14ac:dyDescent="0.25">
      <c r="Z2585"/>
      <c r="AB2585"/>
      <c r="AC2585"/>
      <c r="AD2585" s="6"/>
      <c r="AM2585"/>
    </row>
    <row r="2586" spans="26:39" x14ac:dyDescent="0.25">
      <c r="Z2586"/>
      <c r="AB2586"/>
      <c r="AC2586"/>
      <c r="AD2586" s="6"/>
      <c r="AM2586"/>
    </row>
    <row r="2587" spans="26:39" x14ac:dyDescent="0.25">
      <c r="Z2587"/>
      <c r="AB2587"/>
      <c r="AC2587"/>
      <c r="AD2587" s="6"/>
      <c r="AM2587"/>
    </row>
    <row r="2588" spans="26:39" x14ac:dyDescent="0.25">
      <c r="Z2588"/>
      <c r="AB2588"/>
      <c r="AC2588"/>
      <c r="AD2588" s="6"/>
      <c r="AM2588"/>
    </row>
    <row r="2589" spans="26:39" x14ac:dyDescent="0.25">
      <c r="Z2589"/>
      <c r="AB2589"/>
      <c r="AC2589"/>
      <c r="AD2589" s="6"/>
      <c r="AM2589"/>
    </row>
    <row r="2590" spans="26:39" x14ac:dyDescent="0.25">
      <c r="Z2590"/>
      <c r="AB2590"/>
      <c r="AC2590"/>
      <c r="AD2590" s="6"/>
      <c r="AM2590"/>
    </row>
    <row r="2591" spans="26:39" x14ac:dyDescent="0.25">
      <c r="Z2591"/>
      <c r="AB2591"/>
      <c r="AC2591"/>
      <c r="AD2591" s="6"/>
      <c r="AM2591"/>
    </row>
    <row r="2592" spans="26:39" x14ac:dyDescent="0.25">
      <c r="Z2592"/>
      <c r="AB2592"/>
      <c r="AC2592"/>
      <c r="AD2592" s="6"/>
      <c r="AM2592"/>
    </row>
    <row r="2593" spans="26:39" x14ac:dyDescent="0.25">
      <c r="Z2593"/>
      <c r="AB2593"/>
      <c r="AC2593"/>
      <c r="AD2593" s="6"/>
      <c r="AM2593"/>
    </row>
    <row r="2594" spans="26:39" x14ac:dyDescent="0.25">
      <c r="Z2594"/>
      <c r="AB2594"/>
      <c r="AC2594"/>
      <c r="AD2594" s="6"/>
      <c r="AM2594"/>
    </row>
    <row r="2595" spans="26:39" x14ac:dyDescent="0.25">
      <c r="Z2595"/>
      <c r="AB2595"/>
      <c r="AC2595"/>
      <c r="AD2595" s="6"/>
      <c r="AM2595"/>
    </row>
    <row r="2596" spans="26:39" x14ac:dyDescent="0.25">
      <c r="Z2596"/>
      <c r="AB2596"/>
      <c r="AC2596"/>
      <c r="AD2596" s="6"/>
      <c r="AM2596"/>
    </row>
    <row r="2597" spans="26:39" x14ac:dyDescent="0.25">
      <c r="Z2597"/>
      <c r="AB2597"/>
      <c r="AC2597"/>
      <c r="AD2597" s="6"/>
      <c r="AM2597"/>
    </row>
    <row r="2598" spans="26:39" x14ac:dyDescent="0.25">
      <c r="Z2598"/>
      <c r="AB2598"/>
      <c r="AC2598"/>
      <c r="AD2598" s="6"/>
      <c r="AM2598"/>
    </row>
    <row r="2599" spans="26:39" x14ac:dyDescent="0.25">
      <c r="Z2599"/>
      <c r="AB2599"/>
      <c r="AC2599"/>
      <c r="AD2599" s="6"/>
      <c r="AM2599"/>
    </row>
    <row r="2600" spans="26:39" x14ac:dyDescent="0.25">
      <c r="Z2600"/>
      <c r="AB2600"/>
      <c r="AC2600"/>
      <c r="AD2600" s="6"/>
      <c r="AM2600"/>
    </row>
    <row r="2601" spans="26:39" x14ac:dyDescent="0.25">
      <c r="Z2601"/>
      <c r="AB2601"/>
      <c r="AC2601"/>
      <c r="AD2601" s="6"/>
      <c r="AM2601"/>
    </row>
    <row r="2602" spans="26:39" x14ac:dyDescent="0.25">
      <c r="Z2602"/>
      <c r="AB2602"/>
      <c r="AC2602"/>
      <c r="AD2602" s="6"/>
      <c r="AM2602"/>
    </row>
    <row r="2603" spans="26:39" x14ac:dyDescent="0.25">
      <c r="Z2603"/>
      <c r="AB2603"/>
      <c r="AC2603"/>
      <c r="AD2603" s="6"/>
      <c r="AM2603"/>
    </row>
    <row r="2604" spans="26:39" x14ac:dyDescent="0.25">
      <c r="Z2604"/>
      <c r="AB2604"/>
      <c r="AC2604"/>
      <c r="AD2604" s="6"/>
      <c r="AM2604"/>
    </row>
    <row r="2605" spans="26:39" x14ac:dyDescent="0.25">
      <c r="Z2605"/>
      <c r="AB2605"/>
      <c r="AC2605"/>
      <c r="AD2605" s="6"/>
      <c r="AM2605"/>
    </row>
    <row r="2606" spans="26:39" x14ac:dyDescent="0.25">
      <c r="Z2606"/>
      <c r="AB2606"/>
      <c r="AC2606"/>
      <c r="AD2606" s="6"/>
      <c r="AM2606"/>
    </row>
    <row r="2607" spans="26:39" x14ac:dyDescent="0.25">
      <c r="Z2607"/>
      <c r="AB2607"/>
      <c r="AC2607"/>
      <c r="AD2607" s="6"/>
      <c r="AM2607"/>
    </row>
    <row r="2608" spans="26:39" x14ac:dyDescent="0.25">
      <c r="Z2608"/>
      <c r="AB2608"/>
      <c r="AC2608"/>
      <c r="AD2608" s="6"/>
      <c r="AM2608"/>
    </row>
    <row r="2609" spans="26:39" x14ac:dyDescent="0.25">
      <c r="Z2609"/>
      <c r="AB2609"/>
      <c r="AC2609"/>
      <c r="AD2609" s="6"/>
      <c r="AM2609"/>
    </row>
    <row r="2610" spans="26:39" x14ac:dyDescent="0.25">
      <c r="Z2610"/>
      <c r="AB2610"/>
      <c r="AC2610"/>
      <c r="AD2610" s="6"/>
      <c r="AM2610"/>
    </row>
    <row r="2611" spans="26:39" x14ac:dyDescent="0.25">
      <c r="Z2611"/>
      <c r="AB2611"/>
      <c r="AC2611"/>
      <c r="AD2611" s="6"/>
      <c r="AM2611"/>
    </row>
    <row r="2612" spans="26:39" x14ac:dyDescent="0.25">
      <c r="Z2612"/>
      <c r="AB2612"/>
      <c r="AC2612"/>
      <c r="AD2612" s="6"/>
      <c r="AM2612"/>
    </row>
    <row r="2613" spans="26:39" x14ac:dyDescent="0.25">
      <c r="Z2613"/>
      <c r="AB2613"/>
      <c r="AC2613"/>
      <c r="AD2613" s="6"/>
      <c r="AM2613"/>
    </row>
    <row r="2614" spans="26:39" x14ac:dyDescent="0.25">
      <c r="Z2614"/>
      <c r="AB2614"/>
      <c r="AC2614"/>
      <c r="AD2614" s="6"/>
      <c r="AM2614"/>
    </row>
    <row r="2615" spans="26:39" x14ac:dyDescent="0.25">
      <c r="Z2615"/>
      <c r="AB2615"/>
      <c r="AC2615"/>
      <c r="AD2615" s="6"/>
      <c r="AM2615"/>
    </row>
    <row r="2616" spans="26:39" x14ac:dyDescent="0.25">
      <c r="Z2616"/>
      <c r="AB2616"/>
      <c r="AC2616"/>
      <c r="AD2616" s="6"/>
      <c r="AM2616"/>
    </row>
    <row r="2617" spans="26:39" x14ac:dyDescent="0.25">
      <c r="Z2617"/>
      <c r="AB2617"/>
      <c r="AC2617"/>
      <c r="AD2617" s="6"/>
      <c r="AM2617"/>
    </row>
    <row r="2618" spans="26:39" x14ac:dyDescent="0.25">
      <c r="Z2618"/>
      <c r="AB2618"/>
      <c r="AC2618"/>
      <c r="AD2618" s="6"/>
      <c r="AM2618"/>
    </row>
    <row r="2619" spans="26:39" x14ac:dyDescent="0.25">
      <c r="Z2619"/>
      <c r="AB2619"/>
      <c r="AC2619"/>
      <c r="AD2619" s="6"/>
      <c r="AM2619"/>
    </row>
    <row r="2620" spans="26:39" x14ac:dyDescent="0.25">
      <c r="Z2620"/>
      <c r="AB2620"/>
      <c r="AC2620"/>
      <c r="AD2620" s="6"/>
      <c r="AM2620"/>
    </row>
    <row r="2621" spans="26:39" x14ac:dyDescent="0.25">
      <c r="Z2621"/>
      <c r="AB2621"/>
      <c r="AC2621"/>
      <c r="AD2621" s="6"/>
      <c r="AM2621"/>
    </row>
    <row r="2622" spans="26:39" x14ac:dyDescent="0.25">
      <c r="Z2622"/>
      <c r="AB2622"/>
      <c r="AC2622"/>
      <c r="AD2622" s="6"/>
      <c r="AM2622"/>
    </row>
    <row r="2623" spans="26:39" x14ac:dyDescent="0.25">
      <c r="Z2623"/>
      <c r="AB2623"/>
      <c r="AC2623"/>
      <c r="AD2623" s="6"/>
      <c r="AM2623"/>
    </row>
    <row r="2624" spans="26:39" x14ac:dyDescent="0.25">
      <c r="Z2624"/>
      <c r="AB2624"/>
      <c r="AC2624"/>
      <c r="AD2624" s="6"/>
      <c r="AM2624"/>
    </row>
    <row r="2625" spans="26:39" x14ac:dyDescent="0.25">
      <c r="Z2625"/>
      <c r="AB2625"/>
      <c r="AC2625"/>
      <c r="AD2625" s="6"/>
      <c r="AM2625"/>
    </row>
    <row r="2626" spans="26:39" x14ac:dyDescent="0.25">
      <c r="Z2626"/>
      <c r="AB2626"/>
      <c r="AC2626"/>
      <c r="AD2626" s="6"/>
      <c r="AM2626"/>
    </row>
    <row r="2627" spans="26:39" x14ac:dyDescent="0.25">
      <c r="Z2627"/>
      <c r="AB2627"/>
      <c r="AC2627"/>
      <c r="AD2627" s="6"/>
      <c r="AM2627"/>
    </row>
    <row r="2628" spans="26:39" x14ac:dyDescent="0.25">
      <c r="Z2628"/>
      <c r="AB2628"/>
      <c r="AC2628"/>
      <c r="AD2628" s="6"/>
      <c r="AM2628"/>
    </row>
    <row r="2629" spans="26:39" x14ac:dyDescent="0.25">
      <c r="Z2629"/>
      <c r="AB2629"/>
      <c r="AC2629"/>
      <c r="AD2629" s="6"/>
      <c r="AM2629"/>
    </row>
    <row r="2630" spans="26:39" x14ac:dyDescent="0.25">
      <c r="Z2630"/>
      <c r="AB2630"/>
      <c r="AC2630"/>
      <c r="AD2630" s="6"/>
      <c r="AM2630"/>
    </row>
    <row r="2631" spans="26:39" x14ac:dyDescent="0.25">
      <c r="Z2631"/>
      <c r="AB2631"/>
      <c r="AC2631"/>
      <c r="AD2631" s="6"/>
      <c r="AM2631"/>
    </row>
    <row r="2632" spans="26:39" x14ac:dyDescent="0.25">
      <c r="Z2632"/>
      <c r="AB2632"/>
      <c r="AC2632"/>
      <c r="AD2632" s="6"/>
      <c r="AM2632"/>
    </row>
    <row r="2633" spans="26:39" x14ac:dyDescent="0.25">
      <c r="Z2633"/>
      <c r="AB2633"/>
      <c r="AC2633"/>
      <c r="AD2633" s="6"/>
      <c r="AM2633"/>
    </row>
    <row r="2634" spans="26:39" x14ac:dyDescent="0.25">
      <c r="Z2634"/>
      <c r="AB2634"/>
      <c r="AC2634"/>
      <c r="AD2634" s="6"/>
      <c r="AM2634"/>
    </row>
    <row r="2635" spans="26:39" x14ac:dyDescent="0.25">
      <c r="Z2635"/>
      <c r="AB2635"/>
      <c r="AC2635"/>
      <c r="AD2635" s="6"/>
      <c r="AM2635"/>
    </row>
    <row r="2636" spans="26:39" x14ac:dyDescent="0.25">
      <c r="Z2636"/>
      <c r="AB2636"/>
      <c r="AC2636"/>
      <c r="AD2636" s="6"/>
      <c r="AM2636"/>
    </row>
    <row r="2637" spans="26:39" x14ac:dyDescent="0.25">
      <c r="Z2637"/>
      <c r="AB2637"/>
      <c r="AC2637"/>
      <c r="AD2637" s="6"/>
      <c r="AM2637"/>
    </row>
    <row r="2638" spans="26:39" x14ac:dyDescent="0.25">
      <c r="Z2638"/>
      <c r="AB2638"/>
      <c r="AC2638"/>
      <c r="AD2638" s="6"/>
      <c r="AM2638"/>
    </row>
    <row r="2639" spans="26:39" x14ac:dyDescent="0.25">
      <c r="Z2639"/>
      <c r="AB2639"/>
      <c r="AC2639"/>
      <c r="AD2639" s="6"/>
      <c r="AM2639"/>
    </row>
    <row r="2640" spans="26:39" x14ac:dyDescent="0.25">
      <c r="Z2640"/>
      <c r="AB2640"/>
      <c r="AC2640"/>
      <c r="AD2640" s="6"/>
      <c r="AM2640"/>
    </row>
    <row r="2641" spans="26:39" x14ac:dyDescent="0.25">
      <c r="Z2641"/>
      <c r="AB2641"/>
      <c r="AC2641"/>
      <c r="AD2641" s="6"/>
      <c r="AM2641"/>
    </row>
    <row r="2642" spans="26:39" x14ac:dyDescent="0.25">
      <c r="Z2642"/>
      <c r="AB2642"/>
      <c r="AC2642"/>
      <c r="AD2642" s="6"/>
      <c r="AM2642"/>
    </row>
    <row r="2643" spans="26:39" x14ac:dyDescent="0.25">
      <c r="Z2643"/>
      <c r="AB2643"/>
      <c r="AC2643"/>
      <c r="AD2643" s="6"/>
      <c r="AM2643"/>
    </row>
    <row r="2644" spans="26:39" x14ac:dyDescent="0.25">
      <c r="Z2644"/>
      <c r="AB2644"/>
      <c r="AC2644"/>
      <c r="AD2644" s="6"/>
      <c r="AM2644"/>
    </row>
    <row r="2645" spans="26:39" x14ac:dyDescent="0.25">
      <c r="Z2645"/>
      <c r="AB2645"/>
      <c r="AC2645"/>
      <c r="AD2645" s="6"/>
      <c r="AM2645"/>
    </row>
    <row r="2646" spans="26:39" x14ac:dyDescent="0.25">
      <c r="Z2646"/>
      <c r="AB2646"/>
      <c r="AC2646"/>
      <c r="AD2646" s="6"/>
      <c r="AM2646"/>
    </row>
    <row r="2647" spans="26:39" x14ac:dyDescent="0.25">
      <c r="Z2647"/>
      <c r="AB2647"/>
      <c r="AC2647"/>
      <c r="AD2647" s="6"/>
      <c r="AM2647"/>
    </row>
    <row r="2648" spans="26:39" x14ac:dyDescent="0.25">
      <c r="Z2648"/>
      <c r="AB2648"/>
      <c r="AC2648"/>
      <c r="AD2648" s="6"/>
      <c r="AM2648"/>
    </row>
    <row r="2649" spans="26:39" x14ac:dyDescent="0.25">
      <c r="Z2649"/>
      <c r="AB2649"/>
      <c r="AC2649"/>
      <c r="AD2649" s="6"/>
      <c r="AM2649"/>
    </row>
    <row r="2650" spans="26:39" x14ac:dyDescent="0.25">
      <c r="Z2650"/>
      <c r="AB2650"/>
      <c r="AC2650"/>
      <c r="AD2650" s="6"/>
      <c r="AM2650"/>
    </row>
    <row r="2651" spans="26:39" x14ac:dyDescent="0.25">
      <c r="Z2651"/>
      <c r="AB2651"/>
      <c r="AC2651"/>
      <c r="AD2651" s="6"/>
      <c r="AM2651"/>
    </row>
    <row r="2652" spans="26:39" x14ac:dyDescent="0.25">
      <c r="Z2652"/>
      <c r="AB2652"/>
      <c r="AC2652"/>
      <c r="AD2652" s="6"/>
      <c r="AM2652"/>
    </row>
    <row r="2653" spans="26:39" x14ac:dyDescent="0.25">
      <c r="Z2653"/>
      <c r="AB2653"/>
      <c r="AC2653"/>
      <c r="AD2653" s="6"/>
      <c r="AM2653"/>
    </row>
    <row r="2654" spans="26:39" x14ac:dyDescent="0.25">
      <c r="Z2654"/>
      <c r="AB2654"/>
      <c r="AC2654"/>
      <c r="AD2654" s="6"/>
      <c r="AM2654"/>
    </row>
    <row r="2655" spans="26:39" x14ac:dyDescent="0.25">
      <c r="Z2655"/>
      <c r="AB2655"/>
      <c r="AC2655"/>
      <c r="AD2655" s="6"/>
      <c r="AM2655"/>
    </row>
    <row r="2656" spans="26:39" x14ac:dyDescent="0.25">
      <c r="Z2656"/>
      <c r="AB2656"/>
      <c r="AC2656"/>
      <c r="AD2656" s="6"/>
      <c r="AM2656"/>
    </row>
    <row r="2657" spans="26:39" x14ac:dyDescent="0.25">
      <c r="Z2657"/>
      <c r="AB2657"/>
      <c r="AC2657"/>
      <c r="AD2657" s="6"/>
      <c r="AM2657"/>
    </row>
    <row r="2658" spans="26:39" x14ac:dyDescent="0.25">
      <c r="Z2658"/>
      <c r="AB2658"/>
      <c r="AC2658"/>
      <c r="AD2658" s="6"/>
      <c r="AM2658"/>
    </row>
    <row r="2659" spans="26:39" x14ac:dyDescent="0.25">
      <c r="Z2659"/>
      <c r="AB2659"/>
      <c r="AC2659"/>
      <c r="AD2659" s="6"/>
      <c r="AM2659"/>
    </row>
    <row r="2660" spans="26:39" x14ac:dyDescent="0.25">
      <c r="Z2660"/>
      <c r="AB2660"/>
      <c r="AC2660"/>
      <c r="AD2660" s="6"/>
      <c r="AM2660"/>
    </row>
    <row r="2661" spans="26:39" x14ac:dyDescent="0.25">
      <c r="Z2661"/>
      <c r="AB2661"/>
      <c r="AC2661"/>
      <c r="AD2661" s="6"/>
      <c r="AM2661"/>
    </row>
    <row r="2662" spans="26:39" x14ac:dyDescent="0.25">
      <c r="Z2662"/>
      <c r="AB2662"/>
      <c r="AC2662"/>
      <c r="AD2662" s="6"/>
      <c r="AM2662"/>
    </row>
    <row r="2663" spans="26:39" x14ac:dyDescent="0.25">
      <c r="Z2663"/>
      <c r="AB2663"/>
      <c r="AC2663"/>
      <c r="AD2663" s="6"/>
      <c r="AM2663"/>
    </row>
    <row r="2664" spans="26:39" x14ac:dyDescent="0.25">
      <c r="Z2664"/>
      <c r="AB2664"/>
      <c r="AC2664"/>
      <c r="AD2664" s="6"/>
      <c r="AM2664"/>
    </row>
    <row r="2665" spans="26:39" x14ac:dyDescent="0.25">
      <c r="Z2665"/>
      <c r="AB2665"/>
      <c r="AC2665"/>
      <c r="AD2665" s="6"/>
      <c r="AM2665"/>
    </row>
    <row r="2666" spans="26:39" x14ac:dyDescent="0.25">
      <c r="Z2666"/>
      <c r="AB2666"/>
      <c r="AC2666"/>
      <c r="AD2666" s="6"/>
      <c r="AM2666"/>
    </row>
    <row r="2667" spans="26:39" x14ac:dyDescent="0.25">
      <c r="Z2667"/>
      <c r="AB2667"/>
      <c r="AC2667"/>
      <c r="AD2667" s="6"/>
      <c r="AM2667"/>
    </row>
    <row r="2668" spans="26:39" x14ac:dyDescent="0.25">
      <c r="Z2668"/>
      <c r="AB2668"/>
      <c r="AC2668"/>
      <c r="AD2668" s="6"/>
      <c r="AM2668"/>
    </row>
    <row r="2669" spans="26:39" x14ac:dyDescent="0.25">
      <c r="Z2669"/>
      <c r="AB2669"/>
      <c r="AC2669"/>
      <c r="AD2669" s="6"/>
      <c r="AM2669"/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796A-6777-4FE9-8E69-A8D4AFFEECFB}">
  <dimension ref="A1:A2869"/>
  <sheetViews>
    <sheetView workbookViewId="0">
      <selection activeCell="C7" sqref="C7"/>
    </sheetView>
  </sheetViews>
  <sheetFormatPr defaultRowHeight="15" x14ac:dyDescent="0.25"/>
  <cols>
    <col min="1" max="1" width="16.7109375" style="2" bestFit="1" customWidth="1"/>
  </cols>
  <sheetData>
    <row r="1" spans="1:1" x14ac:dyDescent="0.25">
      <c r="A1" s="2" t="s">
        <v>23</v>
      </c>
    </row>
    <row r="2" spans="1:1" x14ac:dyDescent="0.25">
      <c r="A2" s="2">
        <v>1</v>
      </c>
    </row>
    <row r="3" spans="1:1" x14ac:dyDescent="0.25">
      <c r="A3" s="2">
        <v>0</v>
      </c>
    </row>
    <row r="4" spans="1:1" x14ac:dyDescent="0.25">
      <c r="A4" s="2">
        <v>1</v>
      </c>
    </row>
    <row r="5" spans="1:1" x14ac:dyDescent="0.25">
      <c r="A5" s="2">
        <v>0</v>
      </c>
    </row>
    <row r="6" spans="1:1" x14ac:dyDescent="0.25">
      <c r="A6" s="2">
        <v>0</v>
      </c>
    </row>
    <row r="7" spans="1:1" x14ac:dyDescent="0.25">
      <c r="A7" s="2">
        <v>0</v>
      </c>
    </row>
    <row r="8" spans="1:1" x14ac:dyDescent="0.25">
      <c r="A8" s="2">
        <v>0</v>
      </c>
    </row>
    <row r="9" spans="1:1" x14ac:dyDescent="0.25">
      <c r="A9" s="2">
        <v>0</v>
      </c>
    </row>
    <row r="10" spans="1:1" x14ac:dyDescent="0.25">
      <c r="A10" s="2">
        <v>0</v>
      </c>
    </row>
    <row r="11" spans="1:1" x14ac:dyDescent="0.25">
      <c r="A11" s="2">
        <v>0</v>
      </c>
    </row>
    <row r="12" spans="1:1" x14ac:dyDescent="0.25">
      <c r="A12" s="2">
        <v>0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1</v>
      </c>
    </row>
    <row r="16" spans="1:1" x14ac:dyDescent="0.25">
      <c r="A16" s="2">
        <v>0</v>
      </c>
    </row>
    <row r="17" spans="1:1" x14ac:dyDescent="0.25">
      <c r="A17" s="2">
        <v>0</v>
      </c>
    </row>
    <row r="18" spans="1:1" x14ac:dyDescent="0.25">
      <c r="A18" s="2">
        <v>0</v>
      </c>
    </row>
    <row r="19" spans="1:1" x14ac:dyDescent="0.25">
      <c r="A19" s="2">
        <v>0</v>
      </c>
    </row>
    <row r="20" spans="1:1" x14ac:dyDescent="0.25">
      <c r="A20" s="2">
        <v>0</v>
      </c>
    </row>
    <row r="21" spans="1:1" x14ac:dyDescent="0.25">
      <c r="A21" s="2">
        <v>0</v>
      </c>
    </row>
    <row r="22" spans="1:1" x14ac:dyDescent="0.25">
      <c r="A22" s="2">
        <v>0</v>
      </c>
    </row>
    <row r="23" spans="1:1" x14ac:dyDescent="0.25">
      <c r="A23" s="2">
        <v>0</v>
      </c>
    </row>
    <row r="24" spans="1:1" x14ac:dyDescent="0.25">
      <c r="A24" s="2">
        <v>2</v>
      </c>
    </row>
    <row r="25" spans="1:1" x14ac:dyDescent="0.25">
      <c r="A25" s="2">
        <v>0</v>
      </c>
    </row>
    <row r="26" spans="1:1" x14ac:dyDescent="0.25">
      <c r="A26" s="2">
        <v>0</v>
      </c>
    </row>
    <row r="27" spans="1:1" x14ac:dyDescent="0.25">
      <c r="A27" s="2">
        <v>0</v>
      </c>
    </row>
    <row r="28" spans="1:1" x14ac:dyDescent="0.25">
      <c r="A28" s="2">
        <v>0</v>
      </c>
    </row>
    <row r="29" spans="1:1" x14ac:dyDescent="0.25">
      <c r="A29" s="2">
        <v>0</v>
      </c>
    </row>
    <row r="30" spans="1:1" x14ac:dyDescent="0.25">
      <c r="A30" s="2">
        <v>2</v>
      </c>
    </row>
    <row r="31" spans="1:1" x14ac:dyDescent="0.25">
      <c r="A31" s="2">
        <v>1</v>
      </c>
    </row>
    <row r="32" spans="1:1" x14ac:dyDescent="0.25">
      <c r="A32" s="2">
        <v>1</v>
      </c>
    </row>
    <row r="33" spans="1:1" x14ac:dyDescent="0.25">
      <c r="A33" s="2">
        <v>1</v>
      </c>
    </row>
    <row r="34" spans="1:1" x14ac:dyDescent="0.25">
      <c r="A34" s="2">
        <v>0</v>
      </c>
    </row>
    <row r="35" spans="1:1" x14ac:dyDescent="0.25">
      <c r="A35" s="2">
        <v>0</v>
      </c>
    </row>
    <row r="36" spans="1:1" x14ac:dyDescent="0.25">
      <c r="A36" s="2">
        <v>1</v>
      </c>
    </row>
    <row r="37" spans="1:1" x14ac:dyDescent="0.25">
      <c r="A37" s="2">
        <v>0</v>
      </c>
    </row>
    <row r="38" spans="1:1" x14ac:dyDescent="0.25">
      <c r="A38" s="2">
        <v>1</v>
      </c>
    </row>
    <row r="39" spans="1:1" x14ac:dyDescent="0.25">
      <c r="A39" s="2">
        <v>0</v>
      </c>
    </row>
    <row r="40" spans="1:1" x14ac:dyDescent="0.25">
      <c r="A40" s="2">
        <v>0</v>
      </c>
    </row>
    <row r="41" spans="1:1" x14ac:dyDescent="0.25">
      <c r="A41" s="2">
        <v>0</v>
      </c>
    </row>
    <row r="42" spans="1:1" x14ac:dyDescent="0.25">
      <c r="A42" s="2">
        <v>0</v>
      </c>
    </row>
    <row r="43" spans="1:1" x14ac:dyDescent="0.25">
      <c r="A43" s="2">
        <v>0</v>
      </c>
    </row>
    <row r="44" spans="1:1" x14ac:dyDescent="0.25">
      <c r="A44" s="2">
        <v>2</v>
      </c>
    </row>
    <row r="45" spans="1:1" x14ac:dyDescent="0.25">
      <c r="A45" s="2">
        <v>0</v>
      </c>
    </row>
    <row r="46" spans="1:1" x14ac:dyDescent="0.25">
      <c r="A46" s="2">
        <v>0</v>
      </c>
    </row>
    <row r="47" spans="1:1" x14ac:dyDescent="0.25">
      <c r="A47" s="2">
        <v>0</v>
      </c>
    </row>
    <row r="48" spans="1:1" x14ac:dyDescent="0.25">
      <c r="A48" s="2">
        <v>0</v>
      </c>
    </row>
    <row r="49" spans="1:1" x14ac:dyDescent="0.25">
      <c r="A49" s="2">
        <v>2</v>
      </c>
    </row>
    <row r="50" spans="1:1" x14ac:dyDescent="0.25">
      <c r="A50" s="2">
        <v>0</v>
      </c>
    </row>
    <row r="51" spans="1:1" x14ac:dyDescent="0.25">
      <c r="A51" s="2">
        <v>0</v>
      </c>
    </row>
    <row r="52" spans="1:1" x14ac:dyDescent="0.25">
      <c r="A52" s="2">
        <v>1</v>
      </c>
    </row>
    <row r="53" spans="1:1" x14ac:dyDescent="0.25">
      <c r="A53" s="2">
        <v>0</v>
      </c>
    </row>
    <row r="54" spans="1:1" x14ac:dyDescent="0.25">
      <c r="A54" s="2">
        <v>0</v>
      </c>
    </row>
    <row r="55" spans="1:1" x14ac:dyDescent="0.25">
      <c r="A55" s="2">
        <v>0</v>
      </c>
    </row>
    <row r="56" spans="1:1" x14ac:dyDescent="0.25">
      <c r="A56" s="2">
        <v>0</v>
      </c>
    </row>
    <row r="57" spans="1:1" x14ac:dyDescent="0.25">
      <c r="A57" s="2">
        <v>1</v>
      </c>
    </row>
    <row r="58" spans="1:1" x14ac:dyDescent="0.25">
      <c r="A58" s="2">
        <v>0</v>
      </c>
    </row>
    <row r="59" spans="1:1" x14ac:dyDescent="0.25">
      <c r="A59" s="2">
        <v>1</v>
      </c>
    </row>
    <row r="60" spans="1:1" x14ac:dyDescent="0.25">
      <c r="A60" s="2">
        <v>2</v>
      </c>
    </row>
    <row r="61" spans="1:1" x14ac:dyDescent="0.25">
      <c r="A61" s="2">
        <v>1</v>
      </c>
    </row>
    <row r="62" spans="1:1" x14ac:dyDescent="0.25">
      <c r="A62" s="2">
        <v>0</v>
      </c>
    </row>
    <row r="63" spans="1:1" x14ac:dyDescent="0.25">
      <c r="A63" s="2">
        <v>1</v>
      </c>
    </row>
    <row r="64" spans="1:1" x14ac:dyDescent="0.25">
      <c r="A64" s="2">
        <v>0</v>
      </c>
    </row>
    <row r="65" spans="1:1" x14ac:dyDescent="0.25">
      <c r="A65" s="2">
        <v>0</v>
      </c>
    </row>
    <row r="66" spans="1:1" x14ac:dyDescent="0.25">
      <c r="A66" s="2">
        <v>0</v>
      </c>
    </row>
    <row r="67" spans="1:1" x14ac:dyDescent="0.25">
      <c r="A67" s="2">
        <v>0</v>
      </c>
    </row>
    <row r="68" spans="1:1" x14ac:dyDescent="0.25">
      <c r="A68" s="2">
        <v>2</v>
      </c>
    </row>
    <row r="69" spans="1:1" x14ac:dyDescent="0.25">
      <c r="A69" s="2">
        <v>2</v>
      </c>
    </row>
    <row r="70" spans="1:1" x14ac:dyDescent="0.25">
      <c r="A70" s="2">
        <v>1</v>
      </c>
    </row>
    <row r="71" spans="1:1" x14ac:dyDescent="0.25">
      <c r="A71" s="2">
        <v>1</v>
      </c>
    </row>
    <row r="72" spans="1:1" x14ac:dyDescent="0.25">
      <c r="A72" s="2">
        <v>0</v>
      </c>
    </row>
    <row r="73" spans="1:1" x14ac:dyDescent="0.25">
      <c r="A73" s="2">
        <v>0</v>
      </c>
    </row>
    <row r="74" spans="1:1" x14ac:dyDescent="0.25">
      <c r="A74" s="2">
        <v>0</v>
      </c>
    </row>
    <row r="75" spans="1:1" x14ac:dyDescent="0.25">
      <c r="A75" s="2">
        <v>0</v>
      </c>
    </row>
    <row r="76" spans="1:1" x14ac:dyDescent="0.25">
      <c r="A76" s="2">
        <v>0</v>
      </c>
    </row>
    <row r="77" spans="1:1" x14ac:dyDescent="0.25">
      <c r="A77" s="2">
        <v>2</v>
      </c>
    </row>
    <row r="78" spans="1:1" x14ac:dyDescent="0.25">
      <c r="A78" s="2">
        <v>1</v>
      </c>
    </row>
    <row r="79" spans="1:1" x14ac:dyDescent="0.25">
      <c r="A79" s="2">
        <v>1</v>
      </c>
    </row>
    <row r="80" spans="1:1" x14ac:dyDescent="0.25">
      <c r="A80" s="2">
        <v>0</v>
      </c>
    </row>
    <row r="81" spans="1:1" x14ac:dyDescent="0.25">
      <c r="A81" s="2">
        <v>1</v>
      </c>
    </row>
    <row r="82" spans="1:1" x14ac:dyDescent="0.25">
      <c r="A82" s="2">
        <v>0</v>
      </c>
    </row>
    <row r="83" spans="1:1" x14ac:dyDescent="0.25">
      <c r="A83" s="2">
        <v>0</v>
      </c>
    </row>
    <row r="84" spans="1:1" x14ac:dyDescent="0.25">
      <c r="A84" s="2">
        <v>1</v>
      </c>
    </row>
    <row r="85" spans="1:1" x14ac:dyDescent="0.25">
      <c r="A85" s="2">
        <v>0</v>
      </c>
    </row>
    <row r="86" spans="1:1" x14ac:dyDescent="0.25">
      <c r="A86" s="2">
        <v>0</v>
      </c>
    </row>
    <row r="87" spans="1:1" x14ac:dyDescent="0.25">
      <c r="A87" s="2">
        <v>0</v>
      </c>
    </row>
    <row r="88" spans="1:1" x14ac:dyDescent="0.25">
      <c r="A88" s="2">
        <v>0</v>
      </c>
    </row>
    <row r="89" spans="1:1" x14ac:dyDescent="0.25">
      <c r="A89" s="2">
        <v>0</v>
      </c>
    </row>
    <row r="90" spans="1:1" x14ac:dyDescent="0.25">
      <c r="A90" s="2">
        <v>0</v>
      </c>
    </row>
    <row r="91" spans="1:1" x14ac:dyDescent="0.25">
      <c r="A91" s="2">
        <v>0</v>
      </c>
    </row>
    <row r="92" spans="1:1" x14ac:dyDescent="0.25">
      <c r="A92" s="2">
        <v>0</v>
      </c>
    </row>
    <row r="93" spans="1:1" x14ac:dyDescent="0.25">
      <c r="A93" s="2">
        <v>0</v>
      </c>
    </row>
    <row r="94" spans="1:1" x14ac:dyDescent="0.25">
      <c r="A94" s="2">
        <v>0</v>
      </c>
    </row>
    <row r="95" spans="1:1" x14ac:dyDescent="0.25">
      <c r="A95" s="2">
        <v>0</v>
      </c>
    </row>
    <row r="96" spans="1:1" x14ac:dyDescent="0.25">
      <c r="A96" s="2">
        <v>0</v>
      </c>
    </row>
    <row r="97" spans="1:1" x14ac:dyDescent="0.25">
      <c r="A97" s="2">
        <v>0</v>
      </c>
    </row>
    <row r="98" spans="1:1" x14ac:dyDescent="0.25">
      <c r="A98" s="2">
        <v>1</v>
      </c>
    </row>
    <row r="99" spans="1:1" x14ac:dyDescent="0.25">
      <c r="A99" s="2">
        <v>0</v>
      </c>
    </row>
    <row r="100" spans="1:1" x14ac:dyDescent="0.25">
      <c r="A100" s="2">
        <v>0</v>
      </c>
    </row>
    <row r="101" spans="1:1" x14ac:dyDescent="0.25">
      <c r="A101" s="2">
        <v>0</v>
      </c>
    </row>
    <row r="102" spans="1:1" x14ac:dyDescent="0.25">
      <c r="A102" s="2">
        <v>0</v>
      </c>
    </row>
    <row r="103" spans="1:1" x14ac:dyDescent="0.25">
      <c r="A103" s="2">
        <v>0</v>
      </c>
    </row>
    <row r="104" spans="1:1" x14ac:dyDescent="0.25">
      <c r="A104" s="2">
        <v>0</v>
      </c>
    </row>
    <row r="105" spans="1:1" x14ac:dyDescent="0.25">
      <c r="A105" s="2">
        <v>0</v>
      </c>
    </row>
    <row r="106" spans="1:1" x14ac:dyDescent="0.25">
      <c r="A106" s="2">
        <v>0</v>
      </c>
    </row>
    <row r="107" spans="1:1" x14ac:dyDescent="0.25">
      <c r="A107" s="2">
        <v>0</v>
      </c>
    </row>
    <row r="108" spans="1:1" x14ac:dyDescent="0.25">
      <c r="A108" s="2">
        <v>0</v>
      </c>
    </row>
    <row r="109" spans="1:1" x14ac:dyDescent="0.25">
      <c r="A109" s="2">
        <v>0</v>
      </c>
    </row>
    <row r="110" spans="1:1" x14ac:dyDescent="0.25">
      <c r="A110" s="2">
        <v>0</v>
      </c>
    </row>
    <row r="111" spans="1:1" x14ac:dyDescent="0.25">
      <c r="A111" s="2">
        <v>0</v>
      </c>
    </row>
    <row r="112" spans="1:1" x14ac:dyDescent="0.25">
      <c r="A112" s="2">
        <v>0</v>
      </c>
    </row>
    <row r="113" spans="1:1" x14ac:dyDescent="0.25">
      <c r="A113" s="2">
        <v>0</v>
      </c>
    </row>
    <row r="114" spans="1:1" x14ac:dyDescent="0.25">
      <c r="A114" s="2">
        <v>0</v>
      </c>
    </row>
    <row r="115" spans="1:1" x14ac:dyDescent="0.25">
      <c r="A115" s="2">
        <v>0</v>
      </c>
    </row>
    <row r="116" spans="1:1" x14ac:dyDescent="0.25">
      <c r="A116" s="2">
        <v>0</v>
      </c>
    </row>
    <row r="117" spans="1:1" x14ac:dyDescent="0.25">
      <c r="A117" s="2">
        <v>0</v>
      </c>
    </row>
    <row r="118" spans="1:1" x14ac:dyDescent="0.25">
      <c r="A118" s="2">
        <v>1</v>
      </c>
    </row>
    <row r="119" spans="1:1" x14ac:dyDescent="0.25">
      <c r="A119" s="2">
        <v>0</v>
      </c>
    </row>
    <row r="120" spans="1:1" x14ac:dyDescent="0.25">
      <c r="A120" s="2">
        <v>2</v>
      </c>
    </row>
    <row r="121" spans="1:1" x14ac:dyDescent="0.25">
      <c r="A121" s="2">
        <v>1</v>
      </c>
    </row>
    <row r="122" spans="1:1" x14ac:dyDescent="0.25">
      <c r="A122" s="2">
        <v>0</v>
      </c>
    </row>
    <row r="123" spans="1:1" x14ac:dyDescent="0.25">
      <c r="A123" s="2">
        <v>0</v>
      </c>
    </row>
    <row r="124" spans="1:1" x14ac:dyDescent="0.25">
      <c r="A124" s="2">
        <v>0</v>
      </c>
    </row>
    <row r="125" spans="1:1" x14ac:dyDescent="0.25">
      <c r="A125" s="2">
        <v>0</v>
      </c>
    </row>
    <row r="126" spans="1:1" x14ac:dyDescent="0.25">
      <c r="A126" s="2">
        <v>2</v>
      </c>
    </row>
    <row r="127" spans="1:1" x14ac:dyDescent="0.25">
      <c r="A127" s="2">
        <v>0</v>
      </c>
    </row>
    <row r="128" spans="1:1" x14ac:dyDescent="0.25">
      <c r="A128" s="2">
        <v>0</v>
      </c>
    </row>
    <row r="129" spans="1:1" x14ac:dyDescent="0.25">
      <c r="A129" s="2">
        <v>2</v>
      </c>
    </row>
    <row r="130" spans="1:1" x14ac:dyDescent="0.25">
      <c r="A130" s="2">
        <v>2</v>
      </c>
    </row>
    <row r="131" spans="1:1" x14ac:dyDescent="0.25">
      <c r="A131" s="2">
        <v>1</v>
      </c>
    </row>
    <row r="132" spans="1:1" x14ac:dyDescent="0.25">
      <c r="A132" s="2">
        <v>0</v>
      </c>
    </row>
    <row r="133" spans="1:1" x14ac:dyDescent="0.25">
      <c r="A133" s="2">
        <v>0</v>
      </c>
    </row>
    <row r="134" spans="1:1" x14ac:dyDescent="0.25">
      <c r="A134" s="2">
        <v>0</v>
      </c>
    </row>
    <row r="135" spans="1:1" x14ac:dyDescent="0.25">
      <c r="A135" s="2">
        <v>0</v>
      </c>
    </row>
    <row r="136" spans="1:1" x14ac:dyDescent="0.25">
      <c r="A136" s="2">
        <v>0</v>
      </c>
    </row>
    <row r="137" spans="1:1" x14ac:dyDescent="0.25">
      <c r="A137" s="2">
        <v>0</v>
      </c>
    </row>
    <row r="138" spans="1:1" x14ac:dyDescent="0.25">
      <c r="A138" s="2">
        <v>0</v>
      </c>
    </row>
    <row r="139" spans="1:1" x14ac:dyDescent="0.25">
      <c r="A139" s="2">
        <v>0</v>
      </c>
    </row>
    <row r="140" spans="1:1" x14ac:dyDescent="0.25">
      <c r="A140" s="2">
        <v>2</v>
      </c>
    </row>
    <row r="141" spans="1:1" x14ac:dyDescent="0.25">
      <c r="A141" s="2">
        <v>1</v>
      </c>
    </row>
    <row r="142" spans="1:1" x14ac:dyDescent="0.25">
      <c r="A142" s="2">
        <v>2</v>
      </c>
    </row>
    <row r="143" spans="1:1" x14ac:dyDescent="0.25">
      <c r="A143" s="2">
        <v>1</v>
      </c>
    </row>
    <row r="144" spans="1:1" x14ac:dyDescent="0.25">
      <c r="A144" s="2">
        <v>0</v>
      </c>
    </row>
    <row r="145" spans="1:1" x14ac:dyDescent="0.25">
      <c r="A145" s="2">
        <v>0</v>
      </c>
    </row>
    <row r="146" spans="1:1" x14ac:dyDescent="0.25">
      <c r="A146" s="2">
        <v>1</v>
      </c>
    </row>
    <row r="147" spans="1:1" x14ac:dyDescent="0.25">
      <c r="A147" s="2">
        <v>0</v>
      </c>
    </row>
    <row r="148" spans="1:1" x14ac:dyDescent="0.25">
      <c r="A148" s="2">
        <v>0</v>
      </c>
    </row>
    <row r="149" spans="1:1" x14ac:dyDescent="0.25">
      <c r="A149" s="2">
        <v>0</v>
      </c>
    </row>
    <row r="150" spans="1:1" x14ac:dyDescent="0.25">
      <c r="A150" s="2">
        <v>0</v>
      </c>
    </row>
    <row r="151" spans="1:1" x14ac:dyDescent="0.25">
      <c r="A151" s="2">
        <v>1</v>
      </c>
    </row>
    <row r="152" spans="1:1" x14ac:dyDescent="0.25">
      <c r="A152" s="2">
        <v>0</v>
      </c>
    </row>
    <row r="153" spans="1:1" x14ac:dyDescent="0.25">
      <c r="A153" s="2">
        <v>0</v>
      </c>
    </row>
    <row r="154" spans="1:1" x14ac:dyDescent="0.25">
      <c r="A154" s="2">
        <v>1</v>
      </c>
    </row>
    <row r="155" spans="1:1" x14ac:dyDescent="0.25">
      <c r="A155" s="2">
        <v>0</v>
      </c>
    </row>
    <row r="156" spans="1:1" x14ac:dyDescent="0.25">
      <c r="A156" s="2">
        <v>0</v>
      </c>
    </row>
    <row r="157" spans="1:1" x14ac:dyDescent="0.25">
      <c r="A157" s="2">
        <v>0</v>
      </c>
    </row>
    <row r="158" spans="1:1" x14ac:dyDescent="0.25">
      <c r="A158" s="2">
        <v>0</v>
      </c>
    </row>
    <row r="159" spans="1:1" x14ac:dyDescent="0.25">
      <c r="A159" s="2">
        <v>0</v>
      </c>
    </row>
    <row r="160" spans="1:1" x14ac:dyDescent="0.25">
      <c r="A160" s="2">
        <v>1</v>
      </c>
    </row>
    <row r="161" spans="1:1" x14ac:dyDescent="0.25">
      <c r="A161" s="2">
        <v>0</v>
      </c>
    </row>
    <row r="162" spans="1:1" x14ac:dyDescent="0.25">
      <c r="A162" s="2">
        <v>2</v>
      </c>
    </row>
    <row r="163" spans="1:1" x14ac:dyDescent="0.25">
      <c r="A163" s="2">
        <v>1</v>
      </c>
    </row>
    <row r="164" spans="1:1" x14ac:dyDescent="0.25">
      <c r="A164" s="2">
        <v>1</v>
      </c>
    </row>
    <row r="165" spans="1:1" x14ac:dyDescent="0.25">
      <c r="A165" s="2">
        <v>1</v>
      </c>
    </row>
    <row r="166" spans="1:1" x14ac:dyDescent="0.25">
      <c r="A166" s="2">
        <v>0</v>
      </c>
    </row>
    <row r="167" spans="1:1" x14ac:dyDescent="0.25">
      <c r="A167" s="2">
        <v>0</v>
      </c>
    </row>
    <row r="168" spans="1:1" x14ac:dyDescent="0.25">
      <c r="A168" s="2">
        <v>2</v>
      </c>
    </row>
    <row r="169" spans="1:1" x14ac:dyDescent="0.25">
      <c r="A169" s="2">
        <v>0</v>
      </c>
    </row>
    <row r="170" spans="1:1" x14ac:dyDescent="0.25">
      <c r="A170" s="2">
        <v>1</v>
      </c>
    </row>
    <row r="171" spans="1:1" x14ac:dyDescent="0.25">
      <c r="A171" s="2">
        <v>1</v>
      </c>
    </row>
    <row r="172" spans="1:1" x14ac:dyDescent="0.25">
      <c r="A172" s="2">
        <v>0</v>
      </c>
    </row>
    <row r="173" spans="1:1" x14ac:dyDescent="0.25">
      <c r="A173" s="2">
        <v>1</v>
      </c>
    </row>
    <row r="174" spans="1:1" x14ac:dyDescent="0.25">
      <c r="A174" s="2">
        <v>0</v>
      </c>
    </row>
    <row r="175" spans="1:1" x14ac:dyDescent="0.25">
      <c r="A175" s="2">
        <v>0</v>
      </c>
    </row>
    <row r="176" spans="1:1" x14ac:dyDescent="0.25">
      <c r="A176" s="2">
        <v>2</v>
      </c>
    </row>
    <row r="177" spans="1:1" x14ac:dyDescent="0.25">
      <c r="A177" s="2">
        <v>0</v>
      </c>
    </row>
    <row r="178" spans="1:1" x14ac:dyDescent="0.25">
      <c r="A178" s="2">
        <v>0</v>
      </c>
    </row>
    <row r="179" spans="1:1" x14ac:dyDescent="0.25">
      <c r="A179" s="2">
        <v>1</v>
      </c>
    </row>
    <row r="180" spans="1:1" x14ac:dyDescent="0.25">
      <c r="A180" s="2">
        <v>1</v>
      </c>
    </row>
    <row r="181" spans="1:1" x14ac:dyDescent="0.25">
      <c r="A181" s="2">
        <v>0</v>
      </c>
    </row>
    <row r="182" spans="1:1" x14ac:dyDescent="0.25">
      <c r="A182" s="2">
        <v>0</v>
      </c>
    </row>
    <row r="183" spans="1:1" x14ac:dyDescent="0.25">
      <c r="A183" s="2">
        <v>0</v>
      </c>
    </row>
    <row r="184" spans="1:1" x14ac:dyDescent="0.25">
      <c r="A184" s="2">
        <v>0</v>
      </c>
    </row>
    <row r="185" spans="1:1" x14ac:dyDescent="0.25">
      <c r="A185" s="2">
        <v>1</v>
      </c>
    </row>
    <row r="186" spans="1:1" x14ac:dyDescent="0.25">
      <c r="A186" s="2">
        <v>0</v>
      </c>
    </row>
    <row r="187" spans="1:1" x14ac:dyDescent="0.25">
      <c r="A187" s="2">
        <v>2</v>
      </c>
    </row>
    <row r="188" spans="1:1" x14ac:dyDescent="0.25">
      <c r="A188" s="2">
        <v>1</v>
      </c>
    </row>
    <row r="189" spans="1:1" x14ac:dyDescent="0.25">
      <c r="A189" s="2">
        <v>2</v>
      </c>
    </row>
    <row r="190" spans="1:1" x14ac:dyDescent="0.25">
      <c r="A190" s="2">
        <v>0</v>
      </c>
    </row>
    <row r="191" spans="1:1" x14ac:dyDescent="0.25">
      <c r="A191" s="2">
        <v>0</v>
      </c>
    </row>
    <row r="192" spans="1:1" x14ac:dyDescent="0.25">
      <c r="A192" s="2">
        <v>1</v>
      </c>
    </row>
    <row r="193" spans="1:1" x14ac:dyDescent="0.25">
      <c r="A193" s="2">
        <v>0</v>
      </c>
    </row>
    <row r="194" spans="1:1" x14ac:dyDescent="0.25">
      <c r="A194" s="2">
        <v>1</v>
      </c>
    </row>
    <row r="195" spans="1:1" x14ac:dyDescent="0.25">
      <c r="A195" s="2">
        <v>1</v>
      </c>
    </row>
    <row r="196" spans="1:1" x14ac:dyDescent="0.25">
      <c r="A196" s="2">
        <v>0</v>
      </c>
    </row>
    <row r="197" spans="1:1" x14ac:dyDescent="0.25">
      <c r="A197" s="2">
        <v>1</v>
      </c>
    </row>
    <row r="198" spans="1:1" x14ac:dyDescent="0.25">
      <c r="A198" s="2">
        <v>2</v>
      </c>
    </row>
    <row r="199" spans="1:1" x14ac:dyDescent="0.25">
      <c r="A199" s="2">
        <v>1</v>
      </c>
    </row>
    <row r="200" spans="1:1" x14ac:dyDescent="0.25">
      <c r="A200" s="2">
        <v>0</v>
      </c>
    </row>
    <row r="201" spans="1:1" x14ac:dyDescent="0.25">
      <c r="A201" s="2">
        <v>1</v>
      </c>
    </row>
    <row r="202" spans="1:1" x14ac:dyDescent="0.25">
      <c r="A202" s="2">
        <v>0</v>
      </c>
    </row>
    <row r="203" spans="1:1" x14ac:dyDescent="0.25">
      <c r="A203" s="2">
        <v>2</v>
      </c>
    </row>
    <row r="204" spans="1:1" x14ac:dyDescent="0.25">
      <c r="A204" s="2">
        <v>0</v>
      </c>
    </row>
    <row r="205" spans="1:1" x14ac:dyDescent="0.25">
      <c r="A205" s="2">
        <v>0</v>
      </c>
    </row>
    <row r="206" spans="1:1" x14ac:dyDescent="0.25">
      <c r="A206" s="2">
        <v>0</v>
      </c>
    </row>
    <row r="207" spans="1:1" x14ac:dyDescent="0.25">
      <c r="A207" s="2">
        <v>0</v>
      </c>
    </row>
    <row r="208" spans="1:1" x14ac:dyDescent="0.25">
      <c r="A208" s="2">
        <v>0</v>
      </c>
    </row>
    <row r="209" spans="1:1" x14ac:dyDescent="0.25">
      <c r="A209" s="2">
        <v>0</v>
      </c>
    </row>
    <row r="210" spans="1:1" x14ac:dyDescent="0.25">
      <c r="A210" s="2">
        <v>0</v>
      </c>
    </row>
    <row r="211" spans="1:1" x14ac:dyDescent="0.25">
      <c r="A211" s="2">
        <v>0</v>
      </c>
    </row>
    <row r="212" spans="1:1" x14ac:dyDescent="0.25">
      <c r="A212" s="2">
        <v>1</v>
      </c>
    </row>
    <row r="213" spans="1:1" x14ac:dyDescent="0.25">
      <c r="A213" s="2">
        <v>0</v>
      </c>
    </row>
    <row r="214" spans="1:1" x14ac:dyDescent="0.25">
      <c r="A214" s="2">
        <v>0</v>
      </c>
    </row>
    <row r="215" spans="1:1" x14ac:dyDescent="0.25">
      <c r="A215" s="2">
        <v>2</v>
      </c>
    </row>
    <row r="216" spans="1:1" x14ac:dyDescent="0.25">
      <c r="A216" s="2">
        <v>0</v>
      </c>
    </row>
    <row r="217" spans="1:1" x14ac:dyDescent="0.25">
      <c r="A217" s="2">
        <v>0</v>
      </c>
    </row>
    <row r="218" spans="1:1" x14ac:dyDescent="0.25">
      <c r="A218" s="2">
        <v>0</v>
      </c>
    </row>
    <row r="219" spans="1:1" x14ac:dyDescent="0.25">
      <c r="A219" s="2">
        <v>0</v>
      </c>
    </row>
    <row r="220" spans="1:1" x14ac:dyDescent="0.25">
      <c r="A220" s="2">
        <v>1</v>
      </c>
    </row>
    <row r="221" spans="1:1" x14ac:dyDescent="0.25">
      <c r="A221" s="2">
        <v>2</v>
      </c>
    </row>
    <row r="222" spans="1:1" x14ac:dyDescent="0.25">
      <c r="A222" s="2">
        <v>2</v>
      </c>
    </row>
    <row r="223" spans="1:1" x14ac:dyDescent="0.25">
      <c r="A223" s="2">
        <v>0</v>
      </c>
    </row>
    <row r="224" spans="1:1" x14ac:dyDescent="0.25">
      <c r="A224" s="2">
        <v>0</v>
      </c>
    </row>
    <row r="225" spans="1:1" x14ac:dyDescent="0.25">
      <c r="A225" s="2">
        <v>0</v>
      </c>
    </row>
    <row r="226" spans="1:1" x14ac:dyDescent="0.25">
      <c r="A226" s="2">
        <v>2</v>
      </c>
    </row>
    <row r="227" spans="1:1" x14ac:dyDescent="0.25">
      <c r="A227" s="2">
        <v>1</v>
      </c>
    </row>
    <row r="228" spans="1:1" x14ac:dyDescent="0.25">
      <c r="A228" s="2">
        <v>1</v>
      </c>
    </row>
    <row r="229" spans="1:1" x14ac:dyDescent="0.25">
      <c r="A229" s="2">
        <v>0</v>
      </c>
    </row>
    <row r="230" spans="1:1" x14ac:dyDescent="0.25">
      <c r="A230" s="2">
        <v>0</v>
      </c>
    </row>
    <row r="231" spans="1:1" x14ac:dyDescent="0.25">
      <c r="A231" s="2">
        <v>0</v>
      </c>
    </row>
    <row r="232" spans="1:1" x14ac:dyDescent="0.25">
      <c r="A232" s="2">
        <v>0</v>
      </c>
    </row>
    <row r="233" spans="1:1" x14ac:dyDescent="0.25">
      <c r="A233" s="2">
        <v>0</v>
      </c>
    </row>
    <row r="234" spans="1:1" x14ac:dyDescent="0.25">
      <c r="A234" s="2">
        <v>1</v>
      </c>
    </row>
    <row r="235" spans="1:1" x14ac:dyDescent="0.25">
      <c r="A235" s="2">
        <v>0</v>
      </c>
    </row>
    <row r="236" spans="1:1" x14ac:dyDescent="0.25">
      <c r="A236" s="2">
        <v>0</v>
      </c>
    </row>
    <row r="237" spans="1:1" x14ac:dyDescent="0.25">
      <c r="A237" s="2">
        <v>1</v>
      </c>
    </row>
    <row r="238" spans="1:1" x14ac:dyDescent="0.25">
      <c r="A238" s="2">
        <v>0</v>
      </c>
    </row>
    <row r="239" spans="1:1" x14ac:dyDescent="0.25">
      <c r="A239" s="2">
        <v>1</v>
      </c>
    </row>
    <row r="240" spans="1:1" x14ac:dyDescent="0.25">
      <c r="A240" s="2">
        <v>0</v>
      </c>
    </row>
    <row r="241" spans="1:1" x14ac:dyDescent="0.25">
      <c r="A241" s="2">
        <v>0</v>
      </c>
    </row>
    <row r="242" spans="1:1" x14ac:dyDescent="0.25">
      <c r="A242" s="2">
        <v>0</v>
      </c>
    </row>
    <row r="243" spans="1:1" x14ac:dyDescent="0.25">
      <c r="A243" s="2">
        <v>0</v>
      </c>
    </row>
    <row r="244" spans="1:1" x14ac:dyDescent="0.25">
      <c r="A244" s="2">
        <v>2</v>
      </c>
    </row>
    <row r="245" spans="1:1" x14ac:dyDescent="0.25">
      <c r="A245" s="2">
        <v>1</v>
      </c>
    </row>
    <row r="246" spans="1:1" x14ac:dyDescent="0.25">
      <c r="A246" s="2">
        <v>0</v>
      </c>
    </row>
    <row r="247" spans="1:1" x14ac:dyDescent="0.25">
      <c r="A247" s="2">
        <v>0</v>
      </c>
    </row>
    <row r="248" spans="1:1" x14ac:dyDescent="0.25">
      <c r="A248" s="2">
        <v>0</v>
      </c>
    </row>
    <row r="249" spans="1:1" x14ac:dyDescent="0.25">
      <c r="A249" s="2">
        <v>0</v>
      </c>
    </row>
    <row r="250" spans="1:1" x14ac:dyDescent="0.25">
      <c r="A250" s="2">
        <v>0</v>
      </c>
    </row>
    <row r="251" spans="1:1" x14ac:dyDescent="0.25">
      <c r="A251" s="2">
        <v>1</v>
      </c>
    </row>
    <row r="252" spans="1:1" x14ac:dyDescent="0.25">
      <c r="A252" s="2">
        <v>0</v>
      </c>
    </row>
    <row r="253" spans="1:1" x14ac:dyDescent="0.25">
      <c r="A253" s="2">
        <v>0</v>
      </c>
    </row>
    <row r="254" spans="1:1" x14ac:dyDescent="0.25">
      <c r="A254" s="2">
        <v>0</v>
      </c>
    </row>
    <row r="255" spans="1:1" x14ac:dyDescent="0.25">
      <c r="A255" s="2">
        <v>2</v>
      </c>
    </row>
    <row r="256" spans="1:1" x14ac:dyDescent="0.25">
      <c r="A256" s="2">
        <v>0</v>
      </c>
    </row>
    <row r="257" spans="1:1" x14ac:dyDescent="0.25">
      <c r="A257" s="2">
        <v>0</v>
      </c>
    </row>
    <row r="258" spans="1:1" x14ac:dyDescent="0.25">
      <c r="A258" s="2">
        <v>0</v>
      </c>
    </row>
    <row r="259" spans="1:1" x14ac:dyDescent="0.25">
      <c r="A259" s="2">
        <v>0</v>
      </c>
    </row>
    <row r="260" spans="1:1" x14ac:dyDescent="0.25">
      <c r="A260" s="2">
        <v>2</v>
      </c>
    </row>
    <row r="261" spans="1:1" x14ac:dyDescent="0.25">
      <c r="A261" s="2">
        <v>0</v>
      </c>
    </row>
    <row r="262" spans="1:1" x14ac:dyDescent="0.25">
      <c r="A262" s="2">
        <v>0</v>
      </c>
    </row>
    <row r="263" spans="1:1" x14ac:dyDescent="0.25">
      <c r="A263" s="2">
        <v>1</v>
      </c>
    </row>
    <row r="264" spans="1:1" x14ac:dyDescent="0.25">
      <c r="A264" s="2">
        <v>0</v>
      </c>
    </row>
    <row r="265" spans="1:1" x14ac:dyDescent="0.25">
      <c r="A265" s="2">
        <v>2</v>
      </c>
    </row>
    <row r="266" spans="1:1" x14ac:dyDescent="0.25">
      <c r="A266" s="2">
        <v>0</v>
      </c>
    </row>
    <row r="267" spans="1:1" x14ac:dyDescent="0.25">
      <c r="A267" s="2">
        <v>2</v>
      </c>
    </row>
    <row r="268" spans="1:1" x14ac:dyDescent="0.25">
      <c r="A268" s="2">
        <v>0</v>
      </c>
    </row>
    <row r="269" spans="1:1" x14ac:dyDescent="0.25">
      <c r="A269" s="2">
        <v>1</v>
      </c>
    </row>
    <row r="270" spans="1:1" x14ac:dyDescent="0.25">
      <c r="A270" s="2">
        <v>0</v>
      </c>
    </row>
    <row r="271" spans="1:1" x14ac:dyDescent="0.25">
      <c r="A271" s="2">
        <v>0</v>
      </c>
    </row>
    <row r="272" spans="1:1" x14ac:dyDescent="0.25">
      <c r="A272" s="2">
        <v>0</v>
      </c>
    </row>
    <row r="273" spans="1:1" x14ac:dyDescent="0.25">
      <c r="A273" s="2">
        <v>2</v>
      </c>
    </row>
    <row r="274" spans="1:1" x14ac:dyDescent="0.25">
      <c r="A274" s="2">
        <v>0</v>
      </c>
    </row>
    <row r="275" spans="1:1" x14ac:dyDescent="0.25">
      <c r="A275" s="2">
        <v>1</v>
      </c>
    </row>
    <row r="276" spans="1:1" x14ac:dyDescent="0.25">
      <c r="A276" s="2">
        <v>1</v>
      </c>
    </row>
    <row r="277" spans="1:1" x14ac:dyDescent="0.25">
      <c r="A277" s="2">
        <v>0</v>
      </c>
    </row>
    <row r="278" spans="1:1" x14ac:dyDescent="0.25">
      <c r="A278" s="2">
        <v>0</v>
      </c>
    </row>
    <row r="279" spans="1:1" x14ac:dyDescent="0.25">
      <c r="A279" s="2">
        <v>1</v>
      </c>
    </row>
    <row r="280" spans="1:1" x14ac:dyDescent="0.25">
      <c r="A280" s="2">
        <v>2</v>
      </c>
    </row>
    <row r="281" spans="1:1" x14ac:dyDescent="0.25">
      <c r="A281" s="2">
        <v>1</v>
      </c>
    </row>
    <row r="282" spans="1:1" x14ac:dyDescent="0.25">
      <c r="A282" s="2">
        <v>1</v>
      </c>
    </row>
    <row r="283" spans="1:1" x14ac:dyDescent="0.25">
      <c r="A283" s="2">
        <v>0</v>
      </c>
    </row>
    <row r="284" spans="1:1" x14ac:dyDescent="0.25">
      <c r="A284" s="2">
        <v>0</v>
      </c>
    </row>
    <row r="285" spans="1:1" x14ac:dyDescent="0.25">
      <c r="A285" s="2">
        <v>0</v>
      </c>
    </row>
    <row r="286" spans="1:1" x14ac:dyDescent="0.25">
      <c r="A286" s="2">
        <v>1</v>
      </c>
    </row>
    <row r="287" spans="1:1" x14ac:dyDescent="0.25">
      <c r="A287" s="2">
        <v>0</v>
      </c>
    </row>
    <row r="288" spans="1:1" x14ac:dyDescent="0.25">
      <c r="A288" s="2">
        <v>1</v>
      </c>
    </row>
    <row r="289" spans="1:1" x14ac:dyDescent="0.25">
      <c r="A289" s="2">
        <v>2</v>
      </c>
    </row>
    <row r="290" spans="1:1" x14ac:dyDescent="0.25">
      <c r="A290" s="2">
        <v>0</v>
      </c>
    </row>
    <row r="291" spans="1:1" x14ac:dyDescent="0.25">
      <c r="A291" s="2">
        <v>0</v>
      </c>
    </row>
    <row r="292" spans="1:1" x14ac:dyDescent="0.25">
      <c r="A292" s="2">
        <v>0</v>
      </c>
    </row>
    <row r="293" spans="1:1" x14ac:dyDescent="0.25">
      <c r="A293" s="2">
        <v>0</v>
      </c>
    </row>
    <row r="294" spans="1:1" x14ac:dyDescent="0.25">
      <c r="A294" s="2">
        <v>1</v>
      </c>
    </row>
    <row r="295" spans="1:1" x14ac:dyDescent="0.25">
      <c r="A295" s="2">
        <v>1</v>
      </c>
    </row>
    <row r="296" spans="1:1" x14ac:dyDescent="0.25">
      <c r="A296" s="2">
        <v>0</v>
      </c>
    </row>
    <row r="297" spans="1:1" x14ac:dyDescent="0.25">
      <c r="A297" s="2">
        <v>1</v>
      </c>
    </row>
    <row r="298" spans="1:1" x14ac:dyDescent="0.25">
      <c r="A298" s="2">
        <v>2</v>
      </c>
    </row>
    <row r="299" spans="1:1" x14ac:dyDescent="0.25">
      <c r="A299" s="2">
        <v>1</v>
      </c>
    </row>
    <row r="300" spans="1:1" x14ac:dyDescent="0.25">
      <c r="A300" s="2">
        <v>0</v>
      </c>
    </row>
    <row r="301" spans="1:1" x14ac:dyDescent="0.25">
      <c r="A301" s="2">
        <v>0</v>
      </c>
    </row>
    <row r="302" spans="1:1" x14ac:dyDescent="0.25">
      <c r="A302" s="2">
        <v>0</v>
      </c>
    </row>
    <row r="303" spans="1:1" x14ac:dyDescent="0.25">
      <c r="A303" s="2">
        <v>0</v>
      </c>
    </row>
    <row r="304" spans="1:1" x14ac:dyDescent="0.25">
      <c r="A304" s="2">
        <v>0</v>
      </c>
    </row>
    <row r="305" spans="1:1" x14ac:dyDescent="0.25">
      <c r="A305" s="2">
        <v>1</v>
      </c>
    </row>
    <row r="306" spans="1:1" x14ac:dyDescent="0.25">
      <c r="A306" s="2">
        <v>0</v>
      </c>
    </row>
    <row r="307" spans="1:1" x14ac:dyDescent="0.25">
      <c r="A307" s="2">
        <v>0</v>
      </c>
    </row>
    <row r="308" spans="1:1" x14ac:dyDescent="0.25">
      <c r="A308" s="2">
        <v>0</v>
      </c>
    </row>
    <row r="309" spans="1:1" x14ac:dyDescent="0.25">
      <c r="A309" s="2">
        <v>1</v>
      </c>
    </row>
    <row r="310" spans="1:1" x14ac:dyDescent="0.25">
      <c r="A310" s="2">
        <v>2</v>
      </c>
    </row>
    <row r="311" spans="1:1" x14ac:dyDescent="0.25">
      <c r="A311" s="2">
        <v>1</v>
      </c>
    </row>
    <row r="312" spans="1:1" x14ac:dyDescent="0.25">
      <c r="A312" s="2">
        <v>0</v>
      </c>
    </row>
    <row r="313" spans="1:1" x14ac:dyDescent="0.25">
      <c r="A313" s="2">
        <v>0</v>
      </c>
    </row>
    <row r="314" spans="1:1" x14ac:dyDescent="0.25">
      <c r="A314" s="2">
        <v>0</v>
      </c>
    </row>
    <row r="315" spans="1:1" x14ac:dyDescent="0.25">
      <c r="A315" s="2">
        <v>0</v>
      </c>
    </row>
    <row r="316" spans="1:1" x14ac:dyDescent="0.25">
      <c r="A316" s="2">
        <v>2</v>
      </c>
    </row>
    <row r="317" spans="1:1" x14ac:dyDescent="0.25">
      <c r="A317" s="2">
        <v>1</v>
      </c>
    </row>
    <row r="318" spans="1:1" x14ac:dyDescent="0.25">
      <c r="A318" s="2">
        <v>0</v>
      </c>
    </row>
    <row r="319" spans="1:1" x14ac:dyDescent="0.25">
      <c r="A319" s="2">
        <v>1</v>
      </c>
    </row>
    <row r="320" spans="1:1" x14ac:dyDescent="0.25">
      <c r="A320" s="2">
        <v>2</v>
      </c>
    </row>
    <row r="321" spans="1:1" x14ac:dyDescent="0.25">
      <c r="A321" s="2">
        <v>1</v>
      </c>
    </row>
    <row r="322" spans="1:1" x14ac:dyDescent="0.25">
      <c r="A322" s="2">
        <v>1</v>
      </c>
    </row>
    <row r="323" spans="1:1" x14ac:dyDescent="0.25">
      <c r="A323" s="2">
        <v>1</v>
      </c>
    </row>
    <row r="324" spans="1:1" x14ac:dyDescent="0.25">
      <c r="A324" s="2">
        <v>0</v>
      </c>
    </row>
    <row r="325" spans="1:1" x14ac:dyDescent="0.25">
      <c r="A325" s="2">
        <v>0</v>
      </c>
    </row>
    <row r="326" spans="1:1" x14ac:dyDescent="0.25">
      <c r="A326" s="2">
        <v>0</v>
      </c>
    </row>
    <row r="327" spans="1:1" x14ac:dyDescent="0.25">
      <c r="A327" s="2">
        <v>0</v>
      </c>
    </row>
    <row r="328" spans="1:1" x14ac:dyDescent="0.25">
      <c r="A328" s="2">
        <v>0</v>
      </c>
    </row>
    <row r="329" spans="1:1" x14ac:dyDescent="0.25">
      <c r="A329" s="2">
        <v>2</v>
      </c>
    </row>
    <row r="330" spans="1:1" x14ac:dyDescent="0.25">
      <c r="A330" s="2">
        <v>0</v>
      </c>
    </row>
    <row r="331" spans="1:1" x14ac:dyDescent="0.25">
      <c r="A331" s="2">
        <v>0</v>
      </c>
    </row>
    <row r="332" spans="1:1" x14ac:dyDescent="0.25">
      <c r="A332" s="2">
        <v>0</v>
      </c>
    </row>
    <row r="333" spans="1:1" x14ac:dyDescent="0.25">
      <c r="A333" s="2">
        <v>0</v>
      </c>
    </row>
    <row r="334" spans="1:1" x14ac:dyDescent="0.25">
      <c r="A334" s="2">
        <v>0</v>
      </c>
    </row>
    <row r="335" spans="1:1" x14ac:dyDescent="0.25">
      <c r="A335" s="2">
        <v>1</v>
      </c>
    </row>
    <row r="336" spans="1:1" x14ac:dyDescent="0.25">
      <c r="A336" s="2">
        <v>0</v>
      </c>
    </row>
    <row r="337" spans="1:1" x14ac:dyDescent="0.25">
      <c r="A337" s="2">
        <v>1</v>
      </c>
    </row>
    <row r="338" spans="1:1" x14ac:dyDescent="0.25">
      <c r="A338" s="2">
        <v>1</v>
      </c>
    </row>
    <row r="339" spans="1:1" x14ac:dyDescent="0.25">
      <c r="A339" s="2">
        <v>1</v>
      </c>
    </row>
    <row r="340" spans="1:1" x14ac:dyDescent="0.25">
      <c r="A340" s="2">
        <v>0</v>
      </c>
    </row>
    <row r="341" spans="1:1" x14ac:dyDescent="0.25">
      <c r="A341" s="2">
        <v>1</v>
      </c>
    </row>
    <row r="342" spans="1:1" x14ac:dyDescent="0.25">
      <c r="A342" s="2">
        <v>0</v>
      </c>
    </row>
    <row r="343" spans="1:1" x14ac:dyDescent="0.25">
      <c r="A343" s="2">
        <v>0</v>
      </c>
    </row>
    <row r="344" spans="1:1" x14ac:dyDescent="0.25">
      <c r="A344" s="2">
        <v>0</v>
      </c>
    </row>
    <row r="345" spans="1:1" x14ac:dyDescent="0.25">
      <c r="A345" s="2">
        <v>0</v>
      </c>
    </row>
    <row r="346" spans="1:1" x14ac:dyDescent="0.25">
      <c r="A346" s="2">
        <v>2</v>
      </c>
    </row>
    <row r="347" spans="1:1" x14ac:dyDescent="0.25">
      <c r="A347" s="2">
        <v>0</v>
      </c>
    </row>
    <row r="348" spans="1:1" x14ac:dyDescent="0.25">
      <c r="A348" s="2">
        <v>2</v>
      </c>
    </row>
    <row r="349" spans="1:1" x14ac:dyDescent="0.25">
      <c r="A349" s="2">
        <v>1</v>
      </c>
    </row>
    <row r="350" spans="1:1" x14ac:dyDescent="0.25">
      <c r="A350" s="2">
        <v>0</v>
      </c>
    </row>
    <row r="351" spans="1:1" x14ac:dyDescent="0.25">
      <c r="A351" s="2">
        <v>0</v>
      </c>
    </row>
    <row r="352" spans="1:1" x14ac:dyDescent="0.25">
      <c r="A352" s="2">
        <v>0</v>
      </c>
    </row>
    <row r="353" spans="1:1" x14ac:dyDescent="0.25">
      <c r="A353" s="2">
        <v>2</v>
      </c>
    </row>
    <row r="354" spans="1:1" x14ac:dyDescent="0.25">
      <c r="A354" s="2">
        <v>2</v>
      </c>
    </row>
    <row r="355" spans="1:1" x14ac:dyDescent="0.25">
      <c r="A355" s="2">
        <v>0</v>
      </c>
    </row>
    <row r="356" spans="1:1" x14ac:dyDescent="0.25">
      <c r="A356" s="2">
        <v>0</v>
      </c>
    </row>
    <row r="357" spans="1:1" x14ac:dyDescent="0.25">
      <c r="A357" s="2">
        <v>0</v>
      </c>
    </row>
    <row r="358" spans="1:1" x14ac:dyDescent="0.25">
      <c r="A358" s="2">
        <v>1</v>
      </c>
    </row>
    <row r="359" spans="1:1" x14ac:dyDescent="0.25">
      <c r="A359" s="2">
        <v>0</v>
      </c>
    </row>
    <row r="360" spans="1:1" x14ac:dyDescent="0.25">
      <c r="A360" s="2">
        <v>1</v>
      </c>
    </row>
    <row r="361" spans="1:1" x14ac:dyDescent="0.25">
      <c r="A361" s="2">
        <v>0</v>
      </c>
    </row>
    <row r="362" spans="1:1" x14ac:dyDescent="0.25">
      <c r="A362" s="2">
        <v>1</v>
      </c>
    </row>
    <row r="363" spans="1:1" x14ac:dyDescent="0.25">
      <c r="A363" s="2">
        <v>0</v>
      </c>
    </row>
    <row r="364" spans="1:1" x14ac:dyDescent="0.25">
      <c r="A364" s="2">
        <v>0</v>
      </c>
    </row>
    <row r="365" spans="1:1" x14ac:dyDescent="0.25">
      <c r="A365" s="2">
        <v>1</v>
      </c>
    </row>
    <row r="366" spans="1:1" x14ac:dyDescent="0.25">
      <c r="A366" s="2">
        <v>0</v>
      </c>
    </row>
    <row r="367" spans="1:1" x14ac:dyDescent="0.25">
      <c r="A367" s="2">
        <v>0</v>
      </c>
    </row>
    <row r="368" spans="1:1" x14ac:dyDescent="0.25">
      <c r="A368" s="2">
        <v>0</v>
      </c>
    </row>
    <row r="369" spans="1:1" x14ac:dyDescent="0.25">
      <c r="A369" s="2">
        <v>1</v>
      </c>
    </row>
    <row r="370" spans="1:1" x14ac:dyDescent="0.25">
      <c r="A370" s="2">
        <v>0</v>
      </c>
    </row>
    <row r="371" spans="1:1" x14ac:dyDescent="0.25">
      <c r="A371" s="2">
        <v>0</v>
      </c>
    </row>
    <row r="372" spans="1:1" x14ac:dyDescent="0.25">
      <c r="A372" s="2">
        <v>0</v>
      </c>
    </row>
    <row r="373" spans="1:1" x14ac:dyDescent="0.25">
      <c r="A373" s="2">
        <v>0</v>
      </c>
    </row>
    <row r="374" spans="1:1" x14ac:dyDescent="0.25">
      <c r="A374" s="2">
        <v>1</v>
      </c>
    </row>
    <row r="375" spans="1:1" x14ac:dyDescent="0.25">
      <c r="A375" s="2">
        <v>0</v>
      </c>
    </row>
    <row r="376" spans="1:1" x14ac:dyDescent="0.25">
      <c r="A376" s="2">
        <v>1</v>
      </c>
    </row>
    <row r="377" spans="1:1" x14ac:dyDescent="0.25">
      <c r="A377" s="2">
        <v>0</v>
      </c>
    </row>
    <row r="378" spans="1:1" x14ac:dyDescent="0.25">
      <c r="A378" s="2">
        <v>0</v>
      </c>
    </row>
    <row r="379" spans="1:1" x14ac:dyDescent="0.25">
      <c r="A379" s="2">
        <v>0</v>
      </c>
    </row>
    <row r="380" spans="1:1" x14ac:dyDescent="0.25">
      <c r="A380" s="2">
        <v>0</v>
      </c>
    </row>
    <row r="381" spans="1:1" x14ac:dyDescent="0.25">
      <c r="A381" s="2">
        <v>0</v>
      </c>
    </row>
    <row r="382" spans="1:1" x14ac:dyDescent="0.25">
      <c r="A382" s="2">
        <v>0</v>
      </c>
    </row>
    <row r="383" spans="1:1" x14ac:dyDescent="0.25">
      <c r="A383" s="2">
        <v>0</v>
      </c>
    </row>
    <row r="384" spans="1:1" x14ac:dyDescent="0.25">
      <c r="A384" s="2">
        <v>0</v>
      </c>
    </row>
    <row r="385" spans="1:1" x14ac:dyDescent="0.25">
      <c r="A385" s="2">
        <v>0</v>
      </c>
    </row>
    <row r="386" spans="1:1" x14ac:dyDescent="0.25">
      <c r="A386" s="2">
        <v>0</v>
      </c>
    </row>
    <row r="387" spans="1:1" x14ac:dyDescent="0.25">
      <c r="A387" s="2">
        <v>1</v>
      </c>
    </row>
    <row r="388" spans="1:1" x14ac:dyDescent="0.25">
      <c r="A388" s="2">
        <v>0</v>
      </c>
    </row>
    <row r="389" spans="1:1" x14ac:dyDescent="0.25">
      <c r="A389" s="2">
        <v>0</v>
      </c>
    </row>
    <row r="390" spans="1:1" x14ac:dyDescent="0.25">
      <c r="A390" s="2">
        <v>0</v>
      </c>
    </row>
    <row r="391" spans="1:1" x14ac:dyDescent="0.25">
      <c r="A391" s="2">
        <v>0</v>
      </c>
    </row>
    <row r="392" spans="1:1" x14ac:dyDescent="0.25">
      <c r="A392" s="2">
        <v>0</v>
      </c>
    </row>
    <row r="393" spans="1:1" x14ac:dyDescent="0.25">
      <c r="A393" s="2">
        <v>1</v>
      </c>
    </row>
    <row r="394" spans="1:1" x14ac:dyDescent="0.25">
      <c r="A394" s="2">
        <v>0</v>
      </c>
    </row>
    <row r="395" spans="1:1" x14ac:dyDescent="0.25">
      <c r="A395" s="2">
        <v>0</v>
      </c>
    </row>
    <row r="396" spans="1:1" x14ac:dyDescent="0.25">
      <c r="A396" s="2">
        <v>0</v>
      </c>
    </row>
    <row r="397" spans="1:1" x14ac:dyDescent="0.25">
      <c r="A397" s="2">
        <v>2</v>
      </c>
    </row>
    <row r="398" spans="1:1" x14ac:dyDescent="0.25">
      <c r="A398" s="2">
        <v>1</v>
      </c>
    </row>
    <row r="399" spans="1:1" x14ac:dyDescent="0.25">
      <c r="A399" s="2">
        <v>0</v>
      </c>
    </row>
    <row r="400" spans="1:1" x14ac:dyDescent="0.25">
      <c r="A400" s="2">
        <v>0</v>
      </c>
    </row>
    <row r="401" spans="1:1" x14ac:dyDescent="0.25">
      <c r="A401" s="2">
        <v>0</v>
      </c>
    </row>
    <row r="402" spans="1:1" x14ac:dyDescent="0.25">
      <c r="A402" s="2">
        <v>0</v>
      </c>
    </row>
    <row r="403" spans="1:1" x14ac:dyDescent="0.25">
      <c r="A403" s="2">
        <v>0</v>
      </c>
    </row>
    <row r="404" spans="1:1" x14ac:dyDescent="0.25">
      <c r="A404" s="2">
        <v>0</v>
      </c>
    </row>
    <row r="405" spans="1:1" x14ac:dyDescent="0.25">
      <c r="A405" s="2">
        <v>0</v>
      </c>
    </row>
    <row r="406" spans="1:1" x14ac:dyDescent="0.25">
      <c r="A406" s="2">
        <v>1</v>
      </c>
    </row>
    <row r="407" spans="1:1" x14ac:dyDescent="0.25">
      <c r="A407" s="2">
        <v>1</v>
      </c>
    </row>
    <row r="408" spans="1:1" x14ac:dyDescent="0.25">
      <c r="A408" s="2">
        <v>2</v>
      </c>
    </row>
    <row r="409" spans="1:1" x14ac:dyDescent="0.25">
      <c r="A409" s="2">
        <v>1</v>
      </c>
    </row>
    <row r="410" spans="1:1" x14ac:dyDescent="0.25">
      <c r="A410" s="2">
        <v>0</v>
      </c>
    </row>
    <row r="411" spans="1:1" x14ac:dyDescent="0.25">
      <c r="A411" s="2">
        <v>2</v>
      </c>
    </row>
    <row r="412" spans="1:1" x14ac:dyDescent="0.25">
      <c r="A412" s="2">
        <v>2</v>
      </c>
    </row>
    <row r="413" spans="1:1" x14ac:dyDescent="0.25">
      <c r="A413" s="2">
        <v>0</v>
      </c>
    </row>
    <row r="414" spans="1:1" x14ac:dyDescent="0.25">
      <c r="A414" s="2">
        <v>2</v>
      </c>
    </row>
    <row r="415" spans="1:1" x14ac:dyDescent="0.25">
      <c r="A415" s="2">
        <v>2</v>
      </c>
    </row>
    <row r="416" spans="1:1" x14ac:dyDescent="0.25">
      <c r="A416" s="2">
        <v>2</v>
      </c>
    </row>
    <row r="417" spans="1:1" x14ac:dyDescent="0.25">
      <c r="A417" s="2">
        <v>2</v>
      </c>
    </row>
    <row r="418" spans="1:1" x14ac:dyDescent="0.25">
      <c r="A418" s="2">
        <v>0</v>
      </c>
    </row>
    <row r="419" spans="1:1" x14ac:dyDescent="0.25">
      <c r="A419" s="2">
        <v>0</v>
      </c>
    </row>
    <row r="420" spans="1:1" x14ac:dyDescent="0.25">
      <c r="A420" s="2">
        <v>1</v>
      </c>
    </row>
    <row r="421" spans="1:1" x14ac:dyDescent="0.25">
      <c r="A421" s="2">
        <v>0</v>
      </c>
    </row>
    <row r="422" spans="1:1" x14ac:dyDescent="0.25">
      <c r="A422" s="2">
        <v>2</v>
      </c>
    </row>
    <row r="423" spans="1:1" x14ac:dyDescent="0.25">
      <c r="A423" s="2">
        <v>0</v>
      </c>
    </row>
    <row r="424" spans="1:1" x14ac:dyDescent="0.25">
      <c r="A424" s="2">
        <v>1</v>
      </c>
    </row>
    <row r="425" spans="1:1" x14ac:dyDescent="0.25">
      <c r="A425" s="2">
        <v>2</v>
      </c>
    </row>
    <row r="426" spans="1:1" x14ac:dyDescent="0.25">
      <c r="A426" s="2">
        <v>2</v>
      </c>
    </row>
    <row r="427" spans="1:1" x14ac:dyDescent="0.25">
      <c r="A427" s="2">
        <v>2</v>
      </c>
    </row>
    <row r="428" spans="1:1" x14ac:dyDescent="0.25">
      <c r="A428" s="2">
        <v>1</v>
      </c>
    </row>
    <row r="429" spans="1:1" x14ac:dyDescent="0.25">
      <c r="A429" s="2">
        <v>2</v>
      </c>
    </row>
    <row r="430" spans="1:1" x14ac:dyDescent="0.25">
      <c r="A430" s="2">
        <v>0</v>
      </c>
    </row>
    <row r="431" spans="1:1" x14ac:dyDescent="0.25">
      <c r="A431" s="2">
        <v>1</v>
      </c>
    </row>
    <row r="432" spans="1:1" x14ac:dyDescent="0.25">
      <c r="A432" s="2">
        <v>0</v>
      </c>
    </row>
    <row r="433" spans="1:1" x14ac:dyDescent="0.25">
      <c r="A433" s="2">
        <v>0</v>
      </c>
    </row>
    <row r="434" spans="1:1" x14ac:dyDescent="0.25">
      <c r="A434" s="2">
        <v>0</v>
      </c>
    </row>
    <row r="435" spans="1:1" x14ac:dyDescent="0.25">
      <c r="A435" s="2">
        <v>1</v>
      </c>
    </row>
    <row r="436" spans="1:1" x14ac:dyDescent="0.25">
      <c r="A436" s="2">
        <v>2</v>
      </c>
    </row>
    <row r="437" spans="1:1" x14ac:dyDescent="0.25">
      <c r="A437" s="2">
        <v>2</v>
      </c>
    </row>
    <row r="438" spans="1:1" x14ac:dyDescent="0.25">
      <c r="A438" s="2">
        <v>0</v>
      </c>
    </row>
    <row r="439" spans="1:1" x14ac:dyDescent="0.25">
      <c r="A439" s="2">
        <v>2</v>
      </c>
    </row>
    <row r="440" spans="1:1" x14ac:dyDescent="0.25">
      <c r="A440" s="2">
        <v>2</v>
      </c>
    </row>
    <row r="441" spans="1:1" x14ac:dyDescent="0.25">
      <c r="A441" s="2">
        <v>0</v>
      </c>
    </row>
    <row r="442" spans="1:1" x14ac:dyDescent="0.25">
      <c r="A442" s="2">
        <v>0</v>
      </c>
    </row>
    <row r="443" spans="1:1" x14ac:dyDescent="0.25">
      <c r="A443" s="2">
        <v>0</v>
      </c>
    </row>
    <row r="444" spans="1:1" x14ac:dyDescent="0.25">
      <c r="A444" s="2">
        <v>0</v>
      </c>
    </row>
    <row r="445" spans="1:1" x14ac:dyDescent="0.25">
      <c r="A445" s="2">
        <v>1</v>
      </c>
    </row>
    <row r="446" spans="1:1" x14ac:dyDescent="0.25">
      <c r="A446" s="2">
        <v>2</v>
      </c>
    </row>
    <row r="447" spans="1:1" x14ac:dyDescent="0.25">
      <c r="A447" s="2">
        <v>2</v>
      </c>
    </row>
    <row r="448" spans="1:1" x14ac:dyDescent="0.25">
      <c r="A448" s="2">
        <v>2</v>
      </c>
    </row>
    <row r="449" spans="1:1" x14ac:dyDescent="0.25">
      <c r="A449" s="2">
        <v>0</v>
      </c>
    </row>
    <row r="450" spans="1:1" x14ac:dyDescent="0.25">
      <c r="A450" s="2">
        <v>0</v>
      </c>
    </row>
    <row r="451" spans="1:1" x14ac:dyDescent="0.25">
      <c r="A451" s="2">
        <v>0</v>
      </c>
    </row>
    <row r="452" spans="1:1" x14ac:dyDescent="0.25">
      <c r="A452" s="2">
        <v>2</v>
      </c>
    </row>
    <row r="453" spans="1:1" x14ac:dyDescent="0.25">
      <c r="A453" s="2">
        <v>1</v>
      </c>
    </row>
    <row r="454" spans="1:1" x14ac:dyDescent="0.25">
      <c r="A454" s="2">
        <v>1</v>
      </c>
    </row>
    <row r="455" spans="1:1" x14ac:dyDescent="0.25">
      <c r="A455" s="2">
        <v>0</v>
      </c>
    </row>
    <row r="456" spans="1:1" x14ac:dyDescent="0.25">
      <c r="A456" s="2">
        <v>0</v>
      </c>
    </row>
    <row r="457" spans="1:1" x14ac:dyDescent="0.25">
      <c r="A457" s="2">
        <v>2</v>
      </c>
    </row>
    <row r="458" spans="1:1" x14ac:dyDescent="0.25">
      <c r="A458" s="2">
        <v>1</v>
      </c>
    </row>
    <row r="459" spans="1:1" x14ac:dyDescent="0.25">
      <c r="A459" s="2">
        <v>1</v>
      </c>
    </row>
    <row r="460" spans="1:1" x14ac:dyDescent="0.25">
      <c r="A460" s="2">
        <v>0</v>
      </c>
    </row>
    <row r="461" spans="1:1" x14ac:dyDescent="0.25">
      <c r="A461" s="2">
        <v>2</v>
      </c>
    </row>
    <row r="462" spans="1:1" x14ac:dyDescent="0.25">
      <c r="A462" s="2">
        <v>1</v>
      </c>
    </row>
    <row r="463" spans="1:1" x14ac:dyDescent="0.25">
      <c r="A463" s="2">
        <v>2</v>
      </c>
    </row>
    <row r="464" spans="1:1" x14ac:dyDescent="0.25">
      <c r="A464" s="2">
        <v>0</v>
      </c>
    </row>
    <row r="465" spans="1:1" x14ac:dyDescent="0.25">
      <c r="A465" s="2">
        <v>2</v>
      </c>
    </row>
    <row r="466" spans="1:1" x14ac:dyDescent="0.25">
      <c r="A466" s="2">
        <v>0</v>
      </c>
    </row>
    <row r="467" spans="1:1" x14ac:dyDescent="0.25">
      <c r="A467" s="2">
        <v>1</v>
      </c>
    </row>
    <row r="468" spans="1:1" x14ac:dyDescent="0.25">
      <c r="A468" s="2">
        <v>2</v>
      </c>
    </row>
    <row r="469" spans="1:1" x14ac:dyDescent="0.25">
      <c r="A469" s="2">
        <v>1</v>
      </c>
    </row>
    <row r="470" spans="1:1" x14ac:dyDescent="0.25">
      <c r="A470" s="2">
        <v>0</v>
      </c>
    </row>
    <row r="471" spans="1:1" x14ac:dyDescent="0.25">
      <c r="A471" s="2">
        <v>1</v>
      </c>
    </row>
    <row r="472" spans="1:1" x14ac:dyDescent="0.25">
      <c r="A472" s="2">
        <v>0</v>
      </c>
    </row>
    <row r="473" spans="1:1" x14ac:dyDescent="0.25">
      <c r="A473" s="2">
        <v>0</v>
      </c>
    </row>
    <row r="474" spans="1:1" x14ac:dyDescent="0.25">
      <c r="A474" s="2">
        <v>1</v>
      </c>
    </row>
    <row r="475" spans="1:1" x14ac:dyDescent="0.25">
      <c r="A475" s="2">
        <v>0</v>
      </c>
    </row>
    <row r="476" spans="1:1" x14ac:dyDescent="0.25">
      <c r="A476" s="2">
        <v>1</v>
      </c>
    </row>
    <row r="477" spans="1:1" x14ac:dyDescent="0.25">
      <c r="A477" s="2">
        <v>0</v>
      </c>
    </row>
    <row r="478" spans="1:1" x14ac:dyDescent="0.25">
      <c r="A478" s="2">
        <v>0</v>
      </c>
    </row>
    <row r="479" spans="1:1" x14ac:dyDescent="0.25">
      <c r="A479" s="2">
        <v>0</v>
      </c>
    </row>
    <row r="480" spans="1:1" x14ac:dyDescent="0.25">
      <c r="A480" s="2">
        <v>0</v>
      </c>
    </row>
    <row r="481" spans="1:1" x14ac:dyDescent="0.25">
      <c r="A481" s="2">
        <v>0</v>
      </c>
    </row>
    <row r="482" spans="1:1" x14ac:dyDescent="0.25">
      <c r="A482" s="2">
        <v>0</v>
      </c>
    </row>
    <row r="483" spans="1:1" x14ac:dyDescent="0.25">
      <c r="A483" s="2">
        <v>0</v>
      </c>
    </row>
    <row r="484" spans="1:1" x14ac:dyDescent="0.25">
      <c r="A484" s="2">
        <v>1</v>
      </c>
    </row>
    <row r="485" spans="1:1" x14ac:dyDescent="0.25">
      <c r="A485" s="2">
        <v>0</v>
      </c>
    </row>
    <row r="486" spans="1:1" x14ac:dyDescent="0.25">
      <c r="A486" s="2">
        <v>0</v>
      </c>
    </row>
    <row r="487" spans="1:1" x14ac:dyDescent="0.25">
      <c r="A487" s="2">
        <v>0</v>
      </c>
    </row>
    <row r="488" spans="1:1" x14ac:dyDescent="0.25">
      <c r="A488" s="2">
        <v>0</v>
      </c>
    </row>
    <row r="489" spans="1:1" x14ac:dyDescent="0.25">
      <c r="A489" s="2">
        <v>0</v>
      </c>
    </row>
    <row r="490" spans="1:1" x14ac:dyDescent="0.25">
      <c r="A490" s="2">
        <v>0</v>
      </c>
    </row>
    <row r="491" spans="1:1" x14ac:dyDescent="0.25">
      <c r="A491" s="2">
        <v>1</v>
      </c>
    </row>
    <row r="492" spans="1:1" x14ac:dyDescent="0.25">
      <c r="A492" s="2">
        <v>1</v>
      </c>
    </row>
    <row r="493" spans="1:1" x14ac:dyDescent="0.25">
      <c r="A493" s="2">
        <v>0</v>
      </c>
    </row>
    <row r="494" spans="1:1" x14ac:dyDescent="0.25">
      <c r="A494" s="2">
        <v>0</v>
      </c>
    </row>
    <row r="495" spans="1:1" x14ac:dyDescent="0.25">
      <c r="A495" s="2">
        <v>0</v>
      </c>
    </row>
    <row r="496" spans="1:1" x14ac:dyDescent="0.25">
      <c r="A496" s="2">
        <v>0</v>
      </c>
    </row>
    <row r="497" spans="1:1" x14ac:dyDescent="0.25">
      <c r="A497" s="2">
        <v>0</v>
      </c>
    </row>
    <row r="498" spans="1:1" x14ac:dyDescent="0.25">
      <c r="A498" s="2">
        <v>1</v>
      </c>
    </row>
    <row r="499" spans="1:1" x14ac:dyDescent="0.25">
      <c r="A499" s="2">
        <v>1</v>
      </c>
    </row>
    <row r="500" spans="1:1" x14ac:dyDescent="0.25">
      <c r="A500" s="2">
        <v>1</v>
      </c>
    </row>
    <row r="501" spans="1:1" x14ac:dyDescent="0.25">
      <c r="A501" s="2">
        <v>1</v>
      </c>
    </row>
    <row r="502" spans="1:1" x14ac:dyDescent="0.25">
      <c r="A502" s="2">
        <v>2</v>
      </c>
    </row>
    <row r="503" spans="1:1" x14ac:dyDescent="0.25">
      <c r="A503" s="2">
        <v>2</v>
      </c>
    </row>
    <row r="504" spans="1:1" x14ac:dyDescent="0.25">
      <c r="A504" s="2">
        <v>0</v>
      </c>
    </row>
    <row r="505" spans="1:1" x14ac:dyDescent="0.25">
      <c r="A505" s="2">
        <v>0</v>
      </c>
    </row>
    <row r="506" spans="1:1" x14ac:dyDescent="0.25">
      <c r="A506" s="2">
        <v>0</v>
      </c>
    </row>
    <row r="507" spans="1:1" x14ac:dyDescent="0.25">
      <c r="A507" s="2">
        <v>1</v>
      </c>
    </row>
    <row r="508" spans="1:1" x14ac:dyDescent="0.25">
      <c r="A508" s="2">
        <v>0</v>
      </c>
    </row>
    <row r="509" spans="1:1" x14ac:dyDescent="0.25">
      <c r="A509" s="2">
        <v>0</v>
      </c>
    </row>
    <row r="510" spans="1:1" x14ac:dyDescent="0.25">
      <c r="A510" s="2">
        <v>0</v>
      </c>
    </row>
    <row r="511" spans="1:1" x14ac:dyDescent="0.25">
      <c r="A511" s="2">
        <v>0</v>
      </c>
    </row>
    <row r="512" spans="1:1" x14ac:dyDescent="0.25">
      <c r="A512" s="2">
        <v>0</v>
      </c>
    </row>
    <row r="513" spans="1:1" x14ac:dyDescent="0.25">
      <c r="A513" s="2">
        <v>0</v>
      </c>
    </row>
    <row r="514" spans="1:1" x14ac:dyDescent="0.25">
      <c r="A514" s="2">
        <v>0</v>
      </c>
    </row>
    <row r="515" spans="1:1" x14ac:dyDescent="0.25">
      <c r="A515" s="2">
        <v>0</v>
      </c>
    </row>
    <row r="516" spans="1:1" x14ac:dyDescent="0.25">
      <c r="A516" s="2">
        <v>0</v>
      </c>
    </row>
    <row r="517" spans="1:1" x14ac:dyDescent="0.25">
      <c r="A517" s="2">
        <v>1</v>
      </c>
    </row>
    <row r="518" spans="1:1" x14ac:dyDescent="0.25">
      <c r="A518" s="2">
        <v>0</v>
      </c>
    </row>
    <row r="519" spans="1:1" x14ac:dyDescent="0.25">
      <c r="A519" s="2">
        <v>0</v>
      </c>
    </row>
    <row r="520" spans="1:1" x14ac:dyDescent="0.25">
      <c r="A520" s="2">
        <v>0</v>
      </c>
    </row>
    <row r="521" spans="1:1" x14ac:dyDescent="0.25">
      <c r="A521" s="2">
        <v>2</v>
      </c>
    </row>
    <row r="522" spans="1:1" x14ac:dyDescent="0.25">
      <c r="A522" s="2">
        <v>0</v>
      </c>
    </row>
    <row r="523" spans="1:1" x14ac:dyDescent="0.25">
      <c r="A523" s="2">
        <v>0</v>
      </c>
    </row>
    <row r="524" spans="1:1" x14ac:dyDescent="0.25">
      <c r="A524" s="2">
        <v>0</v>
      </c>
    </row>
    <row r="525" spans="1:1" x14ac:dyDescent="0.25">
      <c r="A525" s="2">
        <v>0</v>
      </c>
    </row>
    <row r="526" spans="1:1" x14ac:dyDescent="0.25">
      <c r="A526" s="2">
        <v>2</v>
      </c>
    </row>
    <row r="527" spans="1:1" x14ac:dyDescent="0.25">
      <c r="A527" s="2">
        <v>0</v>
      </c>
    </row>
    <row r="528" spans="1:1" x14ac:dyDescent="0.25">
      <c r="A528" s="2">
        <v>0</v>
      </c>
    </row>
    <row r="529" spans="1:1" x14ac:dyDescent="0.25">
      <c r="A529" s="2">
        <v>1</v>
      </c>
    </row>
    <row r="530" spans="1:1" x14ac:dyDescent="0.25">
      <c r="A530" s="2">
        <v>1</v>
      </c>
    </row>
    <row r="531" spans="1:1" x14ac:dyDescent="0.25">
      <c r="A531" s="2">
        <v>0</v>
      </c>
    </row>
    <row r="532" spans="1:1" x14ac:dyDescent="0.25">
      <c r="A532" s="2">
        <v>0</v>
      </c>
    </row>
    <row r="533" spans="1:1" x14ac:dyDescent="0.25">
      <c r="A533" s="2">
        <v>2</v>
      </c>
    </row>
    <row r="534" spans="1:1" x14ac:dyDescent="0.25">
      <c r="A534" s="2">
        <v>0</v>
      </c>
    </row>
    <row r="535" spans="1:1" x14ac:dyDescent="0.25">
      <c r="A535" s="2">
        <v>0</v>
      </c>
    </row>
    <row r="536" spans="1:1" x14ac:dyDescent="0.25">
      <c r="A536" s="2">
        <v>0</v>
      </c>
    </row>
    <row r="537" spans="1:1" x14ac:dyDescent="0.25">
      <c r="A537" s="2">
        <v>2</v>
      </c>
    </row>
    <row r="538" spans="1:1" x14ac:dyDescent="0.25">
      <c r="A538" s="2">
        <v>1</v>
      </c>
    </row>
    <row r="539" spans="1:1" x14ac:dyDescent="0.25">
      <c r="A539" s="2">
        <v>0</v>
      </c>
    </row>
    <row r="540" spans="1:1" x14ac:dyDescent="0.25">
      <c r="A540" s="2">
        <v>2</v>
      </c>
    </row>
    <row r="541" spans="1:1" x14ac:dyDescent="0.25">
      <c r="A541" s="2">
        <v>0</v>
      </c>
    </row>
    <row r="542" spans="1:1" x14ac:dyDescent="0.25">
      <c r="A542" s="2">
        <v>0</v>
      </c>
    </row>
    <row r="543" spans="1:1" x14ac:dyDescent="0.25">
      <c r="A543" s="2">
        <v>2</v>
      </c>
    </row>
    <row r="544" spans="1:1" x14ac:dyDescent="0.25">
      <c r="A544" s="2">
        <v>2</v>
      </c>
    </row>
    <row r="545" spans="1:1" x14ac:dyDescent="0.25">
      <c r="A545" s="2">
        <v>2</v>
      </c>
    </row>
    <row r="546" spans="1:1" x14ac:dyDescent="0.25">
      <c r="A546" s="2">
        <v>0</v>
      </c>
    </row>
    <row r="547" spans="1:1" x14ac:dyDescent="0.25">
      <c r="A547" s="2">
        <v>0</v>
      </c>
    </row>
    <row r="548" spans="1:1" x14ac:dyDescent="0.25">
      <c r="A548" s="2">
        <v>1</v>
      </c>
    </row>
    <row r="549" spans="1:1" x14ac:dyDescent="0.25">
      <c r="A549" s="2">
        <v>1</v>
      </c>
    </row>
    <row r="550" spans="1:1" x14ac:dyDescent="0.25">
      <c r="A550" s="2">
        <v>1</v>
      </c>
    </row>
    <row r="551" spans="1:1" x14ac:dyDescent="0.25">
      <c r="A551" s="2">
        <v>0</v>
      </c>
    </row>
    <row r="552" spans="1:1" x14ac:dyDescent="0.25">
      <c r="A552" s="2">
        <v>0</v>
      </c>
    </row>
    <row r="553" spans="1:1" x14ac:dyDescent="0.25">
      <c r="A553" s="2">
        <v>2</v>
      </c>
    </row>
    <row r="554" spans="1:1" x14ac:dyDescent="0.25">
      <c r="A554" s="2">
        <v>0</v>
      </c>
    </row>
    <row r="555" spans="1:1" x14ac:dyDescent="0.25">
      <c r="A555" s="2">
        <v>2</v>
      </c>
    </row>
    <row r="556" spans="1:1" x14ac:dyDescent="0.25">
      <c r="A556" s="2">
        <v>2</v>
      </c>
    </row>
    <row r="557" spans="1:1" x14ac:dyDescent="0.25">
      <c r="A557" s="2">
        <v>0</v>
      </c>
    </row>
    <row r="558" spans="1:1" x14ac:dyDescent="0.25">
      <c r="A558" s="2">
        <v>1</v>
      </c>
    </row>
    <row r="559" spans="1:1" x14ac:dyDescent="0.25">
      <c r="A559" s="2">
        <v>2</v>
      </c>
    </row>
    <row r="560" spans="1:1" x14ac:dyDescent="0.25">
      <c r="A560" s="2">
        <v>0</v>
      </c>
    </row>
    <row r="561" spans="1:1" x14ac:dyDescent="0.25">
      <c r="A561" s="2">
        <v>0</v>
      </c>
    </row>
    <row r="562" spans="1:1" x14ac:dyDescent="0.25">
      <c r="A562" s="2">
        <v>1</v>
      </c>
    </row>
    <row r="563" spans="1:1" x14ac:dyDescent="0.25">
      <c r="A563" s="2">
        <v>0</v>
      </c>
    </row>
    <row r="564" spans="1:1" x14ac:dyDescent="0.25">
      <c r="A564" s="2">
        <v>0</v>
      </c>
    </row>
    <row r="565" spans="1:1" x14ac:dyDescent="0.25">
      <c r="A565" s="2">
        <v>0</v>
      </c>
    </row>
    <row r="566" spans="1:1" x14ac:dyDescent="0.25">
      <c r="A566" s="2">
        <v>0</v>
      </c>
    </row>
    <row r="567" spans="1:1" x14ac:dyDescent="0.25">
      <c r="A567" s="2">
        <v>0</v>
      </c>
    </row>
    <row r="568" spans="1:1" x14ac:dyDescent="0.25">
      <c r="A568" s="2">
        <v>0</v>
      </c>
    </row>
    <row r="569" spans="1:1" x14ac:dyDescent="0.25">
      <c r="A569" s="2">
        <v>0</v>
      </c>
    </row>
    <row r="570" spans="1:1" x14ac:dyDescent="0.25">
      <c r="A570" s="2">
        <v>0</v>
      </c>
    </row>
    <row r="571" spans="1:1" x14ac:dyDescent="0.25">
      <c r="A571" s="2">
        <v>0</v>
      </c>
    </row>
    <row r="572" spans="1:1" x14ac:dyDescent="0.25">
      <c r="A572" s="2">
        <v>1</v>
      </c>
    </row>
    <row r="573" spans="1:1" x14ac:dyDescent="0.25">
      <c r="A573" s="2">
        <v>0</v>
      </c>
    </row>
    <row r="574" spans="1:1" x14ac:dyDescent="0.25">
      <c r="A574" s="2">
        <v>0</v>
      </c>
    </row>
    <row r="575" spans="1:1" x14ac:dyDescent="0.25">
      <c r="A575" s="2">
        <v>0</v>
      </c>
    </row>
    <row r="576" spans="1:1" x14ac:dyDescent="0.25">
      <c r="A576" s="2">
        <v>2</v>
      </c>
    </row>
    <row r="577" spans="1:1" x14ac:dyDescent="0.25">
      <c r="A577" s="2">
        <v>2</v>
      </c>
    </row>
    <row r="578" spans="1:1" x14ac:dyDescent="0.25">
      <c r="A578" s="2">
        <v>2</v>
      </c>
    </row>
    <row r="579" spans="1:1" x14ac:dyDescent="0.25">
      <c r="A579" s="2">
        <v>0</v>
      </c>
    </row>
    <row r="580" spans="1:1" x14ac:dyDescent="0.25">
      <c r="A580" s="2">
        <v>0</v>
      </c>
    </row>
    <row r="581" spans="1:1" x14ac:dyDescent="0.25">
      <c r="A581" s="2">
        <v>0</v>
      </c>
    </row>
    <row r="582" spans="1:1" x14ac:dyDescent="0.25">
      <c r="A582" s="2">
        <v>0</v>
      </c>
    </row>
    <row r="583" spans="1:1" x14ac:dyDescent="0.25">
      <c r="A583" s="2">
        <v>0</v>
      </c>
    </row>
    <row r="584" spans="1:1" x14ac:dyDescent="0.25">
      <c r="A584" s="2">
        <v>0</v>
      </c>
    </row>
    <row r="585" spans="1:1" x14ac:dyDescent="0.25">
      <c r="A585" s="2">
        <v>0</v>
      </c>
    </row>
    <row r="586" spans="1:1" x14ac:dyDescent="0.25">
      <c r="A586" s="2">
        <v>0</v>
      </c>
    </row>
    <row r="587" spans="1:1" x14ac:dyDescent="0.25">
      <c r="A587" s="2">
        <v>0</v>
      </c>
    </row>
    <row r="588" spans="1:1" x14ac:dyDescent="0.25">
      <c r="A588" s="2">
        <v>0</v>
      </c>
    </row>
    <row r="589" spans="1:1" x14ac:dyDescent="0.25">
      <c r="A589" s="2">
        <v>1</v>
      </c>
    </row>
    <row r="590" spans="1:1" x14ac:dyDescent="0.25">
      <c r="A590" s="2">
        <v>0</v>
      </c>
    </row>
    <row r="591" spans="1:1" x14ac:dyDescent="0.25">
      <c r="A591" s="2">
        <v>2</v>
      </c>
    </row>
    <row r="592" spans="1:1" x14ac:dyDescent="0.25">
      <c r="A592" s="2">
        <v>1</v>
      </c>
    </row>
    <row r="593" spans="1:1" x14ac:dyDescent="0.25">
      <c r="A593" s="2">
        <v>0</v>
      </c>
    </row>
    <row r="594" spans="1:1" x14ac:dyDescent="0.25">
      <c r="A594" s="2">
        <v>0</v>
      </c>
    </row>
    <row r="595" spans="1:1" x14ac:dyDescent="0.25">
      <c r="A595" s="2">
        <v>0</v>
      </c>
    </row>
    <row r="596" spans="1:1" x14ac:dyDescent="0.25">
      <c r="A596" s="2">
        <v>0</v>
      </c>
    </row>
    <row r="597" spans="1:1" x14ac:dyDescent="0.25">
      <c r="A597" s="2">
        <v>0</v>
      </c>
    </row>
    <row r="598" spans="1:1" x14ac:dyDescent="0.25">
      <c r="A598" s="2">
        <v>2</v>
      </c>
    </row>
    <row r="599" spans="1:1" x14ac:dyDescent="0.25">
      <c r="A599" s="2">
        <v>0</v>
      </c>
    </row>
    <row r="600" spans="1:1" x14ac:dyDescent="0.25">
      <c r="A600" s="2">
        <v>0</v>
      </c>
    </row>
    <row r="601" spans="1:1" x14ac:dyDescent="0.25">
      <c r="A601" s="2">
        <v>0</v>
      </c>
    </row>
    <row r="602" spans="1:1" x14ac:dyDescent="0.25">
      <c r="A602" s="2">
        <v>1</v>
      </c>
    </row>
    <row r="603" spans="1:1" x14ac:dyDescent="0.25">
      <c r="A603" s="2">
        <v>0</v>
      </c>
    </row>
    <row r="604" spans="1:1" x14ac:dyDescent="0.25">
      <c r="A604" s="2">
        <v>0</v>
      </c>
    </row>
    <row r="605" spans="1:1" x14ac:dyDescent="0.25">
      <c r="A605" s="2">
        <v>2</v>
      </c>
    </row>
    <row r="606" spans="1:1" x14ac:dyDescent="0.25">
      <c r="A606" s="2">
        <v>0</v>
      </c>
    </row>
    <row r="607" spans="1:1" x14ac:dyDescent="0.25">
      <c r="A607" s="2">
        <v>0</v>
      </c>
    </row>
    <row r="608" spans="1:1" x14ac:dyDescent="0.25">
      <c r="A608" s="2">
        <v>2</v>
      </c>
    </row>
    <row r="609" spans="1:1" x14ac:dyDescent="0.25">
      <c r="A609" s="2">
        <v>1</v>
      </c>
    </row>
    <row r="610" spans="1:1" x14ac:dyDescent="0.25">
      <c r="A610" s="2">
        <v>0</v>
      </c>
    </row>
    <row r="611" spans="1:1" x14ac:dyDescent="0.25">
      <c r="A611" s="2">
        <v>0</v>
      </c>
    </row>
    <row r="612" spans="1:1" x14ac:dyDescent="0.25">
      <c r="A612" s="2">
        <v>0</v>
      </c>
    </row>
    <row r="613" spans="1:1" x14ac:dyDescent="0.25">
      <c r="A613" s="2">
        <v>1</v>
      </c>
    </row>
    <row r="614" spans="1:1" x14ac:dyDescent="0.25">
      <c r="A614" s="2">
        <v>1</v>
      </c>
    </row>
    <row r="615" spans="1:1" x14ac:dyDescent="0.25">
      <c r="A615" s="2">
        <v>2</v>
      </c>
    </row>
    <row r="616" spans="1:1" x14ac:dyDescent="0.25">
      <c r="A616" s="2">
        <v>0</v>
      </c>
    </row>
    <row r="617" spans="1:1" x14ac:dyDescent="0.25">
      <c r="A617" s="2">
        <v>0</v>
      </c>
    </row>
    <row r="618" spans="1:1" x14ac:dyDescent="0.25">
      <c r="A618" s="2">
        <v>2</v>
      </c>
    </row>
    <row r="619" spans="1:1" x14ac:dyDescent="0.25">
      <c r="A619" s="2">
        <v>0</v>
      </c>
    </row>
    <row r="620" spans="1:1" x14ac:dyDescent="0.25">
      <c r="A620" s="2">
        <v>1</v>
      </c>
    </row>
    <row r="621" spans="1:1" x14ac:dyDescent="0.25">
      <c r="A621" s="2">
        <v>0</v>
      </c>
    </row>
    <row r="622" spans="1:1" x14ac:dyDescent="0.25">
      <c r="A622" s="2">
        <v>1</v>
      </c>
    </row>
    <row r="623" spans="1:1" x14ac:dyDescent="0.25">
      <c r="A623" s="2">
        <v>2</v>
      </c>
    </row>
    <row r="624" spans="1:1" x14ac:dyDescent="0.25">
      <c r="A624" s="2">
        <v>0</v>
      </c>
    </row>
    <row r="625" spans="1:1" x14ac:dyDescent="0.25">
      <c r="A625" s="2">
        <v>0</v>
      </c>
    </row>
    <row r="626" spans="1:1" x14ac:dyDescent="0.25">
      <c r="A626" s="2">
        <v>0</v>
      </c>
    </row>
    <row r="627" spans="1:1" x14ac:dyDescent="0.25">
      <c r="A627" s="2">
        <v>2</v>
      </c>
    </row>
    <row r="628" spans="1:1" x14ac:dyDescent="0.25">
      <c r="A628" s="2">
        <v>0</v>
      </c>
    </row>
    <row r="629" spans="1:1" x14ac:dyDescent="0.25">
      <c r="A629" s="2">
        <v>1</v>
      </c>
    </row>
    <row r="630" spans="1:1" x14ac:dyDescent="0.25">
      <c r="A630" s="2">
        <v>0</v>
      </c>
    </row>
    <row r="631" spans="1:1" x14ac:dyDescent="0.25">
      <c r="A631" s="2">
        <v>0</v>
      </c>
    </row>
    <row r="632" spans="1:1" x14ac:dyDescent="0.25">
      <c r="A632" s="2">
        <v>0</v>
      </c>
    </row>
    <row r="633" spans="1:1" x14ac:dyDescent="0.25">
      <c r="A633" s="2">
        <v>0</v>
      </c>
    </row>
    <row r="634" spans="1:1" x14ac:dyDescent="0.25">
      <c r="A634" s="2">
        <v>0</v>
      </c>
    </row>
    <row r="635" spans="1:1" x14ac:dyDescent="0.25">
      <c r="A635" s="2">
        <v>0</v>
      </c>
    </row>
    <row r="636" spans="1:1" x14ac:dyDescent="0.25">
      <c r="A636" s="2">
        <v>1</v>
      </c>
    </row>
    <row r="637" spans="1:1" x14ac:dyDescent="0.25">
      <c r="A637" s="2">
        <v>2</v>
      </c>
    </row>
    <row r="638" spans="1:1" x14ac:dyDescent="0.25">
      <c r="A638" s="2">
        <v>1</v>
      </c>
    </row>
    <row r="639" spans="1:1" x14ac:dyDescent="0.25">
      <c r="A639" s="2">
        <v>1</v>
      </c>
    </row>
    <row r="640" spans="1:1" x14ac:dyDescent="0.25">
      <c r="A640" s="2">
        <v>0</v>
      </c>
    </row>
    <row r="641" spans="1:1" x14ac:dyDescent="0.25">
      <c r="A641" s="2">
        <v>1</v>
      </c>
    </row>
    <row r="642" spans="1:1" x14ac:dyDescent="0.25">
      <c r="A642" s="2">
        <v>2</v>
      </c>
    </row>
    <row r="643" spans="1:1" x14ac:dyDescent="0.25">
      <c r="A643" s="2">
        <v>0</v>
      </c>
    </row>
    <row r="644" spans="1:1" x14ac:dyDescent="0.25">
      <c r="A644" s="2">
        <v>0</v>
      </c>
    </row>
    <row r="645" spans="1:1" x14ac:dyDescent="0.25">
      <c r="A645" s="2">
        <v>2</v>
      </c>
    </row>
    <row r="646" spans="1:1" x14ac:dyDescent="0.25">
      <c r="A646" s="2">
        <v>1</v>
      </c>
    </row>
    <row r="647" spans="1:1" x14ac:dyDescent="0.25">
      <c r="A647" s="2">
        <v>2</v>
      </c>
    </row>
    <row r="648" spans="1:1" x14ac:dyDescent="0.25">
      <c r="A648" s="2">
        <v>1</v>
      </c>
    </row>
    <row r="649" spans="1:1" x14ac:dyDescent="0.25">
      <c r="A649" s="2">
        <v>0</v>
      </c>
    </row>
    <row r="650" spans="1:1" x14ac:dyDescent="0.25">
      <c r="A650" s="2">
        <v>2</v>
      </c>
    </row>
    <row r="651" spans="1:1" x14ac:dyDescent="0.25">
      <c r="A651" s="2">
        <v>0</v>
      </c>
    </row>
    <row r="652" spans="1:1" x14ac:dyDescent="0.25">
      <c r="A652" s="2">
        <v>0</v>
      </c>
    </row>
    <row r="653" spans="1:1" x14ac:dyDescent="0.25">
      <c r="A653" s="2">
        <v>0</v>
      </c>
    </row>
    <row r="654" spans="1:1" x14ac:dyDescent="0.25">
      <c r="A654" s="2">
        <v>0</v>
      </c>
    </row>
    <row r="655" spans="1:1" x14ac:dyDescent="0.25">
      <c r="A655" s="2">
        <v>0</v>
      </c>
    </row>
    <row r="656" spans="1:1" x14ac:dyDescent="0.25">
      <c r="A656" s="2">
        <v>0</v>
      </c>
    </row>
    <row r="657" spans="1:1" x14ac:dyDescent="0.25">
      <c r="A657" s="2">
        <v>0</v>
      </c>
    </row>
    <row r="658" spans="1:1" x14ac:dyDescent="0.25">
      <c r="A658" s="2">
        <v>1</v>
      </c>
    </row>
    <row r="659" spans="1:1" x14ac:dyDescent="0.25">
      <c r="A659" s="2">
        <v>0</v>
      </c>
    </row>
    <row r="660" spans="1:1" x14ac:dyDescent="0.25">
      <c r="A660" s="2">
        <v>0</v>
      </c>
    </row>
    <row r="661" spans="1:1" x14ac:dyDescent="0.25">
      <c r="A661" s="2">
        <v>0</v>
      </c>
    </row>
    <row r="662" spans="1:1" x14ac:dyDescent="0.25">
      <c r="A662" s="2">
        <v>0</v>
      </c>
    </row>
    <row r="663" spans="1:1" x14ac:dyDescent="0.25">
      <c r="A663" s="2">
        <v>0</v>
      </c>
    </row>
    <row r="664" spans="1:1" x14ac:dyDescent="0.25">
      <c r="A664" s="2">
        <v>0</v>
      </c>
    </row>
    <row r="665" spans="1:1" x14ac:dyDescent="0.25">
      <c r="A665" s="2">
        <v>0</v>
      </c>
    </row>
    <row r="666" spans="1:1" x14ac:dyDescent="0.25">
      <c r="A666" s="2">
        <v>0</v>
      </c>
    </row>
    <row r="667" spans="1:1" x14ac:dyDescent="0.25">
      <c r="A667" s="2">
        <v>0</v>
      </c>
    </row>
    <row r="668" spans="1:1" x14ac:dyDescent="0.25">
      <c r="A668" s="2">
        <v>1</v>
      </c>
    </row>
    <row r="669" spans="1:1" x14ac:dyDescent="0.25">
      <c r="A669" s="2">
        <v>0</v>
      </c>
    </row>
    <row r="670" spans="1:1" x14ac:dyDescent="0.25">
      <c r="A670" s="2">
        <v>0</v>
      </c>
    </row>
    <row r="671" spans="1:1" x14ac:dyDescent="0.25">
      <c r="A671" s="2">
        <v>1</v>
      </c>
    </row>
    <row r="672" spans="1:1" x14ac:dyDescent="0.25">
      <c r="A672" s="2">
        <v>0</v>
      </c>
    </row>
    <row r="673" spans="1:1" x14ac:dyDescent="0.25">
      <c r="A673" s="2">
        <v>1</v>
      </c>
    </row>
    <row r="674" spans="1:1" x14ac:dyDescent="0.25">
      <c r="A674" s="2">
        <v>1</v>
      </c>
    </row>
    <row r="675" spans="1:1" x14ac:dyDescent="0.25">
      <c r="A675" s="2">
        <v>0</v>
      </c>
    </row>
    <row r="676" spans="1:1" x14ac:dyDescent="0.25">
      <c r="A676" s="2">
        <v>0</v>
      </c>
    </row>
    <row r="677" spans="1:1" x14ac:dyDescent="0.25">
      <c r="A677" s="2">
        <v>0</v>
      </c>
    </row>
    <row r="678" spans="1:1" x14ac:dyDescent="0.25">
      <c r="A678" s="2">
        <v>0</v>
      </c>
    </row>
    <row r="679" spans="1:1" x14ac:dyDescent="0.25">
      <c r="A679" s="2">
        <v>0</v>
      </c>
    </row>
    <row r="680" spans="1:1" x14ac:dyDescent="0.25">
      <c r="A680" s="2">
        <v>0</v>
      </c>
    </row>
    <row r="681" spans="1:1" x14ac:dyDescent="0.25">
      <c r="A681" s="2">
        <v>0</v>
      </c>
    </row>
    <row r="682" spans="1:1" x14ac:dyDescent="0.25">
      <c r="A682" s="2">
        <v>2</v>
      </c>
    </row>
    <row r="683" spans="1:1" x14ac:dyDescent="0.25">
      <c r="A683" s="2">
        <v>1</v>
      </c>
    </row>
    <row r="684" spans="1:1" x14ac:dyDescent="0.25">
      <c r="A684" s="2">
        <v>0</v>
      </c>
    </row>
    <row r="685" spans="1:1" x14ac:dyDescent="0.25">
      <c r="A685" s="2">
        <v>0</v>
      </c>
    </row>
    <row r="686" spans="1:1" x14ac:dyDescent="0.25">
      <c r="A686" s="2">
        <v>0</v>
      </c>
    </row>
    <row r="687" spans="1:1" x14ac:dyDescent="0.25">
      <c r="A687" s="2">
        <v>1</v>
      </c>
    </row>
    <row r="688" spans="1:1" x14ac:dyDescent="0.25">
      <c r="A688" s="2">
        <v>0</v>
      </c>
    </row>
    <row r="689" spans="1:1" x14ac:dyDescent="0.25">
      <c r="A689" s="2">
        <v>0</v>
      </c>
    </row>
    <row r="690" spans="1:1" x14ac:dyDescent="0.25">
      <c r="A690" s="2">
        <v>1</v>
      </c>
    </row>
    <row r="691" spans="1:1" x14ac:dyDescent="0.25">
      <c r="A691" s="2">
        <v>1</v>
      </c>
    </row>
    <row r="692" spans="1:1" x14ac:dyDescent="0.25">
      <c r="A692" s="2">
        <v>1</v>
      </c>
    </row>
    <row r="693" spans="1:1" x14ac:dyDescent="0.25">
      <c r="A693" s="2">
        <v>1</v>
      </c>
    </row>
    <row r="694" spans="1:1" x14ac:dyDescent="0.25">
      <c r="A694" s="2">
        <v>0</v>
      </c>
    </row>
    <row r="695" spans="1:1" x14ac:dyDescent="0.25">
      <c r="A695" s="2">
        <v>2</v>
      </c>
    </row>
    <row r="696" spans="1:1" x14ac:dyDescent="0.25">
      <c r="A696" s="2">
        <v>1</v>
      </c>
    </row>
    <row r="697" spans="1:1" x14ac:dyDescent="0.25">
      <c r="A697" s="2">
        <v>0</v>
      </c>
    </row>
    <row r="698" spans="1:1" x14ac:dyDescent="0.25">
      <c r="A698" s="2">
        <v>0</v>
      </c>
    </row>
    <row r="699" spans="1:1" x14ac:dyDescent="0.25">
      <c r="A699" s="2">
        <v>1</v>
      </c>
    </row>
    <row r="700" spans="1:1" x14ac:dyDescent="0.25">
      <c r="A700" s="2">
        <v>0</v>
      </c>
    </row>
    <row r="701" spans="1:1" x14ac:dyDescent="0.25">
      <c r="A701" s="2">
        <v>0</v>
      </c>
    </row>
    <row r="702" spans="1:1" x14ac:dyDescent="0.25">
      <c r="A702" s="2">
        <v>0</v>
      </c>
    </row>
    <row r="703" spans="1:1" x14ac:dyDescent="0.25">
      <c r="A703" s="2">
        <v>0</v>
      </c>
    </row>
    <row r="704" spans="1:1" x14ac:dyDescent="0.25">
      <c r="A704" s="2">
        <v>0</v>
      </c>
    </row>
    <row r="705" spans="1:1" x14ac:dyDescent="0.25">
      <c r="A705" s="2">
        <v>2</v>
      </c>
    </row>
    <row r="706" spans="1:1" x14ac:dyDescent="0.25">
      <c r="A706" s="2">
        <v>1</v>
      </c>
    </row>
    <row r="707" spans="1:1" x14ac:dyDescent="0.25">
      <c r="A707" s="2">
        <v>0</v>
      </c>
    </row>
    <row r="708" spans="1:1" x14ac:dyDescent="0.25">
      <c r="A708" s="2">
        <v>1</v>
      </c>
    </row>
    <row r="709" spans="1:1" x14ac:dyDescent="0.25">
      <c r="A709" s="2">
        <v>1</v>
      </c>
    </row>
    <row r="710" spans="1:1" x14ac:dyDescent="0.25">
      <c r="A710" s="2">
        <v>0</v>
      </c>
    </row>
    <row r="711" spans="1:1" x14ac:dyDescent="0.25">
      <c r="A711" s="2">
        <v>2</v>
      </c>
    </row>
    <row r="712" spans="1:1" x14ac:dyDescent="0.25">
      <c r="A712" s="2">
        <v>0</v>
      </c>
    </row>
    <row r="713" spans="1:1" x14ac:dyDescent="0.25">
      <c r="A713" s="2">
        <v>1</v>
      </c>
    </row>
    <row r="714" spans="1:1" x14ac:dyDescent="0.25">
      <c r="A714" s="2">
        <v>0</v>
      </c>
    </row>
    <row r="715" spans="1:1" x14ac:dyDescent="0.25">
      <c r="A715" s="2">
        <v>0</v>
      </c>
    </row>
    <row r="716" spans="1:1" x14ac:dyDescent="0.25">
      <c r="A716" s="2">
        <v>2</v>
      </c>
    </row>
    <row r="717" spans="1:1" x14ac:dyDescent="0.25">
      <c r="A717" s="2">
        <v>1</v>
      </c>
    </row>
    <row r="718" spans="1:1" x14ac:dyDescent="0.25">
      <c r="A718" s="2">
        <v>2</v>
      </c>
    </row>
    <row r="719" spans="1:1" x14ac:dyDescent="0.25">
      <c r="A719" s="2">
        <v>0</v>
      </c>
    </row>
    <row r="720" spans="1:1" x14ac:dyDescent="0.25">
      <c r="A720" s="2">
        <v>0</v>
      </c>
    </row>
    <row r="721" spans="1:1" x14ac:dyDescent="0.25">
      <c r="A721" s="2">
        <v>0</v>
      </c>
    </row>
    <row r="722" spans="1:1" x14ac:dyDescent="0.25">
      <c r="A722" s="2">
        <v>1</v>
      </c>
    </row>
    <row r="723" spans="1:1" x14ac:dyDescent="0.25">
      <c r="A723" s="2">
        <v>0</v>
      </c>
    </row>
    <row r="724" spans="1:1" x14ac:dyDescent="0.25">
      <c r="A724" s="2">
        <v>2</v>
      </c>
    </row>
    <row r="725" spans="1:1" x14ac:dyDescent="0.25">
      <c r="A725" s="2">
        <v>0</v>
      </c>
    </row>
    <row r="726" spans="1:1" x14ac:dyDescent="0.25">
      <c r="A726" s="2">
        <v>0</v>
      </c>
    </row>
    <row r="727" spans="1:1" x14ac:dyDescent="0.25">
      <c r="A727" s="2">
        <v>0</v>
      </c>
    </row>
    <row r="728" spans="1:1" x14ac:dyDescent="0.25">
      <c r="A728" s="2">
        <v>0</v>
      </c>
    </row>
    <row r="729" spans="1:1" x14ac:dyDescent="0.25">
      <c r="A729" s="2">
        <v>2</v>
      </c>
    </row>
    <row r="730" spans="1:1" x14ac:dyDescent="0.25">
      <c r="A730" s="2">
        <v>1</v>
      </c>
    </row>
    <row r="731" spans="1:1" x14ac:dyDescent="0.25">
      <c r="A731" s="2">
        <v>0</v>
      </c>
    </row>
    <row r="732" spans="1:1" x14ac:dyDescent="0.25">
      <c r="A732" s="2">
        <v>2</v>
      </c>
    </row>
    <row r="733" spans="1:1" x14ac:dyDescent="0.25">
      <c r="A733" s="2">
        <v>0</v>
      </c>
    </row>
    <row r="734" spans="1:1" x14ac:dyDescent="0.25">
      <c r="A734" s="2">
        <v>0</v>
      </c>
    </row>
    <row r="735" spans="1:1" x14ac:dyDescent="0.25">
      <c r="A735" s="2">
        <v>1</v>
      </c>
    </row>
    <row r="736" spans="1:1" x14ac:dyDescent="0.25">
      <c r="A736" s="2">
        <v>2</v>
      </c>
    </row>
    <row r="737" spans="1:1" x14ac:dyDescent="0.25">
      <c r="A737" s="2">
        <v>2</v>
      </c>
    </row>
    <row r="738" spans="1:1" x14ac:dyDescent="0.25">
      <c r="A738" s="2">
        <v>1</v>
      </c>
    </row>
    <row r="739" spans="1:1" x14ac:dyDescent="0.25">
      <c r="A739" s="2">
        <v>2</v>
      </c>
    </row>
    <row r="740" spans="1:1" x14ac:dyDescent="0.25">
      <c r="A740" s="2">
        <v>2</v>
      </c>
    </row>
    <row r="741" spans="1:1" x14ac:dyDescent="0.25">
      <c r="A741" s="2">
        <v>0</v>
      </c>
    </row>
    <row r="742" spans="1:1" x14ac:dyDescent="0.25">
      <c r="A742" s="2">
        <v>2</v>
      </c>
    </row>
    <row r="743" spans="1:1" x14ac:dyDescent="0.25">
      <c r="A743" s="2">
        <v>0</v>
      </c>
    </row>
    <row r="744" spans="1:1" x14ac:dyDescent="0.25">
      <c r="A744" s="2">
        <v>0</v>
      </c>
    </row>
    <row r="745" spans="1:1" x14ac:dyDescent="0.25">
      <c r="A745" s="2">
        <v>2</v>
      </c>
    </row>
    <row r="746" spans="1:1" x14ac:dyDescent="0.25">
      <c r="A746" s="2">
        <v>0</v>
      </c>
    </row>
    <row r="747" spans="1:1" x14ac:dyDescent="0.25">
      <c r="A747" s="2">
        <v>2</v>
      </c>
    </row>
    <row r="748" spans="1:1" x14ac:dyDescent="0.25">
      <c r="A748" s="2">
        <v>2</v>
      </c>
    </row>
    <row r="749" spans="1:1" x14ac:dyDescent="0.25">
      <c r="A749" s="2">
        <v>0</v>
      </c>
    </row>
    <row r="750" spans="1:1" x14ac:dyDescent="0.25">
      <c r="A750" s="2">
        <v>2</v>
      </c>
    </row>
    <row r="751" spans="1:1" x14ac:dyDescent="0.25">
      <c r="A751" s="2">
        <v>2</v>
      </c>
    </row>
    <row r="752" spans="1:1" x14ac:dyDescent="0.25">
      <c r="A752" s="2">
        <v>2</v>
      </c>
    </row>
    <row r="753" spans="1:1" x14ac:dyDescent="0.25">
      <c r="A753" s="2">
        <v>0</v>
      </c>
    </row>
    <row r="754" spans="1:1" x14ac:dyDescent="0.25">
      <c r="A754" s="2">
        <v>1</v>
      </c>
    </row>
    <row r="755" spans="1:1" x14ac:dyDescent="0.25">
      <c r="A755" s="2">
        <v>0</v>
      </c>
    </row>
    <row r="756" spans="1:1" x14ac:dyDescent="0.25">
      <c r="A756" s="2">
        <v>0</v>
      </c>
    </row>
    <row r="757" spans="1:1" x14ac:dyDescent="0.25">
      <c r="A757" s="2">
        <v>0</v>
      </c>
    </row>
    <row r="758" spans="1:1" x14ac:dyDescent="0.25">
      <c r="A758" s="2">
        <v>0</v>
      </c>
    </row>
    <row r="759" spans="1:1" x14ac:dyDescent="0.25">
      <c r="A759" s="2">
        <v>0</v>
      </c>
    </row>
    <row r="760" spans="1:1" x14ac:dyDescent="0.25">
      <c r="A760" s="2">
        <v>0</v>
      </c>
    </row>
    <row r="761" spans="1:1" x14ac:dyDescent="0.25">
      <c r="A761" s="2">
        <v>0</v>
      </c>
    </row>
    <row r="762" spans="1:1" x14ac:dyDescent="0.25">
      <c r="A762" s="2">
        <v>2</v>
      </c>
    </row>
    <row r="763" spans="1:1" x14ac:dyDescent="0.25">
      <c r="A763" s="2">
        <v>0</v>
      </c>
    </row>
    <row r="764" spans="1:1" x14ac:dyDescent="0.25">
      <c r="A764" s="2">
        <v>2</v>
      </c>
    </row>
    <row r="765" spans="1:1" x14ac:dyDescent="0.25">
      <c r="A765" s="2">
        <v>2</v>
      </c>
    </row>
    <row r="766" spans="1:1" x14ac:dyDescent="0.25">
      <c r="A766" s="2">
        <v>1</v>
      </c>
    </row>
    <row r="767" spans="1:1" x14ac:dyDescent="0.25">
      <c r="A767" s="2">
        <v>0</v>
      </c>
    </row>
    <row r="768" spans="1:1" x14ac:dyDescent="0.25">
      <c r="A768" s="2">
        <v>0</v>
      </c>
    </row>
    <row r="769" spans="1:1" x14ac:dyDescent="0.25">
      <c r="A769" s="2">
        <v>0</v>
      </c>
    </row>
    <row r="770" spans="1:1" x14ac:dyDescent="0.25">
      <c r="A770" s="2">
        <v>0</v>
      </c>
    </row>
    <row r="771" spans="1:1" x14ac:dyDescent="0.25">
      <c r="A771" s="2">
        <v>2</v>
      </c>
    </row>
    <row r="772" spans="1:1" x14ac:dyDescent="0.25">
      <c r="A772" s="2">
        <v>2</v>
      </c>
    </row>
    <row r="773" spans="1:1" x14ac:dyDescent="0.25">
      <c r="A773" s="2">
        <v>2</v>
      </c>
    </row>
    <row r="774" spans="1:1" x14ac:dyDescent="0.25">
      <c r="A774" s="2">
        <v>2</v>
      </c>
    </row>
    <row r="775" spans="1:1" x14ac:dyDescent="0.25">
      <c r="A775" s="2">
        <v>2</v>
      </c>
    </row>
    <row r="776" spans="1:1" x14ac:dyDescent="0.25">
      <c r="A776" s="2">
        <v>1</v>
      </c>
    </row>
    <row r="777" spans="1:1" x14ac:dyDescent="0.25">
      <c r="A777" s="2">
        <v>2</v>
      </c>
    </row>
    <row r="778" spans="1:1" x14ac:dyDescent="0.25">
      <c r="A778" s="2">
        <v>2</v>
      </c>
    </row>
    <row r="779" spans="1:1" x14ac:dyDescent="0.25">
      <c r="A779" s="2">
        <v>2</v>
      </c>
    </row>
    <row r="780" spans="1:1" x14ac:dyDescent="0.25">
      <c r="A780" s="2">
        <v>1</v>
      </c>
    </row>
    <row r="781" spans="1:1" x14ac:dyDescent="0.25">
      <c r="A781" s="2">
        <v>2</v>
      </c>
    </row>
    <row r="782" spans="1:1" x14ac:dyDescent="0.25">
      <c r="A782" s="2">
        <v>1</v>
      </c>
    </row>
    <row r="783" spans="1:1" x14ac:dyDescent="0.25">
      <c r="A783" s="2">
        <v>0</v>
      </c>
    </row>
    <row r="784" spans="1:1" x14ac:dyDescent="0.25">
      <c r="A784" s="2">
        <v>0</v>
      </c>
    </row>
    <row r="785" spans="1:1" x14ac:dyDescent="0.25">
      <c r="A785" s="2">
        <v>0</v>
      </c>
    </row>
    <row r="786" spans="1:1" x14ac:dyDescent="0.25">
      <c r="A786" s="2">
        <v>1</v>
      </c>
    </row>
    <row r="787" spans="1:1" x14ac:dyDescent="0.25">
      <c r="A787" s="2">
        <v>0</v>
      </c>
    </row>
    <row r="788" spans="1:1" x14ac:dyDescent="0.25">
      <c r="A788" s="2">
        <v>0</v>
      </c>
    </row>
    <row r="789" spans="1:1" x14ac:dyDescent="0.25">
      <c r="A789" s="2">
        <v>0</v>
      </c>
    </row>
    <row r="790" spans="1:1" x14ac:dyDescent="0.25">
      <c r="A790" s="2">
        <v>1</v>
      </c>
    </row>
    <row r="791" spans="1:1" x14ac:dyDescent="0.25">
      <c r="A791" s="2">
        <v>0</v>
      </c>
    </row>
    <row r="792" spans="1:1" x14ac:dyDescent="0.25">
      <c r="A792" s="2">
        <v>0</v>
      </c>
    </row>
    <row r="793" spans="1:1" x14ac:dyDescent="0.25">
      <c r="A793" s="2">
        <v>2</v>
      </c>
    </row>
    <row r="794" spans="1:1" x14ac:dyDescent="0.25">
      <c r="A794" s="2">
        <v>1</v>
      </c>
    </row>
    <row r="795" spans="1:1" x14ac:dyDescent="0.25">
      <c r="A795" s="2">
        <v>0</v>
      </c>
    </row>
    <row r="796" spans="1:1" x14ac:dyDescent="0.25">
      <c r="A796" s="2">
        <v>1</v>
      </c>
    </row>
    <row r="797" spans="1:1" x14ac:dyDescent="0.25">
      <c r="A797" s="2">
        <v>0</v>
      </c>
    </row>
    <row r="798" spans="1:1" x14ac:dyDescent="0.25">
      <c r="A798" s="2">
        <v>0</v>
      </c>
    </row>
    <row r="799" spans="1:1" x14ac:dyDescent="0.25">
      <c r="A799" s="2">
        <v>0</v>
      </c>
    </row>
    <row r="800" spans="1:1" x14ac:dyDescent="0.25">
      <c r="A800" s="2">
        <v>2</v>
      </c>
    </row>
    <row r="801" spans="1:1" x14ac:dyDescent="0.25">
      <c r="A801" s="2">
        <v>0</v>
      </c>
    </row>
    <row r="802" spans="1:1" x14ac:dyDescent="0.25">
      <c r="A802" s="2">
        <v>0</v>
      </c>
    </row>
    <row r="803" spans="1:1" x14ac:dyDescent="0.25">
      <c r="A803" s="2">
        <v>0</v>
      </c>
    </row>
    <row r="804" spans="1:1" x14ac:dyDescent="0.25">
      <c r="A804" s="2">
        <v>0</v>
      </c>
    </row>
    <row r="805" spans="1:1" x14ac:dyDescent="0.25">
      <c r="A805" s="2">
        <v>0</v>
      </c>
    </row>
    <row r="806" spans="1:1" x14ac:dyDescent="0.25">
      <c r="A806" s="2">
        <v>0</v>
      </c>
    </row>
    <row r="807" spans="1:1" x14ac:dyDescent="0.25">
      <c r="A807" s="2">
        <v>1</v>
      </c>
    </row>
    <row r="808" spans="1:1" x14ac:dyDescent="0.25">
      <c r="A808" s="2">
        <v>0</v>
      </c>
    </row>
    <row r="809" spans="1:1" x14ac:dyDescent="0.25">
      <c r="A809" s="2">
        <v>0</v>
      </c>
    </row>
    <row r="810" spans="1:1" x14ac:dyDescent="0.25">
      <c r="A810" s="2">
        <v>0</v>
      </c>
    </row>
    <row r="811" spans="1:1" x14ac:dyDescent="0.25">
      <c r="A811" s="2">
        <v>0</v>
      </c>
    </row>
    <row r="812" spans="1:1" x14ac:dyDescent="0.25">
      <c r="A812" s="2">
        <v>0</v>
      </c>
    </row>
    <row r="813" spans="1:1" x14ac:dyDescent="0.25">
      <c r="A813" s="2">
        <v>0</v>
      </c>
    </row>
    <row r="814" spans="1:1" x14ac:dyDescent="0.25">
      <c r="A814" s="2">
        <v>0</v>
      </c>
    </row>
    <row r="815" spans="1:1" x14ac:dyDescent="0.25">
      <c r="A815" s="2">
        <v>0</v>
      </c>
    </row>
    <row r="816" spans="1:1" x14ac:dyDescent="0.25">
      <c r="A816" s="2">
        <v>0</v>
      </c>
    </row>
    <row r="817" spans="1:1" x14ac:dyDescent="0.25">
      <c r="A817" s="2">
        <v>0</v>
      </c>
    </row>
    <row r="818" spans="1:1" x14ac:dyDescent="0.25">
      <c r="A818" s="2">
        <v>0</v>
      </c>
    </row>
    <row r="819" spans="1:1" x14ac:dyDescent="0.25">
      <c r="A819" s="2">
        <v>0</v>
      </c>
    </row>
    <row r="820" spans="1:1" x14ac:dyDescent="0.25">
      <c r="A820" s="2">
        <v>0</v>
      </c>
    </row>
    <row r="821" spans="1:1" x14ac:dyDescent="0.25">
      <c r="A821" s="2">
        <v>1</v>
      </c>
    </row>
    <row r="822" spans="1:1" x14ac:dyDescent="0.25">
      <c r="A822" s="2">
        <v>0</v>
      </c>
    </row>
    <row r="823" spans="1:1" x14ac:dyDescent="0.25">
      <c r="A823" s="2">
        <v>0</v>
      </c>
    </row>
    <row r="824" spans="1:1" x14ac:dyDescent="0.25">
      <c r="A824" s="2">
        <v>0</v>
      </c>
    </row>
    <row r="825" spans="1:1" x14ac:dyDescent="0.25">
      <c r="A825" s="2">
        <v>0</v>
      </c>
    </row>
    <row r="826" spans="1:1" x14ac:dyDescent="0.25">
      <c r="A826" s="2">
        <v>1</v>
      </c>
    </row>
    <row r="827" spans="1:1" x14ac:dyDescent="0.25">
      <c r="A827" s="2">
        <v>0</v>
      </c>
    </row>
    <row r="828" spans="1:1" x14ac:dyDescent="0.25">
      <c r="A828" s="2">
        <v>1</v>
      </c>
    </row>
    <row r="829" spans="1:1" x14ac:dyDescent="0.25">
      <c r="A829" s="2">
        <v>2</v>
      </c>
    </row>
    <row r="830" spans="1:1" x14ac:dyDescent="0.25">
      <c r="A830" s="2">
        <v>0</v>
      </c>
    </row>
    <row r="831" spans="1:1" x14ac:dyDescent="0.25">
      <c r="A831" s="2">
        <v>0</v>
      </c>
    </row>
    <row r="832" spans="1:1" x14ac:dyDescent="0.25">
      <c r="A832" s="2">
        <v>0</v>
      </c>
    </row>
    <row r="833" spans="1:1" x14ac:dyDescent="0.25">
      <c r="A833" s="2">
        <v>0</v>
      </c>
    </row>
    <row r="834" spans="1:1" x14ac:dyDescent="0.25">
      <c r="A834" s="2">
        <v>1</v>
      </c>
    </row>
    <row r="835" spans="1:1" x14ac:dyDescent="0.25">
      <c r="A835" s="2">
        <v>1</v>
      </c>
    </row>
    <row r="836" spans="1:1" x14ac:dyDescent="0.25">
      <c r="A836" s="2">
        <v>0</v>
      </c>
    </row>
    <row r="837" spans="1:1" x14ac:dyDescent="0.25">
      <c r="A837" s="2">
        <v>1</v>
      </c>
    </row>
    <row r="838" spans="1:1" x14ac:dyDescent="0.25">
      <c r="A838" s="2">
        <v>0</v>
      </c>
    </row>
    <row r="839" spans="1:1" x14ac:dyDescent="0.25">
      <c r="A839" s="2">
        <v>2</v>
      </c>
    </row>
    <row r="840" spans="1:1" x14ac:dyDescent="0.25">
      <c r="A840" s="2">
        <v>2</v>
      </c>
    </row>
    <row r="841" spans="1:1" x14ac:dyDescent="0.25">
      <c r="A841" s="2">
        <v>0</v>
      </c>
    </row>
    <row r="842" spans="1:1" x14ac:dyDescent="0.25">
      <c r="A842" s="2">
        <v>2</v>
      </c>
    </row>
    <row r="843" spans="1:1" x14ac:dyDescent="0.25">
      <c r="A843" s="2">
        <v>0</v>
      </c>
    </row>
    <row r="844" spans="1:1" x14ac:dyDescent="0.25">
      <c r="A844" s="2">
        <v>1</v>
      </c>
    </row>
    <row r="845" spans="1:1" x14ac:dyDescent="0.25">
      <c r="A845" s="2">
        <v>0</v>
      </c>
    </row>
    <row r="846" spans="1:1" x14ac:dyDescent="0.25">
      <c r="A846" s="2">
        <v>1</v>
      </c>
    </row>
    <row r="847" spans="1:1" x14ac:dyDescent="0.25">
      <c r="A847" s="2">
        <v>2</v>
      </c>
    </row>
    <row r="848" spans="1:1" x14ac:dyDescent="0.25">
      <c r="A848" s="2">
        <v>2</v>
      </c>
    </row>
    <row r="849" spans="1:1" x14ac:dyDescent="0.25">
      <c r="A849" s="2">
        <v>0</v>
      </c>
    </row>
    <row r="850" spans="1:1" x14ac:dyDescent="0.25">
      <c r="A850" s="2">
        <v>0</v>
      </c>
    </row>
    <row r="851" spans="1:1" x14ac:dyDescent="0.25">
      <c r="A851" s="2">
        <v>1</v>
      </c>
    </row>
    <row r="852" spans="1:1" x14ac:dyDescent="0.25">
      <c r="A852" s="2">
        <v>1</v>
      </c>
    </row>
    <row r="853" spans="1:1" x14ac:dyDescent="0.25">
      <c r="A853" s="2">
        <v>2</v>
      </c>
    </row>
    <row r="854" spans="1:1" x14ac:dyDescent="0.25">
      <c r="A854" s="2">
        <v>2</v>
      </c>
    </row>
    <row r="855" spans="1:1" x14ac:dyDescent="0.25">
      <c r="A855" s="2">
        <v>1</v>
      </c>
    </row>
    <row r="856" spans="1:1" x14ac:dyDescent="0.25">
      <c r="A856" s="2">
        <v>0</v>
      </c>
    </row>
    <row r="857" spans="1:1" x14ac:dyDescent="0.25">
      <c r="A857" s="2">
        <v>0</v>
      </c>
    </row>
    <row r="858" spans="1:1" x14ac:dyDescent="0.25">
      <c r="A858" s="2">
        <v>0</v>
      </c>
    </row>
    <row r="859" spans="1:1" x14ac:dyDescent="0.25">
      <c r="A859" s="2">
        <v>0</v>
      </c>
    </row>
    <row r="860" spans="1:1" x14ac:dyDescent="0.25">
      <c r="A860" s="2">
        <v>0</v>
      </c>
    </row>
    <row r="861" spans="1:1" x14ac:dyDescent="0.25">
      <c r="A861" s="2">
        <v>1</v>
      </c>
    </row>
    <row r="862" spans="1:1" x14ac:dyDescent="0.25">
      <c r="A862" s="2">
        <v>0</v>
      </c>
    </row>
    <row r="863" spans="1:1" x14ac:dyDescent="0.25">
      <c r="A863" s="2">
        <v>0</v>
      </c>
    </row>
    <row r="864" spans="1:1" x14ac:dyDescent="0.25">
      <c r="A864" s="2">
        <v>2</v>
      </c>
    </row>
    <row r="865" spans="1:1" x14ac:dyDescent="0.25">
      <c r="A865" s="2">
        <v>0</v>
      </c>
    </row>
    <row r="866" spans="1:1" x14ac:dyDescent="0.25">
      <c r="A866" s="2">
        <v>2</v>
      </c>
    </row>
    <row r="867" spans="1:1" x14ac:dyDescent="0.25">
      <c r="A867" s="2">
        <v>2</v>
      </c>
    </row>
    <row r="868" spans="1:1" x14ac:dyDescent="0.25">
      <c r="A868" s="2">
        <v>1</v>
      </c>
    </row>
    <row r="869" spans="1:1" x14ac:dyDescent="0.25">
      <c r="A869" s="2">
        <v>2</v>
      </c>
    </row>
    <row r="870" spans="1:1" x14ac:dyDescent="0.25">
      <c r="A870" s="2">
        <v>1</v>
      </c>
    </row>
    <row r="871" spans="1:1" x14ac:dyDescent="0.25">
      <c r="A871" s="2">
        <v>0</v>
      </c>
    </row>
    <row r="872" spans="1:1" x14ac:dyDescent="0.25">
      <c r="A872" s="2">
        <v>2</v>
      </c>
    </row>
    <row r="873" spans="1:1" x14ac:dyDescent="0.25">
      <c r="A873" s="2">
        <v>1</v>
      </c>
    </row>
    <row r="874" spans="1:1" x14ac:dyDescent="0.25">
      <c r="A874" s="2">
        <v>1</v>
      </c>
    </row>
    <row r="875" spans="1:1" x14ac:dyDescent="0.25">
      <c r="A875" s="2">
        <v>0</v>
      </c>
    </row>
    <row r="876" spans="1:1" x14ac:dyDescent="0.25">
      <c r="A876" s="2">
        <v>2</v>
      </c>
    </row>
    <row r="877" spans="1:1" x14ac:dyDescent="0.25">
      <c r="A877" s="2">
        <v>2</v>
      </c>
    </row>
    <row r="878" spans="1:1" x14ac:dyDescent="0.25">
      <c r="A878" s="2">
        <v>0</v>
      </c>
    </row>
    <row r="879" spans="1:1" x14ac:dyDescent="0.25">
      <c r="A879" s="2">
        <v>2</v>
      </c>
    </row>
    <row r="880" spans="1:1" x14ac:dyDescent="0.25">
      <c r="A880" s="2">
        <v>1</v>
      </c>
    </row>
    <row r="881" spans="1:1" x14ac:dyDescent="0.25">
      <c r="A881" s="2">
        <v>0</v>
      </c>
    </row>
    <row r="882" spans="1:1" x14ac:dyDescent="0.25">
      <c r="A882" s="2">
        <v>1</v>
      </c>
    </row>
    <row r="883" spans="1:1" x14ac:dyDescent="0.25">
      <c r="A883" s="2">
        <v>2</v>
      </c>
    </row>
    <row r="884" spans="1:1" x14ac:dyDescent="0.25">
      <c r="A884" s="2">
        <v>2</v>
      </c>
    </row>
    <row r="885" spans="1:1" x14ac:dyDescent="0.25">
      <c r="A885" s="2">
        <v>0</v>
      </c>
    </row>
    <row r="886" spans="1:1" x14ac:dyDescent="0.25">
      <c r="A886" s="2">
        <v>2</v>
      </c>
    </row>
    <row r="887" spans="1:1" x14ac:dyDescent="0.25">
      <c r="A887" s="2">
        <v>0</v>
      </c>
    </row>
    <row r="888" spans="1:1" x14ac:dyDescent="0.25">
      <c r="A888" s="2">
        <v>0</v>
      </c>
    </row>
    <row r="889" spans="1:1" x14ac:dyDescent="0.25">
      <c r="A889" s="2">
        <v>0</v>
      </c>
    </row>
    <row r="890" spans="1:1" x14ac:dyDescent="0.25">
      <c r="A890" s="2">
        <v>0</v>
      </c>
    </row>
    <row r="891" spans="1:1" x14ac:dyDescent="0.25">
      <c r="A891" s="2">
        <v>0</v>
      </c>
    </row>
    <row r="892" spans="1:1" x14ac:dyDescent="0.25">
      <c r="A892" s="2">
        <v>1</v>
      </c>
    </row>
    <row r="893" spans="1:1" x14ac:dyDescent="0.25">
      <c r="A893" s="2">
        <v>1</v>
      </c>
    </row>
    <row r="894" spans="1:1" x14ac:dyDescent="0.25">
      <c r="A894" s="2">
        <v>0</v>
      </c>
    </row>
    <row r="895" spans="1:1" x14ac:dyDescent="0.25">
      <c r="A895" s="2">
        <v>1</v>
      </c>
    </row>
    <row r="896" spans="1:1" x14ac:dyDescent="0.25">
      <c r="A896" s="2">
        <v>0</v>
      </c>
    </row>
    <row r="897" spans="1:1" x14ac:dyDescent="0.25">
      <c r="A897" s="2">
        <v>2</v>
      </c>
    </row>
    <row r="898" spans="1:1" x14ac:dyDescent="0.25">
      <c r="A898" s="2">
        <v>1</v>
      </c>
    </row>
    <row r="899" spans="1:1" x14ac:dyDescent="0.25">
      <c r="A899" s="2">
        <v>0</v>
      </c>
    </row>
    <row r="900" spans="1:1" x14ac:dyDescent="0.25">
      <c r="A900" s="2">
        <v>2</v>
      </c>
    </row>
    <row r="901" spans="1:1" x14ac:dyDescent="0.25">
      <c r="A901" s="2">
        <v>1</v>
      </c>
    </row>
    <row r="902" spans="1:1" x14ac:dyDescent="0.25">
      <c r="A902" s="2">
        <v>2</v>
      </c>
    </row>
    <row r="903" spans="1:1" x14ac:dyDescent="0.25">
      <c r="A903" s="2">
        <v>0</v>
      </c>
    </row>
    <row r="904" spans="1:1" x14ac:dyDescent="0.25">
      <c r="A904" s="2">
        <v>0</v>
      </c>
    </row>
    <row r="905" spans="1:1" x14ac:dyDescent="0.25">
      <c r="A905" s="2">
        <v>0</v>
      </c>
    </row>
    <row r="906" spans="1:1" x14ac:dyDescent="0.25">
      <c r="A906" s="2">
        <v>0</v>
      </c>
    </row>
    <row r="907" spans="1:1" x14ac:dyDescent="0.25">
      <c r="A907" s="2">
        <v>0</v>
      </c>
    </row>
    <row r="908" spans="1:1" x14ac:dyDescent="0.25">
      <c r="A908" s="2">
        <v>0</v>
      </c>
    </row>
    <row r="909" spans="1:1" x14ac:dyDescent="0.25">
      <c r="A909" s="2">
        <v>0</v>
      </c>
    </row>
    <row r="910" spans="1:1" x14ac:dyDescent="0.25">
      <c r="A910" s="2">
        <v>0</v>
      </c>
    </row>
    <row r="911" spans="1:1" x14ac:dyDescent="0.25">
      <c r="A911" s="2">
        <v>0</v>
      </c>
    </row>
    <row r="912" spans="1:1" x14ac:dyDescent="0.25">
      <c r="A912" s="2">
        <v>0</v>
      </c>
    </row>
    <row r="913" spans="1:1" x14ac:dyDescent="0.25">
      <c r="A913" s="2">
        <v>0</v>
      </c>
    </row>
    <row r="914" spans="1:1" x14ac:dyDescent="0.25">
      <c r="A914" s="2">
        <v>1</v>
      </c>
    </row>
    <row r="915" spans="1:1" x14ac:dyDescent="0.25">
      <c r="A915" s="2">
        <v>1</v>
      </c>
    </row>
    <row r="916" spans="1:1" x14ac:dyDescent="0.25">
      <c r="A916" s="2">
        <v>0</v>
      </c>
    </row>
    <row r="917" spans="1:1" x14ac:dyDescent="0.25">
      <c r="A917" s="2">
        <v>0</v>
      </c>
    </row>
    <row r="918" spans="1:1" x14ac:dyDescent="0.25">
      <c r="A918" s="2">
        <v>0</v>
      </c>
    </row>
    <row r="919" spans="1:1" x14ac:dyDescent="0.25">
      <c r="A919" s="2">
        <v>2</v>
      </c>
    </row>
    <row r="920" spans="1:1" x14ac:dyDescent="0.25">
      <c r="A920" s="2">
        <v>1</v>
      </c>
    </row>
    <row r="921" spans="1:1" x14ac:dyDescent="0.25">
      <c r="A921" s="2">
        <v>1</v>
      </c>
    </row>
    <row r="922" spans="1:1" x14ac:dyDescent="0.25">
      <c r="A922" s="2">
        <v>0</v>
      </c>
    </row>
    <row r="923" spans="1:1" x14ac:dyDescent="0.25">
      <c r="A923" s="2">
        <v>0</v>
      </c>
    </row>
    <row r="924" spans="1:1" x14ac:dyDescent="0.25">
      <c r="A924" s="2">
        <v>1</v>
      </c>
    </row>
    <row r="925" spans="1:1" x14ac:dyDescent="0.25">
      <c r="A925" s="2">
        <v>0</v>
      </c>
    </row>
    <row r="926" spans="1:1" x14ac:dyDescent="0.25">
      <c r="A926" s="2">
        <v>0</v>
      </c>
    </row>
    <row r="927" spans="1:1" x14ac:dyDescent="0.25">
      <c r="A927" s="2">
        <v>0</v>
      </c>
    </row>
    <row r="928" spans="1:1" x14ac:dyDescent="0.25">
      <c r="A928" s="2">
        <v>0</v>
      </c>
    </row>
    <row r="929" spans="1:1" x14ac:dyDescent="0.25">
      <c r="A929" s="2">
        <v>0</v>
      </c>
    </row>
    <row r="930" spans="1:1" x14ac:dyDescent="0.25">
      <c r="A930" s="2">
        <v>1</v>
      </c>
    </row>
    <row r="931" spans="1:1" x14ac:dyDescent="0.25">
      <c r="A931" s="2">
        <v>0</v>
      </c>
    </row>
    <row r="932" spans="1:1" x14ac:dyDescent="0.25">
      <c r="A932" s="2">
        <v>1</v>
      </c>
    </row>
    <row r="933" spans="1:1" x14ac:dyDescent="0.25">
      <c r="A933" s="2">
        <v>1</v>
      </c>
    </row>
    <row r="934" spans="1:1" x14ac:dyDescent="0.25">
      <c r="A934" s="2">
        <v>0</v>
      </c>
    </row>
    <row r="935" spans="1:1" x14ac:dyDescent="0.25">
      <c r="A935" s="2">
        <v>0</v>
      </c>
    </row>
    <row r="936" spans="1:1" x14ac:dyDescent="0.25">
      <c r="A936" s="2">
        <v>0</v>
      </c>
    </row>
    <row r="937" spans="1:1" x14ac:dyDescent="0.25">
      <c r="A937" s="2">
        <v>0</v>
      </c>
    </row>
    <row r="938" spans="1:1" x14ac:dyDescent="0.25">
      <c r="A938" s="2">
        <v>1</v>
      </c>
    </row>
    <row r="939" spans="1:1" x14ac:dyDescent="0.25">
      <c r="A939" s="2">
        <v>1</v>
      </c>
    </row>
    <row r="940" spans="1:1" x14ac:dyDescent="0.25">
      <c r="A940" s="2">
        <v>0</v>
      </c>
    </row>
    <row r="941" spans="1:1" x14ac:dyDescent="0.25">
      <c r="A941" s="2">
        <v>0</v>
      </c>
    </row>
    <row r="942" spans="1:1" x14ac:dyDescent="0.25">
      <c r="A942" s="2">
        <v>0</v>
      </c>
    </row>
    <row r="943" spans="1:1" x14ac:dyDescent="0.25">
      <c r="A943" s="2">
        <v>1</v>
      </c>
    </row>
    <row r="944" spans="1:1" x14ac:dyDescent="0.25">
      <c r="A944" s="2">
        <v>2</v>
      </c>
    </row>
    <row r="945" spans="1:1" x14ac:dyDescent="0.25">
      <c r="A945" s="2">
        <v>1</v>
      </c>
    </row>
    <row r="946" spans="1:1" x14ac:dyDescent="0.25">
      <c r="A946" s="2">
        <v>2</v>
      </c>
    </row>
    <row r="947" spans="1:1" x14ac:dyDescent="0.25">
      <c r="A947" s="2">
        <v>2</v>
      </c>
    </row>
    <row r="948" spans="1:1" x14ac:dyDescent="0.25">
      <c r="A948" s="2">
        <v>1</v>
      </c>
    </row>
    <row r="949" spans="1:1" x14ac:dyDescent="0.25">
      <c r="A949" s="2">
        <v>0</v>
      </c>
    </row>
    <row r="950" spans="1:1" x14ac:dyDescent="0.25">
      <c r="A950" s="2">
        <v>0</v>
      </c>
    </row>
    <row r="951" spans="1:1" x14ac:dyDescent="0.25">
      <c r="A951" s="2">
        <v>2</v>
      </c>
    </row>
    <row r="952" spans="1:1" x14ac:dyDescent="0.25">
      <c r="A952" s="2">
        <v>2</v>
      </c>
    </row>
    <row r="953" spans="1:1" x14ac:dyDescent="0.25">
      <c r="A953" s="2">
        <v>1</v>
      </c>
    </row>
    <row r="954" spans="1:1" x14ac:dyDescent="0.25">
      <c r="A954" s="2">
        <v>2</v>
      </c>
    </row>
    <row r="955" spans="1:1" x14ac:dyDescent="0.25">
      <c r="A955" s="2">
        <v>0</v>
      </c>
    </row>
    <row r="956" spans="1:1" x14ac:dyDescent="0.25">
      <c r="A956" s="2">
        <v>2</v>
      </c>
    </row>
    <row r="957" spans="1:1" x14ac:dyDescent="0.25">
      <c r="A957" s="2">
        <v>0</v>
      </c>
    </row>
    <row r="958" spans="1:1" x14ac:dyDescent="0.25">
      <c r="A958" s="2">
        <v>0</v>
      </c>
    </row>
    <row r="959" spans="1:1" x14ac:dyDescent="0.25">
      <c r="A959" s="2">
        <v>2</v>
      </c>
    </row>
    <row r="960" spans="1:1" x14ac:dyDescent="0.25">
      <c r="A960" s="2">
        <v>0</v>
      </c>
    </row>
    <row r="961" spans="1:1" x14ac:dyDescent="0.25">
      <c r="A961" s="2">
        <v>0</v>
      </c>
    </row>
    <row r="962" spans="1:1" x14ac:dyDescent="0.25">
      <c r="A962" s="2">
        <v>0</v>
      </c>
    </row>
    <row r="963" spans="1:1" x14ac:dyDescent="0.25">
      <c r="A963" s="2">
        <v>1</v>
      </c>
    </row>
    <row r="964" spans="1:1" x14ac:dyDescent="0.25">
      <c r="A964" s="2">
        <v>0</v>
      </c>
    </row>
    <row r="965" spans="1:1" x14ac:dyDescent="0.25">
      <c r="A965" s="2">
        <v>0</v>
      </c>
    </row>
    <row r="966" spans="1:1" x14ac:dyDescent="0.25">
      <c r="A966" s="2">
        <v>0</v>
      </c>
    </row>
    <row r="967" spans="1:1" x14ac:dyDescent="0.25">
      <c r="A967" s="2">
        <v>0</v>
      </c>
    </row>
    <row r="968" spans="1:1" x14ac:dyDescent="0.25">
      <c r="A968" s="2">
        <v>0</v>
      </c>
    </row>
    <row r="969" spans="1:1" x14ac:dyDescent="0.25">
      <c r="A969" s="2">
        <v>2</v>
      </c>
    </row>
    <row r="970" spans="1:1" x14ac:dyDescent="0.25">
      <c r="A970" s="2">
        <v>0</v>
      </c>
    </row>
    <row r="971" spans="1:1" x14ac:dyDescent="0.25">
      <c r="A971" s="2">
        <v>1</v>
      </c>
    </row>
    <row r="972" spans="1:1" x14ac:dyDescent="0.25">
      <c r="A972" s="2">
        <v>0</v>
      </c>
    </row>
    <row r="973" spans="1:1" x14ac:dyDescent="0.25">
      <c r="A973" s="2">
        <v>2</v>
      </c>
    </row>
    <row r="974" spans="1:1" x14ac:dyDescent="0.25">
      <c r="A974" s="2">
        <v>2</v>
      </c>
    </row>
    <row r="975" spans="1:1" x14ac:dyDescent="0.25">
      <c r="A975" s="2">
        <v>0</v>
      </c>
    </row>
    <row r="976" spans="1:1" x14ac:dyDescent="0.25">
      <c r="A976" s="2">
        <v>0</v>
      </c>
    </row>
    <row r="977" spans="1:1" x14ac:dyDescent="0.25">
      <c r="A977" s="2">
        <v>0</v>
      </c>
    </row>
    <row r="978" spans="1:1" x14ac:dyDescent="0.25">
      <c r="A978" s="2">
        <v>0</v>
      </c>
    </row>
    <row r="979" spans="1:1" x14ac:dyDescent="0.25">
      <c r="A979" s="2">
        <v>0</v>
      </c>
    </row>
    <row r="980" spans="1:1" x14ac:dyDescent="0.25">
      <c r="A980" s="2">
        <v>0</v>
      </c>
    </row>
    <row r="981" spans="1:1" x14ac:dyDescent="0.25">
      <c r="A981" s="2">
        <v>2</v>
      </c>
    </row>
    <row r="982" spans="1:1" x14ac:dyDescent="0.25">
      <c r="A982" s="2">
        <v>2</v>
      </c>
    </row>
    <row r="983" spans="1:1" x14ac:dyDescent="0.25">
      <c r="A983" s="2">
        <v>0</v>
      </c>
    </row>
    <row r="984" spans="1:1" x14ac:dyDescent="0.25">
      <c r="A984" s="2">
        <v>2</v>
      </c>
    </row>
    <row r="985" spans="1:1" x14ac:dyDescent="0.25">
      <c r="A985" s="2">
        <v>0</v>
      </c>
    </row>
    <row r="986" spans="1:1" x14ac:dyDescent="0.25">
      <c r="A986" s="2">
        <v>2</v>
      </c>
    </row>
    <row r="987" spans="1:1" x14ac:dyDescent="0.25">
      <c r="A987" s="2">
        <v>1</v>
      </c>
    </row>
    <row r="988" spans="1:1" x14ac:dyDescent="0.25">
      <c r="A988" s="2">
        <v>2</v>
      </c>
    </row>
    <row r="989" spans="1:1" x14ac:dyDescent="0.25">
      <c r="A989" s="2">
        <v>1</v>
      </c>
    </row>
    <row r="990" spans="1:1" x14ac:dyDescent="0.25">
      <c r="A990" s="2">
        <v>0</v>
      </c>
    </row>
    <row r="991" spans="1:1" x14ac:dyDescent="0.25">
      <c r="A991" s="2">
        <v>0</v>
      </c>
    </row>
    <row r="992" spans="1:1" x14ac:dyDescent="0.25">
      <c r="A992" s="2">
        <v>2</v>
      </c>
    </row>
    <row r="993" spans="1:1" x14ac:dyDescent="0.25">
      <c r="A993" s="2">
        <v>2</v>
      </c>
    </row>
    <row r="994" spans="1:1" x14ac:dyDescent="0.25">
      <c r="A994" s="2">
        <v>0</v>
      </c>
    </row>
    <row r="995" spans="1:1" x14ac:dyDescent="0.25">
      <c r="A995" s="2">
        <v>1</v>
      </c>
    </row>
    <row r="996" spans="1:1" x14ac:dyDescent="0.25">
      <c r="A996" s="2">
        <v>1</v>
      </c>
    </row>
    <row r="997" spans="1:1" x14ac:dyDescent="0.25">
      <c r="A997" s="2">
        <v>2</v>
      </c>
    </row>
    <row r="998" spans="1:1" x14ac:dyDescent="0.25">
      <c r="A998" s="2">
        <v>2</v>
      </c>
    </row>
    <row r="999" spans="1:1" x14ac:dyDescent="0.25">
      <c r="A999" s="2">
        <v>1</v>
      </c>
    </row>
    <row r="1000" spans="1:1" x14ac:dyDescent="0.25">
      <c r="A1000" s="2">
        <v>0</v>
      </c>
    </row>
    <row r="1001" spans="1:1" x14ac:dyDescent="0.25">
      <c r="A1001" s="2">
        <v>2</v>
      </c>
    </row>
    <row r="1002" spans="1:1" x14ac:dyDescent="0.25">
      <c r="A1002" s="2">
        <v>2</v>
      </c>
    </row>
    <row r="1003" spans="1:1" x14ac:dyDescent="0.25">
      <c r="A1003" s="2">
        <v>2</v>
      </c>
    </row>
    <row r="1004" spans="1:1" x14ac:dyDescent="0.25">
      <c r="A1004" s="2">
        <v>0</v>
      </c>
    </row>
    <row r="1005" spans="1:1" x14ac:dyDescent="0.25">
      <c r="A1005" s="2">
        <v>0</v>
      </c>
    </row>
    <row r="1006" spans="1:1" x14ac:dyDescent="0.25">
      <c r="A1006" s="2">
        <v>1</v>
      </c>
    </row>
    <row r="1007" spans="1:1" x14ac:dyDescent="0.25">
      <c r="A1007" s="2">
        <v>0</v>
      </c>
    </row>
    <row r="1008" spans="1:1" x14ac:dyDescent="0.25">
      <c r="A1008" s="2">
        <v>0</v>
      </c>
    </row>
    <row r="1009" spans="1:1" x14ac:dyDescent="0.25">
      <c r="A1009" s="2">
        <v>2</v>
      </c>
    </row>
    <row r="1010" spans="1:1" x14ac:dyDescent="0.25">
      <c r="A1010" s="2">
        <v>0</v>
      </c>
    </row>
    <row r="1011" spans="1:1" x14ac:dyDescent="0.25">
      <c r="A1011" s="2">
        <v>1</v>
      </c>
    </row>
    <row r="1012" spans="1:1" x14ac:dyDescent="0.25">
      <c r="A1012" s="2">
        <v>2</v>
      </c>
    </row>
    <row r="1013" spans="1:1" x14ac:dyDescent="0.25">
      <c r="A1013" s="2">
        <v>0</v>
      </c>
    </row>
    <row r="1014" spans="1:1" x14ac:dyDescent="0.25">
      <c r="A1014" s="2">
        <v>1</v>
      </c>
    </row>
    <row r="1015" spans="1:1" x14ac:dyDescent="0.25">
      <c r="A1015" s="2">
        <v>0</v>
      </c>
    </row>
    <row r="1016" spans="1:1" x14ac:dyDescent="0.25">
      <c r="A1016" s="2">
        <v>0</v>
      </c>
    </row>
    <row r="1017" spans="1:1" x14ac:dyDescent="0.25">
      <c r="A1017" s="2">
        <v>0</v>
      </c>
    </row>
    <row r="1018" spans="1:1" x14ac:dyDescent="0.25">
      <c r="A1018" s="2">
        <v>0</v>
      </c>
    </row>
    <row r="1019" spans="1:1" x14ac:dyDescent="0.25">
      <c r="A1019" s="2">
        <v>0</v>
      </c>
    </row>
    <row r="1020" spans="1:1" x14ac:dyDescent="0.25">
      <c r="A1020" s="2">
        <v>0</v>
      </c>
    </row>
    <row r="1021" spans="1:1" x14ac:dyDescent="0.25">
      <c r="A1021" s="2">
        <v>1</v>
      </c>
    </row>
    <row r="1022" spans="1:1" x14ac:dyDescent="0.25">
      <c r="A1022" s="2">
        <v>1</v>
      </c>
    </row>
    <row r="1023" spans="1:1" x14ac:dyDescent="0.25">
      <c r="A1023" s="2">
        <v>1</v>
      </c>
    </row>
    <row r="1024" spans="1:1" x14ac:dyDescent="0.25">
      <c r="A1024" s="2">
        <v>1</v>
      </c>
    </row>
    <row r="1025" spans="1:1" x14ac:dyDescent="0.25">
      <c r="A1025" s="2">
        <v>2</v>
      </c>
    </row>
    <row r="1026" spans="1:1" x14ac:dyDescent="0.25">
      <c r="A1026" s="2">
        <v>0</v>
      </c>
    </row>
    <row r="1027" spans="1:1" x14ac:dyDescent="0.25">
      <c r="A1027" s="2">
        <v>0</v>
      </c>
    </row>
    <row r="1028" spans="1:1" x14ac:dyDescent="0.25">
      <c r="A1028" s="2">
        <v>0</v>
      </c>
    </row>
    <row r="1029" spans="1:1" x14ac:dyDescent="0.25">
      <c r="A1029" s="2">
        <v>0</v>
      </c>
    </row>
    <row r="1030" spans="1:1" x14ac:dyDescent="0.25">
      <c r="A1030" s="2">
        <v>1</v>
      </c>
    </row>
    <row r="1031" spans="1:1" x14ac:dyDescent="0.25">
      <c r="A1031" s="2">
        <v>0</v>
      </c>
    </row>
    <row r="1032" spans="1:1" x14ac:dyDescent="0.25">
      <c r="A1032" s="2">
        <v>0</v>
      </c>
    </row>
    <row r="1033" spans="1:1" x14ac:dyDescent="0.25">
      <c r="A1033" s="2">
        <v>0</v>
      </c>
    </row>
    <row r="1034" spans="1:1" x14ac:dyDescent="0.25">
      <c r="A1034" s="2">
        <v>0</v>
      </c>
    </row>
    <row r="1035" spans="1:1" x14ac:dyDescent="0.25">
      <c r="A1035" s="2">
        <v>1</v>
      </c>
    </row>
    <row r="1036" spans="1:1" x14ac:dyDescent="0.25">
      <c r="A1036" s="2">
        <v>1</v>
      </c>
    </row>
    <row r="1037" spans="1:1" x14ac:dyDescent="0.25">
      <c r="A1037" s="2">
        <v>0</v>
      </c>
    </row>
    <row r="1038" spans="1:1" x14ac:dyDescent="0.25">
      <c r="A1038" s="2">
        <v>0</v>
      </c>
    </row>
    <row r="1039" spans="1:1" x14ac:dyDescent="0.25">
      <c r="A1039" s="2">
        <v>1</v>
      </c>
    </row>
    <row r="1040" spans="1:1" x14ac:dyDescent="0.25">
      <c r="A1040" s="2">
        <v>0</v>
      </c>
    </row>
    <row r="1041" spans="1:1" x14ac:dyDescent="0.25">
      <c r="A1041" s="2">
        <v>1</v>
      </c>
    </row>
    <row r="1042" spans="1:1" x14ac:dyDescent="0.25">
      <c r="A1042" s="2">
        <v>0</v>
      </c>
    </row>
    <row r="1043" spans="1:1" x14ac:dyDescent="0.25">
      <c r="A1043" s="2">
        <v>1</v>
      </c>
    </row>
    <row r="1044" spans="1:1" x14ac:dyDescent="0.25">
      <c r="A1044" s="2">
        <v>1</v>
      </c>
    </row>
    <row r="1045" spans="1:1" x14ac:dyDescent="0.25">
      <c r="A1045" s="2">
        <v>1</v>
      </c>
    </row>
    <row r="1046" spans="1:1" x14ac:dyDescent="0.25">
      <c r="A1046" s="2">
        <v>0</v>
      </c>
    </row>
    <row r="1047" spans="1:1" x14ac:dyDescent="0.25">
      <c r="A1047" s="2">
        <v>0</v>
      </c>
    </row>
    <row r="1048" spans="1:1" x14ac:dyDescent="0.25">
      <c r="A1048" s="2">
        <v>0</v>
      </c>
    </row>
    <row r="1049" spans="1:1" x14ac:dyDescent="0.25">
      <c r="A1049" s="2">
        <v>0</v>
      </c>
    </row>
    <row r="1050" spans="1:1" x14ac:dyDescent="0.25">
      <c r="A1050" s="2">
        <v>0</v>
      </c>
    </row>
    <row r="1051" spans="1:1" x14ac:dyDescent="0.25">
      <c r="A1051" s="2">
        <v>0</v>
      </c>
    </row>
    <row r="1052" spans="1:1" x14ac:dyDescent="0.25">
      <c r="A1052" s="2">
        <v>0</v>
      </c>
    </row>
    <row r="1053" spans="1:1" x14ac:dyDescent="0.25">
      <c r="A1053" s="2">
        <v>0</v>
      </c>
    </row>
    <row r="1054" spans="1:1" x14ac:dyDescent="0.25">
      <c r="A1054" s="2">
        <v>1</v>
      </c>
    </row>
    <row r="1055" spans="1:1" x14ac:dyDescent="0.25">
      <c r="A1055" s="2">
        <v>1</v>
      </c>
    </row>
    <row r="1056" spans="1:1" x14ac:dyDescent="0.25">
      <c r="A1056" s="2">
        <v>2</v>
      </c>
    </row>
    <row r="1057" spans="1:1" x14ac:dyDescent="0.25">
      <c r="A1057" s="2">
        <v>0</v>
      </c>
    </row>
    <row r="1058" spans="1:1" x14ac:dyDescent="0.25">
      <c r="A1058" s="2">
        <v>1</v>
      </c>
    </row>
    <row r="1059" spans="1:1" x14ac:dyDescent="0.25">
      <c r="A1059" s="2">
        <v>1</v>
      </c>
    </row>
    <row r="1060" spans="1:1" x14ac:dyDescent="0.25">
      <c r="A1060" s="2">
        <v>1</v>
      </c>
    </row>
    <row r="1061" spans="1:1" x14ac:dyDescent="0.25">
      <c r="A1061" s="2">
        <v>0</v>
      </c>
    </row>
    <row r="1062" spans="1:1" x14ac:dyDescent="0.25">
      <c r="A1062" s="2">
        <v>0</v>
      </c>
    </row>
    <row r="1063" spans="1:1" x14ac:dyDescent="0.25">
      <c r="A1063" s="2">
        <v>1</v>
      </c>
    </row>
    <row r="1064" spans="1:1" x14ac:dyDescent="0.25">
      <c r="A1064" s="2">
        <v>0</v>
      </c>
    </row>
    <row r="1065" spans="1:1" x14ac:dyDescent="0.25">
      <c r="A1065" s="2">
        <v>0</v>
      </c>
    </row>
    <row r="1066" spans="1:1" x14ac:dyDescent="0.25">
      <c r="A1066" s="2">
        <v>0</v>
      </c>
    </row>
    <row r="1067" spans="1:1" x14ac:dyDescent="0.25">
      <c r="A1067" s="2">
        <v>1</v>
      </c>
    </row>
    <row r="1068" spans="1:1" x14ac:dyDescent="0.25">
      <c r="A1068" s="2">
        <v>2</v>
      </c>
    </row>
    <row r="1069" spans="1:1" x14ac:dyDescent="0.25">
      <c r="A1069" s="2">
        <v>2</v>
      </c>
    </row>
    <row r="1070" spans="1:1" x14ac:dyDescent="0.25">
      <c r="A1070" s="2">
        <v>2</v>
      </c>
    </row>
    <row r="1071" spans="1:1" x14ac:dyDescent="0.25">
      <c r="A1071" s="2">
        <v>0</v>
      </c>
    </row>
    <row r="1072" spans="1:1" x14ac:dyDescent="0.25">
      <c r="A1072" s="2">
        <v>0</v>
      </c>
    </row>
    <row r="1073" spans="1:1" x14ac:dyDescent="0.25">
      <c r="A1073" s="2">
        <v>1</v>
      </c>
    </row>
    <row r="1074" spans="1:1" x14ac:dyDescent="0.25">
      <c r="A1074" s="2">
        <v>0</v>
      </c>
    </row>
    <row r="1075" spans="1:1" x14ac:dyDescent="0.25">
      <c r="A1075" s="2">
        <v>0</v>
      </c>
    </row>
    <row r="1076" spans="1:1" x14ac:dyDescent="0.25">
      <c r="A1076" s="2">
        <v>2</v>
      </c>
    </row>
    <row r="1077" spans="1:1" x14ac:dyDescent="0.25">
      <c r="A1077" s="2">
        <v>0</v>
      </c>
    </row>
    <row r="1078" spans="1:1" x14ac:dyDescent="0.25">
      <c r="A1078" s="2">
        <v>2</v>
      </c>
    </row>
    <row r="1079" spans="1:1" x14ac:dyDescent="0.25">
      <c r="A1079" s="2">
        <v>0</v>
      </c>
    </row>
    <row r="1080" spans="1:1" x14ac:dyDescent="0.25">
      <c r="A1080" s="2">
        <v>2</v>
      </c>
    </row>
    <row r="1081" spans="1:1" x14ac:dyDescent="0.25">
      <c r="A1081" s="2">
        <v>1</v>
      </c>
    </row>
    <row r="1082" spans="1:1" x14ac:dyDescent="0.25">
      <c r="A1082" s="2">
        <v>0</v>
      </c>
    </row>
    <row r="1083" spans="1:1" x14ac:dyDescent="0.25">
      <c r="A1083" s="2">
        <v>0</v>
      </c>
    </row>
    <row r="1084" spans="1:1" x14ac:dyDescent="0.25">
      <c r="A1084" s="2">
        <v>2</v>
      </c>
    </row>
    <row r="1085" spans="1:1" x14ac:dyDescent="0.25">
      <c r="A1085" s="2">
        <v>0</v>
      </c>
    </row>
    <row r="1086" spans="1:1" x14ac:dyDescent="0.25">
      <c r="A1086" s="2">
        <v>2</v>
      </c>
    </row>
    <row r="1087" spans="1:1" x14ac:dyDescent="0.25">
      <c r="A1087" s="2">
        <v>0</v>
      </c>
    </row>
    <row r="1088" spans="1:1" x14ac:dyDescent="0.25">
      <c r="A1088" s="2">
        <v>1</v>
      </c>
    </row>
    <row r="1089" spans="1:1" x14ac:dyDescent="0.25">
      <c r="A1089" s="2">
        <v>0</v>
      </c>
    </row>
    <row r="1090" spans="1:1" x14ac:dyDescent="0.25">
      <c r="A1090" s="2">
        <v>0</v>
      </c>
    </row>
    <row r="1091" spans="1:1" x14ac:dyDescent="0.25">
      <c r="A1091" s="2">
        <v>0</v>
      </c>
    </row>
    <row r="1092" spans="1:1" x14ac:dyDescent="0.25">
      <c r="A1092" s="2">
        <v>0</v>
      </c>
    </row>
    <row r="1093" spans="1:1" x14ac:dyDescent="0.25">
      <c r="A1093" s="2">
        <v>0</v>
      </c>
    </row>
    <row r="1094" spans="1:1" x14ac:dyDescent="0.25">
      <c r="A1094" s="2">
        <v>2</v>
      </c>
    </row>
    <row r="1095" spans="1:1" x14ac:dyDescent="0.25">
      <c r="A1095" s="2">
        <v>2</v>
      </c>
    </row>
    <row r="1096" spans="1:1" x14ac:dyDescent="0.25">
      <c r="A1096" s="2">
        <v>0</v>
      </c>
    </row>
    <row r="1097" spans="1:1" x14ac:dyDescent="0.25">
      <c r="A1097" s="2">
        <v>2</v>
      </c>
    </row>
    <row r="1098" spans="1:1" x14ac:dyDescent="0.25">
      <c r="A1098" s="2">
        <v>0</v>
      </c>
    </row>
    <row r="1099" spans="1:1" x14ac:dyDescent="0.25">
      <c r="A1099" s="2">
        <v>0</v>
      </c>
    </row>
    <row r="1100" spans="1:1" x14ac:dyDescent="0.25">
      <c r="A1100" s="2">
        <v>2</v>
      </c>
    </row>
    <row r="1101" spans="1:1" x14ac:dyDescent="0.25">
      <c r="A1101" s="2">
        <v>0</v>
      </c>
    </row>
    <row r="1102" spans="1:1" x14ac:dyDescent="0.25">
      <c r="A1102" s="2">
        <v>0</v>
      </c>
    </row>
    <row r="1103" spans="1:1" x14ac:dyDescent="0.25">
      <c r="A1103" s="2">
        <v>0</v>
      </c>
    </row>
    <row r="1104" spans="1:1" x14ac:dyDescent="0.25">
      <c r="A1104" s="2">
        <v>0</v>
      </c>
    </row>
    <row r="1105" spans="1:1" x14ac:dyDescent="0.25">
      <c r="A1105" s="2">
        <v>2</v>
      </c>
    </row>
    <row r="1106" spans="1:1" x14ac:dyDescent="0.25">
      <c r="A1106" s="2">
        <v>0</v>
      </c>
    </row>
    <row r="1107" spans="1:1" x14ac:dyDescent="0.25">
      <c r="A1107" s="2">
        <v>1</v>
      </c>
    </row>
    <row r="1108" spans="1:1" x14ac:dyDescent="0.25">
      <c r="A1108" s="2">
        <v>0</v>
      </c>
    </row>
    <row r="1109" spans="1:1" x14ac:dyDescent="0.25">
      <c r="A1109" s="2">
        <v>0</v>
      </c>
    </row>
    <row r="1110" spans="1:1" x14ac:dyDescent="0.25">
      <c r="A1110" s="2">
        <v>0</v>
      </c>
    </row>
    <row r="1111" spans="1:1" x14ac:dyDescent="0.25">
      <c r="A1111" s="2">
        <v>2</v>
      </c>
    </row>
    <row r="1112" spans="1:1" x14ac:dyDescent="0.25">
      <c r="A1112" s="2">
        <v>2</v>
      </c>
    </row>
    <row r="1113" spans="1:1" x14ac:dyDescent="0.25">
      <c r="A1113" s="2">
        <v>2</v>
      </c>
    </row>
    <row r="1114" spans="1:1" x14ac:dyDescent="0.25">
      <c r="A1114" s="2">
        <v>0</v>
      </c>
    </row>
    <row r="1115" spans="1:1" x14ac:dyDescent="0.25">
      <c r="A1115" s="2">
        <v>0</v>
      </c>
    </row>
    <row r="1116" spans="1:1" x14ac:dyDescent="0.25">
      <c r="A1116" s="2">
        <v>1</v>
      </c>
    </row>
    <row r="1117" spans="1:1" x14ac:dyDescent="0.25">
      <c r="A1117" s="2">
        <v>2</v>
      </c>
    </row>
    <row r="1118" spans="1:1" x14ac:dyDescent="0.25">
      <c r="A1118" s="2">
        <v>1</v>
      </c>
    </row>
    <row r="1119" spans="1:1" x14ac:dyDescent="0.25">
      <c r="A1119" s="2">
        <v>1</v>
      </c>
    </row>
    <row r="1120" spans="1:1" x14ac:dyDescent="0.25">
      <c r="A1120" s="2">
        <v>0</v>
      </c>
    </row>
    <row r="1121" spans="1:1" x14ac:dyDescent="0.25">
      <c r="A1121" s="2">
        <v>0</v>
      </c>
    </row>
    <row r="1122" spans="1:1" x14ac:dyDescent="0.25">
      <c r="A1122" s="2">
        <v>0</v>
      </c>
    </row>
    <row r="1123" spans="1:1" x14ac:dyDescent="0.25">
      <c r="A1123" s="2">
        <v>0</v>
      </c>
    </row>
    <row r="1124" spans="1:1" x14ac:dyDescent="0.25">
      <c r="A1124" s="2">
        <v>2</v>
      </c>
    </row>
    <row r="1125" spans="1:1" x14ac:dyDescent="0.25">
      <c r="A1125" s="2">
        <v>0</v>
      </c>
    </row>
    <row r="1126" spans="1:1" x14ac:dyDescent="0.25">
      <c r="A1126" s="2">
        <v>2</v>
      </c>
    </row>
    <row r="1127" spans="1:1" x14ac:dyDescent="0.25">
      <c r="A1127" s="2">
        <v>1</v>
      </c>
    </row>
    <row r="1128" spans="1:1" x14ac:dyDescent="0.25">
      <c r="A1128" s="2">
        <v>0</v>
      </c>
    </row>
    <row r="1129" spans="1:1" x14ac:dyDescent="0.25">
      <c r="A1129" s="2">
        <v>0</v>
      </c>
    </row>
    <row r="1130" spans="1:1" x14ac:dyDescent="0.25">
      <c r="A1130" s="2">
        <v>0</v>
      </c>
    </row>
    <row r="1131" spans="1:1" x14ac:dyDescent="0.25">
      <c r="A1131" s="2">
        <v>2</v>
      </c>
    </row>
    <row r="1132" spans="1:1" x14ac:dyDescent="0.25">
      <c r="A1132" s="2">
        <v>0</v>
      </c>
    </row>
    <row r="1133" spans="1:1" x14ac:dyDescent="0.25">
      <c r="A1133" s="2">
        <v>0</v>
      </c>
    </row>
    <row r="1134" spans="1:1" x14ac:dyDescent="0.25">
      <c r="A1134" s="2">
        <v>0</v>
      </c>
    </row>
    <row r="1135" spans="1:1" x14ac:dyDescent="0.25">
      <c r="A1135" s="2">
        <v>0</v>
      </c>
    </row>
    <row r="1136" spans="1:1" x14ac:dyDescent="0.25">
      <c r="A1136" s="2">
        <v>0</v>
      </c>
    </row>
    <row r="1137" spans="1:1" x14ac:dyDescent="0.25">
      <c r="A1137" s="2">
        <v>0</v>
      </c>
    </row>
    <row r="1138" spans="1:1" x14ac:dyDescent="0.25">
      <c r="A1138" s="2">
        <v>0</v>
      </c>
    </row>
    <row r="1139" spans="1:1" x14ac:dyDescent="0.25">
      <c r="A1139" s="2">
        <v>0</v>
      </c>
    </row>
    <row r="1140" spans="1:1" x14ac:dyDescent="0.25">
      <c r="A1140" s="2">
        <v>0</v>
      </c>
    </row>
    <row r="1141" spans="1:1" x14ac:dyDescent="0.25">
      <c r="A1141" s="2">
        <v>2</v>
      </c>
    </row>
    <row r="1142" spans="1:1" x14ac:dyDescent="0.25">
      <c r="A1142" s="2">
        <v>0</v>
      </c>
    </row>
    <row r="1143" spans="1:1" x14ac:dyDescent="0.25">
      <c r="A1143" s="2">
        <v>0</v>
      </c>
    </row>
    <row r="1144" spans="1:1" x14ac:dyDescent="0.25">
      <c r="A1144" s="2">
        <v>2</v>
      </c>
    </row>
    <row r="1145" spans="1:1" x14ac:dyDescent="0.25">
      <c r="A1145" s="2">
        <v>0</v>
      </c>
    </row>
    <row r="1146" spans="1:1" x14ac:dyDescent="0.25">
      <c r="A1146" s="2">
        <v>0</v>
      </c>
    </row>
    <row r="1147" spans="1:1" x14ac:dyDescent="0.25">
      <c r="A1147" s="2">
        <v>0</v>
      </c>
    </row>
    <row r="1148" spans="1:1" x14ac:dyDescent="0.25">
      <c r="A1148" s="2">
        <v>0</v>
      </c>
    </row>
    <row r="1149" spans="1:1" x14ac:dyDescent="0.25">
      <c r="A1149" s="2">
        <v>0</v>
      </c>
    </row>
    <row r="1150" spans="1:1" x14ac:dyDescent="0.25">
      <c r="A1150" s="2">
        <v>0</v>
      </c>
    </row>
    <row r="1151" spans="1:1" x14ac:dyDescent="0.25">
      <c r="A1151" s="2">
        <v>0</v>
      </c>
    </row>
    <row r="1152" spans="1:1" x14ac:dyDescent="0.25">
      <c r="A1152" s="2">
        <v>0</v>
      </c>
    </row>
    <row r="1153" spans="1:1" x14ac:dyDescent="0.25">
      <c r="A1153" s="2">
        <v>0</v>
      </c>
    </row>
    <row r="1154" spans="1:1" x14ac:dyDescent="0.25">
      <c r="A1154" s="2">
        <v>0</v>
      </c>
    </row>
    <row r="1155" spans="1:1" x14ac:dyDescent="0.25">
      <c r="A1155" s="2">
        <v>0</v>
      </c>
    </row>
    <row r="1156" spans="1:1" x14ac:dyDescent="0.25">
      <c r="A1156" s="2">
        <v>0</v>
      </c>
    </row>
    <row r="1157" spans="1:1" x14ac:dyDescent="0.25">
      <c r="A1157" s="2">
        <v>0</v>
      </c>
    </row>
    <row r="1158" spans="1:1" x14ac:dyDescent="0.25">
      <c r="A1158" s="2">
        <v>0</v>
      </c>
    </row>
    <row r="1159" spans="1:1" x14ac:dyDescent="0.25">
      <c r="A1159" s="2">
        <v>0</v>
      </c>
    </row>
    <row r="1160" spans="1:1" x14ac:dyDescent="0.25">
      <c r="A1160" s="2">
        <v>0</v>
      </c>
    </row>
    <row r="1161" spans="1:1" x14ac:dyDescent="0.25">
      <c r="A1161" s="2">
        <v>0</v>
      </c>
    </row>
    <row r="1162" spans="1:1" x14ac:dyDescent="0.25">
      <c r="A1162" s="2">
        <v>0</v>
      </c>
    </row>
    <row r="1163" spans="1:1" x14ac:dyDescent="0.25">
      <c r="A1163" s="2">
        <v>0</v>
      </c>
    </row>
    <row r="1164" spans="1:1" x14ac:dyDescent="0.25">
      <c r="A1164" s="2">
        <v>2</v>
      </c>
    </row>
    <row r="1165" spans="1:1" x14ac:dyDescent="0.25">
      <c r="A1165" s="2">
        <v>0</v>
      </c>
    </row>
    <row r="1166" spans="1:1" x14ac:dyDescent="0.25">
      <c r="A1166" s="2">
        <v>0</v>
      </c>
    </row>
    <row r="1167" spans="1:1" x14ac:dyDescent="0.25">
      <c r="A1167" s="2">
        <v>2</v>
      </c>
    </row>
    <row r="1168" spans="1:1" x14ac:dyDescent="0.25">
      <c r="A1168" s="2">
        <v>1</v>
      </c>
    </row>
    <row r="1169" spans="1:1" x14ac:dyDescent="0.25">
      <c r="A1169" s="2">
        <v>1</v>
      </c>
    </row>
    <row r="1170" spans="1:1" x14ac:dyDescent="0.25">
      <c r="A1170" s="2">
        <v>2</v>
      </c>
    </row>
    <row r="1171" spans="1:1" x14ac:dyDescent="0.25">
      <c r="A1171" s="2">
        <v>1</v>
      </c>
    </row>
    <row r="1172" spans="1:1" x14ac:dyDescent="0.25">
      <c r="A1172" s="2">
        <v>0</v>
      </c>
    </row>
    <row r="1173" spans="1:1" x14ac:dyDescent="0.25">
      <c r="A1173" s="2">
        <v>1</v>
      </c>
    </row>
    <row r="1174" spans="1:1" x14ac:dyDescent="0.25">
      <c r="A1174" s="2">
        <v>1</v>
      </c>
    </row>
    <row r="1175" spans="1:1" x14ac:dyDescent="0.25">
      <c r="A1175" s="2">
        <v>0</v>
      </c>
    </row>
    <row r="1176" spans="1:1" x14ac:dyDescent="0.25">
      <c r="A1176" s="2">
        <v>2</v>
      </c>
    </row>
    <row r="1177" spans="1:1" x14ac:dyDescent="0.25">
      <c r="A1177" s="2">
        <v>0</v>
      </c>
    </row>
    <row r="1178" spans="1:1" x14ac:dyDescent="0.25">
      <c r="A1178" s="2">
        <v>2</v>
      </c>
    </row>
    <row r="1179" spans="1:1" x14ac:dyDescent="0.25">
      <c r="A1179" s="2">
        <v>1</v>
      </c>
    </row>
    <row r="1180" spans="1:1" x14ac:dyDescent="0.25">
      <c r="A1180" s="2">
        <v>1</v>
      </c>
    </row>
    <row r="1181" spans="1:1" x14ac:dyDescent="0.25">
      <c r="A1181" s="2">
        <v>0</v>
      </c>
    </row>
    <row r="1182" spans="1:1" x14ac:dyDescent="0.25">
      <c r="A1182" s="2">
        <v>0</v>
      </c>
    </row>
    <row r="1183" spans="1:1" x14ac:dyDescent="0.25">
      <c r="A1183" s="2">
        <v>0</v>
      </c>
    </row>
    <row r="1184" spans="1:1" x14ac:dyDescent="0.25">
      <c r="A1184" s="2">
        <v>0</v>
      </c>
    </row>
    <row r="1185" spans="1:1" x14ac:dyDescent="0.25">
      <c r="A1185" s="2">
        <v>1</v>
      </c>
    </row>
    <row r="1186" spans="1:1" x14ac:dyDescent="0.25">
      <c r="A1186" s="2">
        <v>0</v>
      </c>
    </row>
    <row r="1187" spans="1:1" x14ac:dyDescent="0.25">
      <c r="A1187" s="2">
        <v>1</v>
      </c>
    </row>
    <row r="1188" spans="1:1" x14ac:dyDescent="0.25">
      <c r="A1188" s="2">
        <v>0</v>
      </c>
    </row>
    <row r="1189" spans="1:1" x14ac:dyDescent="0.25">
      <c r="A1189" s="2">
        <v>0</v>
      </c>
    </row>
    <row r="1190" spans="1:1" x14ac:dyDescent="0.25">
      <c r="A1190" s="2">
        <v>0</v>
      </c>
    </row>
    <row r="1191" spans="1:1" x14ac:dyDescent="0.25">
      <c r="A1191" s="2">
        <v>1</v>
      </c>
    </row>
    <row r="1192" spans="1:1" x14ac:dyDescent="0.25">
      <c r="A1192" s="2">
        <v>1</v>
      </c>
    </row>
    <row r="1193" spans="1:1" x14ac:dyDescent="0.25">
      <c r="A1193" s="2">
        <v>1</v>
      </c>
    </row>
    <row r="1194" spans="1:1" x14ac:dyDescent="0.25">
      <c r="A1194" s="2">
        <v>2</v>
      </c>
    </row>
    <row r="1195" spans="1:1" x14ac:dyDescent="0.25">
      <c r="A1195" s="2">
        <v>1</v>
      </c>
    </row>
    <row r="1196" spans="1:1" x14ac:dyDescent="0.25">
      <c r="A1196" s="2">
        <v>1</v>
      </c>
    </row>
    <row r="1197" spans="1:1" x14ac:dyDescent="0.25">
      <c r="A1197" s="2">
        <v>2</v>
      </c>
    </row>
    <row r="1198" spans="1:1" x14ac:dyDescent="0.25">
      <c r="A1198" s="2">
        <v>2</v>
      </c>
    </row>
    <row r="1199" spans="1:1" x14ac:dyDescent="0.25">
      <c r="A1199" s="2">
        <v>0</v>
      </c>
    </row>
    <row r="1200" spans="1:1" x14ac:dyDescent="0.25">
      <c r="A1200" s="2">
        <v>2</v>
      </c>
    </row>
    <row r="1201" spans="1:1" x14ac:dyDescent="0.25">
      <c r="A1201" s="2">
        <v>2</v>
      </c>
    </row>
    <row r="1202" spans="1:1" x14ac:dyDescent="0.25">
      <c r="A1202" s="2">
        <v>1</v>
      </c>
    </row>
    <row r="1203" spans="1:1" x14ac:dyDescent="0.25">
      <c r="A1203" s="2">
        <v>0</v>
      </c>
    </row>
    <row r="1204" spans="1:1" x14ac:dyDescent="0.25">
      <c r="A1204" s="2">
        <v>2</v>
      </c>
    </row>
    <row r="1205" spans="1:1" x14ac:dyDescent="0.25">
      <c r="A1205" s="2">
        <v>1</v>
      </c>
    </row>
    <row r="1206" spans="1:1" x14ac:dyDescent="0.25">
      <c r="A1206" s="2">
        <v>0</v>
      </c>
    </row>
    <row r="1207" spans="1:1" x14ac:dyDescent="0.25">
      <c r="A1207" s="2">
        <v>0</v>
      </c>
    </row>
    <row r="1208" spans="1:1" x14ac:dyDescent="0.25">
      <c r="A1208" s="2">
        <v>0</v>
      </c>
    </row>
    <row r="1209" spans="1:1" x14ac:dyDescent="0.25">
      <c r="A1209" s="2">
        <v>1</v>
      </c>
    </row>
    <row r="1210" spans="1:1" x14ac:dyDescent="0.25">
      <c r="A1210" s="2">
        <v>2</v>
      </c>
    </row>
    <row r="1211" spans="1:1" x14ac:dyDescent="0.25">
      <c r="A1211" s="2">
        <v>1</v>
      </c>
    </row>
    <row r="1212" spans="1:1" x14ac:dyDescent="0.25">
      <c r="A1212" s="2">
        <v>2</v>
      </c>
    </row>
    <row r="1213" spans="1:1" x14ac:dyDescent="0.25">
      <c r="A1213" s="2">
        <v>2</v>
      </c>
    </row>
    <row r="1214" spans="1:1" x14ac:dyDescent="0.25">
      <c r="A1214" s="2">
        <v>2</v>
      </c>
    </row>
    <row r="1215" spans="1:1" x14ac:dyDescent="0.25">
      <c r="A1215" s="2">
        <v>2</v>
      </c>
    </row>
    <row r="1216" spans="1:1" x14ac:dyDescent="0.25">
      <c r="A1216" s="2">
        <v>1</v>
      </c>
    </row>
    <row r="1217" spans="1:1" x14ac:dyDescent="0.25">
      <c r="A1217" s="2">
        <v>0</v>
      </c>
    </row>
    <row r="1218" spans="1:1" x14ac:dyDescent="0.25">
      <c r="A1218" s="2">
        <v>0</v>
      </c>
    </row>
    <row r="1219" spans="1:1" x14ac:dyDescent="0.25">
      <c r="A1219" s="2">
        <v>1</v>
      </c>
    </row>
    <row r="1220" spans="1:1" x14ac:dyDescent="0.25">
      <c r="A1220" s="2">
        <v>0</v>
      </c>
    </row>
    <row r="1221" spans="1:1" x14ac:dyDescent="0.25">
      <c r="A1221" s="2">
        <v>1</v>
      </c>
    </row>
    <row r="1222" spans="1:1" x14ac:dyDescent="0.25">
      <c r="A1222" s="2">
        <v>1</v>
      </c>
    </row>
    <row r="1223" spans="1:1" x14ac:dyDescent="0.25">
      <c r="A1223" s="2">
        <v>0</v>
      </c>
    </row>
    <row r="1224" spans="1:1" x14ac:dyDescent="0.25">
      <c r="A1224" s="2">
        <v>0</v>
      </c>
    </row>
    <row r="1225" spans="1:1" x14ac:dyDescent="0.25">
      <c r="A1225" s="2">
        <v>1</v>
      </c>
    </row>
    <row r="1226" spans="1:1" x14ac:dyDescent="0.25">
      <c r="A1226" s="2">
        <v>0</v>
      </c>
    </row>
    <row r="1227" spans="1:1" x14ac:dyDescent="0.25">
      <c r="A1227" s="2">
        <v>0</v>
      </c>
    </row>
    <row r="1228" spans="1:1" x14ac:dyDescent="0.25">
      <c r="A1228" s="2">
        <v>0</v>
      </c>
    </row>
    <row r="1229" spans="1:1" x14ac:dyDescent="0.25">
      <c r="A1229" s="2">
        <v>1</v>
      </c>
    </row>
    <row r="1230" spans="1:1" x14ac:dyDescent="0.25">
      <c r="A1230" s="2">
        <v>0</v>
      </c>
    </row>
    <row r="1231" spans="1:1" x14ac:dyDescent="0.25">
      <c r="A1231" s="2">
        <v>0</v>
      </c>
    </row>
    <row r="1232" spans="1:1" x14ac:dyDescent="0.25">
      <c r="A1232" s="2">
        <v>1</v>
      </c>
    </row>
    <row r="1233" spans="1:1" x14ac:dyDescent="0.25">
      <c r="A1233" s="2">
        <v>0</v>
      </c>
    </row>
    <row r="1234" spans="1:1" x14ac:dyDescent="0.25">
      <c r="A1234" s="2">
        <v>0</v>
      </c>
    </row>
    <row r="1235" spans="1:1" x14ac:dyDescent="0.25">
      <c r="A1235" s="2">
        <v>0</v>
      </c>
    </row>
    <row r="1236" spans="1:1" x14ac:dyDescent="0.25">
      <c r="A1236" s="2">
        <v>0</v>
      </c>
    </row>
    <row r="1237" spans="1:1" x14ac:dyDescent="0.25">
      <c r="A1237" s="2">
        <v>0</v>
      </c>
    </row>
    <row r="1238" spans="1:1" x14ac:dyDescent="0.25">
      <c r="A1238" s="2">
        <v>0</v>
      </c>
    </row>
    <row r="1239" spans="1:1" x14ac:dyDescent="0.25">
      <c r="A1239" s="2">
        <v>0</v>
      </c>
    </row>
    <row r="1240" spans="1:1" x14ac:dyDescent="0.25">
      <c r="A1240" s="2">
        <v>1</v>
      </c>
    </row>
    <row r="1241" spans="1:1" x14ac:dyDescent="0.25">
      <c r="A1241" s="2">
        <v>0</v>
      </c>
    </row>
    <row r="1242" spans="1:1" x14ac:dyDescent="0.25">
      <c r="A1242" s="2">
        <v>0</v>
      </c>
    </row>
    <row r="1243" spans="1:1" x14ac:dyDescent="0.25">
      <c r="A1243" s="2">
        <v>1</v>
      </c>
    </row>
    <row r="1244" spans="1:1" x14ac:dyDescent="0.25">
      <c r="A1244" s="2">
        <v>0</v>
      </c>
    </row>
    <row r="1245" spans="1:1" x14ac:dyDescent="0.25">
      <c r="A1245" s="2">
        <v>2</v>
      </c>
    </row>
    <row r="1246" spans="1:1" x14ac:dyDescent="0.25">
      <c r="A1246" s="2">
        <v>0</v>
      </c>
    </row>
    <row r="1247" spans="1:1" x14ac:dyDescent="0.25">
      <c r="A1247" s="2">
        <v>0</v>
      </c>
    </row>
    <row r="1248" spans="1:1" x14ac:dyDescent="0.25">
      <c r="A1248" s="2">
        <v>0</v>
      </c>
    </row>
    <row r="1249" spans="1:1" x14ac:dyDescent="0.25">
      <c r="A1249" s="2">
        <v>0</v>
      </c>
    </row>
    <row r="1250" spans="1:1" x14ac:dyDescent="0.25">
      <c r="A1250" s="2">
        <v>0</v>
      </c>
    </row>
    <row r="1251" spans="1:1" x14ac:dyDescent="0.25">
      <c r="A1251" s="2">
        <v>0</v>
      </c>
    </row>
    <row r="1252" spans="1:1" x14ac:dyDescent="0.25">
      <c r="A1252" s="2">
        <v>2</v>
      </c>
    </row>
    <row r="1253" spans="1:1" x14ac:dyDescent="0.25">
      <c r="A1253" s="2">
        <v>0</v>
      </c>
    </row>
    <row r="1254" spans="1:1" x14ac:dyDescent="0.25">
      <c r="A1254" s="2">
        <v>1</v>
      </c>
    </row>
    <row r="1255" spans="1:1" x14ac:dyDescent="0.25">
      <c r="A1255" s="2">
        <v>0</v>
      </c>
    </row>
    <row r="1256" spans="1:1" x14ac:dyDescent="0.25">
      <c r="A1256" s="2">
        <v>0</v>
      </c>
    </row>
    <row r="1257" spans="1:1" x14ac:dyDescent="0.25">
      <c r="A1257" s="2">
        <v>0</v>
      </c>
    </row>
    <row r="1258" spans="1:1" x14ac:dyDescent="0.25">
      <c r="A1258" s="2">
        <v>0</v>
      </c>
    </row>
    <row r="1259" spans="1:1" x14ac:dyDescent="0.25">
      <c r="A1259" s="2">
        <v>1</v>
      </c>
    </row>
    <row r="1260" spans="1:1" x14ac:dyDescent="0.25">
      <c r="A1260" s="2">
        <v>1</v>
      </c>
    </row>
    <row r="1261" spans="1:1" x14ac:dyDescent="0.25">
      <c r="A1261" s="2">
        <v>0</v>
      </c>
    </row>
    <row r="1262" spans="1:1" x14ac:dyDescent="0.25">
      <c r="A1262" s="2">
        <v>2</v>
      </c>
    </row>
    <row r="1263" spans="1:1" x14ac:dyDescent="0.25">
      <c r="A1263" s="2">
        <v>1</v>
      </c>
    </row>
    <row r="1264" spans="1:1" x14ac:dyDescent="0.25">
      <c r="A1264" s="2">
        <v>0</v>
      </c>
    </row>
    <row r="1265" spans="1:1" x14ac:dyDescent="0.25">
      <c r="A1265" s="2">
        <v>2</v>
      </c>
    </row>
    <row r="1266" spans="1:1" x14ac:dyDescent="0.25">
      <c r="A1266" s="2">
        <v>0</v>
      </c>
    </row>
    <row r="1267" spans="1:1" x14ac:dyDescent="0.25">
      <c r="A1267" s="2">
        <v>1</v>
      </c>
    </row>
    <row r="1268" spans="1:1" x14ac:dyDescent="0.25">
      <c r="A1268" s="2">
        <v>0</v>
      </c>
    </row>
    <row r="1269" spans="1:1" x14ac:dyDescent="0.25">
      <c r="A1269" s="2">
        <v>2</v>
      </c>
    </row>
    <row r="1270" spans="1:1" x14ac:dyDescent="0.25">
      <c r="A1270" s="2">
        <v>2</v>
      </c>
    </row>
    <row r="1271" spans="1:1" x14ac:dyDescent="0.25">
      <c r="A1271" s="2">
        <v>1</v>
      </c>
    </row>
    <row r="1272" spans="1:1" x14ac:dyDescent="0.25">
      <c r="A1272" s="2">
        <v>1</v>
      </c>
    </row>
    <row r="1273" spans="1:1" x14ac:dyDescent="0.25">
      <c r="A1273" s="2">
        <v>2</v>
      </c>
    </row>
    <row r="1274" spans="1:1" x14ac:dyDescent="0.25">
      <c r="A1274" s="2">
        <v>2</v>
      </c>
    </row>
    <row r="1275" spans="1:1" x14ac:dyDescent="0.25">
      <c r="A1275" s="2">
        <v>2</v>
      </c>
    </row>
    <row r="1276" spans="1:1" x14ac:dyDescent="0.25">
      <c r="A1276" s="2">
        <v>2</v>
      </c>
    </row>
    <row r="1277" spans="1:1" x14ac:dyDescent="0.25">
      <c r="A1277" s="2">
        <v>2</v>
      </c>
    </row>
    <row r="1278" spans="1:1" x14ac:dyDescent="0.25">
      <c r="A1278" s="2">
        <v>0</v>
      </c>
    </row>
    <row r="1279" spans="1:1" x14ac:dyDescent="0.25">
      <c r="A1279" s="2">
        <v>0</v>
      </c>
    </row>
    <row r="1280" spans="1:1" x14ac:dyDescent="0.25">
      <c r="A1280" s="2">
        <v>0</v>
      </c>
    </row>
    <row r="1281" spans="1:1" x14ac:dyDescent="0.25">
      <c r="A1281" s="2">
        <v>1</v>
      </c>
    </row>
    <row r="1282" spans="1:1" x14ac:dyDescent="0.25">
      <c r="A1282" s="2">
        <v>2</v>
      </c>
    </row>
    <row r="1283" spans="1:1" x14ac:dyDescent="0.25">
      <c r="A1283" s="2">
        <v>0</v>
      </c>
    </row>
    <row r="1284" spans="1:1" x14ac:dyDescent="0.25">
      <c r="A1284" s="2">
        <v>1</v>
      </c>
    </row>
    <row r="1285" spans="1:1" x14ac:dyDescent="0.25">
      <c r="A1285" s="2">
        <v>2</v>
      </c>
    </row>
    <row r="1286" spans="1:1" x14ac:dyDescent="0.25">
      <c r="A1286" s="2">
        <v>0</v>
      </c>
    </row>
    <row r="1287" spans="1:1" x14ac:dyDescent="0.25">
      <c r="A1287" s="2">
        <v>2</v>
      </c>
    </row>
    <row r="1288" spans="1:1" x14ac:dyDescent="0.25">
      <c r="A1288" s="2">
        <v>1</v>
      </c>
    </row>
    <row r="1289" spans="1:1" x14ac:dyDescent="0.25">
      <c r="A1289" s="2">
        <v>0</v>
      </c>
    </row>
    <row r="1290" spans="1:1" x14ac:dyDescent="0.25">
      <c r="A1290" s="2">
        <v>1</v>
      </c>
    </row>
    <row r="1291" spans="1:1" x14ac:dyDescent="0.25">
      <c r="A1291" s="2">
        <v>0</v>
      </c>
    </row>
    <row r="1292" spans="1:1" x14ac:dyDescent="0.25">
      <c r="A1292" s="2">
        <v>0</v>
      </c>
    </row>
    <row r="1293" spans="1:1" x14ac:dyDescent="0.25">
      <c r="A1293" s="2">
        <v>0</v>
      </c>
    </row>
    <row r="1294" spans="1:1" x14ac:dyDescent="0.25">
      <c r="A1294" s="2">
        <v>1</v>
      </c>
    </row>
    <row r="1295" spans="1:1" x14ac:dyDescent="0.25">
      <c r="A1295" s="2">
        <v>0</v>
      </c>
    </row>
    <row r="1296" spans="1:1" x14ac:dyDescent="0.25">
      <c r="A1296" s="2">
        <v>0</v>
      </c>
    </row>
    <row r="1297" spans="1:1" x14ac:dyDescent="0.25">
      <c r="A1297" s="2">
        <v>0</v>
      </c>
    </row>
    <row r="1298" spans="1:1" x14ac:dyDescent="0.25">
      <c r="A1298" s="2">
        <v>2</v>
      </c>
    </row>
    <row r="1299" spans="1:1" x14ac:dyDescent="0.25">
      <c r="A1299" s="2">
        <v>2</v>
      </c>
    </row>
    <row r="1300" spans="1:1" x14ac:dyDescent="0.25">
      <c r="A1300" s="2">
        <v>2</v>
      </c>
    </row>
    <row r="1301" spans="1:1" x14ac:dyDescent="0.25">
      <c r="A1301" s="2">
        <v>2</v>
      </c>
    </row>
    <row r="1302" spans="1:1" x14ac:dyDescent="0.25">
      <c r="A1302" s="2">
        <v>0</v>
      </c>
    </row>
    <row r="1303" spans="1:1" x14ac:dyDescent="0.25">
      <c r="A1303" s="2">
        <v>0</v>
      </c>
    </row>
    <row r="1304" spans="1:1" x14ac:dyDescent="0.25">
      <c r="A1304" s="2">
        <v>0</v>
      </c>
    </row>
    <row r="1305" spans="1:1" x14ac:dyDescent="0.25">
      <c r="A1305" s="2">
        <v>0</v>
      </c>
    </row>
    <row r="1306" spans="1:1" x14ac:dyDescent="0.25">
      <c r="A1306" s="2">
        <v>2</v>
      </c>
    </row>
    <row r="1307" spans="1:1" x14ac:dyDescent="0.25">
      <c r="A1307" s="2">
        <v>2</v>
      </c>
    </row>
    <row r="1308" spans="1:1" x14ac:dyDescent="0.25">
      <c r="A1308" s="2">
        <v>0</v>
      </c>
    </row>
    <row r="1309" spans="1:1" x14ac:dyDescent="0.25">
      <c r="A1309" s="2">
        <v>2</v>
      </c>
    </row>
    <row r="1310" spans="1:1" x14ac:dyDescent="0.25">
      <c r="A1310" s="2">
        <v>0</v>
      </c>
    </row>
    <row r="1311" spans="1:1" x14ac:dyDescent="0.25">
      <c r="A1311" s="2">
        <v>2</v>
      </c>
    </row>
    <row r="1312" spans="1:1" x14ac:dyDescent="0.25">
      <c r="A1312" s="2">
        <v>0</v>
      </c>
    </row>
    <row r="1313" spans="1:1" x14ac:dyDescent="0.25">
      <c r="A1313" s="2">
        <v>2</v>
      </c>
    </row>
    <row r="1314" spans="1:1" x14ac:dyDescent="0.25">
      <c r="A1314" s="2">
        <v>0</v>
      </c>
    </row>
    <row r="1315" spans="1:1" x14ac:dyDescent="0.25">
      <c r="A1315" s="2">
        <v>1</v>
      </c>
    </row>
    <row r="1316" spans="1:1" x14ac:dyDescent="0.25">
      <c r="A1316" s="2">
        <v>2</v>
      </c>
    </row>
    <row r="1317" spans="1:1" x14ac:dyDescent="0.25">
      <c r="A1317" s="2">
        <v>2</v>
      </c>
    </row>
    <row r="1318" spans="1:1" x14ac:dyDescent="0.25">
      <c r="A1318" s="2">
        <v>0</v>
      </c>
    </row>
    <row r="1319" spans="1:1" x14ac:dyDescent="0.25">
      <c r="A1319" s="2">
        <v>2</v>
      </c>
    </row>
    <row r="1320" spans="1:1" x14ac:dyDescent="0.25">
      <c r="A1320" s="2">
        <v>0</v>
      </c>
    </row>
    <row r="1321" spans="1:1" x14ac:dyDescent="0.25">
      <c r="A1321" s="2">
        <v>0</v>
      </c>
    </row>
    <row r="1322" spans="1:1" x14ac:dyDescent="0.25">
      <c r="A1322" s="2">
        <v>2</v>
      </c>
    </row>
    <row r="1323" spans="1:1" x14ac:dyDescent="0.25">
      <c r="A1323" s="2">
        <v>2</v>
      </c>
    </row>
    <row r="1324" spans="1:1" x14ac:dyDescent="0.25">
      <c r="A1324" s="2">
        <v>0</v>
      </c>
    </row>
    <row r="1325" spans="1:1" x14ac:dyDescent="0.25">
      <c r="A1325" s="2">
        <v>1</v>
      </c>
    </row>
    <row r="1326" spans="1:1" x14ac:dyDescent="0.25">
      <c r="A1326" s="2">
        <v>1</v>
      </c>
    </row>
    <row r="1327" spans="1:1" x14ac:dyDescent="0.25">
      <c r="A1327" s="2">
        <v>0</v>
      </c>
    </row>
    <row r="1328" spans="1:1" x14ac:dyDescent="0.25">
      <c r="A1328" s="2">
        <v>2</v>
      </c>
    </row>
    <row r="1329" spans="1:1" x14ac:dyDescent="0.25">
      <c r="A1329" s="2">
        <v>1</v>
      </c>
    </row>
    <row r="1330" spans="1:1" x14ac:dyDescent="0.25">
      <c r="A1330" s="2">
        <v>2</v>
      </c>
    </row>
    <row r="1331" spans="1:1" x14ac:dyDescent="0.25">
      <c r="A1331" s="2">
        <v>2</v>
      </c>
    </row>
    <row r="1332" spans="1:1" x14ac:dyDescent="0.25">
      <c r="A1332" s="2">
        <v>2</v>
      </c>
    </row>
    <row r="1333" spans="1:1" x14ac:dyDescent="0.25">
      <c r="A1333" s="2">
        <v>1</v>
      </c>
    </row>
    <row r="1334" spans="1:1" x14ac:dyDescent="0.25">
      <c r="A1334" s="2">
        <v>0</v>
      </c>
    </row>
    <row r="1335" spans="1:1" x14ac:dyDescent="0.25">
      <c r="A1335" s="2">
        <v>1</v>
      </c>
    </row>
    <row r="1336" spans="1:1" x14ac:dyDescent="0.25">
      <c r="A1336" s="2">
        <v>0</v>
      </c>
    </row>
    <row r="1337" spans="1:1" x14ac:dyDescent="0.25">
      <c r="A1337" s="2">
        <v>1</v>
      </c>
    </row>
    <row r="1338" spans="1:1" x14ac:dyDescent="0.25">
      <c r="A1338" s="2">
        <v>0</v>
      </c>
    </row>
    <row r="1339" spans="1:1" x14ac:dyDescent="0.25">
      <c r="A1339" s="2">
        <v>0</v>
      </c>
    </row>
    <row r="1340" spans="1:1" x14ac:dyDescent="0.25">
      <c r="A1340" s="2">
        <v>1</v>
      </c>
    </row>
    <row r="1341" spans="1:1" x14ac:dyDescent="0.25">
      <c r="A1341" s="2">
        <v>0</v>
      </c>
    </row>
    <row r="1342" spans="1:1" x14ac:dyDescent="0.25">
      <c r="A1342" s="2">
        <v>0</v>
      </c>
    </row>
    <row r="1343" spans="1:1" x14ac:dyDescent="0.25">
      <c r="A1343" s="2">
        <v>0</v>
      </c>
    </row>
    <row r="1344" spans="1:1" x14ac:dyDescent="0.25">
      <c r="A1344" s="2">
        <v>0</v>
      </c>
    </row>
    <row r="1345" spans="1:1" x14ac:dyDescent="0.25">
      <c r="A1345" s="2">
        <v>0</v>
      </c>
    </row>
    <row r="1346" spans="1:1" x14ac:dyDescent="0.25">
      <c r="A1346" s="2">
        <v>0</v>
      </c>
    </row>
    <row r="1347" spans="1:1" x14ac:dyDescent="0.25">
      <c r="A1347" s="2">
        <v>2</v>
      </c>
    </row>
    <row r="1348" spans="1:1" x14ac:dyDescent="0.25">
      <c r="A1348" s="2">
        <v>1</v>
      </c>
    </row>
    <row r="1349" spans="1:1" x14ac:dyDescent="0.25">
      <c r="A1349" s="2">
        <v>1</v>
      </c>
    </row>
    <row r="1350" spans="1:1" x14ac:dyDescent="0.25">
      <c r="A1350" s="2">
        <v>0</v>
      </c>
    </row>
    <row r="1351" spans="1:1" x14ac:dyDescent="0.25">
      <c r="A1351" s="2">
        <v>1</v>
      </c>
    </row>
    <row r="1352" spans="1:1" x14ac:dyDescent="0.25">
      <c r="A1352" s="2">
        <v>0</v>
      </c>
    </row>
    <row r="1353" spans="1:1" x14ac:dyDescent="0.25">
      <c r="A1353" s="2">
        <v>0</v>
      </c>
    </row>
    <row r="1354" spans="1:1" x14ac:dyDescent="0.25">
      <c r="A1354" s="2">
        <v>0</v>
      </c>
    </row>
    <row r="1355" spans="1:1" x14ac:dyDescent="0.25">
      <c r="A1355" s="2">
        <v>0</v>
      </c>
    </row>
    <row r="1356" spans="1:1" x14ac:dyDescent="0.25">
      <c r="A1356" s="2">
        <v>0</v>
      </c>
    </row>
    <row r="1357" spans="1:1" x14ac:dyDescent="0.25">
      <c r="A1357" s="2">
        <v>0</v>
      </c>
    </row>
    <row r="1358" spans="1:1" x14ac:dyDescent="0.25">
      <c r="A1358" s="2">
        <v>0</v>
      </c>
    </row>
    <row r="1359" spans="1:1" x14ac:dyDescent="0.25">
      <c r="A1359" s="2">
        <v>0</v>
      </c>
    </row>
    <row r="1360" spans="1:1" x14ac:dyDescent="0.25">
      <c r="A1360" s="2">
        <v>0</v>
      </c>
    </row>
    <row r="1361" spans="1:1" x14ac:dyDescent="0.25">
      <c r="A1361" s="2">
        <v>1</v>
      </c>
    </row>
    <row r="1362" spans="1:1" x14ac:dyDescent="0.25">
      <c r="A1362" s="2">
        <v>0</v>
      </c>
    </row>
    <row r="1363" spans="1:1" x14ac:dyDescent="0.25">
      <c r="A1363" s="2">
        <v>1</v>
      </c>
    </row>
    <row r="1364" spans="1:1" x14ac:dyDescent="0.25">
      <c r="A1364" s="2">
        <v>0</v>
      </c>
    </row>
    <row r="1365" spans="1:1" x14ac:dyDescent="0.25">
      <c r="A1365" s="2">
        <v>0</v>
      </c>
    </row>
    <row r="1366" spans="1:1" x14ac:dyDescent="0.25">
      <c r="A1366" s="2">
        <v>1</v>
      </c>
    </row>
    <row r="1367" spans="1:1" x14ac:dyDescent="0.25">
      <c r="A1367" s="2">
        <v>0</v>
      </c>
    </row>
    <row r="1368" spans="1:1" x14ac:dyDescent="0.25">
      <c r="A1368" s="2">
        <v>0</v>
      </c>
    </row>
    <row r="1369" spans="1:1" x14ac:dyDescent="0.25">
      <c r="A1369" s="2">
        <v>0</v>
      </c>
    </row>
    <row r="1370" spans="1:1" x14ac:dyDescent="0.25">
      <c r="A1370" s="2">
        <v>0</v>
      </c>
    </row>
    <row r="1371" spans="1:1" x14ac:dyDescent="0.25">
      <c r="A1371" s="2">
        <v>0</v>
      </c>
    </row>
    <row r="1372" spans="1:1" x14ac:dyDescent="0.25">
      <c r="A1372" s="2">
        <v>2</v>
      </c>
    </row>
    <row r="1373" spans="1:1" x14ac:dyDescent="0.25">
      <c r="A1373" s="2">
        <v>1</v>
      </c>
    </row>
    <row r="1374" spans="1:1" x14ac:dyDescent="0.25">
      <c r="A1374" s="2">
        <v>2</v>
      </c>
    </row>
    <row r="1375" spans="1:1" x14ac:dyDescent="0.25">
      <c r="A1375" s="2">
        <v>2</v>
      </c>
    </row>
    <row r="1376" spans="1:1" x14ac:dyDescent="0.25">
      <c r="A1376" s="2">
        <v>2</v>
      </c>
    </row>
    <row r="1377" spans="1:1" x14ac:dyDescent="0.25">
      <c r="A1377" s="2">
        <v>0</v>
      </c>
    </row>
    <row r="1378" spans="1:1" x14ac:dyDescent="0.25">
      <c r="A1378" s="2">
        <v>1</v>
      </c>
    </row>
    <row r="1379" spans="1:1" x14ac:dyDescent="0.25">
      <c r="A1379" s="2">
        <v>0</v>
      </c>
    </row>
    <row r="1380" spans="1:1" x14ac:dyDescent="0.25">
      <c r="A1380" s="2">
        <v>0</v>
      </c>
    </row>
    <row r="1381" spans="1:1" x14ac:dyDescent="0.25">
      <c r="A1381" s="2">
        <v>0</v>
      </c>
    </row>
    <row r="1382" spans="1:1" x14ac:dyDescent="0.25">
      <c r="A1382" s="2">
        <v>1</v>
      </c>
    </row>
    <row r="1383" spans="1:1" x14ac:dyDescent="0.25">
      <c r="A1383" s="2">
        <v>0</v>
      </c>
    </row>
    <row r="1384" spans="1:1" x14ac:dyDescent="0.25">
      <c r="A1384" s="2">
        <v>1</v>
      </c>
    </row>
    <row r="1385" spans="1:1" x14ac:dyDescent="0.25">
      <c r="A1385" s="2">
        <v>0</v>
      </c>
    </row>
    <row r="1386" spans="1:1" x14ac:dyDescent="0.25">
      <c r="A1386" s="2">
        <v>2</v>
      </c>
    </row>
    <row r="1387" spans="1:1" x14ac:dyDescent="0.25">
      <c r="A1387" s="2">
        <v>0</v>
      </c>
    </row>
    <row r="1388" spans="1:1" x14ac:dyDescent="0.25">
      <c r="A1388" s="2">
        <v>2</v>
      </c>
    </row>
    <row r="1389" spans="1:1" x14ac:dyDescent="0.25">
      <c r="A1389" s="2">
        <v>2</v>
      </c>
    </row>
    <row r="1390" spans="1:1" x14ac:dyDescent="0.25">
      <c r="A1390" s="2">
        <v>2</v>
      </c>
    </row>
    <row r="1391" spans="1:1" x14ac:dyDescent="0.25">
      <c r="A1391" s="2">
        <v>0</v>
      </c>
    </row>
    <row r="1392" spans="1:1" x14ac:dyDescent="0.25">
      <c r="A1392" s="2">
        <v>1</v>
      </c>
    </row>
    <row r="1393" spans="1:1" x14ac:dyDescent="0.25">
      <c r="A1393" s="2">
        <v>2</v>
      </c>
    </row>
    <row r="1394" spans="1:1" x14ac:dyDescent="0.25">
      <c r="A1394" s="2">
        <v>0</v>
      </c>
    </row>
    <row r="1395" spans="1:1" x14ac:dyDescent="0.25">
      <c r="A1395" s="2">
        <v>2</v>
      </c>
    </row>
    <row r="1396" spans="1:1" x14ac:dyDescent="0.25">
      <c r="A1396" s="2">
        <v>2</v>
      </c>
    </row>
    <row r="1397" spans="1:1" x14ac:dyDescent="0.25">
      <c r="A1397" s="2">
        <v>2</v>
      </c>
    </row>
    <row r="1398" spans="1:1" x14ac:dyDescent="0.25">
      <c r="A1398" s="2">
        <v>0</v>
      </c>
    </row>
    <row r="1399" spans="1:1" x14ac:dyDescent="0.25">
      <c r="A1399" s="2">
        <v>1</v>
      </c>
    </row>
    <row r="1400" spans="1:1" x14ac:dyDescent="0.25">
      <c r="A1400" s="2">
        <v>2</v>
      </c>
    </row>
    <row r="1401" spans="1:1" x14ac:dyDescent="0.25">
      <c r="A1401" s="2">
        <v>0</v>
      </c>
    </row>
    <row r="1402" spans="1:1" x14ac:dyDescent="0.25">
      <c r="A1402" s="2">
        <v>2</v>
      </c>
    </row>
    <row r="1403" spans="1:1" x14ac:dyDescent="0.25">
      <c r="A1403" s="2">
        <v>0</v>
      </c>
    </row>
    <row r="1404" spans="1:1" x14ac:dyDescent="0.25">
      <c r="A1404" s="2">
        <v>0</v>
      </c>
    </row>
    <row r="1405" spans="1:1" x14ac:dyDescent="0.25">
      <c r="A1405" s="2">
        <v>2</v>
      </c>
    </row>
    <row r="1406" spans="1:1" x14ac:dyDescent="0.25">
      <c r="A1406" s="2">
        <v>0</v>
      </c>
    </row>
    <row r="1407" spans="1:1" x14ac:dyDescent="0.25">
      <c r="A1407" s="2">
        <v>0</v>
      </c>
    </row>
    <row r="1408" spans="1:1" x14ac:dyDescent="0.25">
      <c r="A1408" s="2">
        <v>0</v>
      </c>
    </row>
    <row r="1409" spans="1:1" x14ac:dyDescent="0.25">
      <c r="A1409" s="2">
        <v>0</v>
      </c>
    </row>
    <row r="1410" spans="1:1" x14ac:dyDescent="0.25">
      <c r="A1410" s="2">
        <v>1</v>
      </c>
    </row>
    <row r="1411" spans="1:1" x14ac:dyDescent="0.25">
      <c r="A1411" s="2">
        <v>2</v>
      </c>
    </row>
    <row r="1412" spans="1:1" x14ac:dyDescent="0.25">
      <c r="A1412" s="2">
        <v>0</v>
      </c>
    </row>
    <row r="1413" spans="1:1" x14ac:dyDescent="0.25">
      <c r="A1413" s="2">
        <v>0</v>
      </c>
    </row>
    <row r="1414" spans="1:1" x14ac:dyDescent="0.25">
      <c r="A1414" s="2">
        <v>0</v>
      </c>
    </row>
    <row r="1415" spans="1:1" x14ac:dyDescent="0.25">
      <c r="A1415" s="2">
        <v>0</v>
      </c>
    </row>
    <row r="1416" spans="1:1" x14ac:dyDescent="0.25">
      <c r="A1416" s="2">
        <v>0</v>
      </c>
    </row>
    <row r="1417" spans="1:1" x14ac:dyDescent="0.25">
      <c r="A1417" s="2">
        <v>0</v>
      </c>
    </row>
    <row r="1418" spans="1:1" x14ac:dyDescent="0.25">
      <c r="A1418" s="2">
        <v>0</v>
      </c>
    </row>
    <row r="1419" spans="1:1" x14ac:dyDescent="0.25">
      <c r="A1419" s="2">
        <v>0</v>
      </c>
    </row>
    <row r="1420" spans="1:1" x14ac:dyDescent="0.25">
      <c r="A1420" s="2">
        <v>0</v>
      </c>
    </row>
    <row r="1421" spans="1:1" x14ac:dyDescent="0.25">
      <c r="A1421" s="2">
        <v>0</v>
      </c>
    </row>
    <row r="1422" spans="1:1" x14ac:dyDescent="0.25">
      <c r="A1422" s="2">
        <v>0</v>
      </c>
    </row>
    <row r="1423" spans="1:1" x14ac:dyDescent="0.25">
      <c r="A1423" s="2">
        <v>0</v>
      </c>
    </row>
    <row r="1424" spans="1:1" x14ac:dyDescent="0.25">
      <c r="A1424" s="2">
        <v>0</v>
      </c>
    </row>
    <row r="1425" spans="1:1" x14ac:dyDescent="0.25">
      <c r="A1425" s="2">
        <v>0</v>
      </c>
    </row>
    <row r="1426" spans="1:1" x14ac:dyDescent="0.25">
      <c r="A1426" s="2">
        <v>2</v>
      </c>
    </row>
    <row r="1427" spans="1:1" x14ac:dyDescent="0.25">
      <c r="A1427" s="2">
        <v>0</v>
      </c>
    </row>
    <row r="1428" spans="1:1" x14ac:dyDescent="0.25">
      <c r="A1428" s="2">
        <v>2</v>
      </c>
    </row>
    <row r="1429" spans="1:1" x14ac:dyDescent="0.25">
      <c r="A1429" s="2">
        <v>1</v>
      </c>
    </row>
    <row r="1430" spans="1:1" x14ac:dyDescent="0.25">
      <c r="A1430" s="2">
        <v>0</v>
      </c>
    </row>
    <row r="1431" spans="1:1" x14ac:dyDescent="0.25">
      <c r="A1431" s="2">
        <v>0</v>
      </c>
    </row>
    <row r="1432" spans="1:1" x14ac:dyDescent="0.25">
      <c r="A1432" s="2">
        <v>0</v>
      </c>
    </row>
    <row r="1433" spans="1:1" x14ac:dyDescent="0.25">
      <c r="A1433" s="2">
        <v>2</v>
      </c>
    </row>
    <row r="1434" spans="1:1" x14ac:dyDescent="0.25">
      <c r="A1434" s="2">
        <v>0</v>
      </c>
    </row>
    <row r="1435" spans="1:1" x14ac:dyDescent="0.25">
      <c r="A1435" s="2">
        <v>0</v>
      </c>
    </row>
    <row r="1436" spans="1:1" x14ac:dyDescent="0.25">
      <c r="A1436" s="2">
        <v>0</v>
      </c>
    </row>
    <row r="1437" spans="1:1" x14ac:dyDescent="0.25">
      <c r="A1437" s="2">
        <v>0</v>
      </c>
    </row>
    <row r="1438" spans="1:1" x14ac:dyDescent="0.25">
      <c r="A1438" s="2">
        <v>0</v>
      </c>
    </row>
    <row r="1439" spans="1:1" x14ac:dyDescent="0.25">
      <c r="A1439" s="2">
        <v>0</v>
      </c>
    </row>
    <row r="1440" spans="1:1" x14ac:dyDescent="0.25">
      <c r="A1440" s="2">
        <v>0</v>
      </c>
    </row>
    <row r="1441" spans="1:1" x14ac:dyDescent="0.25">
      <c r="A1441" s="2">
        <v>0</v>
      </c>
    </row>
    <row r="1442" spans="1:1" x14ac:dyDescent="0.25">
      <c r="A1442" s="2">
        <v>0</v>
      </c>
    </row>
    <row r="1443" spans="1:1" x14ac:dyDescent="0.25">
      <c r="A1443" s="2">
        <v>0</v>
      </c>
    </row>
    <row r="1444" spans="1:1" x14ac:dyDescent="0.25">
      <c r="A1444" s="2">
        <v>0</v>
      </c>
    </row>
    <row r="1445" spans="1:1" x14ac:dyDescent="0.25">
      <c r="A1445" s="2">
        <v>0</v>
      </c>
    </row>
    <row r="1446" spans="1:1" x14ac:dyDescent="0.25">
      <c r="A1446" s="2">
        <v>0</v>
      </c>
    </row>
    <row r="1447" spans="1:1" x14ac:dyDescent="0.25">
      <c r="A1447" s="2">
        <v>1</v>
      </c>
    </row>
    <row r="1448" spans="1:1" x14ac:dyDescent="0.25">
      <c r="A1448" s="2">
        <v>0</v>
      </c>
    </row>
    <row r="1449" spans="1:1" x14ac:dyDescent="0.25">
      <c r="A1449" s="2">
        <v>0</v>
      </c>
    </row>
    <row r="1450" spans="1:1" x14ac:dyDescent="0.25">
      <c r="A1450" s="2">
        <v>2</v>
      </c>
    </row>
    <row r="1451" spans="1:1" x14ac:dyDescent="0.25">
      <c r="A1451" s="2">
        <v>0</v>
      </c>
    </row>
    <row r="1452" spans="1:1" x14ac:dyDescent="0.25">
      <c r="A1452" s="2">
        <v>0</v>
      </c>
    </row>
    <row r="1453" spans="1:1" x14ac:dyDescent="0.25">
      <c r="A1453" s="2">
        <v>0</v>
      </c>
    </row>
    <row r="1454" spans="1:1" x14ac:dyDescent="0.25">
      <c r="A1454" s="2">
        <v>0</v>
      </c>
    </row>
    <row r="1455" spans="1:1" x14ac:dyDescent="0.25">
      <c r="A1455" s="2">
        <v>1</v>
      </c>
    </row>
    <row r="1456" spans="1:1" x14ac:dyDescent="0.25">
      <c r="A1456" s="2">
        <v>2</v>
      </c>
    </row>
    <row r="1457" spans="1:1" x14ac:dyDescent="0.25">
      <c r="A1457" s="2">
        <v>0</v>
      </c>
    </row>
    <row r="1458" spans="1:1" x14ac:dyDescent="0.25">
      <c r="A1458" s="2">
        <v>2</v>
      </c>
    </row>
    <row r="1459" spans="1:1" x14ac:dyDescent="0.25">
      <c r="A1459" s="2">
        <v>1</v>
      </c>
    </row>
    <row r="1460" spans="1:1" x14ac:dyDescent="0.25">
      <c r="A1460" s="2">
        <v>0</v>
      </c>
    </row>
    <row r="1461" spans="1:1" x14ac:dyDescent="0.25">
      <c r="A1461" s="2">
        <v>0</v>
      </c>
    </row>
    <row r="1462" spans="1:1" x14ac:dyDescent="0.25">
      <c r="A1462" s="2">
        <v>1</v>
      </c>
    </row>
    <row r="1463" spans="1:1" x14ac:dyDescent="0.25">
      <c r="A1463" s="2">
        <v>0</v>
      </c>
    </row>
    <row r="1464" spans="1:1" x14ac:dyDescent="0.25">
      <c r="A1464" s="2">
        <v>2</v>
      </c>
    </row>
    <row r="1465" spans="1:1" x14ac:dyDescent="0.25">
      <c r="A1465" s="2">
        <v>0</v>
      </c>
    </row>
    <row r="1466" spans="1:1" x14ac:dyDescent="0.25">
      <c r="A1466" s="2">
        <v>2</v>
      </c>
    </row>
    <row r="1467" spans="1:1" x14ac:dyDescent="0.25">
      <c r="A1467" s="2">
        <v>1</v>
      </c>
    </row>
    <row r="1468" spans="1:1" x14ac:dyDescent="0.25">
      <c r="A1468" s="2">
        <v>1</v>
      </c>
    </row>
    <row r="1469" spans="1:1" x14ac:dyDescent="0.25">
      <c r="A1469" s="2">
        <v>2</v>
      </c>
    </row>
    <row r="1470" spans="1:1" x14ac:dyDescent="0.25">
      <c r="A1470" s="2">
        <v>0</v>
      </c>
    </row>
    <row r="1471" spans="1:1" x14ac:dyDescent="0.25">
      <c r="A1471" s="2">
        <v>1</v>
      </c>
    </row>
    <row r="1472" spans="1:1" x14ac:dyDescent="0.25">
      <c r="A1472" s="2">
        <v>2</v>
      </c>
    </row>
    <row r="1473" spans="1:1" x14ac:dyDescent="0.25">
      <c r="A1473" s="2">
        <v>1</v>
      </c>
    </row>
    <row r="1474" spans="1:1" x14ac:dyDescent="0.25">
      <c r="A1474" s="2">
        <v>1</v>
      </c>
    </row>
    <row r="1475" spans="1:1" x14ac:dyDescent="0.25">
      <c r="A1475" s="2">
        <v>2</v>
      </c>
    </row>
    <row r="1476" spans="1:1" x14ac:dyDescent="0.25">
      <c r="A1476" s="2">
        <v>0</v>
      </c>
    </row>
    <row r="1477" spans="1:1" x14ac:dyDescent="0.25">
      <c r="A1477" s="2">
        <v>0</v>
      </c>
    </row>
    <row r="1478" spans="1:1" x14ac:dyDescent="0.25">
      <c r="A1478" s="2">
        <v>2</v>
      </c>
    </row>
    <row r="1479" spans="1:1" x14ac:dyDescent="0.25">
      <c r="A1479" s="2">
        <v>2</v>
      </c>
    </row>
    <row r="1480" spans="1:1" x14ac:dyDescent="0.25">
      <c r="A1480" s="2">
        <v>0</v>
      </c>
    </row>
    <row r="1481" spans="1:1" x14ac:dyDescent="0.25">
      <c r="A1481" s="2">
        <v>0</v>
      </c>
    </row>
    <row r="1482" spans="1:1" x14ac:dyDescent="0.25">
      <c r="A1482" s="2">
        <v>2</v>
      </c>
    </row>
    <row r="1483" spans="1:1" x14ac:dyDescent="0.25">
      <c r="A1483" s="2">
        <v>2</v>
      </c>
    </row>
    <row r="1484" spans="1:1" x14ac:dyDescent="0.25">
      <c r="A1484" s="2">
        <v>0</v>
      </c>
    </row>
    <row r="1485" spans="1:1" x14ac:dyDescent="0.25">
      <c r="A1485" s="2">
        <v>0</v>
      </c>
    </row>
    <row r="1486" spans="1:1" x14ac:dyDescent="0.25">
      <c r="A1486" s="2">
        <v>1</v>
      </c>
    </row>
    <row r="1487" spans="1:1" x14ac:dyDescent="0.25">
      <c r="A1487" s="2">
        <v>0</v>
      </c>
    </row>
    <row r="1488" spans="1:1" x14ac:dyDescent="0.25">
      <c r="A1488" s="2">
        <v>0</v>
      </c>
    </row>
    <row r="1489" spans="1:1" x14ac:dyDescent="0.25">
      <c r="A1489" s="2">
        <v>1</v>
      </c>
    </row>
    <row r="1490" spans="1:1" x14ac:dyDescent="0.25">
      <c r="A1490" s="2">
        <v>0</v>
      </c>
    </row>
    <row r="1491" spans="1:1" x14ac:dyDescent="0.25">
      <c r="A1491" s="2">
        <v>0</v>
      </c>
    </row>
    <row r="1492" spans="1:1" x14ac:dyDescent="0.25">
      <c r="A1492" s="2">
        <v>0</v>
      </c>
    </row>
    <row r="1493" spans="1:1" x14ac:dyDescent="0.25">
      <c r="A1493" s="2">
        <v>1</v>
      </c>
    </row>
    <row r="1494" spans="1:1" x14ac:dyDescent="0.25">
      <c r="A1494" s="2">
        <v>1</v>
      </c>
    </row>
    <row r="1495" spans="1:1" x14ac:dyDescent="0.25">
      <c r="A1495" s="2">
        <v>0</v>
      </c>
    </row>
    <row r="1496" spans="1:1" x14ac:dyDescent="0.25">
      <c r="A1496" s="2">
        <v>0</v>
      </c>
    </row>
    <row r="1497" spans="1:1" x14ac:dyDescent="0.25">
      <c r="A1497" s="2">
        <v>1</v>
      </c>
    </row>
    <row r="1498" spans="1:1" x14ac:dyDescent="0.25">
      <c r="A1498" s="2">
        <v>0</v>
      </c>
    </row>
    <row r="1499" spans="1:1" x14ac:dyDescent="0.25">
      <c r="A1499" s="2">
        <v>0</v>
      </c>
    </row>
    <row r="1500" spans="1:1" x14ac:dyDescent="0.25">
      <c r="A1500" s="2">
        <v>1</v>
      </c>
    </row>
    <row r="1501" spans="1:1" x14ac:dyDescent="0.25">
      <c r="A1501" s="2">
        <v>1</v>
      </c>
    </row>
    <row r="1502" spans="1:1" x14ac:dyDescent="0.25">
      <c r="A1502" s="2">
        <v>2</v>
      </c>
    </row>
    <row r="1503" spans="1:1" x14ac:dyDescent="0.25">
      <c r="A1503" s="2">
        <v>0</v>
      </c>
    </row>
    <row r="1504" spans="1:1" x14ac:dyDescent="0.25">
      <c r="A1504" s="2">
        <v>0</v>
      </c>
    </row>
    <row r="1505" spans="1:1" x14ac:dyDescent="0.25">
      <c r="A1505" s="2">
        <v>0</v>
      </c>
    </row>
    <row r="1506" spans="1:1" x14ac:dyDescent="0.25">
      <c r="A1506" s="2">
        <v>0</v>
      </c>
    </row>
    <row r="1507" spans="1:1" x14ac:dyDescent="0.25">
      <c r="A1507" s="2">
        <v>0</v>
      </c>
    </row>
    <row r="1508" spans="1:1" x14ac:dyDescent="0.25">
      <c r="A1508" s="2">
        <v>1</v>
      </c>
    </row>
    <row r="1509" spans="1:1" x14ac:dyDescent="0.25">
      <c r="A1509" s="2">
        <v>0</v>
      </c>
    </row>
    <row r="1510" spans="1:1" x14ac:dyDescent="0.25">
      <c r="A1510" s="2">
        <v>0</v>
      </c>
    </row>
    <row r="1511" spans="1:1" x14ac:dyDescent="0.25">
      <c r="A1511" s="2">
        <v>0</v>
      </c>
    </row>
    <row r="1512" spans="1:1" x14ac:dyDescent="0.25">
      <c r="A1512" s="2">
        <v>0</v>
      </c>
    </row>
    <row r="1513" spans="1:1" x14ac:dyDescent="0.25">
      <c r="A1513" s="2">
        <v>0</v>
      </c>
    </row>
    <row r="1514" spans="1:1" x14ac:dyDescent="0.25">
      <c r="A1514" s="2">
        <v>0</v>
      </c>
    </row>
    <row r="1515" spans="1:1" x14ac:dyDescent="0.25">
      <c r="A1515" s="2">
        <v>1</v>
      </c>
    </row>
    <row r="1516" spans="1:1" x14ac:dyDescent="0.25">
      <c r="A1516" s="2">
        <v>0</v>
      </c>
    </row>
    <row r="1517" spans="1:1" x14ac:dyDescent="0.25">
      <c r="A1517" s="2">
        <v>0</v>
      </c>
    </row>
    <row r="1518" spans="1:1" x14ac:dyDescent="0.25">
      <c r="A1518" s="2">
        <v>2</v>
      </c>
    </row>
    <row r="1519" spans="1:1" x14ac:dyDescent="0.25">
      <c r="A1519" s="2">
        <v>0</v>
      </c>
    </row>
    <row r="1520" spans="1:1" x14ac:dyDescent="0.25">
      <c r="A1520" s="2">
        <v>1</v>
      </c>
    </row>
    <row r="1521" spans="1:1" x14ac:dyDescent="0.25">
      <c r="A1521" s="2">
        <v>0</v>
      </c>
    </row>
    <row r="1522" spans="1:1" x14ac:dyDescent="0.25">
      <c r="A1522" s="2">
        <v>0</v>
      </c>
    </row>
    <row r="1523" spans="1:1" x14ac:dyDescent="0.25">
      <c r="A1523" s="2">
        <v>0</v>
      </c>
    </row>
    <row r="1524" spans="1:1" x14ac:dyDescent="0.25">
      <c r="A1524" s="2">
        <v>0</v>
      </c>
    </row>
    <row r="1525" spans="1:1" x14ac:dyDescent="0.25">
      <c r="A1525" s="2">
        <v>1</v>
      </c>
    </row>
    <row r="1526" spans="1:1" x14ac:dyDescent="0.25">
      <c r="A1526" s="2">
        <v>1</v>
      </c>
    </row>
    <row r="1527" spans="1:1" x14ac:dyDescent="0.25">
      <c r="A1527" s="2">
        <v>2</v>
      </c>
    </row>
    <row r="1528" spans="1:1" x14ac:dyDescent="0.25">
      <c r="A1528" s="2">
        <v>0</v>
      </c>
    </row>
    <row r="1529" spans="1:1" x14ac:dyDescent="0.25">
      <c r="A1529" s="2">
        <v>1</v>
      </c>
    </row>
    <row r="1530" spans="1:1" x14ac:dyDescent="0.25">
      <c r="A1530" s="2">
        <v>0</v>
      </c>
    </row>
    <row r="1531" spans="1:1" x14ac:dyDescent="0.25">
      <c r="A1531" s="2">
        <v>1</v>
      </c>
    </row>
    <row r="1532" spans="1:1" x14ac:dyDescent="0.25">
      <c r="A1532" s="2">
        <v>0</v>
      </c>
    </row>
    <row r="1533" spans="1:1" x14ac:dyDescent="0.25">
      <c r="A1533" s="2">
        <v>0</v>
      </c>
    </row>
    <row r="1534" spans="1:1" x14ac:dyDescent="0.25">
      <c r="A1534" s="2">
        <v>1</v>
      </c>
    </row>
    <row r="1535" spans="1:1" x14ac:dyDescent="0.25">
      <c r="A1535" s="2">
        <v>0</v>
      </c>
    </row>
    <row r="1536" spans="1:1" x14ac:dyDescent="0.25">
      <c r="A1536" s="2">
        <v>0</v>
      </c>
    </row>
    <row r="1537" spans="1:1" x14ac:dyDescent="0.25">
      <c r="A1537" s="2">
        <v>2</v>
      </c>
    </row>
    <row r="1538" spans="1:1" x14ac:dyDescent="0.25">
      <c r="A1538" s="2">
        <v>0</v>
      </c>
    </row>
    <row r="1539" spans="1:1" x14ac:dyDescent="0.25">
      <c r="A1539" s="2">
        <v>2</v>
      </c>
    </row>
    <row r="1540" spans="1:1" x14ac:dyDescent="0.25">
      <c r="A1540" s="2">
        <v>2</v>
      </c>
    </row>
    <row r="1541" spans="1:1" x14ac:dyDescent="0.25">
      <c r="A1541" s="2">
        <v>0</v>
      </c>
    </row>
    <row r="1542" spans="1:1" x14ac:dyDescent="0.25">
      <c r="A1542" s="2">
        <v>2</v>
      </c>
    </row>
    <row r="1543" spans="1:1" x14ac:dyDescent="0.25">
      <c r="A1543" s="2">
        <v>0</v>
      </c>
    </row>
    <row r="1544" spans="1:1" x14ac:dyDescent="0.25">
      <c r="A1544" s="2">
        <v>1</v>
      </c>
    </row>
    <row r="1545" spans="1:1" x14ac:dyDescent="0.25">
      <c r="A1545" s="2">
        <v>0</v>
      </c>
    </row>
    <row r="1546" spans="1:1" x14ac:dyDescent="0.25">
      <c r="A1546" s="2">
        <v>0</v>
      </c>
    </row>
    <row r="1547" spans="1:1" x14ac:dyDescent="0.25">
      <c r="A1547" s="2">
        <v>1</v>
      </c>
    </row>
    <row r="1548" spans="1:1" x14ac:dyDescent="0.25">
      <c r="A1548" s="2">
        <v>1</v>
      </c>
    </row>
    <row r="1549" spans="1:1" x14ac:dyDescent="0.25">
      <c r="A1549" s="2">
        <v>0</v>
      </c>
    </row>
    <row r="1550" spans="1:1" x14ac:dyDescent="0.25">
      <c r="A1550" s="2">
        <v>1</v>
      </c>
    </row>
    <row r="1551" spans="1:1" x14ac:dyDescent="0.25">
      <c r="A1551" s="2">
        <v>0</v>
      </c>
    </row>
    <row r="1552" spans="1:1" x14ac:dyDescent="0.25">
      <c r="A1552" s="2">
        <v>2</v>
      </c>
    </row>
    <row r="1553" spans="1:1" x14ac:dyDescent="0.25">
      <c r="A1553" s="2">
        <v>0</v>
      </c>
    </row>
    <row r="1554" spans="1:1" x14ac:dyDescent="0.25">
      <c r="A1554" s="2">
        <v>1</v>
      </c>
    </row>
    <row r="1555" spans="1:1" x14ac:dyDescent="0.25">
      <c r="A1555" s="2">
        <v>2</v>
      </c>
    </row>
    <row r="1556" spans="1:1" x14ac:dyDescent="0.25">
      <c r="A1556" s="2">
        <v>2</v>
      </c>
    </row>
    <row r="1557" spans="1:1" x14ac:dyDescent="0.25">
      <c r="A1557" s="2">
        <v>2</v>
      </c>
    </row>
    <row r="1558" spans="1:1" x14ac:dyDescent="0.25">
      <c r="A1558" s="2">
        <v>2</v>
      </c>
    </row>
    <row r="1559" spans="1:1" x14ac:dyDescent="0.25">
      <c r="A1559" s="2">
        <v>0</v>
      </c>
    </row>
    <row r="1560" spans="1:1" x14ac:dyDescent="0.25">
      <c r="A1560" s="2">
        <v>2</v>
      </c>
    </row>
    <row r="1561" spans="1:1" x14ac:dyDescent="0.25">
      <c r="A1561" s="2">
        <v>2</v>
      </c>
    </row>
    <row r="1562" spans="1:1" x14ac:dyDescent="0.25">
      <c r="A1562" s="2">
        <v>2</v>
      </c>
    </row>
    <row r="1563" spans="1:1" x14ac:dyDescent="0.25">
      <c r="A1563" s="2">
        <v>2</v>
      </c>
    </row>
    <row r="1564" spans="1:1" x14ac:dyDescent="0.25">
      <c r="A1564" s="2">
        <v>1</v>
      </c>
    </row>
    <row r="1565" spans="1:1" x14ac:dyDescent="0.25">
      <c r="A1565" s="2">
        <v>0</v>
      </c>
    </row>
    <row r="1566" spans="1:1" x14ac:dyDescent="0.25">
      <c r="A1566" s="2">
        <v>2</v>
      </c>
    </row>
    <row r="1567" spans="1:1" x14ac:dyDescent="0.25">
      <c r="A1567" s="2">
        <v>1</v>
      </c>
    </row>
    <row r="1568" spans="1:1" x14ac:dyDescent="0.25">
      <c r="A1568" s="2">
        <v>2</v>
      </c>
    </row>
    <row r="1569" spans="1:1" x14ac:dyDescent="0.25">
      <c r="A1569" s="2">
        <v>2</v>
      </c>
    </row>
    <row r="1570" spans="1:1" x14ac:dyDescent="0.25">
      <c r="A1570" s="2">
        <v>0</v>
      </c>
    </row>
    <row r="1571" spans="1:1" x14ac:dyDescent="0.25">
      <c r="A1571" s="2">
        <v>0</v>
      </c>
    </row>
    <row r="1572" spans="1:1" x14ac:dyDescent="0.25">
      <c r="A1572" s="2">
        <v>2</v>
      </c>
    </row>
    <row r="1573" spans="1:1" x14ac:dyDescent="0.25">
      <c r="A1573" s="2">
        <v>2</v>
      </c>
    </row>
    <row r="1574" spans="1:1" x14ac:dyDescent="0.25">
      <c r="A1574" s="2">
        <v>0</v>
      </c>
    </row>
    <row r="1575" spans="1:1" x14ac:dyDescent="0.25">
      <c r="A1575" s="2">
        <v>0</v>
      </c>
    </row>
    <row r="1576" spans="1:1" x14ac:dyDescent="0.25">
      <c r="A1576" s="2">
        <v>0</v>
      </c>
    </row>
    <row r="1577" spans="1:1" x14ac:dyDescent="0.25">
      <c r="A1577" s="2">
        <v>0</v>
      </c>
    </row>
    <row r="1578" spans="1:1" x14ac:dyDescent="0.25">
      <c r="A1578" s="2">
        <v>2</v>
      </c>
    </row>
    <row r="1579" spans="1:1" x14ac:dyDescent="0.25">
      <c r="A1579" s="2">
        <v>0</v>
      </c>
    </row>
    <row r="1580" spans="1:1" x14ac:dyDescent="0.25">
      <c r="A1580" s="2">
        <v>2</v>
      </c>
    </row>
    <row r="1581" spans="1:1" x14ac:dyDescent="0.25">
      <c r="A1581" s="2">
        <v>0</v>
      </c>
    </row>
    <row r="1582" spans="1:1" x14ac:dyDescent="0.25">
      <c r="A1582" s="2">
        <v>0</v>
      </c>
    </row>
    <row r="1583" spans="1:1" x14ac:dyDescent="0.25">
      <c r="A1583" s="2">
        <v>0</v>
      </c>
    </row>
    <row r="1584" spans="1:1" x14ac:dyDescent="0.25">
      <c r="A1584" s="2">
        <v>0</v>
      </c>
    </row>
    <row r="1585" spans="1:1" x14ac:dyDescent="0.25">
      <c r="A1585" s="2">
        <v>2</v>
      </c>
    </row>
    <row r="1586" spans="1:1" x14ac:dyDescent="0.25">
      <c r="A1586" s="2">
        <v>0</v>
      </c>
    </row>
    <row r="1587" spans="1:1" x14ac:dyDescent="0.25">
      <c r="A1587" s="2">
        <v>1</v>
      </c>
    </row>
    <row r="1588" spans="1:1" x14ac:dyDescent="0.25">
      <c r="A1588" s="2">
        <v>1</v>
      </c>
    </row>
    <row r="1589" spans="1:1" x14ac:dyDescent="0.25">
      <c r="A1589" s="2">
        <v>0</v>
      </c>
    </row>
    <row r="1590" spans="1:1" x14ac:dyDescent="0.25">
      <c r="A1590" s="2">
        <v>0</v>
      </c>
    </row>
    <row r="1591" spans="1:1" x14ac:dyDescent="0.25">
      <c r="A1591" s="2">
        <v>0</v>
      </c>
    </row>
    <row r="1592" spans="1:1" x14ac:dyDescent="0.25">
      <c r="A1592" s="2">
        <v>0</v>
      </c>
    </row>
    <row r="1593" spans="1:1" x14ac:dyDescent="0.25">
      <c r="A1593" s="2">
        <v>0</v>
      </c>
    </row>
    <row r="1594" spans="1:1" x14ac:dyDescent="0.25">
      <c r="A1594" s="2">
        <v>0</v>
      </c>
    </row>
    <row r="1595" spans="1:1" x14ac:dyDescent="0.25">
      <c r="A1595" s="2">
        <v>0</v>
      </c>
    </row>
    <row r="1596" spans="1:1" x14ac:dyDescent="0.25">
      <c r="A1596" s="2">
        <v>2</v>
      </c>
    </row>
    <row r="1597" spans="1:1" x14ac:dyDescent="0.25">
      <c r="A1597" s="2">
        <v>0</v>
      </c>
    </row>
    <row r="1598" spans="1:1" x14ac:dyDescent="0.25">
      <c r="A1598" s="2">
        <v>0</v>
      </c>
    </row>
    <row r="1599" spans="1:1" x14ac:dyDescent="0.25">
      <c r="A1599" s="2">
        <v>0</v>
      </c>
    </row>
    <row r="1600" spans="1:1" x14ac:dyDescent="0.25">
      <c r="A1600" s="2">
        <v>1</v>
      </c>
    </row>
    <row r="1601" spans="1:1" x14ac:dyDescent="0.25">
      <c r="A1601" s="2">
        <v>1</v>
      </c>
    </row>
    <row r="1602" spans="1:1" x14ac:dyDescent="0.25">
      <c r="A1602" s="2">
        <v>0</v>
      </c>
    </row>
    <row r="1603" spans="1:1" x14ac:dyDescent="0.25">
      <c r="A1603" s="2">
        <v>0</v>
      </c>
    </row>
    <row r="1604" spans="1:1" x14ac:dyDescent="0.25">
      <c r="A1604" s="2">
        <v>0</v>
      </c>
    </row>
    <row r="1605" spans="1:1" x14ac:dyDescent="0.25">
      <c r="A1605" s="2">
        <v>0</v>
      </c>
    </row>
    <row r="1606" spans="1:1" x14ac:dyDescent="0.25">
      <c r="A1606" s="2">
        <v>0</v>
      </c>
    </row>
    <row r="1607" spans="1:1" x14ac:dyDescent="0.25">
      <c r="A1607" s="2">
        <v>1</v>
      </c>
    </row>
    <row r="1608" spans="1:1" x14ac:dyDescent="0.25">
      <c r="A1608" s="2">
        <v>1</v>
      </c>
    </row>
    <row r="1609" spans="1:1" x14ac:dyDescent="0.25">
      <c r="A1609" s="2">
        <v>2</v>
      </c>
    </row>
    <row r="1610" spans="1:1" x14ac:dyDescent="0.25">
      <c r="A1610" s="2">
        <v>0</v>
      </c>
    </row>
    <row r="1611" spans="1:1" x14ac:dyDescent="0.25">
      <c r="A1611" s="2">
        <v>0</v>
      </c>
    </row>
    <row r="1612" spans="1:1" x14ac:dyDescent="0.25">
      <c r="A1612" s="2">
        <v>0</v>
      </c>
    </row>
    <row r="1613" spans="1:1" x14ac:dyDescent="0.25">
      <c r="A1613" s="2">
        <v>0</v>
      </c>
    </row>
    <row r="1614" spans="1:1" x14ac:dyDescent="0.25">
      <c r="A1614" s="2">
        <v>0</v>
      </c>
    </row>
    <row r="1615" spans="1:1" x14ac:dyDescent="0.25">
      <c r="A1615" s="2">
        <v>0</v>
      </c>
    </row>
    <row r="1616" spans="1:1" x14ac:dyDescent="0.25">
      <c r="A1616" s="2">
        <v>0</v>
      </c>
    </row>
    <row r="1617" spans="1:1" x14ac:dyDescent="0.25">
      <c r="A1617" s="2">
        <v>2</v>
      </c>
    </row>
    <row r="1618" spans="1:1" x14ac:dyDescent="0.25">
      <c r="A1618" s="2">
        <v>2</v>
      </c>
    </row>
    <row r="1619" spans="1:1" x14ac:dyDescent="0.25">
      <c r="A1619" s="2">
        <v>2</v>
      </c>
    </row>
    <row r="1620" spans="1:1" x14ac:dyDescent="0.25">
      <c r="A1620" s="2">
        <v>1</v>
      </c>
    </row>
    <row r="1621" spans="1:1" x14ac:dyDescent="0.25">
      <c r="A1621" s="2">
        <v>2</v>
      </c>
    </row>
    <row r="1622" spans="1:1" x14ac:dyDescent="0.25">
      <c r="A1622" s="2">
        <v>2</v>
      </c>
    </row>
    <row r="1623" spans="1:1" x14ac:dyDescent="0.25">
      <c r="A1623" s="2">
        <v>0</v>
      </c>
    </row>
    <row r="1624" spans="1:1" x14ac:dyDescent="0.25">
      <c r="A1624" s="2">
        <v>2</v>
      </c>
    </row>
    <row r="1625" spans="1:1" x14ac:dyDescent="0.25">
      <c r="A1625" s="2">
        <v>2</v>
      </c>
    </row>
    <row r="1626" spans="1:1" x14ac:dyDescent="0.25">
      <c r="A1626" s="2">
        <v>0</v>
      </c>
    </row>
    <row r="1627" spans="1:1" x14ac:dyDescent="0.25">
      <c r="A1627" s="2">
        <v>2</v>
      </c>
    </row>
    <row r="1628" spans="1:1" x14ac:dyDescent="0.25">
      <c r="A1628" s="2">
        <v>1</v>
      </c>
    </row>
    <row r="1629" spans="1:1" x14ac:dyDescent="0.25">
      <c r="A1629" s="2">
        <v>1</v>
      </c>
    </row>
    <row r="1630" spans="1:1" x14ac:dyDescent="0.25">
      <c r="A1630" s="2">
        <v>0</v>
      </c>
    </row>
    <row r="1631" spans="1:1" x14ac:dyDescent="0.25">
      <c r="A1631" s="2">
        <v>1</v>
      </c>
    </row>
    <row r="1632" spans="1:1" x14ac:dyDescent="0.25">
      <c r="A1632" s="2">
        <v>2</v>
      </c>
    </row>
    <row r="1633" spans="1:1" x14ac:dyDescent="0.25">
      <c r="A1633" s="2">
        <v>2</v>
      </c>
    </row>
    <row r="1634" spans="1:1" x14ac:dyDescent="0.25">
      <c r="A1634" s="2">
        <v>2</v>
      </c>
    </row>
    <row r="1635" spans="1:1" x14ac:dyDescent="0.25">
      <c r="A1635" s="2">
        <v>1</v>
      </c>
    </row>
    <row r="1636" spans="1:1" x14ac:dyDescent="0.25">
      <c r="A1636" s="2">
        <v>1</v>
      </c>
    </row>
    <row r="1637" spans="1:1" x14ac:dyDescent="0.25">
      <c r="A1637" s="2">
        <v>2</v>
      </c>
    </row>
    <row r="1638" spans="1:1" x14ac:dyDescent="0.25">
      <c r="A1638" s="2">
        <v>2</v>
      </c>
    </row>
    <row r="1639" spans="1:1" x14ac:dyDescent="0.25">
      <c r="A1639" s="2">
        <v>2</v>
      </c>
    </row>
    <row r="1640" spans="1:1" x14ac:dyDescent="0.25">
      <c r="A1640" s="2">
        <v>1</v>
      </c>
    </row>
    <row r="1641" spans="1:1" x14ac:dyDescent="0.25">
      <c r="A1641" s="2">
        <v>2</v>
      </c>
    </row>
    <row r="1642" spans="1:1" x14ac:dyDescent="0.25">
      <c r="A1642" s="2">
        <v>2</v>
      </c>
    </row>
    <row r="1643" spans="1:1" x14ac:dyDescent="0.25">
      <c r="A1643" s="2">
        <v>2</v>
      </c>
    </row>
    <row r="1644" spans="1:1" x14ac:dyDescent="0.25">
      <c r="A1644" s="2">
        <v>2</v>
      </c>
    </row>
    <row r="1645" spans="1:1" x14ac:dyDescent="0.25">
      <c r="A1645" s="2">
        <v>0</v>
      </c>
    </row>
    <row r="1646" spans="1:1" x14ac:dyDescent="0.25">
      <c r="A1646" s="2">
        <v>0</v>
      </c>
    </row>
    <row r="1647" spans="1:1" x14ac:dyDescent="0.25">
      <c r="A1647" s="2">
        <v>0</v>
      </c>
    </row>
    <row r="1648" spans="1:1" x14ac:dyDescent="0.25">
      <c r="A1648" s="2">
        <v>1</v>
      </c>
    </row>
    <row r="1649" spans="1:1" x14ac:dyDescent="0.25">
      <c r="A1649" s="2">
        <v>0</v>
      </c>
    </row>
    <row r="1650" spans="1:1" x14ac:dyDescent="0.25">
      <c r="A1650" s="2">
        <v>0</v>
      </c>
    </row>
    <row r="1651" spans="1:1" x14ac:dyDescent="0.25">
      <c r="A1651" s="2">
        <v>0</v>
      </c>
    </row>
    <row r="1652" spans="1:1" x14ac:dyDescent="0.25">
      <c r="A1652" s="2">
        <v>1</v>
      </c>
    </row>
    <row r="1653" spans="1:1" x14ac:dyDescent="0.25">
      <c r="A1653" s="2">
        <v>0</v>
      </c>
    </row>
    <row r="1654" spans="1:1" x14ac:dyDescent="0.25">
      <c r="A1654" s="2">
        <v>0</v>
      </c>
    </row>
    <row r="1655" spans="1:1" x14ac:dyDescent="0.25">
      <c r="A1655" s="2">
        <v>1</v>
      </c>
    </row>
    <row r="1656" spans="1:1" x14ac:dyDescent="0.25">
      <c r="A1656" s="2">
        <v>2</v>
      </c>
    </row>
    <row r="1657" spans="1:1" x14ac:dyDescent="0.25">
      <c r="A1657" s="2">
        <v>0</v>
      </c>
    </row>
    <row r="1658" spans="1:1" x14ac:dyDescent="0.25">
      <c r="A1658" s="2">
        <v>1</v>
      </c>
    </row>
    <row r="1659" spans="1:1" x14ac:dyDescent="0.25">
      <c r="A1659" s="2">
        <v>0</v>
      </c>
    </row>
    <row r="1660" spans="1:1" x14ac:dyDescent="0.25">
      <c r="A1660" s="2">
        <v>2</v>
      </c>
    </row>
    <row r="1661" spans="1:1" x14ac:dyDescent="0.25">
      <c r="A1661" s="2">
        <v>0</v>
      </c>
    </row>
    <row r="1662" spans="1:1" x14ac:dyDescent="0.25">
      <c r="A1662" s="2">
        <v>0</v>
      </c>
    </row>
    <row r="1663" spans="1:1" x14ac:dyDescent="0.25">
      <c r="A1663" s="2">
        <v>0</v>
      </c>
    </row>
    <row r="1664" spans="1:1" x14ac:dyDescent="0.25">
      <c r="A1664" s="2">
        <v>0</v>
      </c>
    </row>
    <row r="1665" spans="1:1" x14ac:dyDescent="0.25">
      <c r="A1665" s="2">
        <v>0</v>
      </c>
    </row>
    <row r="1666" spans="1:1" x14ac:dyDescent="0.25">
      <c r="A1666" s="2">
        <v>1</v>
      </c>
    </row>
    <row r="1667" spans="1:1" x14ac:dyDescent="0.25">
      <c r="A1667" s="2">
        <v>0</v>
      </c>
    </row>
    <row r="1668" spans="1:1" x14ac:dyDescent="0.25">
      <c r="A1668" s="2">
        <v>0</v>
      </c>
    </row>
    <row r="1669" spans="1:1" x14ac:dyDescent="0.25">
      <c r="A1669" s="2">
        <v>0</v>
      </c>
    </row>
    <row r="1670" spans="1:1" x14ac:dyDescent="0.25">
      <c r="A1670" s="2">
        <v>0</v>
      </c>
    </row>
    <row r="1671" spans="1:1" x14ac:dyDescent="0.25">
      <c r="A1671" s="2">
        <v>0</v>
      </c>
    </row>
    <row r="1672" spans="1:1" x14ac:dyDescent="0.25">
      <c r="A1672" s="2">
        <v>0</v>
      </c>
    </row>
    <row r="1673" spans="1:1" x14ac:dyDescent="0.25">
      <c r="A1673" s="2">
        <v>0</v>
      </c>
    </row>
    <row r="1674" spans="1:1" x14ac:dyDescent="0.25">
      <c r="A1674" s="2">
        <v>2</v>
      </c>
    </row>
    <row r="1675" spans="1:1" x14ac:dyDescent="0.25">
      <c r="A1675" s="2">
        <v>2</v>
      </c>
    </row>
    <row r="1676" spans="1:1" x14ac:dyDescent="0.25">
      <c r="A1676" s="2">
        <v>0</v>
      </c>
    </row>
    <row r="1677" spans="1:1" x14ac:dyDescent="0.25">
      <c r="A1677" s="2">
        <v>0</v>
      </c>
    </row>
    <row r="1678" spans="1:1" x14ac:dyDescent="0.25">
      <c r="A1678" s="2">
        <v>0</v>
      </c>
    </row>
    <row r="1679" spans="1:1" x14ac:dyDescent="0.25">
      <c r="A1679" s="2">
        <v>1</v>
      </c>
    </row>
    <row r="1680" spans="1:1" x14ac:dyDescent="0.25">
      <c r="A1680" s="2">
        <v>0</v>
      </c>
    </row>
    <row r="1681" spans="1:1" x14ac:dyDescent="0.25">
      <c r="A1681" s="2">
        <v>0</v>
      </c>
    </row>
    <row r="1682" spans="1:1" x14ac:dyDescent="0.25">
      <c r="A1682" s="2">
        <v>0</v>
      </c>
    </row>
    <row r="1683" spans="1:1" x14ac:dyDescent="0.25">
      <c r="A1683" s="2">
        <v>2</v>
      </c>
    </row>
    <row r="1684" spans="1:1" x14ac:dyDescent="0.25">
      <c r="A1684" s="2">
        <v>0</v>
      </c>
    </row>
    <row r="1685" spans="1:1" x14ac:dyDescent="0.25">
      <c r="A1685" s="2">
        <v>0</v>
      </c>
    </row>
    <row r="1686" spans="1:1" x14ac:dyDescent="0.25">
      <c r="A1686" s="2">
        <v>1</v>
      </c>
    </row>
    <row r="1687" spans="1:1" x14ac:dyDescent="0.25">
      <c r="A1687" s="2">
        <v>2</v>
      </c>
    </row>
    <row r="1688" spans="1:1" x14ac:dyDescent="0.25">
      <c r="A1688" s="2">
        <v>2</v>
      </c>
    </row>
    <row r="1689" spans="1:1" x14ac:dyDescent="0.25">
      <c r="A1689" s="2">
        <v>0</v>
      </c>
    </row>
    <row r="1690" spans="1:1" x14ac:dyDescent="0.25">
      <c r="A1690" s="2">
        <v>0</v>
      </c>
    </row>
    <row r="1691" spans="1:1" x14ac:dyDescent="0.25">
      <c r="A1691" s="2">
        <v>0</v>
      </c>
    </row>
    <row r="1692" spans="1:1" x14ac:dyDescent="0.25">
      <c r="A1692" s="2">
        <v>1</v>
      </c>
    </row>
    <row r="1693" spans="1:1" x14ac:dyDescent="0.25">
      <c r="A1693" s="2">
        <v>0</v>
      </c>
    </row>
    <row r="1694" spans="1:1" x14ac:dyDescent="0.25">
      <c r="A1694" s="2">
        <v>0</v>
      </c>
    </row>
    <row r="1695" spans="1:1" x14ac:dyDescent="0.25">
      <c r="A1695" s="2">
        <v>2</v>
      </c>
    </row>
    <row r="1696" spans="1:1" x14ac:dyDescent="0.25">
      <c r="A1696" s="2">
        <v>2</v>
      </c>
    </row>
    <row r="1697" spans="1:1" x14ac:dyDescent="0.25">
      <c r="A1697" s="2">
        <v>2</v>
      </c>
    </row>
    <row r="1698" spans="1:1" x14ac:dyDescent="0.25">
      <c r="A1698" s="2">
        <v>2</v>
      </c>
    </row>
    <row r="1699" spans="1:1" x14ac:dyDescent="0.25">
      <c r="A1699" s="2">
        <v>0</v>
      </c>
    </row>
    <row r="1700" spans="1:1" x14ac:dyDescent="0.25">
      <c r="A1700" s="2">
        <v>0</v>
      </c>
    </row>
    <row r="1701" spans="1:1" x14ac:dyDescent="0.25">
      <c r="A1701" s="2">
        <v>1</v>
      </c>
    </row>
    <row r="1702" spans="1:1" x14ac:dyDescent="0.25">
      <c r="A1702" s="2">
        <v>0</v>
      </c>
    </row>
    <row r="1703" spans="1:1" x14ac:dyDescent="0.25">
      <c r="A1703" s="2">
        <v>0</v>
      </c>
    </row>
    <row r="1704" spans="1:1" x14ac:dyDescent="0.25">
      <c r="A1704" s="2">
        <v>2</v>
      </c>
    </row>
    <row r="1705" spans="1:1" x14ac:dyDescent="0.25">
      <c r="A1705" s="2">
        <v>1</v>
      </c>
    </row>
    <row r="1706" spans="1:1" x14ac:dyDescent="0.25">
      <c r="A1706" s="2">
        <v>0</v>
      </c>
    </row>
    <row r="1707" spans="1:1" x14ac:dyDescent="0.25">
      <c r="A1707" s="2">
        <v>1</v>
      </c>
    </row>
    <row r="1708" spans="1:1" x14ac:dyDescent="0.25">
      <c r="A1708" s="2">
        <v>0</v>
      </c>
    </row>
    <row r="1709" spans="1:1" x14ac:dyDescent="0.25">
      <c r="A1709" s="2">
        <v>2</v>
      </c>
    </row>
    <row r="1710" spans="1:1" x14ac:dyDescent="0.25">
      <c r="A1710" s="2">
        <v>2</v>
      </c>
    </row>
    <row r="1711" spans="1:1" x14ac:dyDescent="0.25">
      <c r="A1711" s="2">
        <v>1</v>
      </c>
    </row>
    <row r="1712" spans="1:1" x14ac:dyDescent="0.25">
      <c r="A1712" s="2">
        <v>0</v>
      </c>
    </row>
    <row r="1713" spans="1:1" x14ac:dyDescent="0.25">
      <c r="A1713" s="2">
        <v>0</v>
      </c>
    </row>
    <row r="1714" spans="1:1" x14ac:dyDescent="0.25">
      <c r="A1714" s="2">
        <v>0</v>
      </c>
    </row>
    <row r="1715" spans="1:1" x14ac:dyDescent="0.25">
      <c r="A1715" s="2">
        <v>0</v>
      </c>
    </row>
    <row r="1716" spans="1:1" x14ac:dyDescent="0.25">
      <c r="A1716" s="2">
        <v>0</v>
      </c>
    </row>
    <row r="1717" spans="1:1" x14ac:dyDescent="0.25">
      <c r="A1717" s="2">
        <v>0</v>
      </c>
    </row>
    <row r="1718" spans="1:1" x14ac:dyDescent="0.25">
      <c r="A1718" s="2">
        <v>0</v>
      </c>
    </row>
    <row r="1719" spans="1:1" x14ac:dyDescent="0.25">
      <c r="A1719" s="2">
        <v>0</v>
      </c>
    </row>
    <row r="1720" spans="1:1" x14ac:dyDescent="0.25">
      <c r="A1720" s="2">
        <v>0</v>
      </c>
    </row>
    <row r="1721" spans="1:1" x14ac:dyDescent="0.25">
      <c r="A1721" s="2">
        <v>0</v>
      </c>
    </row>
    <row r="1722" spans="1:1" x14ac:dyDescent="0.25">
      <c r="A1722" s="2">
        <v>0</v>
      </c>
    </row>
    <row r="1723" spans="1:1" x14ac:dyDescent="0.25">
      <c r="A1723" s="2">
        <v>0</v>
      </c>
    </row>
    <row r="1724" spans="1:1" x14ac:dyDescent="0.25">
      <c r="A1724" s="2">
        <v>1</v>
      </c>
    </row>
    <row r="1725" spans="1:1" x14ac:dyDescent="0.25">
      <c r="A1725" s="2">
        <v>0</v>
      </c>
    </row>
    <row r="1726" spans="1:1" x14ac:dyDescent="0.25">
      <c r="A1726" s="2">
        <v>2</v>
      </c>
    </row>
    <row r="1727" spans="1:1" x14ac:dyDescent="0.25">
      <c r="A1727" s="2">
        <v>0</v>
      </c>
    </row>
    <row r="1728" spans="1:1" x14ac:dyDescent="0.25">
      <c r="A1728" s="2">
        <v>0</v>
      </c>
    </row>
    <row r="1729" spans="1:1" x14ac:dyDescent="0.25">
      <c r="A1729" s="2">
        <v>0</v>
      </c>
    </row>
    <row r="1730" spans="1:1" x14ac:dyDescent="0.25">
      <c r="A1730" s="2">
        <v>0</v>
      </c>
    </row>
    <row r="1731" spans="1:1" x14ac:dyDescent="0.25">
      <c r="A1731" s="2">
        <v>0</v>
      </c>
    </row>
    <row r="1732" spans="1:1" x14ac:dyDescent="0.25">
      <c r="A1732" s="2">
        <v>0</v>
      </c>
    </row>
    <row r="1733" spans="1:1" x14ac:dyDescent="0.25">
      <c r="A1733" s="2">
        <v>0</v>
      </c>
    </row>
    <row r="1734" spans="1:1" x14ac:dyDescent="0.25">
      <c r="A1734" s="2">
        <v>0</v>
      </c>
    </row>
    <row r="1735" spans="1:1" x14ac:dyDescent="0.25">
      <c r="A1735" s="2">
        <v>1</v>
      </c>
    </row>
    <row r="1736" spans="1:1" x14ac:dyDescent="0.25">
      <c r="A1736" s="2">
        <v>0</v>
      </c>
    </row>
    <row r="1737" spans="1:1" x14ac:dyDescent="0.25">
      <c r="A1737" s="2">
        <v>0</v>
      </c>
    </row>
    <row r="1738" spans="1:1" x14ac:dyDescent="0.25">
      <c r="A1738" s="2">
        <v>0</v>
      </c>
    </row>
    <row r="1739" spans="1:1" x14ac:dyDescent="0.25">
      <c r="A1739" s="2">
        <v>0</v>
      </c>
    </row>
    <row r="1740" spans="1:1" x14ac:dyDescent="0.25">
      <c r="A1740" s="2">
        <v>0</v>
      </c>
    </row>
    <row r="1741" spans="1:1" x14ac:dyDescent="0.25">
      <c r="A1741" s="2">
        <v>0</v>
      </c>
    </row>
    <row r="1742" spans="1:1" x14ac:dyDescent="0.25">
      <c r="A1742" s="2">
        <v>1</v>
      </c>
    </row>
    <row r="1743" spans="1:1" x14ac:dyDescent="0.25">
      <c r="A1743" s="2">
        <v>0</v>
      </c>
    </row>
    <row r="1744" spans="1:1" x14ac:dyDescent="0.25">
      <c r="A1744" s="2">
        <v>0</v>
      </c>
    </row>
    <row r="1745" spans="1:1" x14ac:dyDescent="0.25">
      <c r="A1745" s="2">
        <v>2</v>
      </c>
    </row>
    <row r="1746" spans="1:1" x14ac:dyDescent="0.25">
      <c r="A1746" s="2">
        <v>0</v>
      </c>
    </row>
    <row r="1747" spans="1:1" x14ac:dyDescent="0.25">
      <c r="A1747" s="2">
        <v>2</v>
      </c>
    </row>
    <row r="1748" spans="1:1" x14ac:dyDescent="0.25">
      <c r="A1748" s="2">
        <v>2</v>
      </c>
    </row>
    <row r="1749" spans="1:1" x14ac:dyDescent="0.25">
      <c r="A1749" s="2">
        <v>2</v>
      </c>
    </row>
    <row r="1750" spans="1:1" x14ac:dyDescent="0.25">
      <c r="A1750" s="2">
        <v>2</v>
      </c>
    </row>
    <row r="1751" spans="1:1" x14ac:dyDescent="0.25">
      <c r="A1751" s="2">
        <v>0</v>
      </c>
    </row>
    <row r="1752" spans="1:1" x14ac:dyDescent="0.25">
      <c r="A1752" s="2">
        <v>2</v>
      </c>
    </row>
    <row r="1753" spans="1:1" x14ac:dyDescent="0.25">
      <c r="A1753" s="2">
        <v>2</v>
      </c>
    </row>
    <row r="1754" spans="1:1" x14ac:dyDescent="0.25">
      <c r="A1754" s="2">
        <v>2</v>
      </c>
    </row>
    <row r="1755" spans="1:1" x14ac:dyDescent="0.25">
      <c r="A1755" s="2">
        <v>2</v>
      </c>
    </row>
    <row r="1756" spans="1:1" x14ac:dyDescent="0.25">
      <c r="A1756" s="2">
        <v>0</v>
      </c>
    </row>
    <row r="1757" spans="1:1" x14ac:dyDescent="0.25">
      <c r="A1757" s="2">
        <v>1</v>
      </c>
    </row>
    <row r="1758" spans="1:1" x14ac:dyDescent="0.25">
      <c r="A1758" s="2">
        <v>2</v>
      </c>
    </row>
    <row r="1759" spans="1:1" x14ac:dyDescent="0.25">
      <c r="A1759" s="2">
        <v>2</v>
      </c>
    </row>
    <row r="1760" spans="1:1" x14ac:dyDescent="0.25">
      <c r="A1760" s="2">
        <v>2</v>
      </c>
    </row>
    <row r="1761" spans="1:1" x14ac:dyDescent="0.25">
      <c r="A1761" s="2">
        <v>1</v>
      </c>
    </row>
    <row r="1762" spans="1:1" x14ac:dyDescent="0.25">
      <c r="A1762" s="2">
        <v>0</v>
      </c>
    </row>
    <row r="1763" spans="1:1" x14ac:dyDescent="0.25">
      <c r="A1763" s="2">
        <v>2</v>
      </c>
    </row>
    <row r="1764" spans="1:1" x14ac:dyDescent="0.25">
      <c r="A1764" s="2">
        <v>1</v>
      </c>
    </row>
    <row r="1765" spans="1:1" x14ac:dyDescent="0.25">
      <c r="A1765" s="2">
        <v>0</v>
      </c>
    </row>
    <row r="1766" spans="1:1" x14ac:dyDescent="0.25">
      <c r="A1766" s="2">
        <v>0</v>
      </c>
    </row>
    <row r="1767" spans="1:1" x14ac:dyDescent="0.25">
      <c r="A1767" s="2">
        <v>0</v>
      </c>
    </row>
    <row r="1768" spans="1:1" x14ac:dyDescent="0.25">
      <c r="A1768" s="2">
        <v>2</v>
      </c>
    </row>
    <row r="1769" spans="1:1" x14ac:dyDescent="0.25">
      <c r="A1769" s="2">
        <v>2</v>
      </c>
    </row>
    <row r="1770" spans="1:1" x14ac:dyDescent="0.25">
      <c r="A1770" s="2">
        <v>1</v>
      </c>
    </row>
    <row r="1771" spans="1:1" x14ac:dyDescent="0.25">
      <c r="A1771" s="2">
        <v>2</v>
      </c>
    </row>
    <row r="1772" spans="1:1" x14ac:dyDescent="0.25">
      <c r="A1772" s="2">
        <v>0</v>
      </c>
    </row>
    <row r="1773" spans="1:1" x14ac:dyDescent="0.25">
      <c r="A1773" s="2">
        <v>2</v>
      </c>
    </row>
    <row r="1774" spans="1:1" x14ac:dyDescent="0.25">
      <c r="A1774" s="2">
        <v>1</v>
      </c>
    </row>
    <row r="1775" spans="1:1" x14ac:dyDescent="0.25">
      <c r="A1775" s="2">
        <v>2</v>
      </c>
    </row>
    <row r="1776" spans="1:1" x14ac:dyDescent="0.25">
      <c r="A1776" s="2">
        <v>2</v>
      </c>
    </row>
    <row r="1777" spans="1:1" x14ac:dyDescent="0.25">
      <c r="A1777" s="2">
        <v>0</v>
      </c>
    </row>
    <row r="1778" spans="1:1" x14ac:dyDescent="0.25">
      <c r="A1778" s="2">
        <v>2</v>
      </c>
    </row>
    <row r="1779" spans="1:1" x14ac:dyDescent="0.25">
      <c r="A1779" s="2">
        <v>0</v>
      </c>
    </row>
    <row r="1780" spans="1:1" x14ac:dyDescent="0.25">
      <c r="A1780" s="2">
        <v>1</v>
      </c>
    </row>
    <row r="1781" spans="1:1" x14ac:dyDescent="0.25">
      <c r="A1781" s="2">
        <v>2</v>
      </c>
    </row>
    <row r="1782" spans="1:1" x14ac:dyDescent="0.25">
      <c r="A1782" s="2">
        <v>0</v>
      </c>
    </row>
    <row r="1783" spans="1:1" x14ac:dyDescent="0.25">
      <c r="A1783" s="2">
        <v>0</v>
      </c>
    </row>
    <row r="1784" spans="1:1" x14ac:dyDescent="0.25">
      <c r="A1784" s="2">
        <v>0</v>
      </c>
    </row>
    <row r="1785" spans="1:1" x14ac:dyDescent="0.25">
      <c r="A1785" s="2">
        <v>2</v>
      </c>
    </row>
    <row r="1786" spans="1:1" x14ac:dyDescent="0.25">
      <c r="A1786" s="2">
        <v>0</v>
      </c>
    </row>
    <row r="1787" spans="1:1" x14ac:dyDescent="0.25">
      <c r="A1787" s="2">
        <v>2</v>
      </c>
    </row>
    <row r="1788" spans="1:1" x14ac:dyDescent="0.25">
      <c r="A1788" s="2">
        <v>0</v>
      </c>
    </row>
    <row r="1789" spans="1:1" x14ac:dyDescent="0.25">
      <c r="A1789" s="2">
        <v>0</v>
      </c>
    </row>
    <row r="1790" spans="1:1" x14ac:dyDescent="0.25">
      <c r="A1790" s="2">
        <v>0</v>
      </c>
    </row>
    <row r="1791" spans="1:1" x14ac:dyDescent="0.25">
      <c r="A1791" s="2">
        <v>0</v>
      </c>
    </row>
    <row r="1792" spans="1:1" x14ac:dyDescent="0.25">
      <c r="A1792" s="2">
        <v>0</v>
      </c>
    </row>
    <row r="1793" spans="1:1" x14ac:dyDescent="0.25">
      <c r="A1793" s="2">
        <v>0</v>
      </c>
    </row>
    <row r="1794" spans="1:1" x14ac:dyDescent="0.25">
      <c r="A1794" s="2">
        <v>0</v>
      </c>
    </row>
    <row r="1795" spans="1:1" x14ac:dyDescent="0.25">
      <c r="A1795" s="2">
        <v>0</v>
      </c>
    </row>
    <row r="1796" spans="1:1" x14ac:dyDescent="0.25">
      <c r="A1796" s="2">
        <v>0</v>
      </c>
    </row>
    <row r="1797" spans="1:1" x14ac:dyDescent="0.25">
      <c r="A1797" s="2">
        <v>0</v>
      </c>
    </row>
    <row r="1798" spans="1:1" x14ac:dyDescent="0.25">
      <c r="A1798" s="2">
        <v>2</v>
      </c>
    </row>
    <row r="1799" spans="1:1" x14ac:dyDescent="0.25">
      <c r="A1799" s="2">
        <v>0</v>
      </c>
    </row>
    <row r="1800" spans="1:1" x14ac:dyDescent="0.25">
      <c r="A1800" s="2">
        <v>0</v>
      </c>
    </row>
    <row r="1801" spans="1:1" x14ac:dyDescent="0.25">
      <c r="A1801" s="2">
        <v>0</v>
      </c>
    </row>
    <row r="1802" spans="1:1" x14ac:dyDescent="0.25">
      <c r="A1802" s="2">
        <v>1</v>
      </c>
    </row>
    <row r="1803" spans="1:1" x14ac:dyDescent="0.25">
      <c r="A1803" s="2">
        <v>0</v>
      </c>
    </row>
    <row r="1804" spans="1:1" x14ac:dyDescent="0.25">
      <c r="A1804" s="2">
        <v>0</v>
      </c>
    </row>
    <row r="1805" spans="1:1" x14ac:dyDescent="0.25">
      <c r="A1805" s="2">
        <v>2</v>
      </c>
    </row>
    <row r="1806" spans="1:1" x14ac:dyDescent="0.25">
      <c r="A1806" s="2">
        <v>0</v>
      </c>
    </row>
    <row r="1807" spans="1:1" x14ac:dyDescent="0.25">
      <c r="A1807" s="2">
        <v>1</v>
      </c>
    </row>
    <row r="1808" spans="1:1" x14ac:dyDescent="0.25">
      <c r="A1808" s="2">
        <v>2</v>
      </c>
    </row>
    <row r="1809" spans="1:1" x14ac:dyDescent="0.25">
      <c r="A1809" s="2">
        <v>0</v>
      </c>
    </row>
    <row r="1810" spans="1:1" x14ac:dyDescent="0.25">
      <c r="A1810" s="2">
        <v>0</v>
      </c>
    </row>
    <row r="1811" spans="1:1" x14ac:dyDescent="0.25">
      <c r="A1811" s="2">
        <v>0</v>
      </c>
    </row>
    <row r="1812" spans="1:1" x14ac:dyDescent="0.25">
      <c r="A1812" s="2">
        <v>2</v>
      </c>
    </row>
    <row r="1813" spans="1:1" x14ac:dyDescent="0.25">
      <c r="A1813" s="2">
        <v>0</v>
      </c>
    </row>
    <row r="1814" spans="1:1" x14ac:dyDescent="0.25">
      <c r="A1814" s="2">
        <v>2</v>
      </c>
    </row>
    <row r="1815" spans="1:1" x14ac:dyDescent="0.25">
      <c r="A1815" s="2">
        <v>1</v>
      </c>
    </row>
    <row r="1816" spans="1:1" x14ac:dyDescent="0.25">
      <c r="A1816" s="2">
        <v>0</v>
      </c>
    </row>
    <row r="1817" spans="1:1" x14ac:dyDescent="0.25">
      <c r="A1817" s="2">
        <v>2</v>
      </c>
    </row>
    <row r="1818" spans="1:1" x14ac:dyDescent="0.25">
      <c r="A1818" s="2">
        <v>0</v>
      </c>
    </row>
    <row r="1819" spans="1:1" x14ac:dyDescent="0.25">
      <c r="A1819" s="2">
        <v>0</v>
      </c>
    </row>
    <row r="1820" spans="1:1" x14ac:dyDescent="0.25">
      <c r="A1820" s="2">
        <v>2</v>
      </c>
    </row>
    <row r="1821" spans="1:1" x14ac:dyDescent="0.25">
      <c r="A1821" s="2">
        <v>2</v>
      </c>
    </row>
    <row r="1822" spans="1:1" x14ac:dyDescent="0.25">
      <c r="A1822" s="2">
        <v>2</v>
      </c>
    </row>
    <row r="1823" spans="1:1" x14ac:dyDescent="0.25">
      <c r="A1823" s="2">
        <v>2</v>
      </c>
    </row>
    <row r="1824" spans="1:1" x14ac:dyDescent="0.25">
      <c r="A1824" s="2">
        <v>2</v>
      </c>
    </row>
    <row r="1825" spans="1:1" x14ac:dyDescent="0.25">
      <c r="A1825" s="2">
        <v>0</v>
      </c>
    </row>
    <row r="1826" spans="1:1" x14ac:dyDescent="0.25">
      <c r="A1826" s="2">
        <v>0</v>
      </c>
    </row>
    <row r="1827" spans="1:1" x14ac:dyDescent="0.25">
      <c r="A1827" s="2">
        <v>0</v>
      </c>
    </row>
    <row r="1828" spans="1:1" x14ac:dyDescent="0.25">
      <c r="A1828" s="2">
        <v>0</v>
      </c>
    </row>
    <row r="1829" spans="1:1" x14ac:dyDescent="0.25">
      <c r="A1829" s="2">
        <v>1</v>
      </c>
    </row>
    <row r="1830" spans="1:1" x14ac:dyDescent="0.25">
      <c r="A1830" s="2">
        <v>0</v>
      </c>
    </row>
    <row r="1831" spans="1:1" x14ac:dyDescent="0.25">
      <c r="A1831" s="2">
        <v>0</v>
      </c>
    </row>
    <row r="1832" spans="1:1" x14ac:dyDescent="0.25">
      <c r="A1832" s="2">
        <v>2</v>
      </c>
    </row>
    <row r="1833" spans="1:1" x14ac:dyDescent="0.25">
      <c r="A1833" s="2">
        <v>1</v>
      </c>
    </row>
    <row r="1834" spans="1:1" x14ac:dyDescent="0.25">
      <c r="A1834" s="2">
        <v>0</v>
      </c>
    </row>
    <row r="1835" spans="1:1" x14ac:dyDescent="0.25">
      <c r="A1835" s="2">
        <v>0</v>
      </c>
    </row>
    <row r="1836" spans="1:1" x14ac:dyDescent="0.25">
      <c r="A1836" s="2">
        <v>1</v>
      </c>
    </row>
    <row r="1837" spans="1:1" x14ac:dyDescent="0.25">
      <c r="A1837" s="2">
        <v>0</v>
      </c>
    </row>
    <row r="1838" spans="1:1" x14ac:dyDescent="0.25">
      <c r="A1838" s="2">
        <v>0</v>
      </c>
    </row>
    <row r="1839" spans="1:1" x14ac:dyDescent="0.25">
      <c r="A1839" s="2">
        <v>0</v>
      </c>
    </row>
    <row r="1840" spans="1:1" x14ac:dyDescent="0.25">
      <c r="A1840" s="2">
        <v>0</v>
      </c>
    </row>
    <row r="1841" spans="1:1" x14ac:dyDescent="0.25">
      <c r="A1841" s="2">
        <v>1</v>
      </c>
    </row>
    <row r="1842" spans="1:1" x14ac:dyDescent="0.25">
      <c r="A1842" s="2">
        <v>0</v>
      </c>
    </row>
    <row r="1843" spans="1:1" x14ac:dyDescent="0.25">
      <c r="A1843" s="2">
        <v>0</v>
      </c>
    </row>
    <row r="1844" spans="1:1" x14ac:dyDescent="0.25">
      <c r="A1844" s="2">
        <v>0</v>
      </c>
    </row>
    <row r="1845" spans="1:1" x14ac:dyDescent="0.25">
      <c r="A1845" s="2">
        <v>1</v>
      </c>
    </row>
    <row r="1846" spans="1:1" x14ac:dyDescent="0.25">
      <c r="A1846" s="2">
        <v>0</v>
      </c>
    </row>
    <row r="1847" spans="1:1" x14ac:dyDescent="0.25">
      <c r="A1847" s="2">
        <v>2</v>
      </c>
    </row>
    <row r="1848" spans="1:1" x14ac:dyDescent="0.25">
      <c r="A1848" s="2">
        <v>0</v>
      </c>
    </row>
    <row r="1849" spans="1:1" x14ac:dyDescent="0.25">
      <c r="A1849" s="2">
        <v>0</v>
      </c>
    </row>
    <row r="1850" spans="1:1" x14ac:dyDescent="0.25">
      <c r="A1850" s="2">
        <v>0</v>
      </c>
    </row>
    <row r="1851" spans="1:1" x14ac:dyDescent="0.25">
      <c r="A1851" s="2">
        <v>0</v>
      </c>
    </row>
    <row r="1852" spans="1:1" x14ac:dyDescent="0.25">
      <c r="A1852" s="2">
        <v>0</v>
      </c>
    </row>
    <row r="1853" spans="1:1" x14ac:dyDescent="0.25">
      <c r="A1853" s="2">
        <v>0</v>
      </c>
    </row>
    <row r="1854" spans="1:1" x14ac:dyDescent="0.25">
      <c r="A1854" s="2">
        <v>0</v>
      </c>
    </row>
    <row r="1855" spans="1:1" x14ac:dyDescent="0.25">
      <c r="A1855" s="2">
        <v>0</v>
      </c>
    </row>
    <row r="1856" spans="1:1" x14ac:dyDescent="0.25">
      <c r="A1856" s="2">
        <v>2</v>
      </c>
    </row>
    <row r="1857" spans="1:1" x14ac:dyDescent="0.25">
      <c r="A1857" s="2">
        <v>0</v>
      </c>
    </row>
    <row r="1858" spans="1:1" x14ac:dyDescent="0.25">
      <c r="A1858" s="2">
        <v>2</v>
      </c>
    </row>
    <row r="1859" spans="1:1" x14ac:dyDescent="0.25">
      <c r="A1859" s="2">
        <v>0</v>
      </c>
    </row>
    <row r="1860" spans="1:1" x14ac:dyDescent="0.25">
      <c r="A1860" s="2">
        <v>2</v>
      </c>
    </row>
    <row r="1861" spans="1:1" x14ac:dyDescent="0.25">
      <c r="A1861" s="2">
        <v>0</v>
      </c>
    </row>
    <row r="1862" spans="1:1" x14ac:dyDescent="0.25">
      <c r="A1862" s="2">
        <v>0</v>
      </c>
    </row>
    <row r="1863" spans="1:1" x14ac:dyDescent="0.25">
      <c r="A1863" s="2">
        <v>0</v>
      </c>
    </row>
    <row r="1864" spans="1:1" x14ac:dyDescent="0.25">
      <c r="A1864" s="2">
        <v>0</v>
      </c>
    </row>
    <row r="1865" spans="1:1" x14ac:dyDescent="0.25">
      <c r="A1865" s="2">
        <v>1</v>
      </c>
    </row>
    <row r="1866" spans="1:1" x14ac:dyDescent="0.25">
      <c r="A1866" s="2">
        <v>2</v>
      </c>
    </row>
    <row r="1867" spans="1:1" x14ac:dyDescent="0.25">
      <c r="A1867" s="2">
        <v>2</v>
      </c>
    </row>
    <row r="1868" spans="1:1" x14ac:dyDescent="0.25">
      <c r="A1868" s="2">
        <v>1</v>
      </c>
    </row>
    <row r="1869" spans="1:1" x14ac:dyDescent="0.25">
      <c r="A1869" s="2">
        <v>0</v>
      </c>
    </row>
    <row r="1870" spans="1:1" x14ac:dyDescent="0.25">
      <c r="A1870" s="2">
        <v>0</v>
      </c>
    </row>
    <row r="1871" spans="1:1" x14ac:dyDescent="0.25">
      <c r="A1871" s="2">
        <v>0</v>
      </c>
    </row>
    <row r="1872" spans="1:1" x14ac:dyDescent="0.25">
      <c r="A1872" s="2">
        <v>0</v>
      </c>
    </row>
    <row r="1873" spans="1:1" x14ac:dyDescent="0.25">
      <c r="A1873" s="2">
        <v>0</v>
      </c>
    </row>
    <row r="1874" spans="1:1" x14ac:dyDescent="0.25">
      <c r="A1874" s="2">
        <v>1</v>
      </c>
    </row>
    <row r="1875" spans="1:1" x14ac:dyDescent="0.25">
      <c r="A1875" s="2">
        <v>0</v>
      </c>
    </row>
    <row r="1876" spans="1:1" x14ac:dyDescent="0.25">
      <c r="A1876" s="2">
        <v>0</v>
      </c>
    </row>
    <row r="1877" spans="1:1" x14ac:dyDescent="0.25">
      <c r="A1877" s="2">
        <v>1</v>
      </c>
    </row>
    <row r="1878" spans="1:1" x14ac:dyDescent="0.25">
      <c r="A1878" s="2">
        <v>0</v>
      </c>
    </row>
    <row r="1879" spans="1:1" x14ac:dyDescent="0.25">
      <c r="A1879" s="2">
        <v>1</v>
      </c>
    </row>
    <row r="1880" spans="1:1" x14ac:dyDescent="0.25">
      <c r="A1880" s="2">
        <v>2</v>
      </c>
    </row>
    <row r="1881" spans="1:1" x14ac:dyDescent="0.25">
      <c r="A1881" s="2">
        <v>2</v>
      </c>
    </row>
    <row r="1882" spans="1:1" x14ac:dyDescent="0.25">
      <c r="A1882" s="2">
        <v>1</v>
      </c>
    </row>
    <row r="1883" spans="1:1" x14ac:dyDescent="0.25">
      <c r="A1883" s="2">
        <v>1</v>
      </c>
    </row>
    <row r="1884" spans="1:1" x14ac:dyDescent="0.25">
      <c r="A1884" s="2">
        <v>2</v>
      </c>
    </row>
    <row r="1885" spans="1:1" x14ac:dyDescent="0.25">
      <c r="A1885" s="2">
        <v>0</v>
      </c>
    </row>
    <row r="1886" spans="1:1" x14ac:dyDescent="0.25">
      <c r="A1886" s="2">
        <v>2</v>
      </c>
    </row>
    <row r="1887" spans="1:1" x14ac:dyDescent="0.25">
      <c r="A1887" s="2">
        <v>0</v>
      </c>
    </row>
    <row r="1888" spans="1:1" x14ac:dyDescent="0.25">
      <c r="A1888" s="2">
        <v>0</v>
      </c>
    </row>
    <row r="1889" spans="1:1" x14ac:dyDescent="0.25">
      <c r="A1889" s="2">
        <v>2</v>
      </c>
    </row>
    <row r="1890" spans="1:1" x14ac:dyDescent="0.25">
      <c r="A1890" s="2">
        <v>1</v>
      </c>
    </row>
    <row r="1891" spans="1:1" x14ac:dyDescent="0.25">
      <c r="A1891" s="2">
        <v>2</v>
      </c>
    </row>
    <row r="1892" spans="1:1" x14ac:dyDescent="0.25">
      <c r="A1892" s="2">
        <v>2</v>
      </c>
    </row>
    <row r="1893" spans="1:1" x14ac:dyDescent="0.25">
      <c r="A1893" s="2">
        <v>2</v>
      </c>
    </row>
    <row r="1894" spans="1:1" x14ac:dyDescent="0.25">
      <c r="A1894" s="2">
        <v>1</v>
      </c>
    </row>
    <row r="1895" spans="1:1" x14ac:dyDescent="0.25">
      <c r="A1895" s="2">
        <v>2</v>
      </c>
    </row>
    <row r="1896" spans="1:1" x14ac:dyDescent="0.25">
      <c r="A1896" s="2">
        <v>2</v>
      </c>
    </row>
    <row r="1897" spans="1:1" x14ac:dyDescent="0.25">
      <c r="A1897" s="2">
        <v>2</v>
      </c>
    </row>
    <row r="1898" spans="1:1" x14ac:dyDescent="0.25">
      <c r="A1898" s="2">
        <v>0</v>
      </c>
    </row>
    <row r="1899" spans="1:1" x14ac:dyDescent="0.25">
      <c r="A1899" s="2">
        <v>0</v>
      </c>
    </row>
    <row r="1900" spans="1:1" x14ac:dyDescent="0.25">
      <c r="A1900" s="2">
        <v>2</v>
      </c>
    </row>
    <row r="1901" spans="1:1" x14ac:dyDescent="0.25">
      <c r="A1901" s="2">
        <v>0</v>
      </c>
    </row>
    <row r="1902" spans="1:1" x14ac:dyDescent="0.25">
      <c r="A1902" s="2">
        <v>2</v>
      </c>
    </row>
    <row r="1903" spans="1:1" x14ac:dyDescent="0.25">
      <c r="A1903" s="2">
        <v>1</v>
      </c>
    </row>
    <row r="1904" spans="1:1" x14ac:dyDescent="0.25">
      <c r="A1904" s="2">
        <v>2</v>
      </c>
    </row>
    <row r="1905" spans="1:1" x14ac:dyDescent="0.25">
      <c r="A1905" s="2">
        <v>0</v>
      </c>
    </row>
    <row r="1906" spans="1:1" x14ac:dyDescent="0.25">
      <c r="A1906" s="2">
        <v>2</v>
      </c>
    </row>
    <row r="1907" spans="1:1" x14ac:dyDescent="0.25">
      <c r="A1907" s="2">
        <v>2</v>
      </c>
    </row>
    <row r="1908" spans="1:1" x14ac:dyDescent="0.25">
      <c r="A1908" s="2">
        <v>1</v>
      </c>
    </row>
    <row r="1909" spans="1:1" x14ac:dyDescent="0.25">
      <c r="A1909" s="2">
        <v>2</v>
      </c>
    </row>
    <row r="1910" spans="1:1" x14ac:dyDescent="0.25">
      <c r="A1910" s="2">
        <v>0</v>
      </c>
    </row>
    <row r="1911" spans="1:1" x14ac:dyDescent="0.25">
      <c r="A1911" s="2">
        <v>0</v>
      </c>
    </row>
    <row r="1912" spans="1:1" x14ac:dyDescent="0.25">
      <c r="A1912" s="2">
        <v>2</v>
      </c>
    </row>
    <row r="1913" spans="1:1" x14ac:dyDescent="0.25">
      <c r="A1913" s="2">
        <v>0</v>
      </c>
    </row>
    <row r="1914" spans="1:1" x14ac:dyDescent="0.25">
      <c r="A1914" s="2">
        <v>0</v>
      </c>
    </row>
    <row r="1915" spans="1:1" x14ac:dyDescent="0.25">
      <c r="A1915" s="2">
        <v>0</v>
      </c>
    </row>
    <row r="1916" spans="1:1" x14ac:dyDescent="0.25">
      <c r="A1916" s="2">
        <v>0</v>
      </c>
    </row>
    <row r="1917" spans="1:1" x14ac:dyDescent="0.25">
      <c r="A1917" s="2">
        <v>0</v>
      </c>
    </row>
    <row r="1918" spans="1:1" x14ac:dyDescent="0.25">
      <c r="A1918" s="2">
        <v>0</v>
      </c>
    </row>
    <row r="1919" spans="1:1" x14ac:dyDescent="0.25">
      <c r="A1919" s="2">
        <v>0</v>
      </c>
    </row>
    <row r="1920" spans="1:1" x14ac:dyDescent="0.25">
      <c r="A1920" s="2">
        <v>0</v>
      </c>
    </row>
    <row r="1921" spans="1:1" x14ac:dyDescent="0.25">
      <c r="A1921" s="2">
        <v>0</v>
      </c>
    </row>
    <row r="1922" spans="1:1" x14ac:dyDescent="0.25">
      <c r="A1922" s="2">
        <v>0</v>
      </c>
    </row>
    <row r="1923" spans="1:1" x14ac:dyDescent="0.25">
      <c r="A1923" s="2">
        <v>1</v>
      </c>
    </row>
    <row r="1924" spans="1:1" x14ac:dyDescent="0.25">
      <c r="A1924" s="2">
        <v>0</v>
      </c>
    </row>
    <row r="1925" spans="1:1" x14ac:dyDescent="0.25">
      <c r="A1925" s="2">
        <v>0</v>
      </c>
    </row>
    <row r="1926" spans="1:1" x14ac:dyDescent="0.25">
      <c r="A1926" s="2">
        <v>0</v>
      </c>
    </row>
    <row r="1927" spans="1:1" x14ac:dyDescent="0.25">
      <c r="A1927" s="2">
        <v>1</v>
      </c>
    </row>
    <row r="1928" spans="1:1" x14ac:dyDescent="0.25">
      <c r="A1928" s="2">
        <v>0</v>
      </c>
    </row>
    <row r="1929" spans="1:1" x14ac:dyDescent="0.25">
      <c r="A1929" s="2">
        <v>0</v>
      </c>
    </row>
    <row r="1930" spans="1:1" x14ac:dyDescent="0.25">
      <c r="A1930" s="2">
        <v>0</v>
      </c>
    </row>
    <row r="1931" spans="1:1" x14ac:dyDescent="0.25">
      <c r="A1931" s="2">
        <v>0</v>
      </c>
    </row>
    <row r="1932" spans="1:1" x14ac:dyDescent="0.25">
      <c r="A1932" s="2">
        <v>0</v>
      </c>
    </row>
    <row r="1933" spans="1:1" x14ac:dyDescent="0.25">
      <c r="A1933" s="2">
        <v>2</v>
      </c>
    </row>
    <row r="1934" spans="1:1" x14ac:dyDescent="0.25">
      <c r="A1934" s="2">
        <v>2</v>
      </c>
    </row>
    <row r="1935" spans="1:1" x14ac:dyDescent="0.25">
      <c r="A1935" s="2">
        <v>2</v>
      </c>
    </row>
    <row r="1936" spans="1:1" x14ac:dyDescent="0.25">
      <c r="A1936" s="2">
        <v>1</v>
      </c>
    </row>
    <row r="1937" spans="1:1" x14ac:dyDescent="0.25">
      <c r="A1937" s="2">
        <v>0</v>
      </c>
    </row>
    <row r="1938" spans="1:1" x14ac:dyDescent="0.25">
      <c r="A1938" s="2">
        <v>2</v>
      </c>
    </row>
    <row r="1939" spans="1:1" x14ac:dyDescent="0.25">
      <c r="A1939" s="2">
        <v>1</v>
      </c>
    </row>
    <row r="1940" spans="1:1" x14ac:dyDescent="0.25">
      <c r="A1940" s="2">
        <v>1</v>
      </c>
    </row>
    <row r="1941" spans="1:1" x14ac:dyDescent="0.25">
      <c r="A1941" s="2">
        <v>1</v>
      </c>
    </row>
    <row r="1942" spans="1:1" x14ac:dyDescent="0.25">
      <c r="A1942" s="2">
        <v>0</v>
      </c>
    </row>
    <row r="1943" spans="1:1" x14ac:dyDescent="0.25">
      <c r="A1943" s="2">
        <v>0</v>
      </c>
    </row>
    <row r="1944" spans="1:1" x14ac:dyDescent="0.25">
      <c r="A1944" s="2">
        <v>2</v>
      </c>
    </row>
    <row r="1945" spans="1:1" x14ac:dyDescent="0.25">
      <c r="A1945" s="2">
        <v>0</v>
      </c>
    </row>
    <row r="1946" spans="1:1" x14ac:dyDescent="0.25">
      <c r="A1946" s="2">
        <v>1</v>
      </c>
    </row>
    <row r="1947" spans="1:1" x14ac:dyDescent="0.25">
      <c r="A1947" s="2">
        <v>2</v>
      </c>
    </row>
    <row r="1948" spans="1:1" x14ac:dyDescent="0.25">
      <c r="A1948" s="2">
        <v>0</v>
      </c>
    </row>
    <row r="1949" spans="1:1" x14ac:dyDescent="0.25">
      <c r="A1949" s="2">
        <v>0</v>
      </c>
    </row>
    <row r="1950" spans="1:1" x14ac:dyDescent="0.25">
      <c r="A1950" s="2">
        <v>0</v>
      </c>
    </row>
    <row r="1951" spans="1:1" x14ac:dyDescent="0.25">
      <c r="A1951" s="2">
        <v>2</v>
      </c>
    </row>
    <row r="1952" spans="1:1" x14ac:dyDescent="0.25">
      <c r="A1952" s="2">
        <v>2</v>
      </c>
    </row>
    <row r="1953" spans="1:1" x14ac:dyDescent="0.25">
      <c r="A1953" s="2">
        <v>2</v>
      </c>
    </row>
    <row r="1954" spans="1:1" x14ac:dyDescent="0.25">
      <c r="A1954" s="2">
        <v>2</v>
      </c>
    </row>
    <row r="1955" spans="1:1" x14ac:dyDescent="0.25">
      <c r="A1955" s="2">
        <v>2</v>
      </c>
    </row>
    <row r="1956" spans="1:1" x14ac:dyDescent="0.25">
      <c r="A1956" s="2">
        <v>2</v>
      </c>
    </row>
    <row r="1957" spans="1:1" x14ac:dyDescent="0.25">
      <c r="A1957" s="2">
        <v>0</v>
      </c>
    </row>
    <row r="1958" spans="1:1" x14ac:dyDescent="0.25">
      <c r="A1958" s="2">
        <v>1</v>
      </c>
    </row>
    <row r="1959" spans="1:1" x14ac:dyDescent="0.25">
      <c r="A1959" s="2">
        <v>0</v>
      </c>
    </row>
    <row r="1960" spans="1:1" x14ac:dyDescent="0.25">
      <c r="A1960" s="2">
        <v>0</v>
      </c>
    </row>
    <row r="1961" spans="1:1" x14ac:dyDescent="0.25">
      <c r="A1961" s="2">
        <v>0</v>
      </c>
    </row>
    <row r="1962" spans="1:1" x14ac:dyDescent="0.25">
      <c r="A1962" s="2">
        <v>1</v>
      </c>
    </row>
    <row r="1963" spans="1:1" x14ac:dyDescent="0.25">
      <c r="A1963" s="2">
        <v>0</v>
      </c>
    </row>
    <row r="1964" spans="1:1" x14ac:dyDescent="0.25">
      <c r="A1964" s="2">
        <v>0</v>
      </c>
    </row>
    <row r="1965" spans="1:1" x14ac:dyDescent="0.25">
      <c r="A1965" s="2">
        <v>0</v>
      </c>
    </row>
    <row r="1966" spans="1:1" x14ac:dyDescent="0.25">
      <c r="A1966" s="2">
        <v>0</v>
      </c>
    </row>
    <row r="1967" spans="1:1" x14ac:dyDescent="0.25">
      <c r="A1967" s="2">
        <v>2</v>
      </c>
    </row>
    <row r="1968" spans="1:1" x14ac:dyDescent="0.25">
      <c r="A1968" s="2">
        <v>0</v>
      </c>
    </row>
    <row r="1969" spans="1:1" x14ac:dyDescent="0.25">
      <c r="A1969" s="2">
        <v>1</v>
      </c>
    </row>
    <row r="1970" spans="1:1" x14ac:dyDescent="0.25">
      <c r="A1970" s="2">
        <v>2</v>
      </c>
    </row>
    <row r="1971" spans="1:1" x14ac:dyDescent="0.25">
      <c r="A1971" s="2">
        <v>2</v>
      </c>
    </row>
    <row r="1972" spans="1:1" x14ac:dyDescent="0.25">
      <c r="A1972" s="2">
        <v>0</v>
      </c>
    </row>
    <row r="1973" spans="1:1" x14ac:dyDescent="0.25">
      <c r="A1973" s="2">
        <v>2</v>
      </c>
    </row>
    <row r="1974" spans="1:1" x14ac:dyDescent="0.25">
      <c r="A1974" s="2">
        <v>2</v>
      </c>
    </row>
    <row r="1975" spans="1:1" x14ac:dyDescent="0.25">
      <c r="A1975" s="2">
        <v>0</v>
      </c>
    </row>
    <row r="1976" spans="1:1" x14ac:dyDescent="0.25">
      <c r="A1976" s="2">
        <v>0</v>
      </c>
    </row>
    <row r="1977" spans="1:1" x14ac:dyDescent="0.25">
      <c r="A1977" s="2">
        <v>0</v>
      </c>
    </row>
    <row r="1978" spans="1:1" x14ac:dyDescent="0.25">
      <c r="A1978" s="2">
        <v>0</v>
      </c>
    </row>
    <row r="1979" spans="1:1" x14ac:dyDescent="0.25">
      <c r="A1979" s="2">
        <v>1</v>
      </c>
    </row>
    <row r="1980" spans="1:1" x14ac:dyDescent="0.25">
      <c r="A1980" s="2">
        <v>0</v>
      </c>
    </row>
    <row r="1981" spans="1:1" x14ac:dyDescent="0.25">
      <c r="A1981" s="2">
        <v>1</v>
      </c>
    </row>
    <row r="1982" spans="1:1" x14ac:dyDescent="0.25">
      <c r="A1982" s="2">
        <v>0</v>
      </c>
    </row>
    <row r="1983" spans="1:1" x14ac:dyDescent="0.25">
      <c r="A1983" s="2">
        <v>0</v>
      </c>
    </row>
    <row r="1984" spans="1:1" x14ac:dyDescent="0.25">
      <c r="A1984" s="2">
        <v>0</v>
      </c>
    </row>
    <row r="1985" spans="1:1" x14ac:dyDescent="0.25">
      <c r="A1985" s="2">
        <v>0</v>
      </c>
    </row>
    <row r="1986" spans="1:1" x14ac:dyDescent="0.25">
      <c r="A1986" s="2">
        <v>0</v>
      </c>
    </row>
    <row r="1987" spans="1:1" x14ac:dyDescent="0.25">
      <c r="A1987" s="2">
        <v>0</v>
      </c>
    </row>
    <row r="1988" spans="1:1" x14ac:dyDescent="0.25">
      <c r="A1988" s="2">
        <v>0</v>
      </c>
    </row>
    <row r="1989" spans="1:1" x14ac:dyDescent="0.25">
      <c r="A1989" s="2">
        <v>0</v>
      </c>
    </row>
    <row r="1990" spans="1:1" x14ac:dyDescent="0.25">
      <c r="A1990" s="2">
        <v>0</v>
      </c>
    </row>
    <row r="1991" spans="1:1" x14ac:dyDescent="0.25">
      <c r="A1991" s="2">
        <v>1</v>
      </c>
    </row>
    <row r="1992" spans="1:1" x14ac:dyDescent="0.25">
      <c r="A1992" s="2">
        <v>2</v>
      </c>
    </row>
    <row r="1993" spans="1:1" x14ac:dyDescent="0.25">
      <c r="A1993" s="2">
        <v>0</v>
      </c>
    </row>
    <row r="1994" spans="1:1" x14ac:dyDescent="0.25">
      <c r="A1994" s="2">
        <v>0</v>
      </c>
    </row>
    <row r="1995" spans="1:1" x14ac:dyDescent="0.25">
      <c r="A1995" s="2">
        <v>1</v>
      </c>
    </row>
    <row r="1996" spans="1:1" x14ac:dyDescent="0.25">
      <c r="A1996" s="2">
        <v>0</v>
      </c>
    </row>
    <row r="1997" spans="1:1" x14ac:dyDescent="0.25">
      <c r="A1997" s="2">
        <v>0</v>
      </c>
    </row>
    <row r="1998" spans="1:1" x14ac:dyDescent="0.25">
      <c r="A1998" s="2">
        <v>1</v>
      </c>
    </row>
    <row r="1999" spans="1:1" x14ac:dyDescent="0.25">
      <c r="A1999" s="2">
        <v>1</v>
      </c>
    </row>
    <row r="2000" spans="1:1" x14ac:dyDescent="0.25">
      <c r="A2000" s="2">
        <v>2</v>
      </c>
    </row>
    <row r="2001" spans="1:1" x14ac:dyDescent="0.25">
      <c r="A2001" s="2">
        <v>2</v>
      </c>
    </row>
    <row r="2002" spans="1:1" x14ac:dyDescent="0.25">
      <c r="A2002" s="2">
        <v>0</v>
      </c>
    </row>
    <row r="2003" spans="1:1" x14ac:dyDescent="0.25">
      <c r="A2003" s="2">
        <v>2</v>
      </c>
    </row>
    <row r="2004" spans="1:1" x14ac:dyDescent="0.25">
      <c r="A2004" s="2">
        <v>0</v>
      </c>
    </row>
    <row r="2005" spans="1:1" x14ac:dyDescent="0.25">
      <c r="A2005" s="2">
        <v>0</v>
      </c>
    </row>
    <row r="2006" spans="1:1" x14ac:dyDescent="0.25">
      <c r="A2006" s="2">
        <v>1</v>
      </c>
    </row>
    <row r="2007" spans="1:1" x14ac:dyDescent="0.25">
      <c r="A2007" s="2">
        <v>1</v>
      </c>
    </row>
    <row r="2008" spans="1:1" x14ac:dyDescent="0.25">
      <c r="A2008" s="2">
        <v>0</v>
      </c>
    </row>
    <row r="2009" spans="1:1" x14ac:dyDescent="0.25">
      <c r="A2009" s="2">
        <v>1</v>
      </c>
    </row>
    <row r="2010" spans="1:1" x14ac:dyDescent="0.25">
      <c r="A2010" s="2">
        <v>2</v>
      </c>
    </row>
    <row r="2011" spans="1:1" x14ac:dyDescent="0.25">
      <c r="A2011" s="2">
        <v>0</v>
      </c>
    </row>
    <row r="2012" spans="1:1" x14ac:dyDescent="0.25">
      <c r="A2012" s="2">
        <v>2</v>
      </c>
    </row>
    <row r="2013" spans="1:1" x14ac:dyDescent="0.25">
      <c r="A2013" s="2">
        <v>1</v>
      </c>
    </row>
    <row r="2014" spans="1:1" x14ac:dyDescent="0.25">
      <c r="A2014" s="2">
        <v>0</v>
      </c>
    </row>
    <row r="2015" spans="1:1" x14ac:dyDescent="0.25">
      <c r="A2015" s="2">
        <v>0</v>
      </c>
    </row>
    <row r="2016" spans="1:1" x14ac:dyDescent="0.25">
      <c r="A2016" s="2">
        <v>2</v>
      </c>
    </row>
    <row r="2017" spans="1:1" x14ac:dyDescent="0.25">
      <c r="A2017" s="2">
        <v>2</v>
      </c>
    </row>
    <row r="2018" spans="1:1" x14ac:dyDescent="0.25">
      <c r="A2018" s="2">
        <v>0</v>
      </c>
    </row>
    <row r="2019" spans="1:1" x14ac:dyDescent="0.25">
      <c r="A2019" s="2">
        <v>0</v>
      </c>
    </row>
    <row r="2020" spans="1:1" x14ac:dyDescent="0.25">
      <c r="A2020" s="2">
        <v>0</v>
      </c>
    </row>
    <row r="2021" spans="1:1" x14ac:dyDescent="0.25">
      <c r="A2021" s="2">
        <v>0</v>
      </c>
    </row>
    <row r="2022" spans="1:1" x14ac:dyDescent="0.25">
      <c r="A2022" s="2">
        <v>0</v>
      </c>
    </row>
    <row r="2023" spans="1:1" x14ac:dyDescent="0.25">
      <c r="A2023" s="2">
        <v>0</v>
      </c>
    </row>
    <row r="2024" spans="1:1" x14ac:dyDescent="0.25">
      <c r="A2024" s="2">
        <v>0</v>
      </c>
    </row>
    <row r="2025" spans="1:1" x14ac:dyDescent="0.25">
      <c r="A2025" s="2">
        <v>0</v>
      </c>
    </row>
    <row r="2026" spans="1:1" x14ac:dyDescent="0.25">
      <c r="A2026" s="2">
        <v>2</v>
      </c>
    </row>
    <row r="2027" spans="1:1" x14ac:dyDescent="0.25">
      <c r="A2027" s="2">
        <v>0</v>
      </c>
    </row>
    <row r="2028" spans="1:1" x14ac:dyDescent="0.25">
      <c r="A2028" s="2">
        <v>0</v>
      </c>
    </row>
    <row r="2029" spans="1:1" x14ac:dyDescent="0.25">
      <c r="A2029" s="2">
        <v>0</v>
      </c>
    </row>
    <row r="2030" spans="1:1" x14ac:dyDescent="0.25">
      <c r="A2030" s="2">
        <v>0</v>
      </c>
    </row>
    <row r="2031" spans="1:1" x14ac:dyDescent="0.25">
      <c r="A2031" s="2">
        <v>1</v>
      </c>
    </row>
    <row r="2032" spans="1:1" x14ac:dyDescent="0.25">
      <c r="A2032" s="2">
        <v>2</v>
      </c>
    </row>
    <row r="2033" spans="1:1" x14ac:dyDescent="0.25">
      <c r="A2033" s="2">
        <v>0</v>
      </c>
    </row>
    <row r="2034" spans="1:1" x14ac:dyDescent="0.25">
      <c r="A2034" s="2">
        <v>1</v>
      </c>
    </row>
    <row r="2035" spans="1:1" x14ac:dyDescent="0.25">
      <c r="A2035" s="2">
        <v>0</v>
      </c>
    </row>
    <row r="2036" spans="1:1" x14ac:dyDescent="0.25">
      <c r="A2036" s="2">
        <v>1</v>
      </c>
    </row>
    <row r="2037" spans="1:1" x14ac:dyDescent="0.25">
      <c r="A2037" s="2">
        <v>2</v>
      </c>
    </row>
    <row r="2038" spans="1:1" x14ac:dyDescent="0.25">
      <c r="A2038" s="2">
        <v>2</v>
      </c>
    </row>
    <row r="2039" spans="1:1" x14ac:dyDescent="0.25">
      <c r="A2039" s="2">
        <v>0</v>
      </c>
    </row>
    <row r="2040" spans="1:1" x14ac:dyDescent="0.25">
      <c r="A2040" s="2">
        <v>2</v>
      </c>
    </row>
    <row r="2041" spans="1:1" x14ac:dyDescent="0.25">
      <c r="A2041" s="2">
        <v>2</v>
      </c>
    </row>
    <row r="2042" spans="1:1" x14ac:dyDescent="0.25">
      <c r="A2042" s="2">
        <v>2</v>
      </c>
    </row>
    <row r="2043" spans="1:1" x14ac:dyDescent="0.25">
      <c r="A2043" s="2">
        <v>2</v>
      </c>
    </row>
    <row r="2044" spans="1:1" x14ac:dyDescent="0.25">
      <c r="A2044" s="2">
        <v>0</v>
      </c>
    </row>
    <row r="2045" spans="1:1" x14ac:dyDescent="0.25">
      <c r="A2045" s="2">
        <v>0</v>
      </c>
    </row>
    <row r="2046" spans="1:1" x14ac:dyDescent="0.25">
      <c r="A2046" s="2">
        <v>2</v>
      </c>
    </row>
    <row r="2047" spans="1:1" x14ac:dyDescent="0.25">
      <c r="A2047" s="2">
        <v>2</v>
      </c>
    </row>
    <row r="2048" spans="1:1" x14ac:dyDescent="0.25">
      <c r="A2048" s="2">
        <v>1</v>
      </c>
    </row>
    <row r="2049" spans="1:1" x14ac:dyDescent="0.25">
      <c r="A2049" s="2">
        <v>2</v>
      </c>
    </row>
    <row r="2050" spans="1:1" x14ac:dyDescent="0.25">
      <c r="A2050" s="2">
        <v>1</v>
      </c>
    </row>
    <row r="2051" spans="1:1" x14ac:dyDescent="0.25">
      <c r="A2051" s="2">
        <v>1</v>
      </c>
    </row>
    <row r="2052" spans="1:1" x14ac:dyDescent="0.25">
      <c r="A2052" s="2">
        <v>0</v>
      </c>
    </row>
    <row r="2053" spans="1:1" x14ac:dyDescent="0.25">
      <c r="A2053" s="2">
        <v>0</v>
      </c>
    </row>
    <row r="2054" spans="1:1" x14ac:dyDescent="0.25">
      <c r="A2054" s="2">
        <v>0</v>
      </c>
    </row>
    <row r="2055" spans="1:1" x14ac:dyDescent="0.25">
      <c r="A2055" s="2">
        <v>0</v>
      </c>
    </row>
    <row r="2056" spans="1:1" x14ac:dyDescent="0.25">
      <c r="A2056" s="2">
        <v>2</v>
      </c>
    </row>
    <row r="2057" spans="1:1" x14ac:dyDescent="0.25">
      <c r="A2057" s="2">
        <v>1</v>
      </c>
    </row>
    <row r="2058" spans="1:1" x14ac:dyDescent="0.25">
      <c r="A2058" s="2">
        <v>0</v>
      </c>
    </row>
    <row r="2059" spans="1:1" x14ac:dyDescent="0.25">
      <c r="A2059" s="2">
        <v>0</v>
      </c>
    </row>
    <row r="2060" spans="1:1" x14ac:dyDescent="0.25">
      <c r="A2060" s="2">
        <v>1</v>
      </c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2026-02-18T04:36:34Z</dcterms:created>
  <dcterms:modified xsi:type="dcterms:W3CDTF">2026-06-04T13:10:29Z</dcterms:modified>
</cp:coreProperties>
</file>